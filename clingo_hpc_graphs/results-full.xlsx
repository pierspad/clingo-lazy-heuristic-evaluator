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<sst xmlns="http://schemas.openxmlformats.org/spreadsheetml/2006/main" count="2135" uniqueCount="93">
  <si>
    <t>./bsp-0010</t>
  </si>
  <si>
    <t>./bsp-0020</t>
  </si>
  <si>
    <t>./bsp-0030</t>
  </si>
  <si>
    <t>./bsp-0040</t>
  </si>
  <si>
    <t>./bsp-0050</t>
  </si>
  <si>
    <t>./bsp-0060</t>
  </si>
  <si>
    <t>./bsp-0070</t>
  </si>
  <si>
    <t>./bsp-0080</t>
  </si>
  <si>
    <t>./bsp-0090</t>
  </si>
  <si>
    <t>./bsp-0100</t>
  </si>
  <si>
    <t>./bsp-0110</t>
  </si>
  <si>
    <t>./bsp-0120</t>
  </si>
  <si>
    <t>./house-10</t>
  </si>
  <si>
    <t>./house-12</t>
  </si>
  <si>
    <t>./house-14</t>
  </si>
  <si>
    <t>./house-16</t>
  </si>
  <si>
    <t>./house-18</t>
  </si>
  <si>
    <t>./house-2</t>
  </si>
  <si>
    <t>./house-20</t>
  </si>
  <si>
    <t>./house-4</t>
  </si>
  <si>
    <t>./house-6</t>
  </si>
  <si>
    <t>./house-8</t>
  </si>
  <si>
    <t>./double-100</t>
  </si>
  <si>
    <t>./double-120</t>
  </si>
  <si>
    <t>./double-140</t>
  </si>
  <si>
    <t>./double-160</t>
  </si>
  <si>
    <t>./double-180</t>
  </si>
  <si>
    <t>./double-20</t>
  </si>
  <si>
    <t>./double-200</t>
  </si>
  <si>
    <t>./double-40</t>
  </si>
  <si>
    <t>./double-60</t>
  </si>
  <si>
    <t>./double-80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</si>
  <si>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</si>
  <si>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</si>
  <si>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</si>
  <si>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</si>
  <si>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</si>
  <si>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</si>
  <si>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</si>
  <si>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</si>
  <si>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clingo-native-1.0/ga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</si>
  <si>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</si>
  <si>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</si>
  <si>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</si>
  <si>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</si>
  <si>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</si>
  <si>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</si>
  <si>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</si>
  <si>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</si>
  <si>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</si>
  <si>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</si>
  <si>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</si>
  <si>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</si>
  <si>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</si>
  <si>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</si>
  <si>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</si>
  <si>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</si>
  <si>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UNKNOWN</t>
  </si>
  <si>
    <t>time</t>
  </si>
  <si>
    <t>timeout</t>
  </si>
  <si>
    <t>variables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</si>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</sst>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(Helper!EJ5:EJ69)</c:f>
            </c:numRef>
          </c:xVal>
          <c:yVal>
            <c:numRef>
              <c:f>(Helper!EI5:EI69)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(Helper!EN5:EN69)</c:f>
            </c:numRef>
          </c:xVal>
          <c:yVal>
            <c:numRef>
              <c:f>(Helper!EM5:EM69)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(Helper!ER5:ER69)</c:f>
            </c:numRef>
          </c:xVal>
          <c:yVal>
            <c:numRef>
              <c:f>(Helper!EQ5:EQ69)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(Helper!EV5:EV69)</c:f>
            </c:numRef>
          </c:xVal>
          <c:yVal>
            <c:numRef>
              <c:f>(Helper!EU5:EU69)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(Helper!EZ5:EZ69)</c:f>
            </c:numRef>
          </c:xVal>
          <c:yVal>
            <c:numRef>
              <c:f>(Helper!EY5:EY69)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(Helper!FD5:FD69)</c:f>
            </c:numRef>
          </c:xVal>
          <c:yVal>
            <c:numRef>
              <c:f>(Helper!FC5:FC69)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(Helper!FH5:FH69)</c:f>
            </c:numRef>
          </c:xVal>
          <c:yVal>
            <c:numRef>
              <c:f>(Helper!FG5:FG69)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(Helper!FL5:FL69)</c:f>
            </c:numRef>
          </c:xVal>
          <c:yVal>
            <c:numRef>
              <c:f>(Helper!FK5:FK69)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(Helper!FP5:FP69)</c:f>
            </c:numRef>
          </c:xVal>
          <c:yVal>
            <c:numRef>
              <c:f>(Helper!FO5:FO69)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(Helper!FT5:FT69)</c:f>
            </c:numRef>
          </c:xVal>
          <c:yVal>
            <c:numRef>
              <c:f>(Helper!FS5:FS69)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(Helper!FX5:FX69)</c:f>
            </c:numRef>
          </c:xVal>
          <c:yVal>
            <c:numRef>
              <c:f>(Helper!FW5:FW69)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(Helper!GB5:GB69)</c:f>
            </c:numRef>
          </c:xVal>
          <c:yVal>
            <c:numRef>
              <c:f>(Helper!GA5:GA69)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(Helper!GF5:GF69)</c:f>
            </c:numRef>
          </c:xVal>
          <c:yVal>
            <c:numRef>
              <c:f>(Helper!GE5:GE69)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(Helper!GJ5:GJ69)</c:f>
            </c:numRef>
          </c:xVal>
          <c:yVal>
            <c:numRef>
              <c:f>(Helper!GI5:GI69)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(Helper!GN5:GN69)</c:f>
            </c:numRef>
          </c:xVal>
          <c:yVal>
            <c:numRef>
              <c:f>(Helper!GM5:GM69)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(Helper!GR5:GR69)</c:f>
            </c:numRef>
          </c:xVal>
          <c:yVal>
            <c:numRef>
              <c:f>(Helper!GQ5:GQ69)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(Helper!EG5:EG69)</c:f>
            </c:numRef>
          </c:xVal>
          <c:yVal>
            <c:numRef>
              <c:f>(Helper!EH5:EH69)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(Helper!EK5:EK69)</c:f>
            </c:numRef>
          </c:xVal>
          <c:yVal>
            <c:numRef>
              <c:f>(Helper!EL5:EL69)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(Helper!EO5:EO69)</c:f>
            </c:numRef>
          </c:xVal>
          <c:yVal>
            <c:numRef>
              <c:f>(Helper!EP5:EP69)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(Helper!ES5:ES69)</c:f>
            </c:numRef>
          </c:xVal>
          <c:yVal>
            <c:numRef>
              <c:f>(Helper!ET5:ET69)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(Helper!EW5:EW69)</c:f>
            </c:numRef>
          </c:xVal>
          <c:yVal>
            <c:numRef>
              <c:f>(Helper!EX5:EX69)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(Helper!FA5:FA69)</c:f>
            </c:numRef>
          </c:xVal>
          <c:yVal>
            <c:numRef>
              <c:f>(Helper!FB5:FB69)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(Helper!FE5:FE69)</c:f>
            </c:numRef>
          </c:xVal>
          <c:yVal>
            <c:numRef>
              <c:f>(Helper!FF5:FF69)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(Helper!FI5:FI69)</c:f>
            </c:numRef>
          </c:xVal>
          <c:yVal>
            <c:numRef>
              <c:f>(Helper!FJ5:FJ69)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(Helper!FM5:FM69)</c:f>
            </c:numRef>
          </c:xVal>
          <c:yVal>
            <c:numRef>
              <c:f>(Helper!FN5:FN69)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(Helper!FQ5:FQ69)</c:f>
            </c:numRef>
          </c:xVal>
          <c:yVal>
            <c:numRef>
              <c:f>(Helper!FR5:FR69)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(Helper!FU5:FU69)</c:f>
            </c:numRef>
          </c:xVal>
          <c:yVal>
            <c:numRef>
              <c:f>(Helper!FV5:FV69)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(Helper!FY5:FY69)</c:f>
            </c:numRef>
          </c:xVal>
          <c:yVal>
            <c:numRef>
              <c:f>(Helper!FZ5:FZ69)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(Helper!GC5:GC69)</c:f>
            </c:numRef>
          </c:xVal>
          <c:yVal>
            <c:numRef>
              <c:f>(Helper!GD5:GD69)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(Helper!GG5:GG69)</c:f>
            </c:numRef>
          </c:xVal>
          <c:yVal>
            <c:numRef>
              <c:f>(Helper!GH5:GH69)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(Helper!GK5:GK69)</c:f>
            </c:numRef>
          </c:xVal>
          <c:yVal>
            <c:numRef>
              <c:f>(Helper!GL5:GL69)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(Helper!GO5:GO69)</c:f>
            </c:numRef>
          </c:xVal>
          <c:yVal>
            <c:numRef>
              <c:f>(Helper!GP5:GP69)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(Helper!EH5:EH69)</c:f>
            </c:numRef>
          </c:xVal>
          <c:yVal>
            <c:numRef>
              <c:f>(Helper!EG5:EG69)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(Helper!EL5:EL69)</c:f>
            </c:numRef>
          </c:xVal>
          <c:yVal>
            <c:numRef>
              <c:f>(Helper!EK5:EK69)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(Helper!EP5:EP69)</c:f>
            </c:numRef>
          </c:xVal>
          <c:yVal>
            <c:numRef>
              <c:f>(Helper!EO5:EO69)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(Helper!ET5:ET69)</c:f>
            </c:numRef>
          </c:xVal>
          <c:yVal>
            <c:numRef>
              <c:f>(Helper!ES5:ES69)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(Helper!EX5:EX69)</c:f>
            </c:numRef>
          </c:xVal>
          <c:yVal>
            <c:numRef>
              <c:f>(Helper!EW5:EW69)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(Helper!FB5:FB69)</c:f>
            </c:numRef>
          </c:xVal>
          <c:yVal>
            <c:numRef>
              <c:f>(Helper!FA5:FA69)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(Helper!FF5:FF69)</c:f>
            </c:numRef>
          </c:xVal>
          <c:yVal>
            <c:numRef>
              <c:f>(Helper!FE5:FE69)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(Helper!FJ5:FJ69)</c:f>
            </c:numRef>
          </c:xVal>
          <c:yVal>
            <c:numRef>
              <c:f>(Helper!FI5:FI69)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(Helper!FN5:FN69)</c:f>
            </c:numRef>
          </c:xVal>
          <c:yVal>
            <c:numRef>
              <c:f>(Helper!FM5:FM69)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(Helper!FR5:FR69)</c:f>
            </c:numRef>
          </c:xVal>
          <c:yVal>
            <c:numRef>
              <c:f>(Helper!FQ5:FQ69)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(Helper!FV5:FV69)</c:f>
            </c:numRef>
          </c:xVal>
          <c:yVal>
            <c:numRef>
              <c:f>(Helper!FU5:FU69)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(Helper!FZ5:FZ69)</c:f>
            </c:numRef>
          </c:xVal>
          <c:yVal>
            <c:numRef>
              <c:f>(Helper!FY5:FY69)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(Helper!GD5:GD69)</c:f>
            </c:numRef>
          </c:xVal>
          <c:yVal>
            <c:numRef>
              <c:f>(Helper!GC5:GC69)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(Helper!GH5:GH69)</c:f>
            </c:numRef>
          </c:xVal>
          <c:yVal>
            <c:numRef>
              <c:f>(Helper!GG5:GG69)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(Helper!GL5:GL69)</c:f>
            </c:numRef>
          </c:xVal>
          <c:yVal>
            <c:numRef>
              <c:f>(Helper!GK5:GK69)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(Helper!GP5:GP69)</c:f>
            </c:numRef>
          </c:xVal>
          <c:yVal>
            <c:numRef>
              <c:f>(Helper!GO5:GO69)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B4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40" width="11.42578125" customWidth="1"/>
  </cols>
  <sheetData>
    <row r="1" spans="1:340">
      <c r="A1" s="1"/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0</v>
      </c>
      <c r="B3" s="1">
        <v>636</v>
      </c>
      <c r="C3" s="1">
        <v>10</v>
      </c>
      <c r="D3" s="1">
        <v>0.007</v>
      </c>
      <c r="E3" s="1">
        <v>0</v>
      </c>
      <c r="F3" s="1">
        <v>3508</v>
      </c>
      <c r="G3" s="1">
        <v>0</v>
      </c>
      <c r="H3" s="1">
        <v>0.007</v>
      </c>
      <c r="I3" s="1">
        <v>0</v>
      </c>
      <c r="J3" s="1">
        <v>0</v>
      </c>
      <c r="K3" s="1">
        <v>1</v>
      </c>
      <c r="L3" s="1">
        <v>0.03</v>
      </c>
      <c r="M3" s="1">
        <v>0</v>
      </c>
      <c r="N3" s="1">
        <v>4780</v>
      </c>
      <c r="O3" s="1">
        <v>0</v>
      </c>
      <c r="P3" s="1" t="s">
        <v>56</v>
      </c>
      <c r="Q3" s="1">
        <v>0.03</v>
      </c>
      <c r="R3" s="1">
        <v>0</v>
      </c>
      <c r="S3" s="1">
        <v>242</v>
      </c>
      <c r="T3" s="1">
        <v>798</v>
      </c>
      <c r="U3" s="1">
        <v>52</v>
      </c>
      <c r="V3" s="1">
        <v>0.005</v>
      </c>
      <c r="W3" s="1">
        <v>46</v>
      </c>
      <c r="X3" s="1">
        <v>3536</v>
      </c>
      <c r="Y3" s="1">
        <v>0</v>
      </c>
      <c r="Z3" s="1">
        <v>0.005</v>
      </c>
      <c r="AA3" s="1">
        <v>0</v>
      </c>
      <c r="AB3" s="1">
        <v>0</v>
      </c>
      <c r="AC3" s="1">
        <v>1</v>
      </c>
      <c r="AD3" s="1">
        <v>0.02</v>
      </c>
      <c r="AE3" s="1">
        <v>0</v>
      </c>
      <c r="AF3" s="1">
        <v>4960</v>
      </c>
      <c r="AG3" s="1">
        <v>0</v>
      </c>
      <c r="AH3" s="1" t="s">
        <v>56</v>
      </c>
      <c r="AI3" s="1">
        <v>0.02</v>
      </c>
      <c r="AJ3" s="1">
        <v>0</v>
      </c>
      <c r="AK3" s="1">
        <v>246</v>
      </c>
      <c r="AL3" s="1">
        <v>798</v>
      </c>
      <c r="AM3" s="1">
        <v>60</v>
      </c>
      <c r="AN3" s="1">
        <v>0.008</v>
      </c>
      <c r="AO3" s="1">
        <v>55</v>
      </c>
      <c r="AP3" s="1">
        <v>6896</v>
      </c>
      <c r="AQ3" s="1">
        <v>0</v>
      </c>
      <c r="AR3" s="1">
        <v>0.008</v>
      </c>
      <c r="AS3" s="1">
        <v>0</v>
      </c>
      <c r="AT3" s="1">
        <v>0</v>
      </c>
      <c r="AU3" s="1">
        <v>1</v>
      </c>
      <c r="AV3" s="1">
        <v>0.03</v>
      </c>
      <c r="AW3" s="1">
        <v>0</v>
      </c>
      <c r="AX3" s="1">
        <v>4960</v>
      </c>
      <c r="AY3" s="1">
        <v>0</v>
      </c>
      <c r="AZ3" s="1" t="s">
        <v>56</v>
      </c>
      <c r="BA3" s="1">
        <v>0.03</v>
      </c>
      <c r="BB3" s="1">
        <v>0</v>
      </c>
      <c r="BC3" s="1">
        <v>1366</v>
      </c>
      <c r="BD3" s="1">
        <v>470</v>
      </c>
      <c r="BE3" s="1">
        <v>21</v>
      </c>
      <c r="BF3" s="1">
        <v>0.007</v>
      </c>
      <c r="BG3" s="1">
        <v>15</v>
      </c>
      <c r="BH3" s="1">
        <v>3466</v>
      </c>
      <c r="BI3" s="1">
        <v>0</v>
      </c>
      <c r="BJ3" s="1">
        <v>0.007</v>
      </c>
      <c r="BK3" s="1">
        <v>0</v>
      </c>
      <c r="BL3" s="1">
        <v>0</v>
      </c>
      <c r="BM3" s="1">
        <v>1</v>
      </c>
      <c r="BN3" s="1">
        <v>0.05</v>
      </c>
      <c r="BO3" s="1">
        <v>0</v>
      </c>
      <c r="BP3" s="1">
        <v>3476</v>
      </c>
      <c r="BQ3" s="1">
        <v>0</v>
      </c>
      <c r="BR3" s="1" t="s">
        <v>56</v>
      </c>
      <c r="BS3" s="1">
        <v>0.05</v>
      </c>
      <c r="BT3" s="1">
        <v>0</v>
      </c>
      <c r="BU3" s="1">
        <v>230</v>
      </c>
      <c r="BV3" s="1">
        <v>472</v>
      </c>
      <c r="BW3" s="1">
        <v>10</v>
      </c>
      <c r="BX3" s="1">
        <v>0.004</v>
      </c>
      <c r="BY3" s="1">
        <v>0</v>
      </c>
      <c r="BZ3" s="1">
        <v>3466</v>
      </c>
      <c r="CA3" s="1">
        <v>0</v>
      </c>
      <c r="CB3" s="1">
        <v>0.004</v>
      </c>
      <c r="CC3" s="1">
        <v>0</v>
      </c>
      <c r="CD3" s="1">
        <v>0</v>
      </c>
      <c r="CE3" s="1">
        <v>1</v>
      </c>
      <c r="CF3" s="1">
        <v>0.02</v>
      </c>
      <c r="CG3" s="1">
        <v>0</v>
      </c>
      <c r="CH3" s="1">
        <v>3478</v>
      </c>
      <c r="CI3" s="1">
        <v>0</v>
      </c>
      <c r="CJ3" s="1" t="s">
        <v>56</v>
      </c>
      <c r="CK3" s="1">
        <v>0.02</v>
      </c>
      <c r="CL3" s="1">
        <v>0</v>
      </c>
      <c r="CM3" s="1">
        <v>230</v>
      </c>
      <c r="CN3" s="1">
        <v>1920</v>
      </c>
      <c r="CO3" s="1">
        <v>60</v>
      </c>
      <c r="CP3" s="1">
        <v>0.011</v>
      </c>
      <c r="CQ3" s="1">
        <v>55</v>
      </c>
      <c r="CR3" s="1">
        <v>6876</v>
      </c>
      <c r="CS3" s="1">
        <v>0</v>
      </c>
      <c r="CT3" s="1">
        <v>0.011</v>
      </c>
      <c r="CU3" s="1">
        <v>0</v>
      </c>
      <c r="CV3" s="1">
        <v>0</v>
      </c>
      <c r="CW3" s="1">
        <v>1</v>
      </c>
      <c r="CX3" s="1">
        <v>0.04</v>
      </c>
      <c r="CY3" s="1">
        <v>0</v>
      </c>
      <c r="CZ3" s="1">
        <v>4962</v>
      </c>
      <c r="DA3" s="1">
        <v>0</v>
      </c>
      <c r="DB3" s="1" t="s">
        <v>56</v>
      </c>
      <c r="DC3" s="1">
        <v>0.04</v>
      </c>
      <c r="DD3" s="1">
        <v>0</v>
      </c>
      <c r="DE3" s="1">
        <v>1356</v>
      </c>
      <c r="DF3" s="1">
        <v>35</v>
      </c>
      <c r="DG3" s="1">
        <v>8</v>
      </c>
      <c r="DH3" s="1">
        <v>0.001</v>
      </c>
      <c r="DI3" s="1">
        <v>0</v>
      </c>
      <c r="DJ3" s="1">
        <v>2</v>
      </c>
      <c r="DK3" s="1">
        <v>0</v>
      </c>
      <c r="DL3" s="1">
        <v>0.001</v>
      </c>
      <c r="DM3" s="1">
        <v>0</v>
      </c>
      <c r="DN3" s="1">
        <v>0</v>
      </c>
      <c r="DO3" s="1">
        <v>1</v>
      </c>
      <c r="DP3" s="1">
        <v>0.03</v>
      </c>
      <c r="DQ3" s="1">
        <v>0</v>
      </c>
      <c r="DR3" s="1">
        <v>36</v>
      </c>
      <c r="DS3" s="1">
        <v>0</v>
      </c>
      <c r="DT3" s="1" t="s">
        <v>56</v>
      </c>
      <c r="DU3" s="1">
        <v>0.03</v>
      </c>
      <c r="DV3" s="1">
        <v>0</v>
      </c>
      <c r="DW3" s="1">
        <v>11</v>
      </c>
      <c r="DX3" s="1">
        <v>472</v>
      </c>
      <c r="DY3" s="1">
        <v>21</v>
      </c>
      <c r="DZ3" s="1">
        <v>0.005</v>
      </c>
      <c r="EA3" s="1">
        <v>15</v>
      </c>
      <c r="EB3" s="1">
        <v>3466</v>
      </c>
      <c r="EC3" s="1">
        <v>0</v>
      </c>
      <c r="ED3" s="1">
        <v>0.005</v>
      </c>
      <c r="EE3" s="1">
        <v>0</v>
      </c>
      <c r="EF3" s="1">
        <v>0</v>
      </c>
      <c r="EG3" s="1">
        <v>1</v>
      </c>
      <c r="EH3" s="1">
        <v>0.03</v>
      </c>
      <c r="EI3" s="1">
        <v>0</v>
      </c>
      <c r="EJ3" s="1">
        <v>3478</v>
      </c>
      <c r="EK3" s="1">
        <v>0</v>
      </c>
      <c r="EL3" s="1" t="s">
        <v>56</v>
      </c>
      <c r="EM3" s="1">
        <v>0.03</v>
      </c>
      <c r="EN3" s="1">
        <v>0</v>
      </c>
      <c r="EO3" s="1">
        <v>230</v>
      </c>
      <c r="EP3" s="1">
        <v>636</v>
      </c>
      <c r="EQ3" s="1">
        <v>10</v>
      </c>
      <c r="ER3" s="1">
        <v>0.023</v>
      </c>
      <c r="ES3" s="1">
        <v>0</v>
      </c>
      <c r="ET3" s="1">
        <v>3508</v>
      </c>
      <c r="EU3" s="1">
        <v>0</v>
      </c>
      <c r="EV3" s="1">
        <v>0.023</v>
      </c>
      <c r="EW3" s="1">
        <v>9</v>
      </c>
      <c r="EX3" s="1">
        <v>0</v>
      </c>
      <c r="EY3" s="1">
        <v>1</v>
      </c>
      <c r="EZ3" s="1">
        <v>0.14</v>
      </c>
      <c r="FA3" s="1">
        <v>0</v>
      </c>
      <c r="FB3" s="1">
        <v>4780</v>
      </c>
      <c r="FC3" s="1">
        <v>0</v>
      </c>
      <c r="FD3" s="1" t="s">
        <v>56</v>
      </c>
      <c r="FE3" s="1">
        <v>0.14</v>
      </c>
      <c r="FF3" s="1">
        <v>0</v>
      </c>
      <c r="FG3" s="1">
        <v>242</v>
      </c>
      <c r="FH3" s="1">
        <v>798</v>
      </c>
      <c r="FI3" s="1">
        <v>52</v>
      </c>
      <c r="FJ3" s="1">
        <v>0.007</v>
      </c>
      <c r="FK3" s="1">
        <v>46</v>
      </c>
      <c r="FL3" s="1">
        <v>3536</v>
      </c>
      <c r="FM3" s="1">
        <v>0</v>
      </c>
      <c r="FN3" s="1">
        <v>0.007</v>
      </c>
      <c r="FO3" s="1">
        <v>0</v>
      </c>
      <c r="FP3" s="1">
        <v>0</v>
      </c>
      <c r="FQ3" s="1">
        <v>1</v>
      </c>
      <c r="FR3" s="1">
        <v>0.03</v>
      </c>
      <c r="FS3" s="1">
        <v>0</v>
      </c>
      <c r="FT3" s="1">
        <v>4960</v>
      </c>
      <c r="FU3" s="1">
        <v>0</v>
      </c>
      <c r="FV3" s="1" t="s">
        <v>56</v>
      </c>
      <c r="FW3" s="1">
        <v>0.03</v>
      </c>
      <c r="FX3" s="1">
        <v>0</v>
      </c>
      <c r="FY3" s="1">
        <v>246</v>
      </c>
      <c r="FZ3" s="1">
        <v>798</v>
      </c>
      <c r="GA3" s="1">
        <v>60</v>
      </c>
      <c r="GB3" s="1">
        <v>0.008999999999999999</v>
      </c>
      <c r="GC3" s="1">
        <v>55</v>
      </c>
      <c r="GD3" s="1">
        <v>6896</v>
      </c>
      <c r="GE3" s="1">
        <v>0</v>
      </c>
      <c r="GF3" s="1">
        <v>0.008999999999999999</v>
      </c>
      <c r="GG3" s="1">
        <v>0</v>
      </c>
      <c r="GH3" s="1">
        <v>0</v>
      </c>
      <c r="GI3" s="1">
        <v>1</v>
      </c>
      <c r="GJ3" s="1">
        <v>0.03</v>
      </c>
      <c r="GK3" s="1">
        <v>0</v>
      </c>
      <c r="GL3" s="1">
        <v>4960</v>
      </c>
      <c r="GM3" s="1">
        <v>0</v>
      </c>
      <c r="GN3" s="1" t="s">
        <v>56</v>
      </c>
      <c r="GO3" s="1">
        <v>0.03</v>
      </c>
      <c r="GP3" s="1">
        <v>0</v>
      </c>
      <c r="GQ3" s="1">
        <v>1366</v>
      </c>
      <c r="GR3" s="1">
        <v>470</v>
      </c>
      <c r="GS3" s="1">
        <v>21</v>
      </c>
      <c r="GT3" s="1">
        <v>0.004</v>
      </c>
      <c r="GU3" s="1">
        <v>15</v>
      </c>
      <c r="GV3" s="1">
        <v>3466</v>
      </c>
      <c r="GW3" s="1">
        <v>0</v>
      </c>
      <c r="GX3" s="1">
        <v>0.004</v>
      </c>
      <c r="GY3" s="1">
        <v>0</v>
      </c>
      <c r="GZ3" s="1">
        <v>0</v>
      </c>
      <c r="HA3" s="1">
        <v>1</v>
      </c>
      <c r="HB3" s="1">
        <v>0.02</v>
      </c>
      <c r="HC3" s="1">
        <v>0</v>
      </c>
      <c r="HD3" s="1">
        <v>3476</v>
      </c>
      <c r="HE3" s="1">
        <v>0</v>
      </c>
      <c r="HF3" s="1" t="s">
        <v>56</v>
      </c>
      <c r="HG3" s="1">
        <v>0.02</v>
      </c>
      <c r="HH3" s="1">
        <v>0</v>
      </c>
      <c r="HI3" s="1">
        <v>230</v>
      </c>
      <c r="HJ3" s="1">
        <v>473</v>
      </c>
      <c r="HK3" s="1">
        <v>10</v>
      </c>
      <c r="HL3" s="1">
        <v>0.039</v>
      </c>
      <c r="HM3" s="1">
        <v>0</v>
      </c>
      <c r="HN3" s="1">
        <v>3466</v>
      </c>
      <c r="HO3" s="1">
        <v>0</v>
      </c>
      <c r="HP3" s="1">
        <v>0.039</v>
      </c>
      <c r="HQ3" s="1">
        <v>0</v>
      </c>
      <c r="HR3" s="1">
        <v>0</v>
      </c>
      <c r="HS3" s="1">
        <v>1</v>
      </c>
      <c r="HT3" s="1">
        <v>0.07000000000000001</v>
      </c>
      <c r="HU3" s="1">
        <v>0</v>
      </c>
      <c r="HV3" s="1">
        <v>3479</v>
      </c>
      <c r="HW3" s="1">
        <v>0</v>
      </c>
      <c r="HX3" s="1" t="s">
        <v>56</v>
      </c>
      <c r="HY3" s="1">
        <v>0.07000000000000001</v>
      </c>
      <c r="HZ3" s="1">
        <v>0</v>
      </c>
      <c r="IA3" s="1">
        <v>230</v>
      </c>
      <c r="IB3" s="1">
        <v>1921</v>
      </c>
      <c r="IC3" s="1">
        <v>60</v>
      </c>
      <c r="ID3" s="1">
        <v>0.119</v>
      </c>
      <c r="IE3" s="1">
        <v>55</v>
      </c>
      <c r="IF3" s="1">
        <v>6876</v>
      </c>
      <c r="IG3" s="1">
        <v>0</v>
      </c>
      <c r="IH3" s="1">
        <v>0.059</v>
      </c>
      <c r="II3" s="1">
        <v>15</v>
      </c>
      <c r="IJ3" s="1">
        <v>0</v>
      </c>
      <c r="IK3" s="1">
        <v>1</v>
      </c>
      <c r="IL3" s="1">
        <v>0.14</v>
      </c>
      <c r="IM3" s="1">
        <v>0</v>
      </c>
      <c r="IN3" s="1">
        <v>4963</v>
      </c>
      <c r="IO3" s="1">
        <v>0.06</v>
      </c>
      <c r="IP3" s="1" t="s">
        <v>56</v>
      </c>
      <c r="IQ3" s="1">
        <v>0.14</v>
      </c>
      <c r="IR3" s="1">
        <v>0</v>
      </c>
      <c r="IS3" s="1">
        <v>1356</v>
      </c>
      <c r="IT3" s="1">
        <v>36</v>
      </c>
      <c r="IU3" s="1">
        <v>8</v>
      </c>
      <c r="IV3" s="1">
        <v>0.023</v>
      </c>
      <c r="IW3" s="1">
        <v>0</v>
      </c>
      <c r="IX3" s="1">
        <v>2</v>
      </c>
      <c r="IY3" s="1">
        <v>0</v>
      </c>
      <c r="IZ3" s="1">
        <v>0.023</v>
      </c>
      <c r="JA3" s="1">
        <v>0</v>
      </c>
      <c r="JB3" s="1">
        <v>0</v>
      </c>
      <c r="JC3" s="1">
        <v>1</v>
      </c>
      <c r="JD3" s="1">
        <v>0.04</v>
      </c>
      <c r="JE3" s="1">
        <v>0</v>
      </c>
      <c r="JF3" s="1">
        <v>37</v>
      </c>
      <c r="JG3" s="1">
        <v>0</v>
      </c>
      <c r="JH3" s="1" t="s">
        <v>56</v>
      </c>
      <c r="JI3" s="1">
        <v>0.04</v>
      </c>
      <c r="JJ3" s="1">
        <v>0</v>
      </c>
      <c r="JK3" s="1">
        <v>11</v>
      </c>
      <c r="JL3" s="1">
        <v>473</v>
      </c>
      <c r="JM3" s="1">
        <v>21</v>
      </c>
      <c r="JN3" s="1">
        <v>0.033</v>
      </c>
      <c r="JO3" s="1">
        <v>15</v>
      </c>
      <c r="JP3" s="1">
        <v>3466</v>
      </c>
      <c r="JQ3" s="1">
        <v>0</v>
      </c>
      <c r="JR3" s="1">
        <v>0.033</v>
      </c>
      <c r="JS3" s="1">
        <v>0</v>
      </c>
      <c r="JT3" s="1">
        <v>0</v>
      </c>
      <c r="JU3" s="1">
        <v>1</v>
      </c>
      <c r="JV3" s="1">
        <v>0.06</v>
      </c>
      <c r="JW3" s="1">
        <v>0</v>
      </c>
      <c r="JX3" s="1">
        <v>3479</v>
      </c>
      <c r="JY3" s="1">
        <v>0</v>
      </c>
      <c r="JZ3" s="1" t="s">
        <v>56</v>
      </c>
      <c r="KA3" s="1">
        <v>0.06</v>
      </c>
      <c r="KB3" s="1">
        <v>0</v>
      </c>
      <c r="KC3" s="1">
        <v>230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>
        <v>2371</v>
      </c>
      <c r="C4" s="1">
        <v>20</v>
      </c>
      <c r="D4" s="1">
        <v>0.065</v>
      </c>
      <c r="E4" s="1">
        <v>0</v>
      </c>
      <c r="F4" s="1">
        <v>45768</v>
      </c>
      <c r="G4" s="1">
        <v>0</v>
      </c>
      <c r="H4" s="1">
        <v>0.065</v>
      </c>
      <c r="I4" s="1">
        <v>0</v>
      </c>
      <c r="J4" s="1">
        <v>0</v>
      </c>
      <c r="K4" s="1">
        <v>1</v>
      </c>
      <c r="L4" s="1">
        <v>0.09</v>
      </c>
      <c r="M4" s="1">
        <v>0</v>
      </c>
      <c r="N4" s="1">
        <v>54815</v>
      </c>
      <c r="O4" s="1">
        <v>0</v>
      </c>
      <c r="P4" s="1" t="s">
        <v>56</v>
      </c>
      <c r="Q4" s="1">
        <v>0.09</v>
      </c>
      <c r="R4" s="1">
        <v>0</v>
      </c>
      <c r="S4" s="1">
        <v>882</v>
      </c>
      <c r="T4" s="1">
        <v>2998</v>
      </c>
      <c r="U4" s="1">
        <v>606</v>
      </c>
      <c r="V4" s="1">
        <v>0.058</v>
      </c>
      <c r="W4" s="1">
        <v>524</v>
      </c>
      <c r="X4" s="1">
        <v>45816</v>
      </c>
      <c r="Y4" s="1">
        <v>0</v>
      </c>
      <c r="Z4" s="1">
        <v>0.048</v>
      </c>
      <c r="AA4" s="1">
        <v>0</v>
      </c>
      <c r="AB4" s="1">
        <v>0</v>
      </c>
      <c r="AC4" s="1">
        <v>1</v>
      </c>
      <c r="AD4" s="1">
        <v>0.07000000000000001</v>
      </c>
      <c r="AE4" s="1">
        <v>5</v>
      </c>
      <c r="AF4" s="1">
        <v>55480</v>
      </c>
      <c r="AG4" s="1">
        <v>0.01</v>
      </c>
      <c r="AH4" s="1" t="s">
        <v>56</v>
      </c>
      <c r="AI4" s="1">
        <v>0.07000000000000001</v>
      </c>
      <c r="AJ4" s="1">
        <v>0</v>
      </c>
      <c r="AK4" s="1">
        <v>886</v>
      </c>
      <c r="AL4" s="1">
        <v>2998</v>
      </c>
      <c r="AM4" s="1">
        <v>578</v>
      </c>
      <c r="AN4" s="1">
        <v>0.091</v>
      </c>
      <c r="AO4" s="1">
        <v>498</v>
      </c>
      <c r="AP4" s="1">
        <v>71136</v>
      </c>
      <c r="AQ4" s="1">
        <v>0</v>
      </c>
      <c r="AR4" s="1">
        <v>0.081</v>
      </c>
      <c r="AS4" s="1">
        <v>18</v>
      </c>
      <c r="AT4" s="1">
        <v>0</v>
      </c>
      <c r="AU4" s="1">
        <v>1</v>
      </c>
      <c r="AV4" s="1">
        <v>0.12</v>
      </c>
      <c r="AW4" s="1">
        <v>5</v>
      </c>
      <c r="AX4" s="1">
        <v>55480</v>
      </c>
      <c r="AY4" s="1">
        <v>0.01</v>
      </c>
      <c r="AZ4" s="1" t="s">
        <v>56</v>
      </c>
      <c r="BA4" s="1">
        <v>0.12</v>
      </c>
      <c r="BB4" s="1">
        <v>0</v>
      </c>
      <c r="BC4" s="1">
        <v>9326</v>
      </c>
      <c r="BD4" s="1">
        <v>1740</v>
      </c>
      <c r="BE4" s="1">
        <v>1510</v>
      </c>
      <c r="BF4" s="1">
        <v>0.08699999999999999</v>
      </c>
      <c r="BG4" s="1">
        <v>1338</v>
      </c>
      <c r="BH4" s="1">
        <v>45686</v>
      </c>
      <c r="BI4" s="1">
        <v>0</v>
      </c>
      <c r="BJ4" s="1">
        <v>0.06699999999999999</v>
      </c>
      <c r="BK4" s="1">
        <v>14</v>
      </c>
      <c r="BL4" s="1">
        <v>0</v>
      </c>
      <c r="BM4" s="1">
        <v>1</v>
      </c>
      <c r="BN4" s="1">
        <v>0.29</v>
      </c>
      <c r="BO4" s="1">
        <v>12</v>
      </c>
      <c r="BP4" s="1">
        <v>45706</v>
      </c>
      <c r="BQ4" s="1">
        <v>0.02</v>
      </c>
      <c r="BR4" s="1" t="s">
        <v>56</v>
      </c>
      <c r="BS4" s="1">
        <v>0.29</v>
      </c>
      <c r="BT4" s="1">
        <v>0</v>
      </c>
      <c r="BU4" s="1">
        <v>860</v>
      </c>
      <c r="BV4" s="1">
        <v>1742</v>
      </c>
      <c r="BW4" s="1">
        <v>20</v>
      </c>
      <c r="BX4" s="1">
        <v>0.044</v>
      </c>
      <c r="BY4" s="1">
        <v>0</v>
      </c>
      <c r="BZ4" s="1">
        <v>45686</v>
      </c>
      <c r="CA4" s="1">
        <v>0</v>
      </c>
      <c r="CB4" s="1">
        <v>0.044</v>
      </c>
      <c r="CC4" s="1">
        <v>0</v>
      </c>
      <c r="CD4" s="1">
        <v>0</v>
      </c>
      <c r="CE4" s="1">
        <v>1</v>
      </c>
      <c r="CF4" s="1">
        <v>0.06</v>
      </c>
      <c r="CG4" s="1">
        <v>0</v>
      </c>
      <c r="CH4" s="1">
        <v>45708</v>
      </c>
      <c r="CI4" s="1">
        <v>0</v>
      </c>
      <c r="CJ4" s="1" t="s">
        <v>56</v>
      </c>
      <c r="CK4" s="1">
        <v>0.06</v>
      </c>
      <c r="CL4" s="1">
        <v>0</v>
      </c>
      <c r="CM4" s="1">
        <v>860</v>
      </c>
      <c r="CN4" s="1">
        <v>11440</v>
      </c>
      <c r="CO4" s="1">
        <v>573</v>
      </c>
      <c r="CP4" s="1">
        <v>0.21</v>
      </c>
      <c r="CQ4" s="1">
        <v>492</v>
      </c>
      <c r="CR4" s="1">
        <v>71096</v>
      </c>
      <c r="CS4" s="1">
        <v>0</v>
      </c>
      <c r="CT4" s="1">
        <v>0.09</v>
      </c>
      <c r="CU4" s="1">
        <v>25</v>
      </c>
      <c r="CV4" s="1">
        <v>0</v>
      </c>
      <c r="CW4" s="1">
        <v>1</v>
      </c>
      <c r="CX4" s="1">
        <v>0.24</v>
      </c>
      <c r="CY4" s="1">
        <v>5</v>
      </c>
      <c r="CZ4" s="1">
        <v>55482</v>
      </c>
      <c r="DA4" s="1">
        <v>0.12</v>
      </c>
      <c r="DB4" s="1" t="s">
        <v>56</v>
      </c>
      <c r="DC4" s="1">
        <v>0.24</v>
      </c>
      <c r="DD4" s="1">
        <v>0</v>
      </c>
      <c r="DE4" s="1">
        <v>9306</v>
      </c>
      <c r="DF4" s="1">
        <v>65</v>
      </c>
      <c r="DG4" s="1">
        <v>17</v>
      </c>
      <c r="DH4" s="1">
        <v>0.002</v>
      </c>
      <c r="DI4" s="1">
        <v>0</v>
      </c>
      <c r="DJ4" s="1">
        <v>2</v>
      </c>
      <c r="DK4" s="1">
        <v>0</v>
      </c>
      <c r="DL4" s="1">
        <v>0.002</v>
      </c>
      <c r="DM4" s="1">
        <v>0</v>
      </c>
      <c r="DN4" s="1">
        <v>0</v>
      </c>
      <c r="DO4" s="1">
        <v>1</v>
      </c>
      <c r="DP4" s="1">
        <v>0.03</v>
      </c>
      <c r="DQ4" s="1">
        <v>0</v>
      </c>
      <c r="DR4" s="1">
        <v>66</v>
      </c>
      <c r="DS4" s="1">
        <v>0</v>
      </c>
      <c r="DT4" s="1" t="s">
        <v>56</v>
      </c>
      <c r="DU4" s="1">
        <v>0.03</v>
      </c>
      <c r="DV4" s="1">
        <v>0</v>
      </c>
      <c r="DW4" s="1">
        <v>21</v>
      </c>
      <c r="DX4" s="1">
        <v>1742</v>
      </c>
      <c r="DY4" s="1">
        <v>1510</v>
      </c>
      <c r="DZ4" s="1">
        <v>0.075</v>
      </c>
      <c r="EA4" s="1">
        <v>1338</v>
      </c>
      <c r="EB4" s="1">
        <v>45686</v>
      </c>
      <c r="EC4" s="1">
        <v>0</v>
      </c>
      <c r="ED4" s="1">
        <v>0.05499999999999999</v>
      </c>
      <c r="EE4" s="1">
        <v>0</v>
      </c>
      <c r="EF4" s="1">
        <v>0</v>
      </c>
      <c r="EG4" s="1">
        <v>1</v>
      </c>
      <c r="EH4" s="1">
        <v>0.1</v>
      </c>
      <c r="EI4" s="1">
        <v>12</v>
      </c>
      <c r="EJ4" s="1">
        <v>45708</v>
      </c>
      <c r="EK4" s="1">
        <v>0.02</v>
      </c>
      <c r="EL4" s="1" t="s">
        <v>56</v>
      </c>
      <c r="EM4" s="1">
        <v>0.1</v>
      </c>
      <c r="EN4" s="1">
        <v>0</v>
      </c>
      <c r="EO4" s="1">
        <v>860</v>
      </c>
      <c r="EP4" s="1">
        <v>2371</v>
      </c>
      <c r="EQ4" s="1">
        <v>20</v>
      </c>
      <c r="ER4" s="1">
        <v>0.07000000000000001</v>
      </c>
      <c r="ES4" s="1">
        <v>0</v>
      </c>
      <c r="ET4" s="1">
        <v>45768</v>
      </c>
      <c r="EU4" s="1">
        <v>0</v>
      </c>
      <c r="EV4" s="1">
        <v>0.07000000000000001</v>
      </c>
      <c r="EW4" s="1">
        <v>0</v>
      </c>
      <c r="EX4" s="1">
        <v>0</v>
      </c>
      <c r="EY4" s="1">
        <v>1</v>
      </c>
      <c r="EZ4" s="1">
        <v>0.1</v>
      </c>
      <c r="FA4" s="1">
        <v>0</v>
      </c>
      <c r="FB4" s="1">
        <v>54815</v>
      </c>
      <c r="FC4" s="1">
        <v>0</v>
      </c>
      <c r="FD4" s="1" t="s">
        <v>56</v>
      </c>
      <c r="FE4" s="1">
        <v>0.1</v>
      </c>
      <c r="FF4" s="1">
        <v>0</v>
      </c>
      <c r="FG4" s="1">
        <v>882</v>
      </c>
      <c r="FH4" s="1">
        <v>2998</v>
      </c>
      <c r="FI4" s="1">
        <v>606</v>
      </c>
      <c r="FJ4" s="1">
        <v>0.067</v>
      </c>
      <c r="FK4" s="1">
        <v>524</v>
      </c>
      <c r="FL4" s="1">
        <v>45816</v>
      </c>
      <c r="FM4" s="1">
        <v>0</v>
      </c>
      <c r="FN4" s="1">
        <v>0.057</v>
      </c>
      <c r="FO4" s="1">
        <v>0</v>
      </c>
      <c r="FP4" s="1">
        <v>0</v>
      </c>
      <c r="FQ4" s="1">
        <v>1</v>
      </c>
      <c r="FR4" s="1">
        <v>0.09</v>
      </c>
      <c r="FS4" s="1">
        <v>5</v>
      </c>
      <c r="FT4" s="1">
        <v>55480</v>
      </c>
      <c r="FU4" s="1">
        <v>0.01</v>
      </c>
      <c r="FV4" s="1" t="s">
        <v>56</v>
      </c>
      <c r="FW4" s="1">
        <v>0.09</v>
      </c>
      <c r="FX4" s="1">
        <v>0</v>
      </c>
      <c r="FY4" s="1">
        <v>886</v>
      </c>
      <c r="FZ4" s="1">
        <v>2998</v>
      </c>
      <c r="GA4" s="1">
        <v>578</v>
      </c>
      <c r="GB4" s="1">
        <v>0.082</v>
      </c>
      <c r="GC4" s="1">
        <v>498</v>
      </c>
      <c r="GD4" s="1">
        <v>71136</v>
      </c>
      <c r="GE4" s="1">
        <v>0</v>
      </c>
      <c r="GF4" s="1">
        <v>0.07200000000000001</v>
      </c>
      <c r="GG4" s="1">
        <v>0</v>
      </c>
      <c r="GH4" s="1">
        <v>0</v>
      </c>
      <c r="GI4" s="1">
        <v>1</v>
      </c>
      <c r="GJ4" s="1">
        <v>0.11</v>
      </c>
      <c r="GK4" s="1">
        <v>5</v>
      </c>
      <c r="GL4" s="1">
        <v>55480</v>
      </c>
      <c r="GM4" s="1">
        <v>0.01</v>
      </c>
      <c r="GN4" s="1" t="s">
        <v>56</v>
      </c>
      <c r="GO4" s="1">
        <v>0.11</v>
      </c>
      <c r="GP4" s="1">
        <v>0</v>
      </c>
      <c r="GQ4" s="1">
        <v>9326</v>
      </c>
      <c r="GR4" s="1">
        <v>1740</v>
      </c>
      <c r="GS4" s="1">
        <v>1510</v>
      </c>
      <c r="GT4" s="1">
        <v>0.07000000000000001</v>
      </c>
      <c r="GU4" s="1">
        <v>1338</v>
      </c>
      <c r="GV4" s="1">
        <v>45686</v>
      </c>
      <c r="GW4" s="1">
        <v>0</v>
      </c>
      <c r="GX4" s="1">
        <v>0.06</v>
      </c>
      <c r="GY4" s="1">
        <v>15</v>
      </c>
      <c r="GZ4" s="1">
        <v>0</v>
      </c>
      <c r="HA4" s="1">
        <v>1</v>
      </c>
      <c r="HB4" s="1">
        <v>0.12</v>
      </c>
      <c r="HC4" s="1">
        <v>12</v>
      </c>
      <c r="HD4" s="1">
        <v>45706</v>
      </c>
      <c r="HE4" s="1">
        <v>0.01</v>
      </c>
      <c r="HF4" s="1" t="s">
        <v>56</v>
      </c>
      <c r="HG4" s="1">
        <v>0.12</v>
      </c>
      <c r="HH4" s="1">
        <v>0</v>
      </c>
      <c r="HI4" s="1">
        <v>860</v>
      </c>
      <c r="HJ4" s="1">
        <v>1743</v>
      </c>
      <c r="HK4" s="1">
        <v>20</v>
      </c>
      <c r="HL4" s="1">
        <v>0.106</v>
      </c>
      <c r="HM4" s="1">
        <v>0</v>
      </c>
      <c r="HN4" s="1">
        <v>45686</v>
      </c>
      <c r="HO4" s="1">
        <v>0</v>
      </c>
      <c r="HP4" s="1">
        <v>0.106</v>
      </c>
      <c r="HQ4" s="1">
        <v>19</v>
      </c>
      <c r="HR4" s="1">
        <v>0</v>
      </c>
      <c r="HS4" s="1">
        <v>1</v>
      </c>
      <c r="HT4" s="1">
        <v>0.24</v>
      </c>
      <c r="HU4" s="1">
        <v>0</v>
      </c>
      <c r="HV4" s="1">
        <v>45709</v>
      </c>
      <c r="HW4" s="1">
        <v>0</v>
      </c>
      <c r="HX4" s="1" t="s">
        <v>56</v>
      </c>
      <c r="HY4" s="1">
        <v>0.24</v>
      </c>
      <c r="HZ4" s="1">
        <v>0</v>
      </c>
      <c r="IA4" s="1">
        <v>860</v>
      </c>
      <c r="IB4" s="1">
        <v>11441</v>
      </c>
      <c r="IC4" s="1">
        <v>573</v>
      </c>
      <c r="ID4" s="1">
        <v>3.303</v>
      </c>
      <c r="IE4" s="1">
        <v>492</v>
      </c>
      <c r="IF4" s="1">
        <v>71096</v>
      </c>
      <c r="IG4" s="1">
        <v>0</v>
      </c>
      <c r="IH4" s="1">
        <v>0.4529999999999998</v>
      </c>
      <c r="II4" s="1">
        <v>29</v>
      </c>
      <c r="IJ4" s="1">
        <v>0</v>
      </c>
      <c r="IK4" s="1">
        <v>1</v>
      </c>
      <c r="IL4" s="1">
        <v>3.33</v>
      </c>
      <c r="IM4" s="1">
        <v>5</v>
      </c>
      <c r="IN4" s="1">
        <v>55483</v>
      </c>
      <c r="IO4" s="1">
        <v>2.85</v>
      </c>
      <c r="IP4" s="1" t="s">
        <v>56</v>
      </c>
      <c r="IQ4" s="1">
        <v>3.33</v>
      </c>
      <c r="IR4" s="1">
        <v>0</v>
      </c>
      <c r="IS4" s="1">
        <v>9306</v>
      </c>
      <c r="IT4" s="1">
        <v>66</v>
      </c>
      <c r="IU4" s="1">
        <v>17</v>
      </c>
      <c r="IV4" s="1">
        <v>0.025</v>
      </c>
      <c r="IW4" s="1">
        <v>0</v>
      </c>
      <c r="IX4" s="1">
        <v>2</v>
      </c>
      <c r="IY4" s="1">
        <v>0</v>
      </c>
      <c r="IZ4" s="1">
        <v>0.025</v>
      </c>
      <c r="JA4" s="1">
        <v>0</v>
      </c>
      <c r="JB4" s="1">
        <v>0</v>
      </c>
      <c r="JC4" s="1">
        <v>1</v>
      </c>
      <c r="JD4" s="1">
        <v>0.05</v>
      </c>
      <c r="JE4" s="1">
        <v>0</v>
      </c>
      <c r="JF4" s="1">
        <v>67</v>
      </c>
      <c r="JG4" s="1">
        <v>0</v>
      </c>
      <c r="JH4" s="1" t="s">
        <v>56</v>
      </c>
      <c r="JI4" s="1">
        <v>0.05</v>
      </c>
      <c r="JJ4" s="1">
        <v>0</v>
      </c>
      <c r="JK4" s="1">
        <v>21</v>
      </c>
      <c r="JL4" s="1">
        <v>1743</v>
      </c>
      <c r="JM4" s="1">
        <v>1510</v>
      </c>
      <c r="JN4" s="1">
        <v>0.203</v>
      </c>
      <c r="JO4" s="1">
        <v>1338</v>
      </c>
      <c r="JP4" s="1">
        <v>45686</v>
      </c>
      <c r="JQ4" s="1">
        <v>0</v>
      </c>
      <c r="JR4" s="1">
        <v>0.08300000000000002</v>
      </c>
      <c r="JS4" s="1">
        <v>18</v>
      </c>
      <c r="JT4" s="1">
        <v>0</v>
      </c>
      <c r="JU4" s="1">
        <v>1</v>
      </c>
      <c r="JV4" s="1">
        <v>0.23</v>
      </c>
      <c r="JW4" s="1">
        <v>12</v>
      </c>
      <c r="JX4" s="1">
        <v>45709</v>
      </c>
      <c r="JY4" s="1">
        <v>0.12</v>
      </c>
      <c r="JZ4" s="1" t="s">
        <v>56</v>
      </c>
      <c r="KA4" s="1">
        <v>0.23</v>
      </c>
      <c r="KB4" s="1">
        <v>0</v>
      </c>
      <c r="KC4" s="1">
        <v>860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>
        <v>5206</v>
      </c>
      <c r="C5" s="1">
        <v>30</v>
      </c>
      <c r="D5" s="1">
        <v>0.435</v>
      </c>
      <c r="E5" s="1">
        <v>0</v>
      </c>
      <c r="F5" s="1">
        <v>219778</v>
      </c>
      <c r="G5" s="1">
        <v>0</v>
      </c>
      <c r="H5" s="1">
        <v>0.435</v>
      </c>
      <c r="I5" s="1">
        <v>39</v>
      </c>
      <c r="J5" s="1">
        <v>0</v>
      </c>
      <c r="K5" s="1">
        <v>1</v>
      </c>
      <c r="L5" s="1">
        <v>0.46</v>
      </c>
      <c r="M5" s="1">
        <v>0</v>
      </c>
      <c r="N5" s="1">
        <v>249100</v>
      </c>
      <c r="O5" s="1">
        <v>0</v>
      </c>
      <c r="P5" s="1" t="s">
        <v>56</v>
      </c>
      <c r="Q5" s="1">
        <v>0.46</v>
      </c>
      <c r="R5" s="1">
        <v>0</v>
      </c>
      <c r="S5" s="1">
        <v>1922</v>
      </c>
      <c r="T5" s="1">
        <v>6598</v>
      </c>
      <c r="U5" s="1">
        <v>7181</v>
      </c>
      <c r="V5" s="1">
        <v>0.349</v>
      </c>
      <c r="W5" s="1">
        <v>6262</v>
      </c>
      <c r="X5" s="1">
        <v>219846</v>
      </c>
      <c r="Y5" s="1">
        <v>0</v>
      </c>
      <c r="Z5" s="1">
        <v>0.239</v>
      </c>
      <c r="AA5" s="1">
        <v>37</v>
      </c>
      <c r="AB5" s="1">
        <v>0</v>
      </c>
      <c r="AC5" s="1">
        <v>1</v>
      </c>
      <c r="AD5" s="1">
        <v>0.37</v>
      </c>
      <c r="AE5" s="1">
        <v>39</v>
      </c>
      <c r="AF5" s="1">
        <v>250550</v>
      </c>
      <c r="AG5" s="1">
        <v>0.11</v>
      </c>
      <c r="AH5" s="1" t="s">
        <v>56</v>
      </c>
      <c r="AI5" s="1">
        <v>0.37</v>
      </c>
      <c r="AJ5" s="1">
        <v>0</v>
      </c>
      <c r="AK5" s="1">
        <v>1926</v>
      </c>
      <c r="AL5" s="1">
        <v>6598</v>
      </c>
      <c r="AM5" s="1">
        <v>3024</v>
      </c>
      <c r="AN5" s="1">
        <v>0.589</v>
      </c>
      <c r="AO5" s="1">
        <v>2539</v>
      </c>
      <c r="AP5" s="1">
        <v>303726</v>
      </c>
      <c r="AQ5" s="1">
        <v>0</v>
      </c>
      <c r="AR5" s="1">
        <v>0.469</v>
      </c>
      <c r="AS5" s="1">
        <v>47</v>
      </c>
      <c r="AT5" s="1">
        <v>0</v>
      </c>
      <c r="AU5" s="1">
        <v>1</v>
      </c>
      <c r="AV5" s="1">
        <v>0.62</v>
      </c>
      <c r="AW5" s="1">
        <v>20</v>
      </c>
      <c r="AX5" s="1">
        <v>250550</v>
      </c>
      <c r="AY5" s="1">
        <v>0.12</v>
      </c>
      <c r="AZ5" s="1" t="s">
        <v>56</v>
      </c>
      <c r="BA5" s="1">
        <v>0.62</v>
      </c>
      <c r="BB5" s="1">
        <v>0</v>
      </c>
      <c r="BC5" s="1">
        <v>29886</v>
      </c>
      <c r="BD5" s="1">
        <v>3810</v>
      </c>
      <c r="BE5" s="1">
        <v>4708</v>
      </c>
      <c r="BF5" s="1">
        <v>0.496</v>
      </c>
      <c r="BG5" s="1">
        <v>4020</v>
      </c>
      <c r="BH5" s="1">
        <v>219656</v>
      </c>
      <c r="BI5" s="1">
        <v>0</v>
      </c>
      <c r="BJ5" s="1">
        <v>0.386</v>
      </c>
      <c r="BK5" s="1">
        <v>37</v>
      </c>
      <c r="BL5" s="1">
        <v>0</v>
      </c>
      <c r="BM5" s="1">
        <v>1</v>
      </c>
      <c r="BN5" s="1">
        <v>0.52</v>
      </c>
      <c r="BO5" s="1">
        <v>29</v>
      </c>
      <c r="BP5" s="1">
        <v>219686</v>
      </c>
      <c r="BQ5" s="1">
        <v>0.11</v>
      </c>
      <c r="BR5" s="1" t="s">
        <v>56</v>
      </c>
      <c r="BS5" s="1">
        <v>0.52</v>
      </c>
      <c r="BT5" s="1">
        <v>0</v>
      </c>
      <c r="BU5" s="1">
        <v>1890</v>
      </c>
      <c r="BV5" s="1">
        <v>3812</v>
      </c>
      <c r="BW5" s="1">
        <v>30</v>
      </c>
      <c r="BX5" s="1">
        <v>0.215</v>
      </c>
      <c r="BY5" s="1">
        <v>0</v>
      </c>
      <c r="BZ5" s="1">
        <v>219656</v>
      </c>
      <c r="CA5" s="1">
        <v>0</v>
      </c>
      <c r="CB5" s="1">
        <v>0.215</v>
      </c>
      <c r="CC5" s="1">
        <v>37</v>
      </c>
      <c r="CD5" s="1">
        <v>0</v>
      </c>
      <c r="CE5" s="1">
        <v>1</v>
      </c>
      <c r="CF5" s="1">
        <v>0.23</v>
      </c>
      <c r="CG5" s="1">
        <v>0</v>
      </c>
      <c r="CH5" s="1">
        <v>219688</v>
      </c>
      <c r="CI5" s="1">
        <v>0</v>
      </c>
      <c r="CJ5" s="1" t="s">
        <v>56</v>
      </c>
      <c r="CK5" s="1">
        <v>0.23</v>
      </c>
      <c r="CL5" s="1">
        <v>0</v>
      </c>
      <c r="CM5" s="1">
        <v>1890</v>
      </c>
      <c r="CN5" s="1">
        <v>34560</v>
      </c>
      <c r="CO5" s="1">
        <v>8452</v>
      </c>
      <c r="CP5" s="1">
        <v>7.773</v>
      </c>
      <c r="CQ5" s="1">
        <v>7405</v>
      </c>
      <c r="CR5" s="1">
        <v>303666</v>
      </c>
      <c r="CS5" s="1">
        <v>0</v>
      </c>
      <c r="CT5" s="1">
        <v>0.5429999999999993</v>
      </c>
      <c r="CU5" s="1">
        <v>68</v>
      </c>
      <c r="CV5" s="1">
        <v>0</v>
      </c>
      <c r="CW5" s="1">
        <v>1</v>
      </c>
      <c r="CX5" s="1">
        <v>7.83</v>
      </c>
      <c r="CY5" s="1">
        <v>45</v>
      </c>
      <c r="CZ5" s="1">
        <v>250552</v>
      </c>
      <c r="DA5" s="1">
        <v>7.23</v>
      </c>
      <c r="DB5" s="1" t="s">
        <v>56</v>
      </c>
      <c r="DC5" s="1">
        <v>7.83</v>
      </c>
      <c r="DD5" s="1">
        <v>0</v>
      </c>
      <c r="DE5" s="1">
        <v>29856</v>
      </c>
      <c r="DF5" s="1">
        <v>95</v>
      </c>
      <c r="DG5" s="1">
        <v>28</v>
      </c>
      <c r="DH5" s="1">
        <v>0.002</v>
      </c>
      <c r="DI5" s="1">
        <v>0</v>
      </c>
      <c r="DJ5" s="1">
        <v>2</v>
      </c>
      <c r="DK5" s="1">
        <v>0</v>
      </c>
      <c r="DL5" s="1">
        <v>0.002</v>
      </c>
      <c r="DM5" s="1">
        <v>0</v>
      </c>
      <c r="DN5" s="1">
        <v>0</v>
      </c>
      <c r="DO5" s="1">
        <v>1</v>
      </c>
      <c r="DP5" s="1">
        <v>0.04</v>
      </c>
      <c r="DQ5" s="1">
        <v>0</v>
      </c>
      <c r="DR5" s="1">
        <v>96</v>
      </c>
      <c r="DS5" s="1">
        <v>0</v>
      </c>
      <c r="DT5" s="1" t="s">
        <v>56</v>
      </c>
      <c r="DU5" s="1">
        <v>0.04</v>
      </c>
      <c r="DV5" s="1">
        <v>0</v>
      </c>
      <c r="DW5" s="1">
        <v>31</v>
      </c>
      <c r="DX5" s="1">
        <v>3812</v>
      </c>
      <c r="DY5" s="1">
        <v>4708</v>
      </c>
      <c r="DZ5" s="1">
        <v>0.515</v>
      </c>
      <c r="EA5" s="1">
        <v>4020</v>
      </c>
      <c r="EB5" s="1">
        <v>219656</v>
      </c>
      <c r="EC5" s="1">
        <v>0</v>
      </c>
      <c r="ED5" s="1">
        <v>0.375</v>
      </c>
      <c r="EE5" s="1">
        <v>36</v>
      </c>
      <c r="EF5" s="1">
        <v>0</v>
      </c>
      <c r="EG5" s="1">
        <v>1</v>
      </c>
      <c r="EH5" s="1">
        <v>0.54</v>
      </c>
      <c r="EI5" s="1">
        <v>29</v>
      </c>
      <c r="EJ5" s="1">
        <v>219688</v>
      </c>
      <c r="EK5" s="1">
        <v>0.14</v>
      </c>
      <c r="EL5" s="1" t="s">
        <v>56</v>
      </c>
      <c r="EM5" s="1">
        <v>0.54</v>
      </c>
      <c r="EN5" s="1">
        <v>0</v>
      </c>
      <c r="EO5" s="1">
        <v>1890</v>
      </c>
      <c r="EP5" s="1">
        <v>5206</v>
      </c>
      <c r="EQ5" s="1">
        <v>30</v>
      </c>
      <c r="ER5" s="1">
        <v>0.423</v>
      </c>
      <c r="ES5" s="1">
        <v>0</v>
      </c>
      <c r="ET5" s="1">
        <v>219778</v>
      </c>
      <c r="EU5" s="1">
        <v>0</v>
      </c>
      <c r="EV5" s="1">
        <v>0.423</v>
      </c>
      <c r="EW5" s="1">
        <v>41</v>
      </c>
      <c r="EX5" s="1">
        <v>0</v>
      </c>
      <c r="EY5" s="1">
        <v>1</v>
      </c>
      <c r="EZ5" s="1">
        <v>0.45</v>
      </c>
      <c r="FA5" s="1">
        <v>0</v>
      </c>
      <c r="FB5" s="1">
        <v>249100</v>
      </c>
      <c r="FC5" s="1">
        <v>0</v>
      </c>
      <c r="FD5" s="1" t="s">
        <v>56</v>
      </c>
      <c r="FE5" s="1">
        <v>0.45</v>
      </c>
      <c r="FF5" s="1">
        <v>0</v>
      </c>
      <c r="FG5" s="1">
        <v>1922</v>
      </c>
      <c r="FH5" s="1">
        <v>6598</v>
      </c>
      <c r="FI5" s="1">
        <v>7181</v>
      </c>
      <c r="FJ5" s="1">
        <v>0.552</v>
      </c>
      <c r="FK5" s="1">
        <v>6262</v>
      </c>
      <c r="FL5" s="1">
        <v>219846</v>
      </c>
      <c r="FM5" s="1">
        <v>0</v>
      </c>
      <c r="FN5" s="1">
        <v>0.402</v>
      </c>
      <c r="FO5" s="1">
        <v>40</v>
      </c>
      <c r="FP5" s="1">
        <v>0</v>
      </c>
      <c r="FQ5" s="1">
        <v>1</v>
      </c>
      <c r="FR5" s="1">
        <v>0.58</v>
      </c>
      <c r="FS5" s="1">
        <v>39</v>
      </c>
      <c r="FT5" s="1">
        <v>250550</v>
      </c>
      <c r="FU5" s="1">
        <v>0.15</v>
      </c>
      <c r="FV5" s="1" t="s">
        <v>56</v>
      </c>
      <c r="FW5" s="1">
        <v>0.58</v>
      </c>
      <c r="FX5" s="1">
        <v>0</v>
      </c>
      <c r="FY5" s="1">
        <v>1926</v>
      </c>
      <c r="FZ5" s="1">
        <v>6598</v>
      </c>
      <c r="GA5" s="1">
        <v>3024</v>
      </c>
      <c r="GB5" s="1">
        <v>0.606</v>
      </c>
      <c r="GC5" s="1">
        <v>2539</v>
      </c>
      <c r="GD5" s="1">
        <v>303726</v>
      </c>
      <c r="GE5" s="1">
        <v>0</v>
      </c>
      <c r="GF5" s="1">
        <v>0.476</v>
      </c>
      <c r="GG5" s="1">
        <v>48</v>
      </c>
      <c r="GH5" s="1">
        <v>0</v>
      </c>
      <c r="GI5" s="1">
        <v>1</v>
      </c>
      <c r="GJ5" s="1">
        <v>0.64</v>
      </c>
      <c r="GK5" s="1">
        <v>20</v>
      </c>
      <c r="GL5" s="1">
        <v>250550</v>
      </c>
      <c r="GM5" s="1">
        <v>0.13</v>
      </c>
      <c r="GN5" s="1" t="s">
        <v>56</v>
      </c>
      <c r="GO5" s="1">
        <v>0.64</v>
      </c>
      <c r="GP5" s="1">
        <v>0</v>
      </c>
      <c r="GQ5" s="1">
        <v>29886</v>
      </c>
      <c r="GR5" s="1">
        <v>3810</v>
      </c>
      <c r="GS5" s="1">
        <v>4708</v>
      </c>
      <c r="GT5" s="1">
        <v>0.521</v>
      </c>
      <c r="GU5" s="1">
        <v>4020</v>
      </c>
      <c r="GV5" s="1">
        <v>219656</v>
      </c>
      <c r="GW5" s="1">
        <v>0</v>
      </c>
      <c r="GX5" s="1">
        <v>0.421</v>
      </c>
      <c r="GY5" s="1">
        <v>37</v>
      </c>
      <c r="GZ5" s="1">
        <v>0</v>
      </c>
      <c r="HA5" s="1">
        <v>1</v>
      </c>
      <c r="HB5" s="1">
        <v>0.77</v>
      </c>
      <c r="HC5" s="1">
        <v>29</v>
      </c>
      <c r="HD5" s="1">
        <v>219686</v>
      </c>
      <c r="HE5" s="1">
        <v>0.1</v>
      </c>
      <c r="HF5" s="1" t="s">
        <v>56</v>
      </c>
      <c r="HG5" s="1">
        <v>0.77</v>
      </c>
      <c r="HH5" s="1">
        <v>0</v>
      </c>
      <c r="HI5" s="1">
        <v>1890</v>
      </c>
      <c r="HJ5" s="1">
        <v>3813</v>
      </c>
      <c r="HK5" s="1">
        <v>30</v>
      </c>
      <c r="HL5" s="1">
        <v>0.428</v>
      </c>
      <c r="HM5" s="1">
        <v>0</v>
      </c>
      <c r="HN5" s="1">
        <v>219656</v>
      </c>
      <c r="HO5" s="1">
        <v>0</v>
      </c>
      <c r="HP5" s="1">
        <v>0.418</v>
      </c>
      <c r="HQ5" s="1">
        <v>43</v>
      </c>
      <c r="HR5" s="1">
        <v>0</v>
      </c>
      <c r="HS5" s="1">
        <v>1</v>
      </c>
      <c r="HT5" s="1">
        <v>0.45</v>
      </c>
      <c r="HU5" s="1">
        <v>0</v>
      </c>
      <c r="HV5" s="1">
        <v>219689</v>
      </c>
      <c r="HW5" s="1">
        <v>0.01</v>
      </c>
      <c r="HX5" s="1" t="s">
        <v>56</v>
      </c>
      <c r="HY5" s="1">
        <v>0.45</v>
      </c>
      <c r="HZ5" s="1">
        <v>0</v>
      </c>
      <c r="IA5" s="1">
        <v>1890</v>
      </c>
      <c r="IB5" s="1">
        <v>34561</v>
      </c>
      <c r="IC5" s="1">
        <v>6698</v>
      </c>
      <c r="ID5" s="1">
        <v>299.988</v>
      </c>
      <c r="IE5" s="1">
        <v>5882</v>
      </c>
      <c r="IF5" s="1">
        <v>303666</v>
      </c>
      <c r="IG5" s="1">
        <v>0</v>
      </c>
      <c r="IH5" s="1">
        <v>1.387999999999977</v>
      </c>
      <c r="II5" s="1">
        <v>70</v>
      </c>
      <c r="IJ5" s="1">
        <v>0</v>
      </c>
      <c r="IK5" s="1">
        <v>0</v>
      </c>
      <c r="IL5" s="1">
        <v>600</v>
      </c>
      <c r="IM5" s="1">
        <v>35</v>
      </c>
      <c r="IN5" s="1">
        <v>250553</v>
      </c>
      <c r="IO5" s="1">
        <v>298.6</v>
      </c>
      <c r="IP5" s="1" t="s">
        <v>57</v>
      </c>
      <c r="IQ5" s="1">
        <v>300</v>
      </c>
      <c r="IR5" s="1">
        <v>1</v>
      </c>
      <c r="IS5" s="1">
        <v>29856</v>
      </c>
      <c r="IT5" s="1">
        <v>96</v>
      </c>
      <c r="IU5" s="1">
        <v>28</v>
      </c>
      <c r="IV5" s="1">
        <v>0.027</v>
      </c>
      <c r="IW5" s="1">
        <v>0</v>
      </c>
      <c r="IX5" s="1">
        <v>2</v>
      </c>
      <c r="IY5" s="1">
        <v>0</v>
      </c>
      <c r="IZ5" s="1">
        <v>0.027</v>
      </c>
      <c r="JA5" s="1">
        <v>0</v>
      </c>
      <c r="JB5" s="1">
        <v>0</v>
      </c>
      <c r="JC5" s="1">
        <v>1</v>
      </c>
      <c r="JD5" s="1">
        <v>0.04</v>
      </c>
      <c r="JE5" s="1">
        <v>0</v>
      </c>
      <c r="JF5" s="1">
        <v>97</v>
      </c>
      <c r="JG5" s="1">
        <v>0</v>
      </c>
      <c r="JH5" s="1" t="s">
        <v>56</v>
      </c>
      <c r="JI5" s="1">
        <v>0.04</v>
      </c>
      <c r="JJ5" s="1">
        <v>0</v>
      </c>
      <c r="JK5" s="1">
        <v>31</v>
      </c>
      <c r="JL5" s="1">
        <v>3813</v>
      </c>
      <c r="JM5" s="1">
        <v>4708</v>
      </c>
      <c r="JN5" s="1">
        <v>0.907</v>
      </c>
      <c r="JO5" s="1">
        <v>4020</v>
      </c>
      <c r="JP5" s="1">
        <v>219656</v>
      </c>
      <c r="JQ5" s="1">
        <v>0</v>
      </c>
      <c r="JR5" s="1">
        <v>0.407</v>
      </c>
      <c r="JS5" s="1">
        <v>42</v>
      </c>
      <c r="JT5" s="1">
        <v>0</v>
      </c>
      <c r="JU5" s="1">
        <v>1</v>
      </c>
      <c r="JV5" s="1">
        <v>0.9399999999999999</v>
      </c>
      <c r="JW5" s="1">
        <v>29</v>
      </c>
      <c r="JX5" s="1">
        <v>219689</v>
      </c>
      <c r="JY5" s="1">
        <v>0.5</v>
      </c>
      <c r="JZ5" s="1" t="s">
        <v>56</v>
      </c>
      <c r="KA5" s="1">
        <v>0.9399999999999999</v>
      </c>
      <c r="KB5" s="1">
        <v>0</v>
      </c>
      <c r="KC5" s="1">
        <v>1890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>
        <v>9141</v>
      </c>
      <c r="C6" s="1">
        <v>40</v>
      </c>
      <c r="D6" s="1">
        <v>1.609</v>
      </c>
      <c r="E6" s="1">
        <v>0</v>
      </c>
      <c r="F6" s="1">
        <v>678538</v>
      </c>
      <c r="G6" s="1">
        <v>0</v>
      </c>
      <c r="H6" s="1">
        <v>1.609</v>
      </c>
      <c r="I6" s="1">
        <v>98</v>
      </c>
      <c r="J6" s="1">
        <v>0</v>
      </c>
      <c r="K6" s="1">
        <v>1</v>
      </c>
      <c r="L6" s="1">
        <v>1.65</v>
      </c>
      <c r="M6" s="1">
        <v>0</v>
      </c>
      <c r="N6" s="1">
        <v>746635</v>
      </c>
      <c r="O6" s="1">
        <v>0</v>
      </c>
      <c r="P6" s="1" t="s">
        <v>56</v>
      </c>
      <c r="Q6" s="1">
        <v>1.65</v>
      </c>
      <c r="R6" s="1">
        <v>0</v>
      </c>
      <c r="S6" s="1">
        <v>3362</v>
      </c>
      <c r="T6" s="1">
        <v>11598</v>
      </c>
      <c r="U6" s="1">
        <v>8336</v>
      </c>
      <c r="V6" s="1">
        <v>1.824</v>
      </c>
      <c r="W6" s="1">
        <v>6820</v>
      </c>
      <c r="X6" s="1">
        <v>678626</v>
      </c>
      <c r="Y6" s="1">
        <v>0</v>
      </c>
      <c r="Z6" s="1">
        <v>1.534</v>
      </c>
      <c r="AA6" s="1">
        <v>100</v>
      </c>
      <c r="AB6" s="1">
        <v>0</v>
      </c>
      <c r="AC6" s="1">
        <v>1</v>
      </c>
      <c r="AD6" s="1">
        <v>1.86</v>
      </c>
      <c r="AE6" s="1">
        <v>45</v>
      </c>
      <c r="AF6" s="1">
        <v>749170</v>
      </c>
      <c r="AG6" s="1">
        <v>0.29</v>
      </c>
      <c r="AH6" s="1" t="s">
        <v>56</v>
      </c>
      <c r="AI6" s="1">
        <v>1.86</v>
      </c>
      <c r="AJ6" s="1">
        <v>0</v>
      </c>
      <c r="AK6" s="1">
        <v>3366</v>
      </c>
      <c r="AL6" s="1">
        <v>11598</v>
      </c>
      <c r="AM6" s="1">
        <v>4628</v>
      </c>
      <c r="AN6" s="1">
        <v>1.95</v>
      </c>
      <c r="AO6" s="1">
        <v>3635</v>
      </c>
      <c r="AP6" s="1">
        <v>875666</v>
      </c>
      <c r="AQ6" s="1">
        <v>0</v>
      </c>
      <c r="AR6" s="1">
        <v>1.63</v>
      </c>
      <c r="AS6" s="1">
        <v>121</v>
      </c>
      <c r="AT6" s="1">
        <v>0</v>
      </c>
      <c r="AU6" s="1">
        <v>1</v>
      </c>
      <c r="AV6" s="1">
        <v>1.99</v>
      </c>
      <c r="AW6" s="1">
        <v>29</v>
      </c>
      <c r="AX6" s="1">
        <v>749170</v>
      </c>
      <c r="AY6" s="1">
        <v>0.32</v>
      </c>
      <c r="AZ6" s="1" t="s">
        <v>56</v>
      </c>
      <c r="BA6" s="1">
        <v>1.99</v>
      </c>
      <c r="BB6" s="1">
        <v>0</v>
      </c>
      <c r="BC6" s="1">
        <v>69046</v>
      </c>
      <c r="BD6" s="1">
        <v>6680</v>
      </c>
      <c r="BE6" s="1">
        <v>10253</v>
      </c>
      <c r="BF6" s="1">
        <v>1.821</v>
      </c>
      <c r="BG6" s="1">
        <v>8409</v>
      </c>
      <c r="BH6" s="1">
        <v>678376</v>
      </c>
      <c r="BI6" s="1">
        <v>0</v>
      </c>
      <c r="BJ6" s="1">
        <v>1.481</v>
      </c>
      <c r="BK6" s="1">
        <v>93</v>
      </c>
      <c r="BL6" s="1">
        <v>0</v>
      </c>
      <c r="BM6" s="1">
        <v>1</v>
      </c>
      <c r="BN6" s="1">
        <v>1.86</v>
      </c>
      <c r="BO6" s="1">
        <v>55</v>
      </c>
      <c r="BP6" s="1">
        <v>678416</v>
      </c>
      <c r="BQ6" s="1">
        <v>0.34</v>
      </c>
      <c r="BR6" s="1" t="s">
        <v>56</v>
      </c>
      <c r="BS6" s="1">
        <v>1.86</v>
      </c>
      <c r="BT6" s="1">
        <v>0</v>
      </c>
      <c r="BU6" s="1">
        <v>3320</v>
      </c>
      <c r="BV6" s="1">
        <v>6682</v>
      </c>
      <c r="BW6" s="1">
        <v>40</v>
      </c>
      <c r="BX6" s="1">
        <v>1.47</v>
      </c>
      <c r="BY6" s="1">
        <v>0</v>
      </c>
      <c r="BZ6" s="1">
        <v>678376</v>
      </c>
      <c r="CA6" s="1">
        <v>0</v>
      </c>
      <c r="CB6" s="1">
        <v>1.47</v>
      </c>
      <c r="CC6" s="1">
        <v>97</v>
      </c>
      <c r="CD6" s="1">
        <v>0</v>
      </c>
      <c r="CE6" s="1">
        <v>1</v>
      </c>
      <c r="CF6" s="1">
        <v>1.6</v>
      </c>
      <c r="CG6" s="1">
        <v>0</v>
      </c>
      <c r="CH6" s="1">
        <v>678418</v>
      </c>
      <c r="CI6" s="1">
        <v>0</v>
      </c>
      <c r="CJ6" s="1" t="s">
        <v>56</v>
      </c>
      <c r="CK6" s="1">
        <v>1.6</v>
      </c>
      <c r="CL6" s="1">
        <v>0</v>
      </c>
      <c r="CM6" s="1">
        <v>3320</v>
      </c>
      <c r="CN6" s="1">
        <v>77280</v>
      </c>
      <c r="CO6" s="1">
        <v>4318</v>
      </c>
      <c r="CP6" s="1">
        <v>12.595</v>
      </c>
      <c r="CQ6" s="1">
        <v>3356</v>
      </c>
      <c r="CR6" s="1">
        <v>875586</v>
      </c>
      <c r="CS6" s="1">
        <v>0</v>
      </c>
      <c r="CT6" s="1">
        <v>1.815000000000001</v>
      </c>
      <c r="CU6" s="1">
        <v>180</v>
      </c>
      <c r="CV6" s="1">
        <v>0</v>
      </c>
      <c r="CW6" s="1">
        <v>1</v>
      </c>
      <c r="CX6" s="1">
        <v>12.71</v>
      </c>
      <c r="CY6" s="1">
        <v>28</v>
      </c>
      <c r="CZ6" s="1">
        <v>749172</v>
      </c>
      <c r="DA6" s="1">
        <v>10.78</v>
      </c>
      <c r="DB6" s="1" t="s">
        <v>56</v>
      </c>
      <c r="DC6" s="1">
        <v>12.71</v>
      </c>
      <c r="DD6" s="1">
        <v>0</v>
      </c>
      <c r="DE6" s="1">
        <v>69006</v>
      </c>
      <c r="DF6" s="1">
        <v>125</v>
      </c>
      <c r="DG6" s="1">
        <v>37</v>
      </c>
      <c r="DH6" s="1">
        <v>0.001</v>
      </c>
      <c r="DI6" s="1">
        <v>0</v>
      </c>
      <c r="DJ6" s="1">
        <v>2</v>
      </c>
      <c r="DK6" s="1">
        <v>0</v>
      </c>
      <c r="DL6" s="1">
        <v>0.001</v>
      </c>
      <c r="DM6" s="1">
        <v>0</v>
      </c>
      <c r="DN6" s="1">
        <v>0</v>
      </c>
      <c r="DO6" s="1">
        <v>1</v>
      </c>
      <c r="DP6" s="1">
        <v>0.02</v>
      </c>
      <c r="DQ6" s="1">
        <v>0</v>
      </c>
      <c r="DR6" s="1">
        <v>126</v>
      </c>
      <c r="DS6" s="1">
        <v>0</v>
      </c>
      <c r="DT6" s="1" t="s">
        <v>56</v>
      </c>
      <c r="DU6" s="1">
        <v>0.02</v>
      </c>
      <c r="DV6" s="1">
        <v>0</v>
      </c>
      <c r="DW6" s="1">
        <v>41</v>
      </c>
      <c r="DX6" s="1">
        <v>6682</v>
      </c>
      <c r="DY6" s="1">
        <v>10253</v>
      </c>
      <c r="DZ6" s="1">
        <v>1.199</v>
      </c>
      <c r="EA6" s="1">
        <v>8409</v>
      </c>
      <c r="EB6" s="1">
        <v>678376</v>
      </c>
      <c r="EC6" s="1">
        <v>0</v>
      </c>
      <c r="ED6" s="1">
        <v>0.899</v>
      </c>
      <c r="EE6" s="1">
        <v>92</v>
      </c>
      <c r="EF6" s="1">
        <v>0</v>
      </c>
      <c r="EG6" s="1">
        <v>1</v>
      </c>
      <c r="EH6" s="1">
        <v>1.22</v>
      </c>
      <c r="EI6" s="1">
        <v>55</v>
      </c>
      <c r="EJ6" s="1">
        <v>678418</v>
      </c>
      <c r="EK6" s="1">
        <v>0.3</v>
      </c>
      <c r="EL6" s="1" t="s">
        <v>56</v>
      </c>
      <c r="EM6" s="1">
        <v>1.22</v>
      </c>
      <c r="EN6" s="1">
        <v>0</v>
      </c>
      <c r="EO6" s="1">
        <v>3320</v>
      </c>
      <c r="EP6" s="1">
        <v>9141</v>
      </c>
      <c r="EQ6" s="1">
        <v>40</v>
      </c>
      <c r="ER6" s="1">
        <v>1.593</v>
      </c>
      <c r="ES6" s="1">
        <v>0</v>
      </c>
      <c r="ET6" s="1">
        <v>678538</v>
      </c>
      <c r="EU6" s="1">
        <v>0</v>
      </c>
      <c r="EV6" s="1">
        <v>1.593</v>
      </c>
      <c r="EW6" s="1">
        <v>99</v>
      </c>
      <c r="EX6" s="1">
        <v>0</v>
      </c>
      <c r="EY6" s="1">
        <v>1</v>
      </c>
      <c r="EZ6" s="1">
        <v>1.64</v>
      </c>
      <c r="FA6" s="1">
        <v>0</v>
      </c>
      <c r="FB6" s="1">
        <v>746635</v>
      </c>
      <c r="FC6" s="1">
        <v>0</v>
      </c>
      <c r="FD6" s="1" t="s">
        <v>56</v>
      </c>
      <c r="FE6" s="1">
        <v>1.64</v>
      </c>
      <c r="FF6" s="1">
        <v>0</v>
      </c>
      <c r="FG6" s="1">
        <v>3362</v>
      </c>
      <c r="FH6" s="1">
        <v>11598</v>
      </c>
      <c r="FI6" s="1">
        <v>8336</v>
      </c>
      <c r="FJ6" s="1">
        <v>1.806</v>
      </c>
      <c r="FK6" s="1">
        <v>6820</v>
      </c>
      <c r="FL6" s="1">
        <v>678626</v>
      </c>
      <c r="FM6" s="1">
        <v>0</v>
      </c>
      <c r="FN6" s="1">
        <v>1.516</v>
      </c>
      <c r="FO6" s="1">
        <v>95</v>
      </c>
      <c r="FP6" s="1">
        <v>0</v>
      </c>
      <c r="FQ6" s="1">
        <v>1</v>
      </c>
      <c r="FR6" s="1">
        <v>1.84</v>
      </c>
      <c r="FS6" s="1">
        <v>45</v>
      </c>
      <c r="FT6" s="1">
        <v>749170</v>
      </c>
      <c r="FU6" s="1">
        <v>0.29</v>
      </c>
      <c r="FV6" s="1" t="s">
        <v>56</v>
      </c>
      <c r="FW6" s="1">
        <v>1.84</v>
      </c>
      <c r="FX6" s="1">
        <v>0</v>
      </c>
      <c r="FY6" s="1">
        <v>3366</v>
      </c>
      <c r="FZ6" s="1">
        <v>11598</v>
      </c>
      <c r="GA6" s="1">
        <v>4628</v>
      </c>
      <c r="GB6" s="1">
        <v>2.007</v>
      </c>
      <c r="GC6" s="1">
        <v>3635</v>
      </c>
      <c r="GD6" s="1">
        <v>875666</v>
      </c>
      <c r="GE6" s="1">
        <v>0</v>
      </c>
      <c r="GF6" s="1">
        <v>1.677</v>
      </c>
      <c r="GG6" s="1">
        <v>125</v>
      </c>
      <c r="GH6" s="1">
        <v>0</v>
      </c>
      <c r="GI6" s="1">
        <v>1</v>
      </c>
      <c r="GJ6" s="1">
        <v>2.04</v>
      </c>
      <c r="GK6" s="1">
        <v>29</v>
      </c>
      <c r="GL6" s="1">
        <v>749170</v>
      </c>
      <c r="GM6" s="1">
        <v>0.33</v>
      </c>
      <c r="GN6" s="1" t="s">
        <v>56</v>
      </c>
      <c r="GO6" s="1">
        <v>2.04</v>
      </c>
      <c r="GP6" s="1">
        <v>0</v>
      </c>
      <c r="GQ6" s="1">
        <v>69046</v>
      </c>
      <c r="GR6" s="1">
        <v>6680</v>
      </c>
      <c r="GS6" s="1">
        <v>10253</v>
      </c>
      <c r="GT6" s="1">
        <v>1.755</v>
      </c>
      <c r="GU6" s="1">
        <v>8409</v>
      </c>
      <c r="GV6" s="1">
        <v>678376</v>
      </c>
      <c r="GW6" s="1">
        <v>0</v>
      </c>
      <c r="GX6" s="1">
        <v>1.415</v>
      </c>
      <c r="GY6" s="1">
        <v>93</v>
      </c>
      <c r="GZ6" s="1">
        <v>0</v>
      </c>
      <c r="HA6" s="1">
        <v>1</v>
      </c>
      <c r="HB6" s="1">
        <v>1.79</v>
      </c>
      <c r="HC6" s="1">
        <v>55</v>
      </c>
      <c r="HD6" s="1">
        <v>678416</v>
      </c>
      <c r="HE6" s="1">
        <v>0.34</v>
      </c>
      <c r="HF6" s="1" t="s">
        <v>56</v>
      </c>
      <c r="HG6" s="1">
        <v>1.79</v>
      </c>
      <c r="HH6" s="1">
        <v>0</v>
      </c>
      <c r="HI6" s="1">
        <v>3320</v>
      </c>
      <c r="HJ6" s="1">
        <v>6683</v>
      </c>
      <c r="HK6" s="1">
        <v>40</v>
      </c>
      <c r="HL6" s="1">
        <v>1.516</v>
      </c>
      <c r="HM6" s="1">
        <v>0</v>
      </c>
      <c r="HN6" s="1">
        <v>678376</v>
      </c>
      <c r="HO6" s="1">
        <v>0</v>
      </c>
      <c r="HP6" s="1">
        <v>1.506</v>
      </c>
      <c r="HQ6" s="1">
        <v>94</v>
      </c>
      <c r="HR6" s="1">
        <v>0</v>
      </c>
      <c r="HS6" s="1">
        <v>1</v>
      </c>
      <c r="HT6" s="1">
        <v>1.55</v>
      </c>
      <c r="HU6" s="1">
        <v>0</v>
      </c>
      <c r="HV6" s="1">
        <v>678419</v>
      </c>
      <c r="HW6" s="1">
        <v>0.01</v>
      </c>
      <c r="HX6" s="1" t="s">
        <v>56</v>
      </c>
      <c r="HY6" s="1">
        <v>1.55</v>
      </c>
      <c r="HZ6" s="1">
        <v>0</v>
      </c>
      <c r="IA6" s="1">
        <v>3320</v>
      </c>
      <c r="IB6" s="1">
        <v>77281</v>
      </c>
      <c r="IC6" s="1">
        <v>2201</v>
      </c>
      <c r="ID6" s="1">
        <v>299.938</v>
      </c>
      <c r="IE6" s="1">
        <v>1704</v>
      </c>
      <c r="IF6" s="1">
        <v>875586</v>
      </c>
      <c r="IG6" s="1">
        <v>0</v>
      </c>
      <c r="IH6" s="1">
        <v>2.988</v>
      </c>
      <c r="II6" s="1">
        <v>169</v>
      </c>
      <c r="IJ6" s="1">
        <v>0</v>
      </c>
      <c r="IK6" s="1">
        <v>0</v>
      </c>
      <c r="IL6" s="1">
        <v>600</v>
      </c>
      <c r="IM6" s="1">
        <v>14</v>
      </c>
      <c r="IN6" s="1">
        <v>749173</v>
      </c>
      <c r="IO6" s="1">
        <v>296.95</v>
      </c>
      <c r="IP6" s="1" t="s">
        <v>57</v>
      </c>
      <c r="IQ6" s="1">
        <v>300</v>
      </c>
      <c r="IR6" s="1">
        <v>1</v>
      </c>
      <c r="IS6" s="1">
        <v>69006</v>
      </c>
      <c r="IT6" s="1">
        <v>126</v>
      </c>
      <c r="IU6" s="1">
        <v>37</v>
      </c>
      <c r="IV6" s="1">
        <v>0.046</v>
      </c>
      <c r="IW6" s="1">
        <v>0</v>
      </c>
      <c r="IX6" s="1">
        <v>2</v>
      </c>
      <c r="IY6" s="1">
        <v>0</v>
      </c>
      <c r="IZ6" s="1">
        <v>0.036</v>
      </c>
      <c r="JA6" s="1">
        <v>0</v>
      </c>
      <c r="JB6" s="1">
        <v>0</v>
      </c>
      <c r="JC6" s="1">
        <v>1</v>
      </c>
      <c r="JD6" s="1">
        <v>0.08</v>
      </c>
      <c r="JE6" s="1">
        <v>0</v>
      </c>
      <c r="JF6" s="1">
        <v>127</v>
      </c>
      <c r="JG6" s="1">
        <v>0.01</v>
      </c>
      <c r="JH6" s="1" t="s">
        <v>56</v>
      </c>
      <c r="JI6" s="1">
        <v>0.08</v>
      </c>
      <c r="JJ6" s="1">
        <v>0</v>
      </c>
      <c r="JK6" s="1">
        <v>41</v>
      </c>
      <c r="JL6" s="1">
        <v>6683</v>
      </c>
      <c r="JM6" s="1">
        <v>10253</v>
      </c>
      <c r="JN6" s="1">
        <v>2.801</v>
      </c>
      <c r="JO6" s="1">
        <v>8409</v>
      </c>
      <c r="JP6" s="1">
        <v>678376</v>
      </c>
      <c r="JQ6" s="1">
        <v>0</v>
      </c>
      <c r="JR6" s="1">
        <v>1.481</v>
      </c>
      <c r="JS6" s="1">
        <v>97</v>
      </c>
      <c r="JT6" s="1">
        <v>0</v>
      </c>
      <c r="JU6" s="1">
        <v>1</v>
      </c>
      <c r="JV6" s="1">
        <v>2.85</v>
      </c>
      <c r="JW6" s="1">
        <v>55</v>
      </c>
      <c r="JX6" s="1">
        <v>678419</v>
      </c>
      <c r="JY6" s="1">
        <v>1.32</v>
      </c>
      <c r="JZ6" s="1" t="s">
        <v>56</v>
      </c>
      <c r="KA6" s="1">
        <v>2.85</v>
      </c>
      <c r="KB6" s="1">
        <v>0</v>
      </c>
      <c r="KC6" s="1">
        <v>3320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>
        <v>14176</v>
      </c>
      <c r="C7" s="1">
        <v>50</v>
      </c>
      <c r="D7" s="1">
        <v>3.927</v>
      </c>
      <c r="E7" s="1">
        <v>0</v>
      </c>
      <c r="F7" s="1">
        <v>1635048</v>
      </c>
      <c r="G7" s="1">
        <v>0</v>
      </c>
      <c r="H7" s="1">
        <v>3.927</v>
      </c>
      <c r="I7" s="1">
        <v>237</v>
      </c>
      <c r="J7" s="1">
        <v>0</v>
      </c>
      <c r="K7" s="1">
        <v>1</v>
      </c>
      <c r="L7" s="1">
        <v>3.97</v>
      </c>
      <c r="M7" s="1">
        <v>0</v>
      </c>
      <c r="N7" s="1">
        <v>1766420</v>
      </c>
      <c r="O7" s="1">
        <v>0</v>
      </c>
      <c r="P7" s="1" t="s">
        <v>56</v>
      </c>
      <c r="Q7" s="1">
        <v>3.97</v>
      </c>
      <c r="R7" s="1">
        <v>0</v>
      </c>
      <c r="S7" s="1">
        <v>5202</v>
      </c>
      <c r="T7" s="1">
        <v>17998</v>
      </c>
      <c r="U7" s="1">
        <v>10885</v>
      </c>
      <c r="V7" s="1">
        <v>3.192</v>
      </c>
      <c r="W7" s="1">
        <v>8301</v>
      </c>
      <c r="X7" s="1">
        <v>1635156</v>
      </c>
      <c r="Y7" s="1">
        <v>0</v>
      </c>
      <c r="Z7" s="1">
        <v>2.822</v>
      </c>
      <c r="AA7" s="1">
        <v>229</v>
      </c>
      <c r="AB7" s="1">
        <v>0</v>
      </c>
      <c r="AC7" s="1">
        <v>1</v>
      </c>
      <c r="AD7" s="1">
        <v>3.21</v>
      </c>
      <c r="AE7" s="1">
        <v>59</v>
      </c>
      <c r="AF7" s="1">
        <v>1770340</v>
      </c>
      <c r="AG7" s="1">
        <v>0.37</v>
      </c>
      <c r="AH7" s="1" t="s">
        <v>56</v>
      </c>
      <c r="AI7" s="1">
        <v>3.21</v>
      </c>
      <c r="AJ7" s="1">
        <v>0</v>
      </c>
      <c r="AK7" s="1">
        <v>5206</v>
      </c>
      <c r="AL7" s="1">
        <v>17998</v>
      </c>
      <c r="AM7" s="1">
        <v>20823</v>
      </c>
      <c r="AN7" s="1">
        <v>6.301</v>
      </c>
      <c r="AO7" s="1">
        <v>16789</v>
      </c>
      <c r="AP7" s="1">
        <v>2017956</v>
      </c>
      <c r="AQ7" s="1">
        <v>0</v>
      </c>
      <c r="AR7" s="1">
        <v>4.071</v>
      </c>
      <c r="AS7" s="1">
        <v>270</v>
      </c>
      <c r="AT7" s="1">
        <v>0</v>
      </c>
      <c r="AU7" s="1">
        <v>1</v>
      </c>
      <c r="AV7" s="1">
        <v>6.34</v>
      </c>
      <c r="AW7" s="1">
        <v>93</v>
      </c>
      <c r="AX7" s="1">
        <v>1770340</v>
      </c>
      <c r="AY7" s="1">
        <v>2.23</v>
      </c>
      <c r="AZ7" s="1" t="s">
        <v>56</v>
      </c>
      <c r="BA7" s="1">
        <v>6.34</v>
      </c>
      <c r="BB7" s="1">
        <v>0</v>
      </c>
      <c r="BC7" s="1">
        <v>132806</v>
      </c>
      <c r="BD7" s="1">
        <v>10350</v>
      </c>
      <c r="BE7" s="1">
        <v>4432</v>
      </c>
      <c r="BF7" s="1">
        <v>4.004</v>
      </c>
      <c r="BG7" s="1">
        <v>3222</v>
      </c>
      <c r="BH7" s="1">
        <v>1634846</v>
      </c>
      <c r="BI7" s="1">
        <v>0</v>
      </c>
      <c r="BJ7" s="1">
        <v>3.763999999999999</v>
      </c>
      <c r="BK7" s="1">
        <v>226</v>
      </c>
      <c r="BL7" s="1">
        <v>0</v>
      </c>
      <c r="BM7" s="1">
        <v>1</v>
      </c>
      <c r="BN7" s="1">
        <v>4.05</v>
      </c>
      <c r="BO7" s="1">
        <v>27</v>
      </c>
      <c r="BP7" s="1">
        <v>1634896</v>
      </c>
      <c r="BQ7" s="1">
        <v>0.24</v>
      </c>
      <c r="BR7" s="1" t="s">
        <v>56</v>
      </c>
      <c r="BS7" s="1">
        <v>4.05</v>
      </c>
      <c r="BT7" s="1">
        <v>0</v>
      </c>
      <c r="BU7" s="1">
        <v>5150</v>
      </c>
      <c r="BV7" s="1">
        <v>10352</v>
      </c>
      <c r="BW7" s="1">
        <v>50</v>
      </c>
      <c r="BX7" s="1">
        <v>2.676</v>
      </c>
      <c r="BY7" s="1">
        <v>0</v>
      </c>
      <c r="BZ7" s="1">
        <v>1634846</v>
      </c>
      <c r="CA7" s="1">
        <v>0</v>
      </c>
      <c r="CB7" s="1">
        <v>2.676</v>
      </c>
      <c r="CC7" s="1">
        <v>227</v>
      </c>
      <c r="CD7" s="1">
        <v>0</v>
      </c>
      <c r="CE7" s="1">
        <v>1</v>
      </c>
      <c r="CF7" s="1">
        <v>2.7</v>
      </c>
      <c r="CG7" s="1">
        <v>0</v>
      </c>
      <c r="CH7" s="1">
        <v>1634898</v>
      </c>
      <c r="CI7" s="1">
        <v>0</v>
      </c>
      <c r="CJ7" s="1" t="s">
        <v>56</v>
      </c>
      <c r="CK7" s="1">
        <v>2.7</v>
      </c>
      <c r="CL7" s="1">
        <v>0</v>
      </c>
      <c r="CM7" s="1">
        <v>5150</v>
      </c>
      <c r="CN7" s="1">
        <v>145600</v>
      </c>
      <c r="CO7" s="1">
        <v>4854</v>
      </c>
      <c r="CP7" s="1">
        <v>33.845</v>
      </c>
      <c r="CQ7" s="1">
        <v>3562</v>
      </c>
      <c r="CR7" s="1">
        <v>2017856</v>
      </c>
      <c r="CS7" s="1">
        <v>0</v>
      </c>
      <c r="CT7" s="1">
        <v>4.355</v>
      </c>
      <c r="CU7" s="1">
        <v>376</v>
      </c>
      <c r="CV7" s="1">
        <v>0</v>
      </c>
      <c r="CW7" s="1">
        <v>1</v>
      </c>
      <c r="CX7" s="1">
        <v>34.05</v>
      </c>
      <c r="CY7" s="1">
        <v>29</v>
      </c>
      <c r="CZ7" s="1">
        <v>1770342</v>
      </c>
      <c r="DA7" s="1">
        <v>29.49</v>
      </c>
      <c r="DB7" s="1" t="s">
        <v>56</v>
      </c>
      <c r="DC7" s="1">
        <v>34.05</v>
      </c>
      <c r="DD7" s="1">
        <v>0</v>
      </c>
      <c r="DE7" s="1">
        <v>132756</v>
      </c>
      <c r="DF7" s="1">
        <v>155</v>
      </c>
      <c r="DG7" s="1">
        <v>48</v>
      </c>
      <c r="DH7" s="1">
        <v>0.004</v>
      </c>
      <c r="DI7" s="1">
        <v>0</v>
      </c>
      <c r="DJ7" s="1">
        <v>2</v>
      </c>
      <c r="DK7" s="1">
        <v>0</v>
      </c>
      <c r="DL7" s="1">
        <v>0.004</v>
      </c>
      <c r="DM7" s="1">
        <v>0</v>
      </c>
      <c r="DN7" s="1">
        <v>0</v>
      </c>
      <c r="DO7" s="1">
        <v>1</v>
      </c>
      <c r="DP7" s="1">
        <v>0.05</v>
      </c>
      <c r="DQ7" s="1">
        <v>0</v>
      </c>
      <c r="DR7" s="1">
        <v>156</v>
      </c>
      <c r="DS7" s="1">
        <v>0</v>
      </c>
      <c r="DT7" s="1" t="s">
        <v>56</v>
      </c>
      <c r="DU7" s="1">
        <v>0.05</v>
      </c>
      <c r="DV7" s="1">
        <v>0</v>
      </c>
      <c r="DW7" s="1">
        <v>51</v>
      </c>
      <c r="DX7" s="1">
        <v>10352</v>
      </c>
      <c r="DY7" s="1">
        <v>4432</v>
      </c>
      <c r="DZ7" s="1">
        <v>3.839</v>
      </c>
      <c r="EA7" s="1">
        <v>3222</v>
      </c>
      <c r="EB7" s="1">
        <v>1634846</v>
      </c>
      <c r="EC7" s="1">
        <v>0</v>
      </c>
      <c r="ED7" s="1">
        <v>3.559</v>
      </c>
      <c r="EE7" s="1">
        <v>222</v>
      </c>
      <c r="EF7" s="1">
        <v>0</v>
      </c>
      <c r="EG7" s="1">
        <v>1</v>
      </c>
      <c r="EH7" s="1">
        <v>3.87</v>
      </c>
      <c r="EI7" s="1">
        <v>27</v>
      </c>
      <c r="EJ7" s="1">
        <v>1634898</v>
      </c>
      <c r="EK7" s="1">
        <v>0.28</v>
      </c>
      <c r="EL7" s="1" t="s">
        <v>56</v>
      </c>
      <c r="EM7" s="1">
        <v>3.87</v>
      </c>
      <c r="EN7" s="1">
        <v>0</v>
      </c>
      <c r="EO7" s="1">
        <v>5150</v>
      </c>
      <c r="EP7" s="1">
        <v>14176</v>
      </c>
      <c r="EQ7" s="1">
        <v>50</v>
      </c>
      <c r="ER7" s="1">
        <v>3.87</v>
      </c>
      <c r="ES7" s="1">
        <v>0</v>
      </c>
      <c r="ET7" s="1">
        <v>1635048</v>
      </c>
      <c r="EU7" s="1">
        <v>0</v>
      </c>
      <c r="EV7" s="1">
        <v>3.87</v>
      </c>
      <c r="EW7" s="1">
        <v>232</v>
      </c>
      <c r="EX7" s="1">
        <v>0</v>
      </c>
      <c r="EY7" s="1">
        <v>1</v>
      </c>
      <c r="EZ7" s="1">
        <v>3.92</v>
      </c>
      <c r="FA7" s="1">
        <v>0</v>
      </c>
      <c r="FB7" s="1">
        <v>1766420</v>
      </c>
      <c r="FC7" s="1">
        <v>0</v>
      </c>
      <c r="FD7" s="1" t="s">
        <v>56</v>
      </c>
      <c r="FE7" s="1">
        <v>3.92</v>
      </c>
      <c r="FF7" s="1">
        <v>0</v>
      </c>
      <c r="FG7" s="1">
        <v>5202</v>
      </c>
      <c r="FH7" s="1">
        <v>17998</v>
      </c>
      <c r="FI7" s="1">
        <v>10885</v>
      </c>
      <c r="FJ7" s="1">
        <v>4.259</v>
      </c>
      <c r="FK7" s="1">
        <v>8301</v>
      </c>
      <c r="FL7" s="1">
        <v>1635156</v>
      </c>
      <c r="FM7" s="1">
        <v>0</v>
      </c>
      <c r="FN7" s="1">
        <v>3.729</v>
      </c>
      <c r="FO7" s="1">
        <v>230</v>
      </c>
      <c r="FP7" s="1">
        <v>0</v>
      </c>
      <c r="FQ7" s="1">
        <v>1</v>
      </c>
      <c r="FR7" s="1">
        <v>4.3</v>
      </c>
      <c r="FS7" s="1">
        <v>59</v>
      </c>
      <c r="FT7" s="1">
        <v>1770340</v>
      </c>
      <c r="FU7" s="1">
        <v>0.53</v>
      </c>
      <c r="FV7" s="1" t="s">
        <v>56</v>
      </c>
      <c r="FW7" s="1">
        <v>4.3</v>
      </c>
      <c r="FX7" s="1">
        <v>0</v>
      </c>
      <c r="FY7" s="1">
        <v>5206</v>
      </c>
      <c r="FZ7" s="1">
        <v>17998</v>
      </c>
      <c r="GA7" s="1">
        <v>20823</v>
      </c>
      <c r="GB7" s="1">
        <v>6.529</v>
      </c>
      <c r="GC7" s="1">
        <v>16789</v>
      </c>
      <c r="GD7" s="1">
        <v>2017956</v>
      </c>
      <c r="GE7" s="1">
        <v>0</v>
      </c>
      <c r="GF7" s="1">
        <v>4.298999999999999</v>
      </c>
      <c r="GG7" s="1">
        <v>270</v>
      </c>
      <c r="GH7" s="1">
        <v>0</v>
      </c>
      <c r="GI7" s="1">
        <v>1</v>
      </c>
      <c r="GJ7" s="1">
        <v>6.68</v>
      </c>
      <c r="GK7" s="1">
        <v>93</v>
      </c>
      <c r="GL7" s="1">
        <v>1770340</v>
      </c>
      <c r="GM7" s="1">
        <v>2.23</v>
      </c>
      <c r="GN7" s="1" t="s">
        <v>56</v>
      </c>
      <c r="GO7" s="1">
        <v>6.68</v>
      </c>
      <c r="GP7" s="1">
        <v>0</v>
      </c>
      <c r="GQ7" s="1">
        <v>132806</v>
      </c>
      <c r="GR7" s="1">
        <v>10350</v>
      </c>
      <c r="GS7" s="1">
        <v>4432</v>
      </c>
      <c r="GT7" s="1">
        <v>2.815</v>
      </c>
      <c r="GU7" s="1">
        <v>3222</v>
      </c>
      <c r="GV7" s="1">
        <v>1634846</v>
      </c>
      <c r="GW7" s="1">
        <v>0</v>
      </c>
      <c r="GX7" s="1">
        <v>2.665</v>
      </c>
      <c r="GY7" s="1">
        <v>227</v>
      </c>
      <c r="GZ7" s="1">
        <v>0</v>
      </c>
      <c r="HA7" s="1">
        <v>1</v>
      </c>
      <c r="HB7" s="1">
        <v>2.84</v>
      </c>
      <c r="HC7" s="1">
        <v>27</v>
      </c>
      <c r="HD7" s="1">
        <v>1634896</v>
      </c>
      <c r="HE7" s="1">
        <v>0.15</v>
      </c>
      <c r="HF7" s="1" t="s">
        <v>56</v>
      </c>
      <c r="HG7" s="1">
        <v>2.84</v>
      </c>
      <c r="HH7" s="1">
        <v>0</v>
      </c>
      <c r="HI7" s="1">
        <v>5150</v>
      </c>
      <c r="HJ7" s="1">
        <v>10353</v>
      </c>
      <c r="HK7" s="1">
        <v>50</v>
      </c>
      <c r="HL7" s="1">
        <v>3.825</v>
      </c>
      <c r="HM7" s="1">
        <v>0</v>
      </c>
      <c r="HN7" s="1">
        <v>1634846</v>
      </c>
      <c r="HO7" s="1">
        <v>0</v>
      </c>
      <c r="HP7" s="1">
        <v>3.805</v>
      </c>
      <c r="HQ7" s="1">
        <v>230</v>
      </c>
      <c r="HR7" s="1">
        <v>0</v>
      </c>
      <c r="HS7" s="1">
        <v>1</v>
      </c>
      <c r="HT7" s="1">
        <v>3.86</v>
      </c>
      <c r="HU7" s="1">
        <v>0</v>
      </c>
      <c r="HV7" s="1">
        <v>1634899</v>
      </c>
      <c r="HW7" s="1">
        <v>0.02</v>
      </c>
      <c r="HX7" s="1" t="s">
        <v>56</v>
      </c>
      <c r="HY7" s="1">
        <v>3.86</v>
      </c>
      <c r="HZ7" s="1">
        <v>0</v>
      </c>
      <c r="IA7" s="1">
        <v>5150</v>
      </c>
      <c r="IB7" s="1">
        <v>145601</v>
      </c>
      <c r="IC7" s="1">
        <v>778</v>
      </c>
      <c r="ID7" s="1">
        <v>299.991</v>
      </c>
      <c r="IE7" s="1">
        <v>517</v>
      </c>
      <c r="IF7" s="1">
        <v>2017856</v>
      </c>
      <c r="IG7" s="1">
        <v>0</v>
      </c>
      <c r="IH7" s="1">
        <v>8.250999999999976</v>
      </c>
      <c r="II7" s="1">
        <v>349</v>
      </c>
      <c r="IJ7" s="1">
        <v>0</v>
      </c>
      <c r="IK7" s="1">
        <v>0</v>
      </c>
      <c r="IL7" s="1">
        <v>600</v>
      </c>
      <c r="IM7" s="1">
        <v>5</v>
      </c>
      <c r="IN7" s="1">
        <v>1770343</v>
      </c>
      <c r="IO7" s="1">
        <v>291.74</v>
      </c>
      <c r="IP7" s="1" t="s">
        <v>57</v>
      </c>
      <c r="IQ7" s="1">
        <v>300</v>
      </c>
      <c r="IR7" s="1">
        <v>1</v>
      </c>
      <c r="IS7" s="1">
        <v>132756</v>
      </c>
      <c r="IT7" s="1">
        <v>156</v>
      </c>
      <c r="IU7" s="1">
        <v>48</v>
      </c>
      <c r="IV7" s="1">
        <v>0.033</v>
      </c>
      <c r="IW7" s="1">
        <v>0</v>
      </c>
      <c r="IX7" s="1">
        <v>2</v>
      </c>
      <c r="IY7" s="1">
        <v>0</v>
      </c>
      <c r="IZ7" s="1">
        <v>0.023</v>
      </c>
      <c r="JA7" s="1">
        <v>0</v>
      </c>
      <c r="JB7" s="1">
        <v>0</v>
      </c>
      <c r="JC7" s="1">
        <v>1</v>
      </c>
      <c r="JD7" s="1">
        <v>0.05</v>
      </c>
      <c r="JE7" s="1">
        <v>0</v>
      </c>
      <c r="JF7" s="1">
        <v>157</v>
      </c>
      <c r="JG7" s="1">
        <v>0.01</v>
      </c>
      <c r="JH7" s="1" t="s">
        <v>56</v>
      </c>
      <c r="JI7" s="1">
        <v>0.05</v>
      </c>
      <c r="JJ7" s="1">
        <v>0</v>
      </c>
      <c r="JK7" s="1">
        <v>51</v>
      </c>
      <c r="JL7" s="1">
        <v>10353</v>
      </c>
      <c r="JM7" s="1">
        <v>4432</v>
      </c>
      <c r="JN7" s="1">
        <v>4.345</v>
      </c>
      <c r="JO7" s="1">
        <v>3222</v>
      </c>
      <c r="JP7" s="1">
        <v>1634846</v>
      </c>
      <c r="JQ7" s="1">
        <v>0</v>
      </c>
      <c r="JR7" s="1">
        <v>3.645</v>
      </c>
      <c r="JS7" s="1">
        <v>227</v>
      </c>
      <c r="JT7" s="1">
        <v>0</v>
      </c>
      <c r="JU7" s="1">
        <v>1</v>
      </c>
      <c r="JV7" s="1">
        <v>4.38</v>
      </c>
      <c r="JW7" s="1">
        <v>27</v>
      </c>
      <c r="JX7" s="1">
        <v>1634899</v>
      </c>
      <c r="JY7" s="1">
        <v>0.7</v>
      </c>
      <c r="JZ7" s="1" t="s">
        <v>56</v>
      </c>
      <c r="KA7" s="1">
        <v>4.38</v>
      </c>
      <c r="KB7" s="1">
        <v>0</v>
      </c>
      <c r="KC7" s="1">
        <v>5150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>
        <v>20311</v>
      </c>
      <c r="C8" s="1">
        <v>1668059</v>
      </c>
      <c r="D8" s="1">
        <v>116.003</v>
      </c>
      <c r="E8" s="1">
        <v>1462705</v>
      </c>
      <c r="F8" s="1">
        <v>3362308</v>
      </c>
      <c r="G8" s="1">
        <v>0</v>
      </c>
      <c r="H8" s="1">
        <v>6.393000000000001</v>
      </c>
      <c r="I8" s="1">
        <v>474</v>
      </c>
      <c r="J8" s="1">
        <v>0</v>
      </c>
      <c r="K8" s="1">
        <v>1</v>
      </c>
      <c r="L8" s="1">
        <v>116.03</v>
      </c>
      <c r="M8" s="1">
        <v>4092</v>
      </c>
      <c r="N8" s="1">
        <v>3587455</v>
      </c>
      <c r="O8" s="1">
        <v>109.61</v>
      </c>
      <c r="P8" s="1" t="s">
        <v>56</v>
      </c>
      <c r="Q8" s="1">
        <v>116.03</v>
      </c>
      <c r="R8" s="1">
        <v>0</v>
      </c>
      <c r="S8" s="1">
        <v>7442</v>
      </c>
      <c r="T8" s="1">
        <v>25798</v>
      </c>
      <c r="U8" s="1">
        <v>23762</v>
      </c>
      <c r="V8" s="1">
        <v>9.536</v>
      </c>
      <c r="W8" s="1">
        <v>18034</v>
      </c>
      <c r="X8" s="1">
        <v>3362436</v>
      </c>
      <c r="Y8" s="1">
        <v>0</v>
      </c>
      <c r="Z8" s="1">
        <v>7.885999999999999</v>
      </c>
      <c r="AA8" s="1">
        <v>467</v>
      </c>
      <c r="AB8" s="1">
        <v>0</v>
      </c>
      <c r="AC8" s="1">
        <v>1</v>
      </c>
      <c r="AD8" s="1">
        <v>9.58</v>
      </c>
      <c r="AE8" s="1">
        <v>107</v>
      </c>
      <c r="AF8" s="1">
        <v>3593060</v>
      </c>
      <c r="AG8" s="1">
        <v>1.65</v>
      </c>
      <c r="AH8" s="1" t="s">
        <v>56</v>
      </c>
      <c r="AI8" s="1">
        <v>9.58</v>
      </c>
      <c r="AJ8" s="1">
        <v>0</v>
      </c>
      <c r="AK8" s="1">
        <v>7446</v>
      </c>
      <c r="AL8" s="1">
        <v>25798</v>
      </c>
      <c r="AM8" s="1">
        <v>13853</v>
      </c>
      <c r="AN8" s="1">
        <v>10.665</v>
      </c>
      <c r="AO8" s="1">
        <v>10513</v>
      </c>
      <c r="AP8" s="1">
        <v>4021596</v>
      </c>
      <c r="AQ8" s="1">
        <v>0</v>
      </c>
      <c r="AR8" s="1">
        <v>8.594999999999999</v>
      </c>
      <c r="AS8" s="1">
        <v>530</v>
      </c>
      <c r="AT8" s="1">
        <v>0</v>
      </c>
      <c r="AU8" s="1">
        <v>1</v>
      </c>
      <c r="AV8" s="1">
        <v>10.72</v>
      </c>
      <c r="AW8" s="1">
        <v>62</v>
      </c>
      <c r="AX8" s="1">
        <v>3593060</v>
      </c>
      <c r="AY8" s="1">
        <v>2.07</v>
      </c>
      <c r="AZ8" s="1" t="s">
        <v>56</v>
      </c>
      <c r="BA8" s="1">
        <v>10.72</v>
      </c>
      <c r="BB8" s="1">
        <v>0</v>
      </c>
      <c r="BC8" s="1">
        <v>227166</v>
      </c>
      <c r="BD8" s="1">
        <v>14820</v>
      </c>
      <c r="BE8" s="1">
        <v>11810</v>
      </c>
      <c r="BF8" s="1">
        <v>8.837999999999999</v>
      </c>
      <c r="BG8" s="1">
        <v>8573</v>
      </c>
      <c r="BH8" s="1">
        <v>3362066</v>
      </c>
      <c r="BI8" s="1">
        <v>0</v>
      </c>
      <c r="BJ8" s="1">
        <v>7.967999999999999</v>
      </c>
      <c r="BK8" s="1">
        <v>454</v>
      </c>
      <c r="BL8" s="1">
        <v>0</v>
      </c>
      <c r="BM8" s="1">
        <v>1</v>
      </c>
      <c r="BN8" s="1">
        <v>9.029999999999999</v>
      </c>
      <c r="BO8" s="1">
        <v>60</v>
      </c>
      <c r="BP8" s="1">
        <v>3362126</v>
      </c>
      <c r="BQ8" s="1">
        <v>0.87</v>
      </c>
      <c r="BR8" s="1" t="s">
        <v>56</v>
      </c>
      <c r="BS8" s="1">
        <v>9.029999999999999</v>
      </c>
      <c r="BT8" s="1">
        <v>0</v>
      </c>
      <c r="BU8" s="1">
        <v>7380</v>
      </c>
      <c r="BV8" s="1">
        <v>14822</v>
      </c>
      <c r="BW8" s="1">
        <v>60</v>
      </c>
      <c r="BX8" s="1">
        <v>7.661</v>
      </c>
      <c r="BY8" s="1">
        <v>0</v>
      </c>
      <c r="BZ8" s="1">
        <v>3362066</v>
      </c>
      <c r="CA8" s="1">
        <v>0</v>
      </c>
      <c r="CB8" s="1">
        <v>7.661</v>
      </c>
      <c r="CC8" s="1">
        <v>452</v>
      </c>
      <c r="CD8" s="1">
        <v>0</v>
      </c>
      <c r="CE8" s="1">
        <v>1</v>
      </c>
      <c r="CF8" s="1">
        <v>7.7</v>
      </c>
      <c r="CG8" s="1">
        <v>0</v>
      </c>
      <c r="CH8" s="1">
        <v>3362128</v>
      </c>
      <c r="CI8" s="1">
        <v>0</v>
      </c>
      <c r="CJ8" s="1" t="s">
        <v>56</v>
      </c>
      <c r="CK8" s="1">
        <v>7.7</v>
      </c>
      <c r="CL8" s="1">
        <v>0</v>
      </c>
      <c r="CM8" s="1">
        <v>7380</v>
      </c>
      <c r="CN8" s="1">
        <v>245520</v>
      </c>
      <c r="CO8" s="1">
        <v>22673</v>
      </c>
      <c r="CP8" s="1">
        <v>284.847</v>
      </c>
      <c r="CQ8" s="1">
        <v>17259</v>
      </c>
      <c r="CR8" s="1">
        <v>4021476</v>
      </c>
      <c r="CS8" s="1">
        <v>0</v>
      </c>
      <c r="CT8" s="1">
        <v>9.257000000000005</v>
      </c>
      <c r="CU8" s="1">
        <v>711</v>
      </c>
      <c r="CV8" s="1">
        <v>0</v>
      </c>
      <c r="CW8" s="1">
        <v>1</v>
      </c>
      <c r="CX8" s="1">
        <v>285.11</v>
      </c>
      <c r="CY8" s="1">
        <v>101</v>
      </c>
      <c r="CZ8" s="1">
        <v>3593062</v>
      </c>
      <c r="DA8" s="1">
        <v>275.59</v>
      </c>
      <c r="DB8" s="1" t="s">
        <v>56</v>
      </c>
      <c r="DC8" s="1">
        <v>285.11</v>
      </c>
      <c r="DD8" s="1">
        <v>0</v>
      </c>
      <c r="DE8" s="1">
        <v>227106</v>
      </c>
      <c r="DF8" s="1">
        <v>185</v>
      </c>
      <c r="DG8" s="1">
        <v>57</v>
      </c>
      <c r="DH8" s="1">
        <v>0.002</v>
      </c>
      <c r="DI8" s="1">
        <v>0</v>
      </c>
      <c r="DJ8" s="1">
        <v>2</v>
      </c>
      <c r="DK8" s="1">
        <v>0</v>
      </c>
      <c r="DL8" s="1">
        <v>0.002</v>
      </c>
      <c r="DM8" s="1">
        <v>0</v>
      </c>
      <c r="DN8" s="1">
        <v>0</v>
      </c>
      <c r="DO8" s="1">
        <v>1</v>
      </c>
      <c r="DP8" s="1">
        <v>0.02</v>
      </c>
      <c r="DQ8" s="1">
        <v>0</v>
      </c>
      <c r="DR8" s="1">
        <v>186</v>
      </c>
      <c r="DS8" s="1">
        <v>0</v>
      </c>
      <c r="DT8" s="1" t="s">
        <v>56</v>
      </c>
      <c r="DU8" s="1">
        <v>0.02</v>
      </c>
      <c r="DV8" s="1">
        <v>0</v>
      </c>
      <c r="DW8" s="1">
        <v>61</v>
      </c>
      <c r="DX8" s="1">
        <v>14822</v>
      </c>
      <c r="DY8" s="1">
        <v>11810</v>
      </c>
      <c r="DZ8" s="1">
        <v>7.048</v>
      </c>
      <c r="EA8" s="1">
        <v>8573</v>
      </c>
      <c r="EB8" s="1">
        <v>3362066</v>
      </c>
      <c r="EC8" s="1">
        <v>0</v>
      </c>
      <c r="ED8" s="1">
        <v>6.228</v>
      </c>
      <c r="EE8" s="1">
        <v>452</v>
      </c>
      <c r="EF8" s="1">
        <v>0</v>
      </c>
      <c r="EG8" s="1">
        <v>1</v>
      </c>
      <c r="EH8" s="1">
        <v>7.07</v>
      </c>
      <c r="EI8" s="1">
        <v>60</v>
      </c>
      <c r="EJ8" s="1">
        <v>3362128</v>
      </c>
      <c r="EK8" s="1">
        <v>0.82</v>
      </c>
      <c r="EL8" s="1" t="s">
        <v>56</v>
      </c>
      <c r="EM8" s="1">
        <v>7.07</v>
      </c>
      <c r="EN8" s="1">
        <v>0</v>
      </c>
      <c r="EO8" s="1">
        <v>7380</v>
      </c>
      <c r="EP8" s="1">
        <v>20311</v>
      </c>
      <c r="EQ8" s="1">
        <v>1668059</v>
      </c>
      <c r="ER8" s="1">
        <v>150.295</v>
      </c>
      <c r="ES8" s="1">
        <v>1462705</v>
      </c>
      <c r="ET8" s="1">
        <v>3362308</v>
      </c>
      <c r="EU8" s="1">
        <v>0</v>
      </c>
      <c r="EV8" s="1">
        <v>8.134999999999991</v>
      </c>
      <c r="EW8" s="1">
        <v>480</v>
      </c>
      <c r="EX8" s="1">
        <v>0</v>
      </c>
      <c r="EY8" s="1">
        <v>1</v>
      </c>
      <c r="EZ8" s="1">
        <v>150.34</v>
      </c>
      <c r="FA8" s="1">
        <v>4092</v>
      </c>
      <c r="FB8" s="1">
        <v>3587455</v>
      </c>
      <c r="FC8" s="1">
        <v>142.16</v>
      </c>
      <c r="FD8" s="1" t="s">
        <v>56</v>
      </c>
      <c r="FE8" s="1">
        <v>150.34</v>
      </c>
      <c r="FF8" s="1">
        <v>0</v>
      </c>
      <c r="FG8" s="1">
        <v>7442</v>
      </c>
      <c r="FH8" s="1">
        <v>25798</v>
      </c>
      <c r="FI8" s="1">
        <v>23762</v>
      </c>
      <c r="FJ8" s="1">
        <v>9.545</v>
      </c>
      <c r="FK8" s="1">
        <v>18034</v>
      </c>
      <c r="FL8" s="1">
        <v>3362436</v>
      </c>
      <c r="FM8" s="1">
        <v>0</v>
      </c>
      <c r="FN8" s="1">
        <v>7.965</v>
      </c>
      <c r="FO8" s="1">
        <v>460</v>
      </c>
      <c r="FP8" s="1">
        <v>0</v>
      </c>
      <c r="FQ8" s="1">
        <v>1</v>
      </c>
      <c r="FR8" s="1">
        <v>9.59</v>
      </c>
      <c r="FS8" s="1">
        <v>107</v>
      </c>
      <c r="FT8" s="1">
        <v>3593060</v>
      </c>
      <c r="FU8" s="1">
        <v>1.58</v>
      </c>
      <c r="FV8" s="1" t="s">
        <v>56</v>
      </c>
      <c r="FW8" s="1">
        <v>9.59</v>
      </c>
      <c r="FX8" s="1">
        <v>0</v>
      </c>
      <c r="FY8" s="1">
        <v>7446</v>
      </c>
      <c r="FZ8" s="1">
        <v>25798</v>
      </c>
      <c r="GA8" s="1">
        <v>13853</v>
      </c>
      <c r="GB8" s="1">
        <v>10.91</v>
      </c>
      <c r="GC8" s="1">
        <v>10513</v>
      </c>
      <c r="GD8" s="1">
        <v>4021596</v>
      </c>
      <c r="GE8" s="1">
        <v>0</v>
      </c>
      <c r="GF8" s="1">
        <v>8.77</v>
      </c>
      <c r="GG8" s="1">
        <v>547</v>
      </c>
      <c r="GH8" s="1">
        <v>0</v>
      </c>
      <c r="GI8" s="1">
        <v>1</v>
      </c>
      <c r="GJ8" s="1">
        <v>10.97</v>
      </c>
      <c r="GK8" s="1">
        <v>62</v>
      </c>
      <c r="GL8" s="1">
        <v>3593060</v>
      </c>
      <c r="GM8" s="1">
        <v>2.14</v>
      </c>
      <c r="GN8" s="1" t="s">
        <v>56</v>
      </c>
      <c r="GO8" s="1">
        <v>10.97</v>
      </c>
      <c r="GP8" s="1">
        <v>0</v>
      </c>
      <c r="GQ8" s="1">
        <v>227166</v>
      </c>
      <c r="GR8" s="1">
        <v>14820</v>
      </c>
      <c r="GS8" s="1">
        <v>11810</v>
      </c>
      <c r="GT8" s="1">
        <v>8.348000000000001</v>
      </c>
      <c r="GU8" s="1">
        <v>8573</v>
      </c>
      <c r="GV8" s="1">
        <v>3362066</v>
      </c>
      <c r="GW8" s="1">
        <v>0</v>
      </c>
      <c r="GX8" s="1">
        <v>7.518000000000001</v>
      </c>
      <c r="GY8" s="1">
        <v>455</v>
      </c>
      <c r="GZ8" s="1">
        <v>0</v>
      </c>
      <c r="HA8" s="1">
        <v>1</v>
      </c>
      <c r="HB8" s="1">
        <v>8.390000000000001</v>
      </c>
      <c r="HC8" s="1">
        <v>60</v>
      </c>
      <c r="HD8" s="1">
        <v>3362126</v>
      </c>
      <c r="HE8" s="1">
        <v>0.83</v>
      </c>
      <c r="HF8" s="1" t="s">
        <v>56</v>
      </c>
      <c r="HG8" s="1">
        <v>8.390000000000001</v>
      </c>
      <c r="HH8" s="1">
        <v>0</v>
      </c>
      <c r="HI8" s="1">
        <v>7380</v>
      </c>
      <c r="HJ8" s="1">
        <v>14823</v>
      </c>
      <c r="HK8" s="1">
        <v>60</v>
      </c>
      <c r="HL8" s="1">
        <v>7.783</v>
      </c>
      <c r="HM8" s="1">
        <v>0</v>
      </c>
      <c r="HN8" s="1">
        <v>3362066</v>
      </c>
      <c r="HO8" s="1">
        <v>0</v>
      </c>
      <c r="HP8" s="1">
        <v>7.763000000000001</v>
      </c>
      <c r="HQ8" s="1">
        <v>459</v>
      </c>
      <c r="HR8" s="1">
        <v>0</v>
      </c>
      <c r="HS8" s="1">
        <v>1</v>
      </c>
      <c r="HT8" s="1">
        <v>8.029999999999999</v>
      </c>
      <c r="HU8" s="1">
        <v>0</v>
      </c>
      <c r="HV8" s="1">
        <v>3362129</v>
      </c>
      <c r="HW8" s="1">
        <v>0.02</v>
      </c>
      <c r="HX8" s="1" t="s">
        <v>56</v>
      </c>
      <c r="HY8" s="1">
        <v>8.029999999999999</v>
      </c>
      <c r="HZ8" s="1">
        <v>0</v>
      </c>
      <c r="IA8" s="1">
        <v>7380</v>
      </c>
      <c r="IB8" s="1">
        <v>245521</v>
      </c>
      <c r="IC8" s="1">
        <v>566</v>
      </c>
      <c r="ID8" s="1">
        <v>299.999</v>
      </c>
      <c r="IE8" s="1">
        <v>327</v>
      </c>
      <c r="IF8" s="1">
        <v>4021476</v>
      </c>
      <c r="IG8" s="1">
        <v>0</v>
      </c>
      <c r="IH8" s="1">
        <v>13.42900000000003</v>
      </c>
      <c r="II8" s="1">
        <v>663</v>
      </c>
      <c r="IJ8" s="1">
        <v>0</v>
      </c>
      <c r="IK8" s="1">
        <v>0</v>
      </c>
      <c r="IL8" s="1">
        <v>600</v>
      </c>
      <c r="IM8" s="1">
        <v>4</v>
      </c>
      <c r="IN8" s="1">
        <v>3593063</v>
      </c>
      <c r="IO8" s="1">
        <v>286.57</v>
      </c>
      <c r="IP8" s="1" t="s">
        <v>57</v>
      </c>
      <c r="IQ8" s="1">
        <v>300</v>
      </c>
      <c r="IR8" s="1">
        <v>1</v>
      </c>
      <c r="IS8" s="1">
        <v>227106</v>
      </c>
      <c r="IT8" s="1">
        <v>186</v>
      </c>
      <c r="IU8" s="1">
        <v>57</v>
      </c>
      <c r="IV8" s="1">
        <v>0.048</v>
      </c>
      <c r="IW8" s="1">
        <v>0</v>
      </c>
      <c r="IX8" s="1">
        <v>2</v>
      </c>
      <c r="IY8" s="1">
        <v>0</v>
      </c>
      <c r="IZ8" s="1">
        <v>0.028</v>
      </c>
      <c r="JA8" s="1">
        <v>0</v>
      </c>
      <c r="JB8" s="1">
        <v>0</v>
      </c>
      <c r="JC8" s="1">
        <v>1</v>
      </c>
      <c r="JD8" s="1">
        <v>0.07000000000000001</v>
      </c>
      <c r="JE8" s="1">
        <v>0</v>
      </c>
      <c r="JF8" s="1">
        <v>187</v>
      </c>
      <c r="JG8" s="1">
        <v>0.02</v>
      </c>
      <c r="JH8" s="1" t="s">
        <v>56</v>
      </c>
      <c r="JI8" s="1">
        <v>0.07000000000000001</v>
      </c>
      <c r="JJ8" s="1">
        <v>0</v>
      </c>
      <c r="JK8" s="1">
        <v>61</v>
      </c>
      <c r="JL8" s="1">
        <v>14823</v>
      </c>
      <c r="JM8" s="1">
        <v>11810</v>
      </c>
      <c r="JN8" s="1">
        <v>9.747</v>
      </c>
      <c r="JO8" s="1">
        <v>8573</v>
      </c>
      <c r="JP8" s="1">
        <v>3362066</v>
      </c>
      <c r="JQ8" s="1">
        <v>0</v>
      </c>
      <c r="JR8" s="1">
        <v>7.577</v>
      </c>
      <c r="JS8" s="1">
        <v>457</v>
      </c>
      <c r="JT8" s="1">
        <v>0</v>
      </c>
      <c r="JU8" s="1">
        <v>1</v>
      </c>
      <c r="JV8" s="1">
        <v>9.81</v>
      </c>
      <c r="JW8" s="1">
        <v>60</v>
      </c>
      <c r="JX8" s="1">
        <v>3362129</v>
      </c>
      <c r="JY8" s="1">
        <v>2.17</v>
      </c>
      <c r="JZ8" s="1" t="s">
        <v>56</v>
      </c>
      <c r="KA8" s="1">
        <v>9.81</v>
      </c>
      <c r="KB8" s="1">
        <v>0</v>
      </c>
      <c r="KC8" s="1">
        <v>7380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>
        <v>27546</v>
      </c>
      <c r="C9" s="1">
        <v>2553687</v>
      </c>
      <c r="D9" s="1">
        <v>299.991</v>
      </c>
      <c r="E9" s="1">
        <v>2189374</v>
      </c>
      <c r="F9" s="1">
        <v>6193318</v>
      </c>
      <c r="G9" s="1">
        <v>0</v>
      </c>
      <c r="H9" s="1">
        <v>15.65100000000001</v>
      </c>
      <c r="I9" s="1">
        <v>881</v>
      </c>
      <c r="J9" s="1">
        <v>0</v>
      </c>
      <c r="K9" s="1">
        <v>0</v>
      </c>
      <c r="L9" s="1">
        <v>600</v>
      </c>
      <c r="M9" s="1">
        <v>6037</v>
      </c>
      <c r="N9" s="1">
        <v>6548740</v>
      </c>
      <c r="O9" s="1">
        <v>284.34</v>
      </c>
      <c r="P9" s="1" t="s">
        <v>57</v>
      </c>
      <c r="Q9" s="1">
        <v>300</v>
      </c>
      <c r="R9" s="1">
        <v>1</v>
      </c>
      <c r="S9" s="1">
        <v>10082</v>
      </c>
      <c r="T9" s="1">
        <v>34998</v>
      </c>
      <c r="U9" s="1">
        <v>44451</v>
      </c>
      <c r="V9" s="1">
        <v>16.532</v>
      </c>
      <c r="W9" s="1">
        <v>34150</v>
      </c>
      <c r="X9" s="1">
        <v>6193466</v>
      </c>
      <c r="Y9" s="1">
        <v>0</v>
      </c>
      <c r="Z9" s="1">
        <v>12.732</v>
      </c>
      <c r="AA9" s="1">
        <v>862</v>
      </c>
      <c r="AB9" s="1">
        <v>0</v>
      </c>
      <c r="AC9" s="1">
        <v>1</v>
      </c>
      <c r="AD9" s="1">
        <v>16.57</v>
      </c>
      <c r="AE9" s="1">
        <v>163</v>
      </c>
      <c r="AF9" s="1">
        <v>6556330</v>
      </c>
      <c r="AG9" s="1">
        <v>3.8</v>
      </c>
      <c r="AH9" s="1" t="s">
        <v>56</v>
      </c>
      <c r="AI9" s="1">
        <v>16.57</v>
      </c>
      <c r="AJ9" s="1">
        <v>0</v>
      </c>
      <c r="AK9" s="1">
        <v>10086</v>
      </c>
      <c r="AL9" s="1">
        <v>34998</v>
      </c>
      <c r="AM9" s="1">
        <v>21202</v>
      </c>
      <c r="AN9" s="1">
        <v>20.943</v>
      </c>
      <c r="AO9" s="1">
        <v>15463</v>
      </c>
      <c r="AP9" s="1">
        <v>7237586</v>
      </c>
      <c r="AQ9" s="1">
        <v>0</v>
      </c>
      <c r="AR9" s="1">
        <v>16.013</v>
      </c>
      <c r="AS9" s="1">
        <v>989</v>
      </c>
      <c r="AT9" s="1">
        <v>0</v>
      </c>
      <c r="AU9" s="1">
        <v>1</v>
      </c>
      <c r="AV9" s="1">
        <v>21.02</v>
      </c>
      <c r="AW9" s="1">
        <v>90</v>
      </c>
      <c r="AX9" s="1">
        <v>6556330</v>
      </c>
      <c r="AY9" s="1">
        <v>4.93</v>
      </c>
      <c r="AZ9" s="1" t="s">
        <v>56</v>
      </c>
      <c r="BA9" s="1">
        <v>21.02</v>
      </c>
      <c r="BB9" s="1">
        <v>0</v>
      </c>
      <c r="BC9" s="1">
        <v>358126</v>
      </c>
      <c r="BD9" s="1">
        <v>20090</v>
      </c>
      <c r="BE9" s="1">
        <v>9057</v>
      </c>
      <c r="BF9" s="1">
        <v>15.883</v>
      </c>
      <c r="BG9" s="1">
        <v>6214</v>
      </c>
      <c r="BH9" s="1">
        <v>6193036</v>
      </c>
      <c r="BI9" s="1">
        <v>0</v>
      </c>
      <c r="BJ9" s="1">
        <v>14.993</v>
      </c>
      <c r="BK9" s="1">
        <v>845</v>
      </c>
      <c r="BL9" s="1">
        <v>0</v>
      </c>
      <c r="BM9" s="1">
        <v>1</v>
      </c>
      <c r="BN9" s="1">
        <v>15.94</v>
      </c>
      <c r="BO9" s="1">
        <v>44</v>
      </c>
      <c r="BP9" s="1">
        <v>6193106</v>
      </c>
      <c r="BQ9" s="1">
        <v>0.89</v>
      </c>
      <c r="BR9" s="1" t="s">
        <v>56</v>
      </c>
      <c r="BS9" s="1">
        <v>15.94</v>
      </c>
      <c r="BT9" s="1">
        <v>0</v>
      </c>
      <c r="BU9" s="1">
        <v>10010</v>
      </c>
      <c r="BV9" s="1">
        <v>20092</v>
      </c>
      <c r="BW9" s="1">
        <v>70</v>
      </c>
      <c r="BX9" s="1">
        <v>12.247</v>
      </c>
      <c r="BY9" s="1">
        <v>0</v>
      </c>
      <c r="BZ9" s="1">
        <v>6193036</v>
      </c>
      <c r="CA9" s="1">
        <v>0</v>
      </c>
      <c r="CB9" s="1">
        <v>12.237</v>
      </c>
      <c r="CC9" s="1">
        <v>845</v>
      </c>
      <c r="CD9" s="1">
        <v>0</v>
      </c>
      <c r="CE9" s="1">
        <v>1</v>
      </c>
      <c r="CF9" s="1">
        <v>12.28</v>
      </c>
      <c r="CG9" s="1">
        <v>0</v>
      </c>
      <c r="CH9" s="1">
        <v>6193108</v>
      </c>
      <c r="CI9" s="1">
        <v>0.01</v>
      </c>
      <c r="CJ9" s="1" t="s">
        <v>56</v>
      </c>
      <c r="CK9" s="1">
        <v>12.28</v>
      </c>
      <c r="CL9" s="1">
        <v>0</v>
      </c>
      <c r="CM9" s="1">
        <v>10010</v>
      </c>
      <c r="CN9" s="1">
        <v>383040</v>
      </c>
      <c r="CO9" s="1">
        <v>12598</v>
      </c>
      <c r="CP9" s="1">
        <v>299.99</v>
      </c>
      <c r="CQ9" s="1">
        <v>8787</v>
      </c>
      <c r="CR9" s="1">
        <v>7237446</v>
      </c>
      <c r="CS9" s="1">
        <v>0</v>
      </c>
      <c r="CT9" s="1">
        <v>17.12</v>
      </c>
      <c r="CU9" s="1">
        <v>1253</v>
      </c>
      <c r="CV9" s="1">
        <v>0</v>
      </c>
      <c r="CW9" s="1">
        <v>0</v>
      </c>
      <c r="CX9" s="1">
        <v>600</v>
      </c>
      <c r="CY9" s="1">
        <v>60</v>
      </c>
      <c r="CZ9" s="1">
        <v>6556332</v>
      </c>
      <c r="DA9" s="1">
        <v>282.87</v>
      </c>
      <c r="DB9" s="1" t="s">
        <v>57</v>
      </c>
      <c r="DC9" s="1">
        <v>300</v>
      </c>
      <c r="DD9" s="1">
        <v>1</v>
      </c>
      <c r="DE9" s="1">
        <v>358056</v>
      </c>
      <c r="DF9" s="1">
        <v>215</v>
      </c>
      <c r="DG9" s="1">
        <v>68</v>
      </c>
      <c r="DH9" s="1">
        <v>0.017</v>
      </c>
      <c r="DI9" s="1">
        <v>0</v>
      </c>
      <c r="DJ9" s="1">
        <v>2</v>
      </c>
      <c r="DK9" s="1">
        <v>0</v>
      </c>
      <c r="DL9" s="1">
        <v>0.017</v>
      </c>
      <c r="DM9" s="1">
        <v>0</v>
      </c>
      <c r="DN9" s="1">
        <v>0</v>
      </c>
      <c r="DO9" s="1">
        <v>1</v>
      </c>
      <c r="DP9" s="1">
        <v>0.09</v>
      </c>
      <c r="DQ9" s="1">
        <v>0</v>
      </c>
      <c r="DR9" s="1">
        <v>216</v>
      </c>
      <c r="DS9" s="1">
        <v>0</v>
      </c>
      <c r="DT9" s="1" t="s">
        <v>56</v>
      </c>
      <c r="DU9" s="1">
        <v>0.09</v>
      </c>
      <c r="DV9" s="1">
        <v>0</v>
      </c>
      <c r="DW9" s="1">
        <v>71</v>
      </c>
      <c r="DX9" s="1">
        <v>20092</v>
      </c>
      <c r="DY9" s="1">
        <v>9057</v>
      </c>
      <c r="DZ9" s="1">
        <v>15.409</v>
      </c>
      <c r="EA9" s="1">
        <v>6214</v>
      </c>
      <c r="EB9" s="1">
        <v>6193036</v>
      </c>
      <c r="EC9" s="1">
        <v>0</v>
      </c>
      <c r="ED9" s="1">
        <v>14.409</v>
      </c>
      <c r="EE9" s="1">
        <v>845</v>
      </c>
      <c r="EF9" s="1">
        <v>0</v>
      </c>
      <c r="EG9" s="1">
        <v>1</v>
      </c>
      <c r="EH9" s="1">
        <v>15.46</v>
      </c>
      <c r="EI9" s="1">
        <v>44</v>
      </c>
      <c r="EJ9" s="1">
        <v>6193108</v>
      </c>
      <c r="EK9" s="1">
        <v>1</v>
      </c>
      <c r="EL9" s="1" t="s">
        <v>56</v>
      </c>
      <c r="EM9" s="1">
        <v>15.46</v>
      </c>
      <c r="EN9" s="1">
        <v>0</v>
      </c>
      <c r="EO9" s="1">
        <v>10010</v>
      </c>
      <c r="EP9" s="1">
        <v>27546</v>
      </c>
      <c r="EQ9" s="1">
        <v>2463391</v>
      </c>
      <c r="ER9" s="1">
        <v>299.989</v>
      </c>
      <c r="ES9" s="1">
        <v>2116078</v>
      </c>
      <c r="ET9" s="1">
        <v>6193318</v>
      </c>
      <c r="EU9" s="1">
        <v>0</v>
      </c>
      <c r="EV9" s="1">
        <v>15.24899999999997</v>
      </c>
      <c r="EW9" s="1">
        <v>882</v>
      </c>
      <c r="EX9" s="1">
        <v>0</v>
      </c>
      <c r="EY9" s="1">
        <v>0</v>
      </c>
      <c r="EZ9" s="1">
        <v>600</v>
      </c>
      <c r="FA9" s="1">
        <v>5755</v>
      </c>
      <c r="FB9" s="1">
        <v>6548740</v>
      </c>
      <c r="FC9" s="1">
        <v>284.74</v>
      </c>
      <c r="FD9" s="1" t="s">
        <v>57</v>
      </c>
      <c r="FE9" s="1">
        <v>300</v>
      </c>
      <c r="FF9" s="1">
        <v>1</v>
      </c>
      <c r="FG9" s="1">
        <v>10082</v>
      </c>
      <c r="FH9" s="1">
        <v>34998</v>
      </c>
      <c r="FI9" s="1">
        <v>44451</v>
      </c>
      <c r="FJ9" s="1">
        <v>19.072</v>
      </c>
      <c r="FK9" s="1">
        <v>34150</v>
      </c>
      <c r="FL9" s="1">
        <v>6193466</v>
      </c>
      <c r="FM9" s="1">
        <v>0</v>
      </c>
      <c r="FN9" s="1">
        <v>15.012</v>
      </c>
      <c r="FO9" s="1">
        <v>864</v>
      </c>
      <c r="FP9" s="1">
        <v>0</v>
      </c>
      <c r="FQ9" s="1">
        <v>1</v>
      </c>
      <c r="FR9" s="1">
        <v>19.13</v>
      </c>
      <c r="FS9" s="1">
        <v>163</v>
      </c>
      <c r="FT9" s="1">
        <v>6556330</v>
      </c>
      <c r="FU9" s="1">
        <v>4.06</v>
      </c>
      <c r="FV9" s="1" t="s">
        <v>56</v>
      </c>
      <c r="FW9" s="1">
        <v>19.13</v>
      </c>
      <c r="FX9" s="1">
        <v>0</v>
      </c>
      <c r="FY9" s="1">
        <v>10086</v>
      </c>
      <c r="FZ9" s="1">
        <v>34998</v>
      </c>
      <c r="GA9" s="1">
        <v>21202</v>
      </c>
      <c r="GB9" s="1">
        <v>21.619</v>
      </c>
      <c r="GC9" s="1">
        <v>15463</v>
      </c>
      <c r="GD9" s="1">
        <v>7237586</v>
      </c>
      <c r="GE9" s="1">
        <v>0</v>
      </c>
      <c r="GF9" s="1">
        <v>16.559</v>
      </c>
      <c r="GG9" s="1">
        <v>996</v>
      </c>
      <c r="GH9" s="1">
        <v>0</v>
      </c>
      <c r="GI9" s="1">
        <v>1</v>
      </c>
      <c r="GJ9" s="1">
        <v>21.71</v>
      </c>
      <c r="GK9" s="1">
        <v>90</v>
      </c>
      <c r="GL9" s="1">
        <v>6556330</v>
      </c>
      <c r="GM9" s="1">
        <v>5.06</v>
      </c>
      <c r="GN9" s="1" t="s">
        <v>56</v>
      </c>
      <c r="GO9" s="1">
        <v>21.71</v>
      </c>
      <c r="GP9" s="1">
        <v>0</v>
      </c>
      <c r="GQ9" s="1">
        <v>358126</v>
      </c>
      <c r="GR9" s="1">
        <v>20090</v>
      </c>
      <c r="GS9" s="1">
        <v>9057</v>
      </c>
      <c r="GT9" s="1">
        <v>15.214</v>
      </c>
      <c r="GU9" s="1">
        <v>6214</v>
      </c>
      <c r="GV9" s="1">
        <v>6193036</v>
      </c>
      <c r="GW9" s="1">
        <v>0</v>
      </c>
      <c r="GX9" s="1">
        <v>14.374</v>
      </c>
      <c r="GY9" s="1">
        <v>846</v>
      </c>
      <c r="GZ9" s="1">
        <v>0</v>
      </c>
      <c r="HA9" s="1">
        <v>1</v>
      </c>
      <c r="HB9" s="1">
        <v>15.27</v>
      </c>
      <c r="HC9" s="1">
        <v>44</v>
      </c>
      <c r="HD9" s="1">
        <v>6193106</v>
      </c>
      <c r="HE9" s="1">
        <v>0.84</v>
      </c>
      <c r="HF9" s="1" t="s">
        <v>56</v>
      </c>
      <c r="HG9" s="1">
        <v>15.27</v>
      </c>
      <c r="HH9" s="1">
        <v>0</v>
      </c>
      <c r="HI9" s="1">
        <v>10010</v>
      </c>
      <c r="HJ9" s="1">
        <v>20093</v>
      </c>
      <c r="HK9" s="1">
        <v>70</v>
      </c>
      <c r="HL9" s="1">
        <v>15.327</v>
      </c>
      <c r="HM9" s="1">
        <v>0</v>
      </c>
      <c r="HN9" s="1">
        <v>6193036</v>
      </c>
      <c r="HO9" s="1">
        <v>0</v>
      </c>
      <c r="HP9" s="1">
        <v>15.297</v>
      </c>
      <c r="HQ9" s="1">
        <v>848</v>
      </c>
      <c r="HR9" s="1">
        <v>0</v>
      </c>
      <c r="HS9" s="1">
        <v>1</v>
      </c>
      <c r="HT9" s="1">
        <v>15.38</v>
      </c>
      <c r="HU9" s="1">
        <v>0</v>
      </c>
      <c r="HV9" s="1">
        <v>6193109</v>
      </c>
      <c r="HW9" s="1">
        <v>0.03</v>
      </c>
      <c r="HX9" s="1" t="s">
        <v>56</v>
      </c>
      <c r="HY9" s="1">
        <v>15.38</v>
      </c>
      <c r="HZ9" s="1">
        <v>0</v>
      </c>
      <c r="IA9" s="1">
        <v>10010</v>
      </c>
      <c r="IB9" s="1">
        <v>383041</v>
      </c>
      <c r="IC9" s="1">
        <v>347</v>
      </c>
      <c r="ID9" s="1">
        <v>299.988</v>
      </c>
      <c r="IE9" s="1">
        <v>156</v>
      </c>
      <c r="IF9" s="1">
        <v>7237446</v>
      </c>
      <c r="IG9" s="1">
        <v>0</v>
      </c>
      <c r="IH9" s="1">
        <v>28.16800000000001</v>
      </c>
      <c r="II9" s="1">
        <v>1164</v>
      </c>
      <c r="IJ9" s="1">
        <v>0</v>
      </c>
      <c r="IK9" s="1">
        <v>0</v>
      </c>
      <c r="IL9" s="1">
        <v>600</v>
      </c>
      <c r="IM9" s="1">
        <v>2</v>
      </c>
      <c r="IN9" s="1">
        <v>6556333</v>
      </c>
      <c r="IO9" s="1">
        <v>271.82</v>
      </c>
      <c r="IP9" s="1" t="s">
        <v>57</v>
      </c>
      <c r="IQ9" s="1">
        <v>300</v>
      </c>
      <c r="IR9" s="1">
        <v>1</v>
      </c>
      <c r="IS9" s="1">
        <v>358056</v>
      </c>
      <c r="IT9" s="1">
        <v>216</v>
      </c>
      <c r="IU9" s="1">
        <v>68</v>
      </c>
      <c r="IV9" s="1">
        <v>0.043</v>
      </c>
      <c r="IW9" s="1">
        <v>0</v>
      </c>
      <c r="IX9" s="1">
        <v>2</v>
      </c>
      <c r="IY9" s="1">
        <v>0</v>
      </c>
      <c r="IZ9" s="1">
        <v>0.023</v>
      </c>
      <c r="JA9" s="1">
        <v>0</v>
      </c>
      <c r="JB9" s="1">
        <v>0</v>
      </c>
      <c r="JC9" s="1">
        <v>1</v>
      </c>
      <c r="JD9" s="1">
        <v>0.06</v>
      </c>
      <c r="JE9" s="1">
        <v>0</v>
      </c>
      <c r="JF9" s="1">
        <v>217</v>
      </c>
      <c r="JG9" s="1">
        <v>0.02</v>
      </c>
      <c r="JH9" s="1" t="s">
        <v>56</v>
      </c>
      <c r="JI9" s="1">
        <v>0.06</v>
      </c>
      <c r="JJ9" s="1">
        <v>0</v>
      </c>
      <c r="JK9" s="1">
        <v>71</v>
      </c>
      <c r="JL9" s="1">
        <v>20093</v>
      </c>
      <c r="JM9" s="1">
        <v>9057</v>
      </c>
      <c r="JN9" s="1">
        <v>16.492</v>
      </c>
      <c r="JO9" s="1">
        <v>6214</v>
      </c>
      <c r="JP9" s="1">
        <v>6193036</v>
      </c>
      <c r="JQ9" s="1">
        <v>0</v>
      </c>
      <c r="JR9" s="1">
        <v>14.452</v>
      </c>
      <c r="JS9" s="1">
        <v>848</v>
      </c>
      <c r="JT9" s="1">
        <v>0</v>
      </c>
      <c r="JU9" s="1">
        <v>1</v>
      </c>
      <c r="JV9" s="1">
        <v>16.55</v>
      </c>
      <c r="JW9" s="1">
        <v>44</v>
      </c>
      <c r="JX9" s="1">
        <v>6193109</v>
      </c>
      <c r="JY9" s="1">
        <v>2.04</v>
      </c>
      <c r="JZ9" s="1" t="s">
        <v>56</v>
      </c>
      <c r="KA9" s="1">
        <v>16.55</v>
      </c>
      <c r="KB9" s="1">
        <v>0</v>
      </c>
      <c r="KC9" s="1">
        <v>10010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>
        <v>35881</v>
      </c>
      <c r="C10" s="1">
        <v>1688976</v>
      </c>
      <c r="D10" s="1">
        <v>299.999</v>
      </c>
      <c r="E10" s="1">
        <v>1400879</v>
      </c>
      <c r="F10" s="1">
        <v>10521078</v>
      </c>
      <c r="G10" s="1">
        <v>0</v>
      </c>
      <c r="H10" s="1">
        <v>22.17900000000003</v>
      </c>
      <c r="I10" s="1">
        <v>1363</v>
      </c>
      <c r="J10" s="1">
        <v>0</v>
      </c>
      <c r="K10" s="1">
        <v>0</v>
      </c>
      <c r="L10" s="1">
        <v>600</v>
      </c>
      <c r="M10" s="1">
        <v>4093</v>
      </c>
      <c r="N10" s="1">
        <v>11049275</v>
      </c>
      <c r="O10" s="1">
        <v>277.82</v>
      </c>
      <c r="P10" s="1" t="s">
        <v>57</v>
      </c>
      <c r="Q10" s="1">
        <v>300</v>
      </c>
      <c r="R10" s="1">
        <v>1</v>
      </c>
      <c r="S10" s="1">
        <v>13122</v>
      </c>
      <c r="T10" s="1">
        <v>45598</v>
      </c>
      <c r="U10" s="1">
        <v>48687</v>
      </c>
      <c r="V10" s="1">
        <v>34.379</v>
      </c>
      <c r="W10" s="1">
        <v>35332</v>
      </c>
      <c r="X10" s="1">
        <v>10521246</v>
      </c>
      <c r="Y10" s="1">
        <v>0</v>
      </c>
      <c r="Z10" s="1">
        <v>27.289</v>
      </c>
      <c r="AA10" s="1">
        <v>1339</v>
      </c>
      <c r="AB10" s="1">
        <v>0</v>
      </c>
      <c r="AC10" s="1">
        <v>1</v>
      </c>
      <c r="AD10" s="1">
        <v>34.47</v>
      </c>
      <c r="AE10" s="1">
        <v>182</v>
      </c>
      <c r="AF10" s="1">
        <v>11059150</v>
      </c>
      <c r="AG10" s="1">
        <v>7.09</v>
      </c>
      <c r="AH10" s="1" t="s">
        <v>56</v>
      </c>
      <c r="AI10" s="1">
        <v>34.47</v>
      </c>
      <c r="AJ10" s="1">
        <v>0</v>
      </c>
      <c r="AK10" s="1">
        <v>13126</v>
      </c>
      <c r="AL10" s="1">
        <v>45598</v>
      </c>
      <c r="AM10" s="1">
        <v>95489</v>
      </c>
      <c r="AN10" s="1">
        <v>65.614</v>
      </c>
      <c r="AO10" s="1">
        <v>72454</v>
      </c>
      <c r="AP10" s="1">
        <v>12076926</v>
      </c>
      <c r="AQ10" s="1">
        <v>0</v>
      </c>
      <c r="AR10" s="1">
        <v>30.334</v>
      </c>
      <c r="AS10" s="1">
        <v>1529</v>
      </c>
      <c r="AT10" s="1">
        <v>0</v>
      </c>
      <c r="AU10" s="1">
        <v>1</v>
      </c>
      <c r="AV10" s="1">
        <v>65.90000000000001</v>
      </c>
      <c r="AW10" s="1">
        <v>315</v>
      </c>
      <c r="AX10" s="1">
        <v>11059150</v>
      </c>
      <c r="AY10" s="1">
        <v>35.28</v>
      </c>
      <c r="AZ10" s="1" t="s">
        <v>56</v>
      </c>
      <c r="BA10" s="1">
        <v>65.90000000000001</v>
      </c>
      <c r="BB10" s="1">
        <v>0</v>
      </c>
      <c r="BC10" s="1">
        <v>531686</v>
      </c>
      <c r="BD10" s="1">
        <v>26160</v>
      </c>
      <c r="BE10" s="1">
        <v>46558</v>
      </c>
      <c r="BF10" s="1">
        <v>33.87</v>
      </c>
      <c r="BG10" s="1">
        <v>34310</v>
      </c>
      <c r="BH10" s="1">
        <v>10520756</v>
      </c>
      <c r="BI10" s="1">
        <v>0</v>
      </c>
      <c r="BJ10" s="1">
        <v>27.31</v>
      </c>
      <c r="BK10" s="1">
        <v>1314</v>
      </c>
      <c r="BL10" s="1">
        <v>0</v>
      </c>
      <c r="BM10" s="1">
        <v>1</v>
      </c>
      <c r="BN10" s="1">
        <v>33.95</v>
      </c>
      <c r="BO10" s="1">
        <v>167</v>
      </c>
      <c r="BP10" s="1">
        <v>10520836</v>
      </c>
      <c r="BQ10" s="1">
        <v>6.56</v>
      </c>
      <c r="BR10" s="1" t="s">
        <v>56</v>
      </c>
      <c r="BS10" s="1">
        <v>33.95</v>
      </c>
      <c r="BT10" s="1">
        <v>0</v>
      </c>
      <c r="BU10" s="1">
        <v>13040</v>
      </c>
      <c r="BV10" s="1">
        <v>26162</v>
      </c>
      <c r="BW10" s="1">
        <v>80</v>
      </c>
      <c r="BX10" s="1">
        <v>26.134</v>
      </c>
      <c r="BY10" s="1">
        <v>0</v>
      </c>
      <c r="BZ10" s="1">
        <v>10520756</v>
      </c>
      <c r="CA10" s="1">
        <v>0</v>
      </c>
      <c r="CB10" s="1">
        <v>26.124</v>
      </c>
      <c r="CC10" s="1">
        <v>1313</v>
      </c>
      <c r="CD10" s="1">
        <v>0</v>
      </c>
      <c r="CE10" s="1">
        <v>1</v>
      </c>
      <c r="CF10" s="1">
        <v>26.21</v>
      </c>
      <c r="CG10" s="1">
        <v>0</v>
      </c>
      <c r="CH10" s="1">
        <v>10520838</v>
      </c>
      <c r="CI10" s="1">
        <v>0.01</v>
      </c>
      <c r="CJ10" s="1" t="s">
        <v>56</v>
      </c>
      <c r="CK10" s="1">
        <v>26.21</v>
      </c>
      <c r="CL10" s="1">
        <v>0</v>
      </c>
      <c r="CM10" s="1">
        <v>13040</v>
      </c>
      <c r="CN10" s="1">
        <v>564160</v>
      </c>
      <c r="CO10" s="1">
        <v>7163</v>
      </c>
      <c r="CP10" s="1">
        <v>299.989</v>
      </c>
      <c r="CQ10" s="1">
        <v>4901</v>
      </c>
      <c r="CR10" s="1">
        <v>12076766</v>
      </c>
      <c r="CS10" s="1">
        <v>0</v>
      </c>
      <c r="CT10" s="1">
        <v>31.54899999999998</v>
      </c>
      <c r="CU10" s="1">
        <v>1917</v>
      </c>
      <c r="CV10" s="1">
        <v>0</v>
      </c>
      <c r="CW10" s="1">
        <v>0</v>
      </c>
      <c r="CX10" s="1">
        <v>600</v>
      </c>
      <c r="CY10" s="1">
        <v>30</v>
      </c>
      <c r="CZ10" s="1">
        <v>11059152</v>
      </c>
      <c r="DA10" s="1">
        <v>268.44</v>
      </c>
      <c r="DB10" s="1" t="s">
        <v>57</v>
      </c>
      <c r="DC10" s="1">
        <v>300</v>
      </c>
      <c r="DD10" s="1">
        <v>1</v>
      </c>
      <c r="DE10" s="1">
        <v>531606</v>
      </c>
      <c r="DF10" s="1">
        <v>245</v>
      </c>
      <c r="DG10" s="1">
        <v>77</v>
      </c>
      <c r="DH10" s="1">
        <v>0.002</v>
      </c>
      <c r="DI10" s="1">
        <v>0</v>
      </c>
      <c r="DJ10" s="1">
        <v>2</v>
      </c>
      <c r="DK10" s="1">
        <v>0</v>
      </c>
      <c r="DL10" s="1">
        <v>0.002</v>
      </c>
      <c r="DM10" s="1">
        <v>0</v>
      </c>
      <c r="DN10" s="1">
        <v>0</v>
      </c>
      <c r="DO10" s="1">
        <v>1</v>
      </c>
      <c r="DP10" s="1">
        <v>0.02</v>
      </c>
      <c r="DQ10" s="1">
        <v>0</v>
      </c>
      <c r="DR10" s="1">
        <v>246</v>
      </c>
      <c r="DS10" s="1">
        <v>0</v>
      </c>
      <c r="DT10" s="1" t="s">
        <v>56</v>
      </c>
      <c r="DU10" s="1">
        <v>0.02</v>
      </c>
      <c r="DV10" s="1">
        <v>0</v>
      </c>
      <c r="DW10" s="1">
        <v>81</v>
      </c>
      <c r="DX10" s="1">
        <v>26162</v>
      </c>
      <c r="DY10" s="1">
        <v>46558</v>
      </c>
      <c r="DZ10" s="1">
        <v>29.632</v>
      </c>
      <c r="EA10" s="1">
        <v>34310</v>
      </c>
      <c r="EB10" s="1">
        <v>10520756</v>
      </c>
      <c r="EC10" s="1">
        <v>0</v>
      </c>
      <c r="ED10" s="1">
        <v>21.692</v>
      </c>
      <c r="EE10" s="1">
        <v>1312</v>
      </c>
      <c r="EF10" s="1">
        <v>0</v>
      </c>
      <c r="EG10" s="1">
        <v>1</v>
      </c>
      <c r="EH10" s="1">
        <v>29.68</v>
      </c>
      <c r="EI10" s="1">
        <v>167</v>
      </c>
      <c r="EJ10" s="1">
        <v>10520838</v>
      </c>
      <c r="EK10" s="1">
        <v>7.94</v>
      </c>
      <c r="EL10" s="1" t="s">
        <v>56</v>
      </c>
      <c r="EM10" s="1">
        <v>29.68</v>
      </c>
      <c r="EN10" s="1">
        <v>0</v>
      </c>
      <c r="EO10" s="1">
        <v>13040</v>
      </c>
      <c r="EP10" s="1">
        <v>35881</v>
      </c>
      <c r="EQ10" s="1">
        <v>1539301</v>
      </c>
      <c r="ER10" s="1">
        <v>299.981</v>
      </c>
      <c r="ES10" s="1">
        <v>1269399</v>
      </c>
      <c r="ET10" s="1">
        <v>10521078</v>
      </c>
      <c r="EU10" s="1">
        <v>0</v>
      </c>
      <c r="EV10" s="1">
        <v>27.31099999999998</v>
      </c>
      <c r="EW10" s="1">
        <v>1363</v>
      </c>
      <c r="EX10" s="1">
        <v>0</v>
      </c>
      <c r="EY10" s="1">
        <v>0</v>
      </c>
      <c r="EZ10" s="1">
        <v>600</v>
      </c>
      <c r="FA10" s="1">
        <v>3834</v>
      </c>
      <c r="FB10" s="1">
        <v>11049275</v>
      </c>
      <c r="FC10" s="1">
        <v>272.67</v>
      </c>
      <c r="FD10" s="1" t="s">
        <v>57</v>
      </c>
      <c r="FE10" s="1">
        <v>300</v>
      </c>
      <c r="FF10" s="1">
        <v>1</v>
      </c>
      <c r="FG10" s="1">
        <v>13122</v>
      </c>
      <c r="FH10" s="1">
        <v>45598</v>
      </c>
      <c r="FI10" s="1">
        <v>48687</v>
      </c>
      <c r="FJ10" s="1">
        <v>35.047</v>
      </c>
      <c r="FK10" s="1">
        <v>35332</v>
      </c>
      <c r="FL10" s="1">
        <v>10521246</v>
      </c>
      <c r="FM10" s="1">
        <v>0</v>
      </c>
      <c r="FN10" s="1">
        <v>27.787</v>
      </c>
      <c r="FO10" s="1">
        <v>1340</v>
      </c>
      <c r="FP10" s="1">
        <v>0</v>
      </c>
      <c r="FQ10" s="1">
        <v>1</v>
      </c>
      <c r="FR10" s="1">
        <v>35.13</v>
      </c>
      <c r="FS10" s="1">
        <v>182</v>
      </c>
      <c r="FT10" s="1">
        <v>11059150</v>
      </c>
      <c r="FU10" s="1">
        <v>7.26</v>
      </c>
      <c r="FV10" s="1" t="s">
        <v>56</v>
      </c>
      <c r="FW10" s="1">
        <v>35.13</v>
      </c>
      <c r="FX10" s="1">
        <v>0</v>
      </c>
      <c r="FY10" s="1">
        <v>13126</v>
      </c>
      <c r="FZ10" s="1">
        <v>45598</v>
      </c>
      <c r="GA10" s="1">
        <v>95489</v>
      </c>
      <c r="GB10" s="1">
        <v>68.166</v>
      </c>
      <c r="GC10" s="1">
        <v>72454</v>
      </c>
      <c r="GD10" s="1">
        <v>12076926</v>
      </c>
      <c r="GE10" s="1">
        <v>0</v>
      </c>
      <c r="GF10" s="1">
        <v>30.136</v>
      </c>
      <c r="GG10" s="1">
        <v>1530</v>
      </c>
      <c r="GH10" s="1">
        <v>0</v>
      </c>
      <c r="GI10" s="1">
        <v>1</v>
      </c>
      <c r="GJ10" s="1">
        <v>68.29000000000001</v>
      </c>
      <c r="GK10" s="1">
        <v>315</v>
      </c>
      <c r="GL10" s="1">
        <v>11059150</v>
      </c>
      <c r="GM10" s="1">
        <v>38.03</v>
      </c>
      <c r="GN10" s="1" t="s">
        <v>56</v>
      </c>
      <c r="GO10" s="1">
        <v>68.29000000000001</v>
      </c>
      <c r="GP10" s="1">
        <v>0</v>
      </c>
      <c r="GQ10" s="1">
        <v>531686</v>
      </c>
      <c r="GR10" s="1">
        <v>26160</v>
      </c>
      <c r="GS10" s="1">
        <v>46558</v>
      </c>
      <c r="GT10" s="1">
        <v>32.355</v>
      </c>
      <c r="GU10" s="1">
        <v>34310</v>
      </c>
      <c r="GV10" s="1">
        <v>10520756</v>
      </c>
      <c r="GW10" s="1">
        <v>0</v>
      </c>
      <c r="GX10" s="1">
        <v>25.805</v>
      </c>
      <c r="GY10" s="1">
        <v>1314</v>
      </c>
      <c r="GZ10" s="1">
        <v>0</v>
      </c>
      <c r="HA10" s="1">
        <v>1</v>
      </c>
      <c r="HB10" s="1">
        <v>32.44</v>
      </c>
      <c r="HC10" s="1">
        <v>167</v>
      </c>
      <c r="HD10" s="1">
        <v>10520836</v>
      </c>
      <c r="HE10" s="1">
        <v>6.55</v>
      </c>
      <c r="HF10" s="1" t="s">
        <v>56</v>
      </c>
      <c r="HG10" s="1">
        <v>32.44</v>
      </c>
      <c r="HH10" s="1">
        <v>0</v>
      </c>
      <c r="HI10" s="1">
        <v>13040</v>
      </c>
      <c r="HJ10" s="1">
        <v>26163</v>
      </c>
      <c r="HK10" s="1">
        <v>80</v>
      </c>
      <c r="HL10" s="1">
        <v>27.667</v>
      </c>
      <c r="HM10" s="1">
        <v>0</v>
      </c>
      <c r="HN10" s="1">
        <v>10520756</v>
      </c>
      <c r="HO10" s="1">
        <v>0</v>
      </c>
      <c r="HP10" s="1">
        <v>27.627</v>
      </c>
      <c r="HQ10" s="1">
        <v>1316</v>
      </c>
      <c r="HR10" s="1">
        <v>0</v>
      </c>
      <c r="HS10" s="1">
        <v>1</v>
      </c>
      <c r="HT10" s="1">
        <v>27.75</v>
      </c>
      <c r="HU10" s="1">
        <v>0</v>
      </c>
      <c r="HV10" s="1">
        <v>10520839</v>
      </c>
      <c r="HW10" s="1">
        <v>0.04</v>
      </c>
      <c r="HX10" s="1" t="s">
        <v>56</v>
      </c>
      <c r="HY10" s="1">
        <v>27.75</v>
      </c>
      <c r="HZ10" s="1">
        <v>0</v>
      </c>
      <c r="IA10" s="1">
        <v>13040</v>
      </c>
      <c r="IB10" s="1">
        <v>564161</v>
      </c>
      <c r="IC10" s="1">
        <v>59</v>
      </c>
      <c r="ID10" s="1">
        <v>299.999</v>
      </c>
      <c r="IE10" s="1">
        <v>0</v>
      </c>
      <c r="IF10" s="1">
        <v>12076766</v>
      </c>
      <c r="IG10" s="1">
        <v>0</v>
      </c>
      <c r="IH10" s="1">
        <v>40.00900000000001</v>
      </c>
      <c r="II10" s="1">
        <v>1798</v>
      </c>
      <c r="IJ10" s="1">
        <v>0</v>
      </c>
      <c r="IK10" s="1">
        <v>0</v>
      </c>
      <c r="IL10" s="1">
        <v>600</v>
      </c>
      <c r="IM10" s="1">
        <v>0</v>
      </c>
      <c r="IN10" s="1">
        <v>11059153</v>
      </c>
      <c r="IO10" s="1">
        <v>259.99</v>
      </c>
      <c r="IP10" s="1" t="s">
        <v>57</v>
      </c>
      <c r="IQ10" s="1">
        <v>300</v>
      </c>
      <c r="IR10" s="1">
        <v>1</v>
      </c>
      <c r="IS10" s="1">
        <v>531606</v>
      </c>
      <c r="IT10" s="1">
        <v>246</v>
      </c>
      <c r="IU10" s="1">
        <v>77</v>
      </c>
      <c r="IV10" s="1">
        <v>0.08</v>
      </c>
      <c r="IW10" s="1">
        <v>0</v>
      </c>
      <c r="IX10" s="1">
        <v>2</v>
      </c>
      <c r="IY10" s="1">
        <v>0</v>
      </c>
      <c r="IZ10" s="1">
        <v>0.05</v>
      </c>
      <c r="JA10" s="1">
        <v>13</v>
      </c>
      <c r="JB10" s="1">
        <v>0</v>
      </c>
      <c r="JC10" s="1">
        <v>1</v>
      </c>
      <c r="JD10" s="1">
        <v>0.13</v>
      </c>
      <c r="JE10" s="1">
        <v>0</v>
      </c>
      <c r="JF10" s="1">
        <v>247</v>
      </c>
      <c r="JG10" s="1">
        <v>0.03</v>
      </c>
      <c r="JH10" s="1" t="s">
        <v>56</v>
      </c>
      <c r="JI10" s="1">
        <v>0.13</v>
      </c>
      <c r="JJ10" s="1">
        <v>0</v>
      </c>
      <c r="JK10" s="1">
        <v>81</v>
      </c>
      <c r="JL10" s="1">
        <v>26163</v>
      </c>
      <c r="JM10" s="1">
        <v>46558</v>
      </c>
      <c r="JN10" s="1">
        <v>39.846</v>
      </c>
      <c r="JO10" s="1">
        <v>34310</v>
      </c>
      <c r="JP10" s="1">
        <v>10520756</v>
      </c>
      <c r="JQ10" s="1">
        <v>0</v>
      </c>
      <c r="JR10" s="1">
        <v>26.42599999999999</v>
      </c>
      <c r="JS10" s="1">
        <v>1316</v>
      </c>
      <c r="JT10" s="1">
        <v>0</v>
      </c>
      <c r="JU10" s="1">
        <v>1</v>
      </c>
      <c r="JV10" s="1">
        <v>40.03</v>
      </c>
      <c r="JW10" s="1">
        <v>167</v>
      </c>
      <c r="JX10" s="1">
        <v>10520839</v>
      </c>
      <c r="JY10" s="1">
        <v>13.42</v>
      </c>
      <c r="JZ10" s="1" t="s">
        <v>56</v>
      </c>
      <c r="KA10" s="1">
        <v>40.03</v>
      </c>
      <c r="KB10" s="1">
        <v>0</v>
      </c>
      <c r="KC10" s="1">
        <v>13040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>
        <v>45316</v>
      </c>
      <c r="C11" s="1">
        <v>1031423</v>
      </c>
      <c r="D11" s="1">
        <v>299.976</v>
      </c>
      <c r="E11" s="1">
        <v>836379</v>
      </c>
      <c r="F11" s="1">
        <v>16798588</v>
      </c>
      <c r="G11" s="1">
        <v>0</v>
      </c>
      <c r="H11" s="1">
        <v>47.096</v>
      </c>
      <c r="I11" s="1">
        <v>2214</v>
      </c>
      <c r="J11" s="1">
        <v>0</v>
      </c>
      <c r="K11" s="1">
        <v>0</v>
      </c>
      <c r="L11" s="1">
        <v>600</v>
      </c>
      <c r="M11" s="1">
        <v>2421</v>
      </c>
      <c r="N11" s="1">
        <v>17548060</v>
      </c>
      <c r="O11" s="1">
        <v>252.88</v>
      </c>
      <c r="P11" s="1" t="s">
        <v>57</v>
      </c>
      <c r="Q11" s="1">
        <v>300</v>
      </c>
      <c r="R11" s="1">
        <v>1</v>
      </c>
      <c r="S11" s="1">
        <v>16562</v>
      </c>
      <c r="T11" s="1">
        <v>57598</v>
      </c>
      <c r="U11" s="1">
        <v>52437</v>
      </c>
      <c r="V11" s="1">
        <v>47.722</v>
      </c>
      <c r="W11" s="1">
        <v>36762</v>
      </c>
      <c r="X11" s="1">
        <v>16798776</v>
      </c>
      <c r="Y11" s="1">
        <v>0</v>
      </c>
      <c r="Z11" s="1">
        <v>36.862</v>
      </c>
      <c r="AA11" s="1">
        <v>2178</v>
      </c>
      <c r="AB11" s="1">
        <v>0</v>
      </c>
      <c r="AC11" s="1">
        <v>1</v>
      </c>
      <c r="AD11" s="1">
        <v>47.78</v>
      </c>
      <c r="AE11" s="1">
        <v>188</v>
      </c>
      <c r="AF11" s="1">
        <v>17560520</v>
      </c>
      <c r="AG11" s="1">
        <v>10.86</v>
      </c>
      <c r="AH11" s="1" t="s">
        <v>56</v>
      </c>
      <c r="AI11" s="1">
        <v>47.78</v>
      </c>
      <c r="AJ11" s="1">
        <v>0</v>
      </c>
      <c r="AK11" s="1">
        <v>16566</v>
      </c>
      <c r="AL11" s="1">
        <v>57598</v>
      </c>
      <c r="AM11" s="1">
        <v>49550</v>
      </c>
      <c r="AN11" s="1">
        <v>74.812</v>
      </c>
      <c r="AO11" s="1">
        <v>34694</v>
      </c>
      <c r="AP11" s="1">
        <v>19010616</v>
      </c>
      <c r="AQ11" s="1">
        <v>0</v>
      </c>
      <c r="AR11" s="1">
        <v>47.912</v>
      </c>
      <c r="AS11" s="1">
        <v>2481</v>
      </c>
      <c r="AT11" s="1">
        <v>0</v>
      </c>
      <c r="AU11" s="1">
        <v>1</v>
      </c>
      <c r="AV11" s="1">
        <v>74.95999999999999</v>
      </c>
      <c r="AW11" s="1">
        <v>178</v>
      </c>
      <c r="AX11" s="1">
        <v>17560520</v>
      </c>
      <c r="AY11" s="1">
        <v>26.9</v>
      </c>
      <c r="AZ11" s="1" t="s">
        <v>56</v>
      </c>
      <c r="BA11" s="1">
        <v>74.95999999999999</v>
      </c>
      <c r="BB11" s="1">
        <v>0</v>
      </c>
      <c r="BC11" s="1">
        <v>753846</v>
      </c>
      <c r="BD11" s="1">
        <v>33030</v>
      </c>
      <c r="BE11" s="1">
        <v>91570</v>
      </c>
      <c r="BF11" s="1">
        <v>64.26300000000001</v>
      </c>
      <c r="BG11" s="1">
        <v>67511</v>
      </c>
      <c r="BH11" s="1">
        <v>16798226</v>
      </c>
      <c r="BI11" s="1">
        <v>0</v>
      </c>
      <c r="BJ11" s="1">
        <v>45.783</v>
      </c>
      <c r="BK11" s="1">
        <v>2143</v>
      </c>
      <c r="BL11" s="1">
        <v>0</v>
      </c>
      <c r="BM11" s="1">
        <v>1</v>
      </c>
      <c r="BN11" s="1">
        <v>64.37</v>
      </c>
      <c r="BO11" s="1">
        <v>289</v>
      </c>
      <c r="BP11" s="1">
        <v>16798316</v>
      </c>
      <c r="BQ11" s="1">
        <v>18.48</v>
      </c>
      <c r="BR11" s="1" t="s">
        <v>56</v>
      </c>
      <c r="BS11" s="1">
        <v>64.37</v>
      </c>
      <c r="BT11" s="1">
        <v>0</v>
      </c>
      <c r="BU11" s="1">
        <v>16470</v>
      </c>
      <c r="BV11" s="1">
        <v>33032</v>
      </c>
      <c r="BW11" s="1">
        <v>90</v>
      </c>
      <c r="BX11" s="1">
        <v>34.612</v>
      </c>
      <c r="BY11" s="1">
        <v>0</v>
      </c>
      <c r="BZ11" s="1">
        <v>16798226</v>
      </c>
      <c r="CA11" s="1">
        <v>0</v>
      </c>
      <c r="CB11" s="1">
        <v>34.602</v>
      </c>
      <c r="CC11" s="1">
        <v>2144</v>
      </c>
      <c r="CD11" s="1">
        <v>0</v>
      </c>
      <c r="CE11" s="1">
        <v>1</v>
      </c>
      <c r="CF11" s="1">
        <v>34.67</v>
      </c>
      <c r="CG11" s="1">
        <v>0</v>
      </c>
      <c r="CH11" s="1">
        <v>16798318</v>
      </c>
      <c r="CI11" s="1">
        <v>0.01</v>
      </c>
      <c r="CJ11" s="1" t="s">
        <v>56</v>
      </c>
      <c r="CK11" s="1">
        <v>34.67</v>
      </c>
      <c r="CL11" s="1">
        <v>0</v>
      </c>
      <c r="CM11" s="1">
        <v>16470</v>
      </c>
      <c r="CN11" s="1">
        <v>794880</v>
      </c>
      <c r="CO11" s="1">
        <v>4204</v>
      </c>
      <c r="CP11" s="1">
        <v>299.909</v>
      </c>
      <c r="CQ11" s="1">
        <v>2459</v>
      </c>
      <c r="CR11" s="1">
        <v>19010436</v>
      </c>
      <c r="CS11" s="1">
        <v>0</v>
      </c>
      <c r="CT11" s="1">
        <v>50.94899999999998</v>
      </c>
      <c r="CU11" s="1">
        <v>3002</v>
      </c>
      <c r="CV11" s="1">
        <v>0</v>
      </c>
      <c r="CW11" s="1">
        <v>0</v>
      </c>
      <c r="CX11" s="1">
        <v>600</v>
      </c>
      <c r="CY11" s="1">
        <v>20</v>
      </c>
      <c r="CZ11" s="1">
        <v>17560522</v>
      </c>
      <c r="DA11" s="1">
        <v>248.96</v>
      </c>
      <c r="DB11" s="1" t="s">
        <v>57</v>
      </c>
      <c r="DC11" s="1">
        <v>300</v>
      </c>
      <c r="DD11" s="1">
        <v>1</v>
      </c>
      <c r="DE11" s="1">
        <v>753756</v>
      </c>
      <c r="DF11" s="1">
        <v>275</v>
      </c>
      <c r="DG11" s="1">
        <v>88</v>
      </c>
      <c r="DH11" s="1">
        <v>0.003</v>
      </c>
      <c r="DI11" s="1">
        <v>0</v>
      </c>
      <c r="DJ11" s="1">
        <v>2</v>
      </c>
      <c r="DK11" s="1">
        <v>0</v>
      </c>
      <c r="DL11" s="1">
        <v>0.003</v>
      </c>
      <c r="DM11" s="1">
        <v>0</v>
      </c>
      <c r="DN11" s="1">
        <v>0</v>
      </c>
      <c r="DO11" s="1">
        <v>1</v>
      </c>
      <c r="DP11" s="1">
        <v>0.02</v>
      </c>
      <c r="DQ11" s="1">
        <v>0</v>
      </c>
      <c r="DR11" s="1">
        <v>276</v>
      </c>
      <c r="DS11" s="1">
        <v>0</v>
      </c>
      <c r="DT11" s="1" t="s">
        <v>56</v>
      </c>
      <c r="DU11" s="1">
        <v>0.02</v>
      </c>
      <c r="DV11" s="1">
        <v>0</v>
      </c>
      <c r="DW11" s="1">
        <v>91</v>
      </c>
      <c r="DX11" s="1">
        <v>33032</v>
      </c>
      <c r="DY11" s="1">
        <v>91570</v>
      </c>
      <c r="DZ11" s="1">
        <v>63.563</v>
      </c>
      <c r="EA11" s="1">
        <v>67511</v>
      </c>
      <c r="EB11" s="1">
        <v>16798226</v>
      </c>
      <c r="EC11" s="1">
        <v>0</v>
      </c>
      <c r="ED11" s="1">
        <v>43.473</v>
      </c>
      <c r="EE11" s="1">
        <v>2145</v>
      </c>
      <c r="EF11" s="1">
        <v>0</v>
      </c>
      <c r="EG11" s="1">
        <v>1</v>
      </c>
      <c r="EH11" s="1">
        <v>63.67</v>
      </c>
      <c r="EI11" s="1">
        <v>289</v>
      </c>
      <c r="EJ11" s="1">
        <v>16798318</v>
      </c>
      <c r="EK11" s="1">
        <v>20.09</v>
      </c>
      <c r="EL11" s="1" t="s">
        <v>56</v>
      </c>
      <c r="EM11" s="1">
        <v>63.67</v>
      </c>
      <c r="EN11" s="1">
        <v>0</v>
      </c>
      <c r="EO11" s="1">
        <v>16470</v>
      </c>
      <c r="EP11" s="1">
        <v>45316</v>
      </c>
      <c r="EQ11" s="1">
        <v>1019429</v>
      </c>
      <c r="ER11" s="1">
        <v>299.977</v>
      </c>
      <c r="ES11" s="1">
        <v>828409</v>
      </c>
      <c r="ET11" s="1">
        <v>16798588</v>
      </c>
      <c r="EU11" s="1">
        <v>0</v>
      </c>
      <c r="EV11" s="1">
        <v>45.37699999999998</v>
      </c>
      <c r="EW11" s="1">
        <v>2216</v>
      </c>
      <c r="EX11" s="1">
        <v>0</v>
      </c>
      <c r="EY11" s="1">
        <v>0</v>
      </c>
      <c r="EZ11" s="1">
        <v>600</v>
      </c>
      <c r="FA11" s="1">
        <v>2372</v>
      </c>
      <c r="FB11" s="1">
        <v>17548060</v>
      </c>
      <c r="FC11" s="1">
        <v>254.6</v>
      </c>
      <c r="FD11" s="1" t="s">
        <v>57</v>
      </c>
      <c r="FE11" s="1">
        <v>300</v>
      </c>
      <c r="FF11" s="1">
        <v>1</v>
      </c>
      <c r="FG11" s="1">
        <v>16562</v>
      </c>
      <c r="FH11" s="1">
        <v>57598</v>
      </c>
      <c r="FI11" s="1">
        <v>52437</v>
      </c>
      <c r="FJ11" s="1">
        <v>55.738</v>
      </c>
      <c r="FK11" s="1">
        <v>36762</v>
      </c>
      <c r="FL11" s="1">
        <v>16798776</v>
      </c>
      <c r="FM11" s="1">
        <v>0</v>
      </c>
      <c r="FN11" s="1">
        <v>45.138</v>
      </c>
      <c r="FO11" s="1">
        <v>2179</v>
      </c>
      <c r="FP11" s="1">
        <v>0</v>
      </c>
      <c r="FQ11" s="1">
        <v>1</v>
      </c>
      <c r="FR11" s="1">
        <v>55.85</v>
      </c>
      <c r="FS11" s="1">
        <v>188</v>
      </c>
      <c r="FT11" s="1">
        <v>17560520</v>
      </c>
      <c r="FU11" s="1">
        <v>10.6</v>
      </c>
      <c r="FV11" s="1" t="s">
        <v>56</v>
      </c>
      <c r="FW11" s="1">
        <v>55.85</v>
      </c>
      <c r="FX11" s="1">
        <v>0</v>
      </c>
      <c r="FY11" s="1">
        <v>16566</v>
      </c>
      <c r="FZ11" s="1">
        <v>57598</v>
      </c>
      <c r="GA11" s="1">
        <v>49550</v>
      </c>
      <c r="GB11" s="1">
        <v>78.68300000000001</v>
      </c>
      <c r="GC11" s="1">
        <v>34694</v>
      </c>
      <c r="GD11" s="1">
        <v>19010616</v>
      </c>
      <c r="GE11" s="1">
        <v>0</v>
      </c>
      <c r="GF11" s="1">
        <v>49.93300000000001</v>
      </c>
      <c r="GG11" s="1">
        <v>2431</v>
      </c>
      <c r="GH11" s="1">
        <v>0</v>
      </c>
      <c r="GI11" s="1">
        <v>1</v>
      </c>
      <c r="GJ11" s="1">
        <v>78.84999999999999</v>
      </c>
      <c r="GK11" s="1">
        <v>178</v>
      </c>
      <c r="GL11" s="1">
        <v>17560520</v>
      </c>
      <c r="GM11" s="1">
        <v>28.75</v>
      </c>
      <c r="GN11" s="1" t="s">
        <v>56</v>
      </c>
      <c r="GO11" s="1">
        <v>78.84999999999999</v>
      </c>
      <c r="GP11" s="1">
        <v>0</v>
      </c>
      <c r="GQ11" s="1">
        <v>753846</v>
      </c>
      <c r="GR11" s="1">
        <v>33030</v>
      </c>
      <c r="GS11" s="1">
        <v>91570</v>
      </c>
      <c r="GT11" s="1">
        <v>60.587</v>
      </c>
      <c r="GU11" s="1">
        <v>67511</v>
      </c>
      <c r="GV11" s="1">
        <v>16798226</v>
      </c>
      <c r="GW11" s="1">
        <v>0</v>
      </c>
      <c r="GX11" s="1">
        <v>42.867</v>
      </c>
      <c r="GY11" s="1">
        <v>2146</v>
      </c>
      <c r="GZ11" s="1">
        <v>0</v>
      </c>
      <c r="HA11" s="1">
        <v>1</v>
      </c>
      <c r="HB11" s="1">
        <v>60.7</v>
      </c>
      <c r="HC11" s="1">
        <v>289</v>
      </c>
      <c r="HD11" s="1">
        <v>16798316</v>
      </c>
      <c r="HE11" s="1">
        <v>17.72</v>
      </c>
      <c r="HF11" s="1" t="s">
        <v>56</v>
      </c>
      <c r="HG11" s="1">
        <v>60.7</v>
      </c>
      <c r="HH11" s="1">
        <v>0</v>
      </c>
      <c r="HI11" s="1">
        <v>16470</v>
      </c>
      <c r="HJ11" s="1">
        <v>33033</v>
      </c>
      <c r="HK11" s="1">
        <v>90</v>
      </c>
      <c r="HL11" s="1">
        <v>46.547</v>
      </c>
      <c r="HM11" s="1">
        <v>0</v>
      </c>
      <c r="HN11" s="1">
        <v>16798226</v>
      </c>
      <c r="HO11" s="1">
        <v>0</v>
      </c>
      <c r="HP11" s="1">
        <v>46.48699999999999</v>
      </c>
      <c r="HQ11" s="1">
        <v>2146</v>
      </c>
      <c r="HR11" s="1">
        <v>0</v>
      </c>
      <c r="HS11" s="1">
        <v>1</v>
      </c>
      <c r="HT11" s="1">
        <v>46.66</v>
      </c>
      <c r="HU11" s="1">
        <v>0</v>
      </c>
      <c r="HV11" s="1">
        <v>16798319</v>
      </c>
      <c r="HW11" s="1">
        <v>0.06</v>
      </c>
      <c r="HX11" s="1" t="s">
        <v>56</v>
      </c>
      <c r="HY11" s="1">
        <v>46.66</v>
      </c>
      <c r="HZ11" s="1">
        <v>0</v>
      </c>
      <c r="IA11" s="1">
        <v>16470</v>
      </c>
      <c r="IB11" s="1">
        <v>794881</v>
      </c>
      <c r="IC11" s="1">
        <v>49</v>
      </c>
      <c r="ID11" s="1">
        <v>299.99</v>
      </c>
      <c r="IE11" s="1">
        <v>1</v>
      </c>
      <c r="IF11" s="1">
        <v>19010436</v>
      </c>
      <c r="IG11" s="1">
        <v>0</v>
      </c>
      <c r="IH11" s="1">
        <v>76.20000000000002</v>
      </c>
      <c r="II11" s="1">
        <v>2834</v>
      </c>
      <c r="IJ11" s="1">
        <v>0</v>
      </c>
      <c r="IK11" s="1">
        <v>0</v>
      </c>
      <c r="IL11" s="1">
        <v>600</v>
      </c>
      <c r="IM11" s="1">
        <v>0</v>
      </c>
      <c r="IN11" s="1">
        <v>17560523</v>
      </c>
      <c r="IO11" s="1">
        <v>223.79</v>
      </c>
      <c r="IP11" s="1" t="s">
        <v>57</v>
      </c>
      <c r="IQ11" s="1">
        <v>300</v>
      </c>
      <c r="IR11" s="1">
        <v>1</v>
      </c>
      <c r="IS11" s="1">
        <v>753756</v>
      </c>
      <c r="IT11" s="1">
        <v>276</v>
      </c>
      <c r="IU11" s="1">
        <v>88</v>
      </c>
      <c r="IV11" s="1">
        <v>0.055</v>
      </c>
      <c r="IW11" s="1">
        <v>0</v>
      </c>
      <c r="IX11" s="1">
        <v>2</v>
      </c>
      <c r="IY11" s="1">
        <v>0</v>
      </c>
      <c r="IZ11" s="1">
        <v>0.025</v>
      </c>
      <c r="JA11" s="1">
        <v>0</v>
      </c>
      <c r="JB11" s="1">
        <v>0</v>
      </c>
      <c r="JC11" s="1">
        <v>1</v>
      </c>
      <c r="JD11" s="1">
        <v>0.07000000000000001</v>
      </c>
      <c r="JE11" s="1">
        <v>0</v>
      </c>
      <c r="JF11" s="1">
        <v>277</v>
      </c>
      <c r="JG11" s="1">
        <v>0.03</v>
      </c>
      <c r="JH11" s="1" t="s">
        <v>56</v>
      </c>
      <c r="JI11" s="1">
        <v>0.07000000000000001</v>
      </c>
      <c r="JJ11" s="1">
        <v>0</v>
      </c>
      <c r="JK11" s="1">
        <v>91</v>
      </c>
      <c r="JL11" s="1">
        <v>33033</v>
      </c>
      <c r="JM11" s="1">
        <v>91570</v>
      </c>
      <c r="JN11" s="1">
        <v>76.307</v>
      </c>
      <c r="JO11" s="1">
        <v>67511</v>
      </c>
      <c r="JP11" s="1">
        <v>16798226</v>
      </c>
      <c r="JQ11" s="1">
        <v>0</v>
      </c>
      <c r="JR11" s="1">
        <v>43.607</v>
      </c>
      <c r="JS11" s="1">
        <v>2148</v>
      </c>
      <c r="JT11" s="1">
        <v>0</v>
      </c>
      <c r="JU11" s="1">
        <v>1</v>
      </c>
      <c r="JV11" s="1">
        <v>76.42</v>
      </c>
      <c r="JW11" s="1">
        <v>289</v>
      </c>
      <c r="JX11" s="1">
        <v>16798319</v>
      </c>
      <c r="JY11" s="1">
        <v>32.7</v>
      </c>
      <c r="JZ11" s="1" t="s">
        <v>56</v>
      </c>
      <c r="KA11" s="1">
        <v>76.42</v>
      </c>
      <c r="KB11" s="1">
        <v>0</v>
      </c>
      <c r="KC11" s="1">
        <v>16470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>
        <v>55851</v>
      </c>
      <c r="C12" s="1">
        <v>719242</v>
      </c>
      <c r="D12" s="1">
        <v>299.99</v>
      </c>
      <c r="E12" s="1">
        <v>552059</v>
      </c>
      <c r="F12" s="1">
        <v>25538848</v>
      </c>
      <c r="G12" s="1">
        <v>0</v>
      </c>
      <c r="H12" s="1">
        <v>75.81</v>
      </c>
      <c r="I12" s="1">
        <v>3362</v>
      </c>
      <c r="J12" s="1">
        <v>0</v>
      </c>
      <c r="K12" s="1">
        <v>0</v>
      </c>
      <c r="L12" s="1">
        <v>600</v>
      </c>
      <c r="M12" s="1">
        <v>1848</v>
      </c>
      <c r="N12" s="1">
        <v>26564095</v>
      </c>
      <c r="O12" s="1">
        <v>224.18</v>
      </c>
      <c r="P12" s="1" t="s">
        <v>57</v>
      </c>
      <c r="Q12" s="1">
        <v>300</v>
      </c>
      <c r="R12" s="1">
        <v>1</v>
      </c>
      <c r="S12" s="1">
        <v>20402</v>
      </c>
      <c r="T12" s="1">
        <v>70998</v>
      </c>
      <c r="U12" s="1">
        <v>54147</v>
      </c>
      <c r="V12" s="1">
        <v>88.185</v>
      </c>
      <c r="W12" s="1">
        <v>36573</v>
      </c>
      <c r="X12" s="1">
        <v>25539056</v>
      </c>
      <c r="Y12" s="1">
        <v>0</v>
      </c>
      <c r="Z12" s="1">
        <v>72.86500000000001</v>
      </c>
      <c r="AA12" s="1">
        <v>3315</v>
      </c>
      <c r="AB12" s="1">
        <v>0</v>
      </c>
      <c r="AC12" s="1">
        <v>1</v>
      </c>
      <c r="AD12" s="1">
        <v>88.40000000000001</v>
      </c>
      <c r="AE12" s="1">
        <v>188</v>
      </c>
      <c r="AF12" s="1">
        <v>26579440</v>
      </c>
      <c r="AG12" s="1">
        <v>15.32</v>
      </c>
      <c r="AH12" s="1" t="s">
        <v>56</v>
      </c>
      <c r="AI12" s="1">
        <v>88.40000000000001</v>
      </c>
      <c r="AJ12" s="1">
        <v>0</v>
      </c>
      <c r="AK12" s="1">
        <v>20406</v>
      </c>
      <c r="AL12" s="1">
        <v>70998</v>
      </c>
      <c r="AM12" s="1">
        <v>32514</v>
      </c>
      <c r="AN12" s="1">
        <v>100.567</v>
      </c>
      <c r="AO12" s="1">
        <v>20888</v>
      </c>
      <c r="AP12" s="1">
        <v>28569656</v>
      </c>
      <c r="AQ12" s="1">
        <v>0</v>
      </c>
      <c r="AR12" s="1">
        <v>76.94699999999999</v>
      </c>
      <c r="AS12" s="1">
        <v>3755</v>
      </c>
      <c r="AT12" s="1">
        <v>0</v>
      </c>
      <c r="AU12" s="1">
        <v>1</v>
      </c>
      <c r="AV12" s="1">
        <v>100.77</v>
      </c>
      <c r="AW12" s="1">
        <v>124</v>
      </c>
      <c r="AX12" s="1">
        <v>26579440</v>
      </c>
      <c r="AY12" s="1">
        <v>23.62</v>
      </c>
      <c r="AZ12" s="1" t="s">
        <v>56</v>
      </c>
      <c r="BA12" s="1">
        <v>100.77</v>
      </c>
      <c r="BB12" s="1">
        <v>0</v>
      </c>
      <c r="BC12" s="1">
        <v>1030606</v>
      </c>
      <c r="BD12" s="1">
        <v>40700</v>
      </c>
      <c r="BE12" s="1">
        <v>63255</v>
      </c>
      <c r="BF12" s="1">
        <v>91.92</v>
      </c>
      <c r="BG12" s="1">
        <v>42903</v>
      </c>
      <c r="BH12" s="1">
        <v>25538446</v>
      </c>
      <c r="BI12" s="1">
        <v>0</v>
      </c>
      <c r="BJ12" s="1">
        <v>73.59</v>
      </c>
      <c r="BK12" s="1">
        <v>3273</v>
      </c>
      <c r="BL12" s="1">
        <v>0</v>
      </c>
      <c r="BM12" s="1">
        <v>1</v>
      </c>
      <c r="BN12" s="1">
        <v>92.06999999999999</v>
      </c>
      <c r="BO12" s="1">
        <v>218</v>
      </c>
      <c r="BP12" s="1">
        <v>25538546</v>
      </c>
      <c r="BQ12" s="1">
        <v>18.33</v>
      </c>
      <c r="BR12" s="1" t="s">
        <v>56</v>
      </c>
      <c r="BS12" s="1">
        <v>92.06999999999999</v>
      </c>
      <c r="BT12" s="1">
        <v>0</v>
      </c>
      <c r="BU12" s="1">
        <v>20300</v>
      </c>
      <c r="BV12" s="1">
        <v>40702</v>
      </c>
      <c r="BW12" s="1">
        <v>100</v>
      </c>
      <c r="BX12" s="1">
        <v>54.35</v>
      </c>
      <c r="BY12" s="1">
        <v>0</v>
      </c>
      <c r="BZ12" s="1">
        <v>25538446</v>
      </c>
      <c r="CA12" s="1">
        <v>0</v>
      </c>
      <c r="CB12" s="1">
        <v>54.33</v>
      </c>
      <c r="CC12" s="1">
        <v>3273</v>
      </c>
      <c r="CD12" s="1">
        <v>0</v>
      </c>
      <c r="CE12" s="1">
        <v>1</v>
      </c>
      <c r="CF12" s="1">
        <v>54.43</v>
      </c>
      <c r="CG12" s="1">
        <v>0</v>
      </c>
      <c r="CH12" s="1">
        <v>25538548</v>
      </c>
      <c r="CI12" s="1">
        <v>0.02</v>
      </c>
      <c r="CJ12" s="1" t="s">
        <v>56</v>
      </c>
      <c r="CK12" s="1">
        <v>54.43</v>
      </c>
      <c r="CL12" s="1">
        <v>0</v>
      </c>
      <c r="CM12" s="1">
        <v>20300</v>
      </c>
      <c r="CN12" s="1">
        <v>1081200</v>
      </c>
      <c r="CO12" s="1">
        <v>2441</v>
      </c>
      <c r="CP12" s="1">
        <v>299.979</v>
      </c>
      <c r="CQ12" s="1">
        <v>1227</v>
      </c>
      <c r="CR12" s="1">
        <v>28569456</v>
      </c>
      <c r="CS12" s="1">
        <v>0</v>
      </c>
      <c r="CT12" s="1">
        <v>80.40899999999999</v>
      </c>
      <c r="CU12" s="1">
        <v>4459</v>
      </c>
      <c r="CV12" s="1">
        <v>0</v>
      </c>
      <c r="CW12" s="1">
        <v>0</v>
      </c>
      <c r="CX12" s="1">
        <v>600</v>
      </c>
      <c r="CY12" s="1">
        <v>12</v>
      </c>
      <c r="CZ12" s="1">
        <v>26579442</v>
      </c>
      <c r="DA12" s="1">
        <v>219.57</v>
      </c>
      <c r="DB12" s="1" t="s">
        <v>57</v>
      </c>
      <c r="DC12" s="1">
        <v>300</v>
      </c>
      <c r="DD12" s="1">
        <v>1</v>
      </c>
      <c r="DE12" s="1">
        <v>1030506</v>
      </c>
      <c r="DF12" s="1">
        <v>305</v>
      </c>
      <c r="DG12" s="1">
        <v>97</v>
      </c>
      <c r="DH12" s="1">
        <v>0.003</v>
      </c>
      <c r="DI12" s="1">
        <v>0</v>
      </c>
      <c r="DJ12" s="1">
        <v>2</v>
      </c>
      <c r="DK12" s="1">
        <v>0</v>
      </c>
      <c r="DL12" s="1">
        <v>0.003</v>
      </c>
      <c r="DM12" s="1">
        <v>0</v>
      </c>
      <c r="DN12" s="1">
        <v>0</v>
      </c>
      <c r="DO12" s="1">
        <v>1</v>
      </c>
      <c r="DP12" s="1">
        <v>0.02</v>
      </c>
      <c r="DQ12" s="1">
        <v>0</v>
      </c>
      <c r="DR12" s="1">
        <v>306</v>
      </c>
      <c r="DS12" s="1">
        <v>0</v>
      </c>
      <c r="DT12" s="1" t="s">
        <v>56</v>
      </c>
      <c r="DU12" s="1">
        <v>0.02</v>
      </c>
      <c r="DV12" s="1">
        <v>0</v>
      </c>
      <c r="DW12" s="1">
        <v>101</v>
      </c>
      <c r="DX12" s="1">
        <v>40702</v>
      </c>
      <c r="DY12" s="1">
        <v>63255</v>
      </c>
      <c r="DZ12" s="1">
        <v>91.36499999999999</v>
      </c>
      <c r="EA12" s="1">
        <v>42903</v>
      </c>
      <c r="EB12" s="1">
        <v>25538446</v>
      </c>
      <c r="EC12" s="1">
        <v>0</v>
      </c>
      <c r="ED12" s="1">
        <v>71.51499999999999</v>
      </c>
      <c r="EE12" s="1">
        <v>3273</v>
      </c>
      <c r="EF12" s="1">
        <v>0</v>
      </c>
      <c r="EG12" s="1">
        <v>1</v>
      </c>
      <c r="EH12" s="1">
        <v>91.51000000000001</v>
      </c>
      <c r="EI12" s="1">
        <v>218</v>
      </c>
      <c r="EJ12" s="1">
        <v>25538548</v>
      </c>
      <c r="EK12" s="1">
        <v>19.85</v>
      </c>
      <c r="EL12" s="1" t="s">
        <v>56</v>
      </c>
      <c r="EM12" s="1">
        <v>91.51000000000001</v>
      </c>
      <c r="EN12" s="1">
        <v>0</v>
      </c>
      <c r="EO12" s="1">
        <v>20300</v>
      </c>
      <c r="EP12" s="1">
        <v>55851</v>
      </c>
      <c r="EQ12" s="1">
        <v>711563</v>
      </c>
      <c r="ER12" s="1">
        <v>299.976</v>
      </c>
      <c r="ES12" s="1">
        <v>547136</v>
      </c>
      <c r="ET12" s="1">
        <v>25538848</v>
      </c>
      <c r="EU12" s="1">
        <v>0</v>
      </c>
      <c r="EV12" s="1">
        <v>72.98599999999999</v>
      </c>
      <c r="EW12" s="1">
        <v>3361</v>
      </c>
      <c r="EX12" s="1">
        <v>0</v>
      </c>
      <c r="EY12" s="1">
        <v>0</v>
      </c>
      <c r="EZ12" s="1">
        <v>600</v>
      </c>
      <c r="FA12" s="1">
        <v>1818</v>
      </c>
      <c r="FB12" s="1">
        <v>26564095</v>
      </c>
      <c r="FC12" s="1">
        <v>226.99</v>
      </c>
      <c r="FD12" s="1" t="s">
        <v>57</v>
      </c>
      <c r="FE12" s="1">
        <v>300</v>
      </c>
      <c r="FF12" s="1">
        <v>1</v>
      </c>
      <c r="FG12" s="1">
        <v>20402</v>
      </c>
      <c r="FH12" s="1">
        <v>70998</v>
      </c>
      <c r="FI12" s="1">
        <v>54147</v>
      </c>
      <c r="FJ12" s="1">
        <v>87.941</v>
      </c>
      <c r="FK12" s="1">
        <v>36573</v>
      </c>
      <c r="FL12" s="1">
        <v>25539056</v>
      </c>
      <c r="FM12" s="1">
        <v>0</v>
      </c>
      <c r="FN12" s="1">
        <v>72.471</v>
      </c>
      <c r="FO12" s="1">
        <v>3316</v>
      </c>
      <c r="FP12" s="1">
        <v>0</v>
      </c>
      <c r="FQ12" s="1">
        <v>1</v>
      </c>
      <c r="FR12" s="1">
        <v>88.09</v>
      </c>
      <c r="FS12" s="1">
        <v>188</v>
      </c>
      <c r="FT12" s="1">
        <v>26579440</v>
      </c>
      <c r="FU12" s="1">
        <v>15.47</v>
      </c>
      <c r="FV12" s="1" t="s">
        <v>56</v>
      </c>
      <c r="FW12" s="1">
        <v>88.09</v>
      </c>
      <c r="FX12" s="1">
        <v>0</v>
      </c>
      <c r="FY12" s="1">
        <v>20406</v>
      </c>
      <c r="FZ12" s="1">
        <v>70998</v>
      </c>
      <c r="GA12" s="1">
        <v>32514</v>
      </c>
      <c r="GB12" s="1">
        <v>103.096</v>
      </c>
      <c r="GC12" s="1">
        <v>20888</v>
      </c>
      <c r="GD12" s="1">
        <v>28569656</v>
      </c>
      <c r="GE12" s="1">
        <v>0</v>
      </c>
      <c r="GF12" s="1">
        <v>78.616</v>
      </c>
      <c r="GG12" s="1">
        <v>3652</v>
      </c>
      <c r="GH12" s="1">
        <v>0</v>
      </c>
      <c r="GI12" s="1">
        <v>1</v>
      </c>
      <c r="GJ12" s="1">
        <v>103.32</v>
      </c>
      <c r="GK12" s="1">
        <v>124</v>
      </c>
      <c r="GL12" s="1">
        <v>26579440</v>
      </c>
      <c r="GM12" s="1">
        <v>24.48</v>
      </c>
      <c r="GN12" s="1" t="s">
        <v>56</v>
      </c>
      <c r="GO12" s="1">
        <v>103.32</v>
      </c>
      <c r="GP12" s="1">
        <v>0</v>
      </c>
      <c r="GQ12" s="1">
        <v>1030606</v>
      </c>
      <c r="GR12" s="1">
        <v>40700</v>
      </c>
      <c r="GS12" s="1">
        <v>63255</v>
      </c>
      <c r="GT12" s="1">
        <v>87.286</v>
      </c>
      <c r="GU12" s="1">
        <v>42903</v>
      </c>
      <c r="GV12" s="1">
        <v>25538446</v>
      </c>
      <c r="GW12" s="1">
        <v>0</v>
      </c>
      <c r="GX12" s="1">
        <v>69.726</v>
      </c>
      <c r="GY12" s="1">
        <v>3275</v>
      </c>
      <c r="GZ12" s="1">
        <v>0</v>
      </c>
      <c r="HA12" s="1">
        <v>1</v>
      </c>
      <c r="HB12" s="1">
        <v>87.44</v>
      </c>
      <c r="HC12" s="1">
        <v>218</v>
      </c>
      <c r="HD12" s="1">
        <v>25538546</v>
      </c>
      <c r="HE12" s="1">
        <v>17.56</v>
      </c>
      <c r="HF12" s="1" t="s">
        <v>56</v>
      </c>
      <c r="HG12" s="1">
        <v>87.44</v>
      </c>
      <c r="HH12" s="1">
        <v>0</v>
      </c>
      <c r="HI12" s="1">
        <v>20300</v>
      </c>
      <c r="HJ12" s="1">
        <v>40703</v>
      </c>
      <c r="HK12" s="1">
        <v>100</v>
      </c>
      <c r="HL12" s="1">
        <v>73.849</v>
      </c>
      <c r="HM12" s="1">
        <v>0</v>
      </c>
      <c r="HN12" s="1">
        <v>25538446</v>
      </c>
      <c r="HO12" s="1">
        <v>0</v>
      </c>
      <c r="HP12" s="1">
        <v>73.77900000000001</v>
      </c>
      <c r="HQ12" s="1">
        <v>3276</v>
      </c>
      <c r="HR12" s="1">
        <v>0</v>
      </c>
      <c r="HS12" s="1">
        <v>1</v>
      </c>
      <c r="HT12" s="1">
        <v>74</v>
      </c>
      <c r="HU12" s="1">
        <v>0</v>
      </c>
      <c r="HV12" s="1">
        <v>25538549</v>
      </c>
      <c r="HW12" s="1">
        <v>0.07000000000000001</v>
      </c>
      <c r="HX12" s="1" t="s">
        <v>56</v>
      </c>
      <c r="HY12" s="1">
        <v>74</v>
      </c>
      <c r="HZ12" s="1">
        <v>0</v>
      </c>
      <c r="IA12" s="1">
        <v>20300</v>
      </c>
      <c r="IB12" s="1">
        <v>1081201</v>
      </c>
      <c r="IC12" s="1">
        <v>25</v>
      </c>
      <c r="ID12" s="1">
        <v>299.96</v>
      </c>
      <c r="IE12" s="1">
        <v>1</v>
      </c>
      <c r="IF12" s="1">
        <v>28569456</v>
      </c>
      <c r="IG12" s="1">
        <v>0</v>
      </c>
      <c r="IH12" s="1">
        <v>112.28</v>
      </c>
      <c r="II12" s="1">
        <v>4218</v>
      </c>
      <c r="IJ12" s="1">
        <v>0</v>
      </c>
      <c r="IK12" s="1">
        <v>0</v>
      </c>
      <c r="IL12" s="1">
        <v>600</v>
      </c>
      <c r="IM12" s="1">
        <v>0</v>
      </c>
      <c r="IN12" s="1">
        <v>26579443</v>
      </c>
      <c r="IO12" s="1">
        <v>187.68</v>
      </c>
      <c r="IP12" s="1" t="s">
        <v>57</v>
      </c>
      <c r="IQ12" s="1">
        <v>300</v>
      </c>
      <c r="IR12" s="1">
        <v>1</v>
      </c>
      <c r="IS12" s="1">
        <v>1030506</v>
      </c>
      <c r="IT12" s="1">
        <v>306</v>
      </c>
      <c r="IU12" s="1">
        <v>97</v>
      </c>
      <c r="IV12" s="1">
        <v>0.062</v>
      </c>
      <c r="IW12" s="1">
        <v>0</v>
      </c>
      <c r="IX12" s="1">
        <v>2</v>
      </c>
      <c r="IY12" s="1">
        <v>0</v>
      </c>
      <c r="IZ12" s="1">
        <v>0.022</v>
      </c>
      <c r="JA12" s="1">
        <v>0</v>
      </c>
      <c r="JB12" s="1">
        <v>0</v>
      </c>
      <c r="JC12" s="1">
        <v>1</v>
      </c>
      <c r="JD12" s="1">
        <v>0.08</v>
      </c>
      <c r="JE12" s="1">
        <v>0</v>
      </c>
      <c r="JF12" s="1">
        <v>307</v>
      </c>
      <c r="JG12" s="1">
        <v>0.04</v>
      </c>
      <c r="JH12" s="1" t="s">
        <v>56</v>
      </c>
      <c r="JI12" s="1">
        <v>0.08</v>
      </c>
      <c r="JJ12" s="1">
        <v>0</v>
      </c>
      <c r="JK12" s="1">
        <v>101</v>
      </c>
      <c r="JL12" s="1">
        <v>40703</v>
      </c>
      <c r="JM12" s="1">
        <v>63255</v>
      </c>
      <c r="JN12" s="1">
        <v>99.955</v>
      </c>
      <c r="JO12" s="1">
        <v>42903</v>
      </c>
      <c r="JP12" s="1">
        <v>25538446</v>
      </c>
      <c r="JQ12" s="1">
        <v>0</v>
      </c>
      <c r="JR12" s="1">
        <v>70.675</v>
      </c>
      <c r="JS12" s="1">
        <v>3276</v>
      </c>
      <c r="JT12" s="1">
        <v>0</v>
      </c>
      <c r="JU12" s="1">
        <v>1</v>
      </c>
      <c r="JV12" s="1">
        <v>100.16</v>
      </c>
      <c r="JW12" s="1">
        <v>218</v>
      </c>
      <c r="JX12" s="1">
        <v>25538549</v>
      </c>
      <c r="JY12" s="1">
        <v>29.28</v>
      </c>
      <c r="JZ12" s="1" t="s">
        <v>56</v>
      </c>
      <c r="KA12" s="1">
        <v>100.16</v>
      </c>
      <c r="KB12" s="1">
        <v>0</v>
      </c>
      <c r="KC12" s="1">
        <v>20300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>
        <v>67486</v>
      </c>
      <c r="C13" s="1">
        <v>443631</v>
      </c>
      <c r="D13" s="1">
        <v>299.986</v>
      </c>
      <c r="E13" s="1">
        <v>339842</v>
      </c>
      <c r="F13" s="1">
        <v>37314858</v>
      </c>
      <c r="G13" s="1">
        <v>0</v>
      </c>
      <c r="H13" s="1">
        <v>118.276</v>
      </c>
      <c r="I13" s="1">
        <v>4770</v>
      </c>
      <c r="J13" s="1">
        <v>0</v>
      </c>
      <c r="K13" s="1">
        <v>0</v>
      </c>
      <c r="L13" s="1">
        <v>600</v>
      </c>
      <c r="M13" s="1">
        <v>1022</v>
      </c>
      <c r="N13" s="1">
        <v>38676380</v>
      </c>
      <c r="O13" s="1">
        <v>181.71</v>
      </c>
      <c r="P13" s="1" t="s">
        <v>57</v>
      </c>
      <c r="Q13" s="1">
        <v>300</v>
      </c>
      <c r="R13" s="1">
        <v>1</v>
      </c>
      <c r="S13" s="1">
        <v>24642</v>
      </c>
      <c r="T13" s="1">
        <v>85798</v>
      </c>
      <c r="U13" s="1">
        <v>139689</v>
      </c>
      <c r="V13" s="1">
        <v>169.623</v>
      </c>
      <c r="W13" s="1">
        <v>95842</v>
      </c>
      <c r="X13" s="1">
        <v>37315086</v>
      </c>
      <c r="Y13" s="1">
        <v>0</v>
      </c>
      <c r="Z13" s="1">
        <v>114.913</v>
      </c>
      <c r="AA13" s="1">
        <v>4712</v>
      </c>
      <c r="AB13" s="1">
        <v>0</v>
      </c>
      <c r="AC13" s="1">
        <v>1</v>
      </c>
      <c r="AD13" s="1">
        <v>169.83</v>
      </c>
      <c r="AE13" s="1">
        <v>425</v>
      </c>
      <c r="AF13" s="1">
        <v>38694910</v>
      </c>
      <c r="AG13" s="1">
        <v>54.71</v>
      </c>
      <c r="AH13" s="1" t="s">
        <v>56</v>
      </c>
      <c r="AI13" s="1">
        <v>169.83</v>
      </c>
      <c r="AJ13" s="1">
        <v>0</v>
      </c>
      <c r="AK13" s="1">
        <v>24646</v>
      </c>
      <c r="AL13" s="1">
        <v>85798</v>
      </c>
      <c r="AM13" s="1">
        <v>111869</v>
      </c>
      <c r="AN13" s="1">
        <v>227.516</v>
      </c>
      <c r="AO13" s="1">
        <v>77392</v>
      </c>
      <c r="AP13" s="1">
        <v>41345046</v>
      </c>
      <c r="AQ13" s="1">
        <v>0</v>
      </c>
      <c r="AR13" s="1">
        <v>119.266</v>
      </c>
      <c r="AS13" s="1">
        <v>5298</v>
      </c>
      <c r="AT13" s="1">
        <v>0</v>
      </c>
      <c r="AU13" s="1">
        <v>1</v>
      </c>
      <c r="AV13" s="1">
        <v>227.78</v>
      </c>
      <c r="AW13" s="1">
        <v>334</v>
      </c>
      <c r="AX13" s="1">
        <v>38694910</v>
      </c>
      <c r="AY13" s="1">
        <v>108.25</v>
      </c>
      <c r="AZ13" s="1" t="s">
        <v>56</v>
      </c>
      <c r="BA13" s="1">
        <v>227.78</v>
      </c>
      <c r="BB13" s="1">
        <v>0</v>
      </c>
      <c r="BC13" s="1">
        <v>1367966</v>
      </c>
      <c r="BD13" s="1">
        <v>49170</v>
      </c>
      <c r="BE13" s="1">
        <v>95603</v>
      </c>
      <c r="BF13" s="1">
        <v>153.506</v>
      </c>
      <c r="BG13" s="1">
        <v>66276</v>
      </c>
      <c r="BH13" s="1">
        <v>37314416</v>
      </c>
      <c r="BI13" s="1">
        <v>0</v>
      </c>
      <c r="BJ13" s="1">
        <v>114.826</v>
      </c>
      <c r="BK13" s="1">
        <v>4657</v>
      </c>
      <c r="BL13" s="1">
        <v>0</v>
      </c>
      <c r="BM13" s="1">
        <v>1</v>
      </c>
      <c r="BN13" s="1">
        <v>153.71</v>
      </c>
      <c r="BO13" s="1">
        <v>284</v>
      </c>
      <c r="BP13" s="1">
        <v>37314526</v>
      </c>
      <c r="BQ13" s="1">
        <v>38.68</v>
      </c>
      <c r="BR13" s="1" t="s">
        <v>56</v>
      </c>
      <c r="BS13" s="1">
        <v>153.71</v>
      </c>
      <c r="BT13" s="1">
        <v>0</v>
      </c>
      <c r="BU13" s="1">
        <v>24530</v>
      </c>
      <c r="BV13" s="1">
        <v>49172</v>
      </c>
      <c r="BW13" s="1">
        <v>110</v>
      </c>
      <c r="BX13" s="1">
        <v>82.2</v>
      </c>
      <c r="BY13" s="1">
        <v>0</v>
      </c>
      <c r="BZ13" s="1">
        <v>37314416</v>
      </c>
      <c r="CA13" s="1">
        <v>0</v>
      </c>
      <c r="CB13" s="1">
        <v>82.17</v>
      </c>
      <c r="CC13" s="1">
        <v>4657</v>
      </c>
      <c r="CD13" s="1">
        <v>0</v>
      </c>
      <c r="CE13" s="1">
        <v>1</v>
      </c>
      <c r="CF13" s="1">
        <v>82.31</v>
      </c>
      <c r="CG13" s="1">
        <v>0</v>
      </c>
      <c r="CH13" s="1">
        <v>37314528</v>
      </c>
      <c r="CI13" s="1">
        <v>0.03</v>
      </c>
      <c r="CJ13" s="1" t="s">
        <v>56</v>
      </c>
      <c r="CK13" s="1">
        <v>82.31</v>
      </c>
      <c r="CL13" s="1">
        <v>0</v>
      </c>
      <c r="CM13" s="1">
        <v>24530</v>
      </c>
      <c r="CN13" s="1">
        <v>1429120</v>
      </c>
      <c r="CO13" s="1">
        <v>1343</v>
      </c>
      <c r="CP13" s="1">
        <v>299.985</v>
      </c>
      <c r="CQ13" s="1">
        <v>618</v>
      </c>
      <c r="CR13" s="1">
        <v>41344826</v>
      </c>
      <c r="CS13" s="1">
        <v>0</v>
      </c>
      <c r="CT13" s="1">
        <v>124.185</v>
      </c>
      <c r="CU13" s="1">
        <v>6202</v>
      </c>
      <c r="CV13" s="1">
        <v>0</v>
      </c>
      <c r="CW13" s="1">
        <v>0</v>
      </c>
      <c r="CX13" s="1">
        <v>600</v>
      </c>
      <c r="CY13" s="1">
        <v>6</v>
      </c>
      <c r="CZ13" s="1">
        <v>38694912</v>
      </c>
      <c r="DA13" s="1">
        <v>175.8</v>
      </c>
      <c r="DB13" s="1" t="s">
        <v>57</v>
      </c>
      <c r="DC13" s="1">
        <v>300</v>
      </c>
      <c r="DD13" s="1">
        <v>1</v>
      </c>
      <c r="DE13" s="1">
        <v>1367856</v>
      </c>
      <c r="DF13" s="1">
        <v>335</v>
      </c>
      <c r="DG13" s="1">
        <v>108</v>
      </c>
      <c r="DH13" s="1">
        <v>0.003</v>
      </c>
      <c r="DI13" s="1">
        <v>0</v>
      </c>
      <c r="DJ13" s="1">
        <v>2</v>
      </c>
      <c r="DK13" s="1">
        <v>0</v>
      </c>
      <c r="DL13" s="1">
        <v>0.003</v>
      </c>
      <c r="DM13" s="1">
        <v>0</v>
      </c>
      <c r="DN13" s="1">
        <v>0</v>
      </c>
      <c r="DO13" s="1">
        <v>1</v>
      </c>
      <c r="DP13" s="1">
        <v>0.02</v>
      </c>
      <c r="DQ13" s="1">
        <v>0</v>
      </c>
      <c r="DR13" s="1">
        <v>336</v>
      </c>
      <c r="DS13" s="1">
        <v>0</v>
      </c>
      <c r="DT13" s="1" t="s">
        <v>56</v>
      </c>
      <c r="DU13" s="1">
        <v>0.02</v>
      </c>
      <c r="DV13" s="1">
        <v>0</v>
      </c>
      <c r="DW13" s="1">
        <v>111</v>
      </c>
      <c r="DX13" s="1">
        <v>49172</v>
      </c>
      <c r="DY13" s="1">
        <v>95603</v>
      </c>
      <c r="DZ13" s="1">
        <v>115.375</v>
      </c>
      <c r="EA13" s="1">
        <v>66276</v>
      </c>
      <c r="EB13" s="1">
        <v>37314416</v>
      </c>
      <c r="EC13" s="1">
        <v>0</v>
      </c>
      <c r="ED13" s="1">
        <v>82.935</v>
      </c>
      <c r="EE13" s="1">
        <v>4656</v>
      </c>
      <c r="EF13" s="1">
        <v>0</v>
      </c>
      <c r="EG13" s="1">
        <v>1</v>
      </c>
      <c r="EH13" s="1">
        <v>115.55</v>
      </c>
      <c r="EI13" s="1">
        <v>284</v>
      </c>
      <c r="EJ13" s="1">
        <v>37314528</v>
      </c>
      <c r="EK13" s="1">
        <v>32.44</v>
      </c>
      <c r="EL13" s="1" t="s">
        <v>56</v>
      </c>
      <c r="EM13" s="1">
        <v>115.55</v>
      </c>
      <c r="EN13" s="1">
        <v>0</v>
      </c>
      <c r="EO13" s="1">
        <v>24530</v>
      </c>
      <c r="EP13" s="1">
        <v>67486</v>
      </c>
      <c r="EQ13" s="1">
        <v>442487</v>
      </c>
      <c r="ER13" s="1">
        <v>299.985</v>
      </c>
      <c r="ES13" s="1">
        <v>338698</v>
      </c>
      <c r="ET13" s="1">
        <v>37314858</v>
      </c>
      <c r="EU13" s="1">
        <v>0</v>
      </c>
      <c r="EV13" s="1">
        <v>112.805</v>
      </c>
      <c r="EW13" s="1">
        <v>4774</v>
      </c>
      <c r="EX13" s="1">
        <v>0</v>
      </c>
      <c r="EY13" s="1">
        <v>0</v>
      </c>
      <c r="EZ13" s="1">
        <v>600</v>
      </c>
      <c r="FA13" s="1">
        <v>1022</v>
      </c>
      <c r="FB13" s="1">
        <v>38676380</v>
      </c>
      <c r="FC13" s="1">
        <v>187.18</v>
      </c>
      <c r="FD13" s="1" t="s">
        <v>57</v>
      </c>
      <c r="FE13" s="1">
        <v>300</v>
      </c>
      <c r="FF13" s="1">
        <v>1</v>
      </c>
      <c r="FG13" s="1">
        <v>24642</v>
      </c>
      <c r="FH13" s="1">
        <v>85798</v>
      </c>
      <c r="FI13" s="1">
        <v>139689</v>
      </c>
      <c r="FJ13" s="1">
        <v>167.563</v>
      </c>
      <c r="FK13" s="1">
        <v>95842</v>
      </c>
      <c r="FL13" s="1">
        <v>37315086</v>
      </c>
      <c r="FM13" s="1">
        <v>0</v>
      </c>
      <c r="FN13" s="1">
        <v>112.213</v>
      </c>
      <c r="FO13" s="1">
        <v>4716</v>
      </c>
      <c r="FP13" s="1">
        <v>0</v>
      </c>
      <c r="FQ13" s="1">
        <v>1</v>
      </c>
      <c r="FR13" s="1">
        <v>167.79</v>
      </c>
      <c r="FS13" s="1">
        <v>425</v>
      </c>
      <c r="FT13" s="1">
        <v>38694910</v>
      </c>
      <c r="FU13" s="1">
        <v>55.35</v>
      </c>
      <c r="FV13" s="1" t="s">
        <v>56</v>
      </c>
      <c r="FW13" s="1">
        <v>167.79</v>
      </c>
      <c r="FX13" s="1">
        <v>0</v>
      </c>
      <c r="FY13" s="1">
        <v>24646</v>
      </c>
      <c r="FZ13" s="1">
        <v>85798</v>
      </c>
      <c r="GA13" s="1">
        <v>111869</v>
      </c>
      <c r="GB13" s="1">
        <v>236.461</v>
      </c>
      <c r="GC13" s="1">
        <v>77392</v>
      </c>
      <c r="GD13" s="1">
        <v>41345046</v>
      </c>
      <c r="GE13" s="1">
        <v>0</v>
      </c>
      <c r="GF13" s="1">
        <v>122.591</v>
      </c>
      <c r="GG13" s="1">
        <v>5298</v>
      </c>
      <c r="GH13" s="1">
        <v>0</v>
      </c>
      <c r="GI13" s="1">
        <v>1</v>
      </c>
      <c r="GJ13" s="1">
        <v>236.75</v>
      </c>
      <c r="GK13" s="1">
        <v>334</v>
      </c>
      <c r="GL13" s="1">
        <v>38694910</v>
      </c>
      <c r="GM13" s="1">
        <v>113.87</v>
      </c>
      <c r="GN13" s="1" t="s">
        <v>56</v>
      </c>
      <c r="GO13" s="1">
        <v>236.75</v>
      </c>
      <c r="GP13" s="1">
        <v>0</v>
      </c>
      <c r="GQ13" s="1">
        <v>1367966</v>
      </c>
      <c r="GR13" s="1">
        <v>49170</v>
      </c>
      <c r="GS13" s="1">
        <v>95603</v>
      </c>
      <c r="GT13" s="1">
        <v>144.77</v>
      </c>
      <c r="GU13" s="1">
        <v>66276</v>
      </c>
      <c r="GV13" s="1">
        <v>37314416</v>
      </c>
      <c r="GW13" s="1">
        <v>0</v>
      </c>
      <c r="GX13" s="1">
        <v>107.37</v>
      </c>
      <c r="GY13" s="1">
        <v>4658</v>
      </c>
      <c r="GZ13" s="1">
        <v>0</v>
      </c>
      <c r="HA13" s="1">
        <v>1</v>
      </c>
      <c r="HB13" s="1">
        <v>144.99</v>
      </c>
      <c r="HC13" s="1">
        <v>284</v>
      </c>
      <c r="HD13" s="1">
        <v>37314526</v>
      </c>
      <c r="HE13" s="1">
        <v>37.4</v>
      </c>
      <c r="HF13" s="1" t="s">
        <v>56</v>
      </c>
      <c r="HG13" s="1">
        <v>144.99</v>
      </c>
      <c r="HH13" s="1">
        <v>0</v>
      </c>
      <c r="HI13" s="1">
        <v>24530</v>
      </c>
      <c r="HJ13" s="1">
        <v>49173</v>
      </c>
      <c r="HK13" s="1">
        <v>110</v>
      </c>
      <c r="HL13" s="1">
        <v>115.766</v>
      </c>
      <c r="HM13" s="1">
        <v>0</v>
      </c>
      <c r="HN13" s="1">
        <v>37314416</v>
      </c>
      <c r="HO13" s="1">
        <v>0</v>
      </c>
      <c r="HP13" s="1">
        <v>115.676</v>
      </c>
      <c r="HQ13" s="1">
        <v>4660</v>
      </c>
      <c r="HR13" s="1">
        <v>0</v>
      </c>
      <c r="HS13" s="1">
        <v>1</v>
      </c>
      <c r="HT13" s="1">
        <v>115.97</v>
      </c>
      <c r="HU13" s="1">
        <v>0</v>
      </c>
      <c r="HV13" s="1">
        <v>37314529</v>
      </c>
      <c r="HW13" s="1">
        <v>0.09</v>
      </c>
      <c r="HX13" s="1" t="s">
        <v>56</v>
      </c>
      <c r="HY13" s="1">
        <v>115.97</v>
      </c>
      <c r="HZ13" s="1">
        <v>0</v>
      </c>
      <c r="IA13" s="1">
        <v>24530</v>
      </c>
      <c r="IB13" s="1">
        <v>1429121</v>
      </c>
      <c r="IC13" s="1">
        <v>16</v>
      </c>
      <c r="ID13" s="1">
        <v>299.984</v>
      </c>
      <c r="IE13" s="1">
        <v>0</v>
      </c>
      <c r="IF13" s="1">
        <v>41344826</v>
      </c>
      <c r="IG13" s="1">
        <v>0</v>
      </c>
      <c r="IH13" s="1">
        <v>164.874</v>
      </c>
      <c r="II13" s="1">
        <v>5879</v>
      </c>
      <c r="IJ13" s="1">
        <v>0</v>
      </c>
      <c r="IK13" s="1">
        <v>0</v>
      </c>
      <c r="IL13" s="1">
        <v>600</v>
      </c>
      <c r="IM13" s="1">
        <v>0</v>
      </c>
      <c r="IN13" s="1">
        <v>38694913</v>
      </c>
      <c r="IO13" s="1">
        <v>135.11</v>
      </c>
      <c r="IP13" s="1" t="s">
        <v>57</v>
      </c>
      <c r="IQ13" s="1">
        <v>300</v>
      </c>
      <c r="IR13" s="1">
        <v>1</v>
      </c>
      <c r="IS13" s="1">
        <v>1367856</v>
      </c>
      <c r="IT13" s="1">
        <v>336</v>
      </c>
      <c r="IU13" s="1">
        <v>108</v>
      </c>
      <c r="IV13" s="1">
        <v>0.168</v>
      </c>
      <c r="IW13" s="1">
        <v>0</v>
      </c>
      <c r="IX13" s="1">
        <v>2</v>
      </c>
      <c r="IY13" s="1">
        <v>0</v>
      </c>
      <c r="IZ13" s="1">
        <v>0.118</v>
      </c>
      <c r="JA13" s="1">
        <v>13</v>
      </c>
      <c r="JB13" s="1">
        <v>0</v>
      </c>
      <c r="JC13" s="1">
        <v>1</v>
      </c>
      <c r="JD13" s="1">
        <v>0.33</v>
      </c>
      <c r="JE13" s="1">
        <v>0</v>
      </c>
      <c r="JF13" s="1">
        <v>337</v>
      </c>
      <c r="JG13" s="1">
        <v>0.05</v>
      </c>
      <c r="JH13" s="1" t="s">
        <v>56</v>
      </c>
      <c r="JI13" s="1">
        <v>0.33</v>
      </c>
      <c r="JJ13" s="1">
        <v>0</v>
      </c>
      <c r="JK13" s="1">
        <v>111</v>
      </c>
      <c r="JL13" s="1">
        <v>49173</v>
      </c>
      <c r="JM13" s="1">
        <v>95603</v>
      </c>
      <c r="JN13" s="1">
        <v>167.024</v>
      </c>
      <c r="JO13" s="1">
        <v>66276</v>
      </c>
      <c r="JP13" s="1">
        <v>37314416</v>
      </c>
      <c r="JQ13" s="1">
        <v>0</v>
      </c>
      <c r="JR13" s="1">
        <v>110.684</v>
      </c>
      <c r="JS13" s="1">
        <v>4659</v>
      </c>
      <c r="JT13" s="1">
        <v>0</v>
      </c>
      <c r="JU13" s="1">
        <v>1</v>
      </c>
      <c r="JV13" s="1">
        <v>167.24</v>
      </c>
      <c r="JW13" s="1">
        <v>284</v>
      </c>
      <c r="JX13" s="1">
        <v>37314529</v>
      </c>
      <c r="JY13" s="1">
        <v>56.34</v>
      </c>
      <c r="JZ13" s="1" t="s">
        <v>56</v>
      </c>
      <c r="KA13" s="1">
        <v>167.24</v>
      </c>
      <c r="KB13" s="1">
        <v>0</v>
      </c>
      <c r="KC13" s="1">
        <v>24530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>
        <v>80221</v>
      </c>
      <c r="C14" s="1">
        <v>429650</v>
      </c>
      <c r="D14" s="1">
        <v>299.943</v>
      </c>
      <c r="E14" s="1">
        <v>316712</v>
      </c>
      <c r="F14" s="1">
        <v>52759618</v>
      </c>
      <c r="G14" s="1">
        <v>0</v>
      </c>
      <c r="H14" s="1">
        <v>121.513</v>
      </c>
      <c r="I14" s="1">
        <v>6934</v>
      </c>
      <c r="J14" s="1">
        <v>0</v>
      </c>
      <c r="K14" s="1">
        <v>0</v>
      </c>
      <c r="L14" s="1">
        <v>600</v>
      </c>
      <c r="M14" s="1">
        <v>1022</v>
      </c>
      <c r="N14" s="1">
        <v>54523915</v>
      </c>
      <c r="O14" s="1">
        <v>178.43</v>
      </c>
      <c r="P14" s="1" t="s">
        <v>57</v>
      </c>
      <c r="Q14" s="1">
        <v>300</v>
      </c>
      <c r="R14" s="1">
        <v>1</v>
      </c>
      <c r="S14" s="1">
        <v>29282</v>
      </c>
      <c r="T14" s="1">
        <v>101998</v>
      </c>
      <c r="U14" s="1">
        <v>121159</v>
      </c>
      <c r="V14" s="1">
        <v>230.286</v>
      </c>
      <c r="W14" s="1">
        <v>80847</v>
      </c>
      <c r="X14" s="1">
        <v>52759866</v>
      </c>
      <c r="Y14" s="1">
        <v>0</v>
      </c>
      <c r="Z14" s="1">
        <v>164.556</v>
      </c>
      <c r="AA14" s="1">
        <v>6835</v>
      </c>
      <c r="AB14" s="1">
        <v>0</v>
      </c>
      <c r="AC14" s="1">
        <v>1</v>
      </c>
      <c r="AD14" s="1">
        <v>230.56</v>
      </c>
      <c r="AE14" s="1">
        <v>356</v>
      </c>
      <c r="AF14" s="1">
        <v>54545930</v>
      </c>
      <c r="AG14" s="1">
        <v>65.73</v>
      </c>
      <c r="AH14" s="1" t="s">
        <v>56</v>
      </c>
      <c r="AI14" s="1">
        <v>230.56</v>
      </c>
      <c r="AJ14" s="1">
        <v>0</v>
      </c>
      <c r="AK14" s="1">
        <v>29286</v>
      </c>
      <c r="AL14" s="1">
        <v>101998</v>
      </c>
      <c r="AM14" s="1">
        <v>101577</v>
      </c>
      <c r="AN14" s="1">
        <v>299.993</v>
      </c>
      <c r="AO14" s="1">
        <v>68385</v>
      </c>
      <c r="AP14" s="1">
        <v>57987786</v>
      </c>
      <c r="AQ14" s="1">
        <v>0</v>
      </c>
      <c r="AR14" s="1">
        <v>170.523</v>
      </c>
      <c r="AS14" s="1">
        <v>7597</v>
      </c>
      <c r="AT14" s="1">
        <v>0</v>
      </c>
      <c r="AU14" s="1">
        <v>0</v>
      </c>
      <c r="AV14" s="1">
        <v>600</v>
      </c>
      <c r="AW14" s="1">
        <v>293</v>
      </c>
      <c r="AX14" s="1">
        <v>54545930</v>
      </c>
      <c r="AY14" s="1">
        <v>129.47</v>
      </c>
      <c r="AZ14" s="1" t="s">
        <v>57</v>
      </c>
      <c r="BA14" s="1">
        <v>300</v>
      </c>
      <c r="BB14" s="1">
        <v>1</v>
      </c>
      <c r="BC14" s="1">
        <v>1771926</v>
      </c>
      <c r="BD14" s="1">
        <v>58440</v>
      </c>
      <c r="BE14" s="1">
        <v>78565</v>
      </c>
      <c r="BF14" s="1">
        <v>212.025</v>
      </c>
      <c r="BG14" s="1">
        <v>49993</v>
      </c>
      <c r="BH14" s="1">
        <v>52759136</v>
      </c>
      <c r="BI14" s="1">
        <v>0</v>
      </c>
      <c r="BJ14" s="1">
        <v>167.375</v>
      </c>
      <c r="BK14" s="1">
        <v>6738</v>
      </c>
      <c r="BL14" s="1">
        <v>0</v>
      </c>
      <c r="BM14" s="1">
        <v>1</v>
      </c>
      <c r="BN14" s="1">
        <v>212.3</v>
      </c>
      <c r="BO14" s="1">
        <v>252</v>
      </c>
      <c r="BP14" s="1">
        <v>52759256</v>
      </c>
      <c r="BQ14" s="1">
        <v>44.65</v>
      </c>
      <c r="BR14" s="1" t="s">
        <v>56</v>
      </c>
      <c r="BS14" s="1">
        <v>212.3</v>
      </c>
      <c r="BT14" s="1">
        <v>0</v>
      </c>
      <c r="BU14" s="1">
        <v>29160</v>
      </c>
      <c r="BV14" s="1">
        <v>58442</v>
      </c>
      <c r="BW14" s="1">
        <v>120</v>
      </c>
      <c r="BX14" s="1">
        <v>160.27</v>
      </c>
      <c r="BY14" s="1">
        <v>0</v>
      </c>
      <c r="BZ14" s="1">
        <v>52759136</v>
      </c>
      <c r="CA14" s="1">
        <v>0</v>
      </c>
      <c r="CB14" s="1">
        <v>160.23</v>
      </c>
      <c r="CC14" s="1">
        <v>6738</v>
      </c>
      <c r="CD14" s="1">
        <v>0</v>
      </c>
      <c r="CE14" s="1">
        <v>1</v>
      </c>
      <c r="CF14" s="1">
        <v>160.55</v>
      </c>
      <c r="CG14" s="1">
        <v>0</v>
      </c>
      <c r="CH14" s="1">
        <v>52759258</v>
      </c>
      <c r="CI14" s="1">
        <v>0.04</v>
      </c>
      <c r="CJ14" s="1" t="s">
        <v>56</v>
      </c>
      <c r="CK14" s="1">
        <v>160.55</v>
      </c>
      <c r="CL14" s="1">
        <v>0</v>
      </c>
      <c r="CM14" s="1">
        <v>29160</v>
      </c>
      <c r="CN14" s="1">
        <v>1844640</v>
      </c>
      <c r="CO14" s="1">
        <v>626</v>
      </c>
      <c r="CP14" s="1">
        <v>299.99</v>
      </c>
      <c r="CQ14" s="1">
        <v>252</v>
      </c>
      <c r="CR14" s="1">
        <v>57987546</v>
      </c>
      <c r="CS14" s="1">
        <v>0</v>
      </c>
      <c r="CT14" s="1">
        <v>176.94</v>
      </c>
      <c r="CU14" s="1">
        <v>8751</v>
      </c>
      <c r="CV14" s="1">
        <v>0</v>
      </c>
      <c r="CW14" s="1">
        <v>0</v>
      </c>
      <c r="CX14" s="1">
        <v>600</v>
      </c>
      <c r="CY14" s="1">
        <v>3</v>
      </c>
      <c r="CZ14" s="1">
        <v>54545932</v>
      </c>
      <c r="DA14" s="1">
        <v>123.05</v>
      </c>
      <c r="DB14" s="1" t="s">
        <v>57</v>
      </c>
      <c r="DC14" s="1">
        <v>300</v>
      </c>
      <c r="DD14" s="1">
        <v>1</v>
      </c>
      <c r="DE14" s="1">
        <v>1771806</v>
      </c>
      <c r="DF14" s="1">
        <v>365</v>
      </c>
      <c r="DG14" s="1">
        <v>117</v>
      </c>
      <c r="DH14" s="1">
        <v>0.004</v>
      </c>
      <c r="DI14" s="1">
        <v>0</v>
      </c>
      <c r="DJ14" s="1">
        <v>2</v>
      </c>
      <c r="DK14" s="1">
        <v>0</v>
      </c>
      <c r="DL14" s="1">
        <v>0.004</v>
      </c>
      <c r="DM14" s="1">
        <v>0</v>
      </c>
      <c r="DN14" s="1">
        <v>0</v>
      </c>
      <c r="DO14" s="1">
        <v>1</v>
      </c>
      <c r="DP14" s="1">
        <v>0.02</v>
      </c>
      <c r="DQ14" s="1">
        <v>0</v>
      </c>
      <c r="DR14" s="1">
        <v>366</v>
      </c>
      <c r="DS14" s="1">
        <v>0</v>
      </c>
      <c r="DT14" s="1" t="s">
        <v>56</v>
      </c>
      <c r="DU14" s="1">
        <v>0.02</v>
      </c>
      <c r="DV14" s="1">
        <v>0</v>
      </c>
      <c r="DW14" s="1">
        <v>121</v>
      </c>
      <c r="DX14" s="1">
        <v>58442</v>
      </c>
      <c r="DY14" s="1">
        <v>78565</v>
      </c>
      <c r="DZ14" s="1">
        <v>145.924</v>
      </c>
      <c r="EA14" s="1">
        <v>49993</v>
      </c>
      <c r="EB14" s="1">
        <v>52759136</v>
      </c>
      <c r="EC14" s="1">
        <v>0</v>
      </c>
      <c r="ED14" s="1">
        <v>116.684</v>
      </c>
      <c r="EE14" s="1">
        <v>6738</v>
      </c>
      <c r="EF14" s="1">
        <v>0</v>
      </c>
      <c r="EG14" s="1">
        <v>1</v>
      </c>
      <c r="EH14" s="1">
        <v>146.08</v>
      </c>
      <c r="EI14" s="1">
        <v>252</v>
      </c>
      <c r="EJ14" s="1">
        <v>52759258</v>
      </c>
      <c r="EK14" s="1">
        <v>29.24</v>
      </c>
      <c r="EL14" s="1" t="s">
        <v>56</v>
      </c>
      <c r="EM14" s="1">
        <v>146.08</v>
      </c>
      <c r="EN14" s="1">
        <v>0</v>
      </c>
      <c r="EO14" s="1">
        <v>29160</v>
      </c>
      <c r="EP14" s="1">
        <v>80221</v>
      </c>
      <c r="EQ14" s="1">
        <v>242671</v>
      </c>
      <c r="ER14" s="1">
        <v>299.991</v>
      </c>
      <c r="ES14" s="1">
        <v>172384</v>
      </c>
      <c r="ET14" s="1">
        <v>52759618</v>
      </c>
      <c r="EU14" s="1">
        <v>0</v>
      </c>
      <c r="EV14" s="1">
        <v>161.381</v>
      </c>
      <c r="EW14" s="1">
        <v>6938</v>
      </c>
      <c r="EX14" s="1">
        <v>0</v>
      </c>
      <c r="EY14" s="1">
        <v>0</v>
      </c>
      <c r="EZ14" s="1">
        <v>600</v>
      </c>
      <c r="FA14" s="1">
        <v>636</v>
      </c>
      <c r="FB14" s="1">
        <v>54523915</v>
      </c>
      <c r="FC14" s="1">
        <v>138.61</v>
      </c>
      <c r="FD14" s="1" t="s">
        <v>57</v>
      </c>
      <c r="FE14" s="1">
        <v>300</v>
      </c>
      <c r="FF14" s="1">
        <v>1</v>
      </c>
      <c r="FG14" s="1">
        <v>29282</v>
      </c>
      <c r="FH14" s="1">
        <v>101998</v>
      </c>
      <c r="FI14" s="1">
        <v>121159</v>
      </c>
      <c r="FJ14" s="1">
        <v>229.707</v>
      </c>
      <c r="FK14" s="1">
        <v>80847</v>
      </c>
      <c r="FL14" s="1">
        <v>52759866</v>
      </c>
      <c r="FM14" s="1">
        <v>0</v>
      </c>
      <c r="FN14" s="1">
        <v>162.567</v>
      </c>
      <c r="FO14" s="1">
        <v>6838</v>
      </c>
      <c r="FP14" s="1">
        <v>0</v>
      </c>
      <c r="FQ14" s="1">
        <v>1</v>
      </c>
      <c r="FR14" s="1">
        <v>230.21</v>
      </c>
      <c r="FS14" s="1">
        <v>356</v>
      </c>
      <c r="FT14" s="1">
        <v>54545930</v>
      </c>
      <c r="FU14" s="1">
        <v>67.14</v>
      </c>
      <c r="FV14" s="1" t="s">
        <v>56</v>
      </c>
      <c r="FW14" s="1">
        <v>230.21</v>
      </c>
      <c r="FX14" s="1">
        <v>0</v>
      </c>
      <c r="FY14" s="1">
        <v>29286</v>
      </c>
      <c r="FZ14" s="1">
        <v>101998</v>
      </c>
      <c r="GA14" s="1">
        <v>95795</v>
      </c>
      <c r="GB14" s="1">
        <v>299.992</v>
      </c>
      <c r="GC14" s="1">
        <v>64956</v>
      </c>
      <c r="GD14" s="1">
        <v>57987786</v>
      </c>
      <c r="GE14" s="1">
        <v>0</v>
      </c>
      <c r="GF14" s="1">
        <v>175.142</v>
      </c>
      <c r="GG14" s="1">
        <v>7596</v>
      </c>
      <c r="GH14" s="1">
        <v>0</v>
      </c>
      <c r="GI14" s="1">
        <v>0</v>
      </c>
      <c r="GJ14" s="1">
        <v>600</v>
      </c>
      <c r="GK14" s="1">
        <v>273</v>
      </c>
      <c r="GL14" s="1">
        <v>54545930</v>
      </c>
      <c r="GM14" s="1">
        <v>124.85</v>
      </c>
      <c r="GN14" s="1" t="s">
        <v>57</v>
      </c>
      <c r="GO14" s="1">
        <v>300</v>
      </c>
      <c r="GP14" s="1">
        <v>1</v>
      </c>
      <c r="GQ14" s="1">
        <v>1771926</v>
      </c>
      <c r="GR14" s="1">
        <v>58440</v>
      </c>
      <c r="GS14" s="1">
        <v>78565</v>
      </c>
      <c r="GT14" s="1">
        <v>196.613</v>
      </c>
      <c r="GU14" s="1">
        <v>49993</v>
      </c>
      <c r="GV14" s="1">
        <v>52759136</v>
      </c>
      <c r="GW14" s="1">
        <v>0</v>
      </c>
      <c r="GX14" s="1">
        <v>153.553</v>
      </c>
      <c r="GY14" s="1">
        <v>6740</v>
      </c>
      <c r="GZ14" s="1">
        <v>0</v>
      </c>
      <c r="HA14" s="1">
        <v>1</v>
      </c>
      <c r="HB14" s="1">
        <v>196.89</v>
      </c>
      <c r="HC14" s="1">
        <v>252</v>
      </c>
      <c r="HD14" s="1">
        <v>52759256</v>
      </c>
      <c r="HE14" s="1">
        <v>43.06</v>
      </c>
      <c r="HF14" s="1" t="s">
        <v>56</v>
      </c>
      <c r="HG14" s="1">
        <v>196.89</v>
      </c>
      <c r="HH14" s="1">
        <v>0</v>
      </c>
      <c r="HI14" s="1">
        <v>29160</v>
      </c>
      <c r="HJ14" s="1">
        <v>58443</v>
      </c>
      <c r="HK14" s="1">
        <v>120</v>
      </c>
      <c r="HL14" s="1">
        <v>165.363</v>
      </c>
      <c r="HM14" s="1">
        <v>0</v>
      </c>
      <c r="HN14" s="1">
        <v>52759136</v>
      </c>
      <c r="HO14" s="1">
        <v>0</v>
      </c>
      <c r="HP14" s="1">
        <v>165.243</v>
      </c>
      <c r="HQ14" s="1">
        <v>6742</v>
      </c>
      <c r="HR14" s="1">
        <v>0</v>
      </c>
      <c r="HS14" s="1">
        <v>1</v>
      </c>
      <c r="HT14" s="1">
        <v>165.64</v>
      </c>
      <c r="HU14" s="1">
        <v>0</v>
      </c>
      <c r="HV14" s="1">
        <v>52759259</v>
      </c>
      <c r="HW14" s="1">
        <v>0.12</v>
      </c>
      <c r="HX14" s="1" t="s">
        <v>56</v>
      </c>
      <c r="HY14" s="1">
        <v>165.64</v>
      </c>
      <c r="HZ14" s="1">
        <v>0</v>
      </c>
      <c r="IA14" s="1">
        <v>29160</v>
      </c>
      <c r="IB14" s="1">
        <v>1844641</v>
      </c>
      <c r="IC14" s="1">
        <v>14</v>
      </c>
      <c r="ID14" s="1">
        <v>299.998</v>
      </c>
      <c r="IE14" s="1">
        <v>0</v>
      </c>
      <c r="IF14" s="1">
        <v>57987546</v>
      </c>
      <c r="IG14" s="1">
        <v>0</v>
      </c>
      <c r="IH14" s="1">
        <v>184.138</v>
      </c>
      <c r="II14" s="1">
        <v>8354</v>
      </c>
      <c r="IJ14" s="1">
        <v>0</v>
      </c>
      <c r="IK14" s="1">
        <v>0</v>
      </c>
      <c r="IL14" s="1">
        <v>600</v>
      </c>
      <c r="IM14" s="1">
        <v>0</v>
      </c>
      <c r="IN14" s="1">
        <v>54545933</v>
      </c>
      <c r="IO14" s="1">
        <v>115.86</v>
      </c>
      <c r="IP14" s="1" t="s">
        <v>57</v>
      </c>
      <c r="IQ14" s="1">
        <v>300</v>
      </c>
      <c r="IR14" s="1">
        <v>1</v>
      </c>
      <c r="IS14" s="1">
        <v>1771806</v>
      </c>
      <c r="IT14" s="1">
        <v>366</v>
      </c>
      <c r="IU14" s="1">
        <v>117</v>
      </c>
      <c r="IV14" s="1">
        <v>0.104</v>
      </c>
      <c r="IW14" s="1">
        <v>0</v>
      </c>
      <c r="IX14" s="1">
        <v>2</v>
      </c>
      <c r="IY14" s="1">
        <v>0</v>
      </c>
      <c r="IZ14" s="1">
        <v>0.03399999999999999</v>
      </c>
      <c r="JA14" s="1">
        <v>13</v>
      </c>
      <c r="JB14" s="1">
        <v>0</v>
      </c>
      <c r="JC14" s="1">
        <v>1</v>
      </c>
      <c r="JD14" s="1">
        <v>0.13</v>
      </c>
      <c r="JE14" s="1">
        <v>0</v>
      </c>
      <c r="JF14" s="1">
        <v>367</v>
      </c>
      <c r="JG14" s="1">
        <v>0.07000000000000001</v>
      </c>
      <c r="JH14" s="1" t="s">
        <v>56</v>
      </c>
      <c r="JI14" s="1">
        <v>0.13</v>
      </c>
      <c r="JJ14" s="1">
        <v>0</v>
      </c>
      <c r="JK14" s="1">
        <v>121</v>
      </c>
      <c r="JL14" s="1">
        <v>58443</v>
      </c>
      <c r="JM14" s="1">
        <v>78565</v>
      </c>
      <c r="JN14" s="1">
        <v>221.892</v>
      </c>
      <c r="JO14" s="1">
        <v>49993</v>
      </c>
      <c r="JP14" s="1">
        <v>52759136</v>
      </c>
      <c r="JQ14" s="1">
        <v>0</v>
      </c>
      <c r="JR14" s="1">
        <v>158.962</v>
      </c>
      <c r="JS14" s="1">
        <v>6741</v>
      </c>
      <c r="JT14" s="1">
        <v>0</v>
      </c>
      <c r="JU14" s="1">
        <v>1</v>
      </c>
      <c r="JV14" s="1">
        <v>222.17</v>
      </c>
      <c r="JW14" s="1">
        <v>252</v>
      </c>
      <c r="JX14" s="1">
        <v>52759259</v>
      </c>
      <c r="JY14" s="1">
        <v>62.93</v>
      </c>
      <c r="JZ14" s="1" t="s">
        <v>56</v>
      </c>
      <c r="KA14" s="1">
        <v>222.17</v>
      </c>
      <c r="KB14" s="1">
        <v>0</v>
      </c>
      <c r="KC14" s="1">
        <v>29160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>
        <v>1955</v>
      </c>
      <c r="C15" s="1">
        <v>64</v>
      </c>
      <c r="D15" s="1">
        <v>0.041</v>
      </c>
      <c r="E15" s="1">
        <v>0</v>
      </c>
      <c r="F15" s="1">
        <v>58432</v>
      </c>
      <c r="G15" s="1">
        <v>0</v>
      </c>
      <c r="H15" s="1">
        <v>0.041</v>
      </c>
      <c r="I15" s="1">
        <v>0</v>
      </c>
      <c r="J15" s="1">
        <v>0</v>
      </c>
      <c r="K15" s="1">
        <v>1</v>
      </c>
      <c r="L15" s="1">
        <v>0.07000000000000001</v>
      </c>
      <c r="M15" s="1">
        <v>0</v>
      </c>
      <c r="N15" s="1">
        <v>38143</v>
      </c>
      <c r="O15" s="1">
        <v>0</v>
      </c>
      <c r="P15" s="1" t="s">
        <v>56</v>
      </c>
      <c r="Q15" s="1">
        <v>0.07000000000000001</v>
      </c>
      <c r="R15" s="1">
        <v>0</v>
      </c>
      <c r="S15" s="1">
        <v>8904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>
        <v>1955</v>
      </c>
      <c r="AM15" s="1">
        <v>141</v>
      </c>
      <c r="AN15" s="1">
        <v>0.042</v>
      </c>
      <c r="AO15" s="1">
        <v>73</v>
      </c>
      <c r="AP15" s="1">
        <v>68992</v>
      </c>
      <c r="AQ15" s="1">
        <v>0</v>
      </c>
      <c r="AR15" s="1">
        <v>0.042</v>
      </c>
      <c r="AS15" s="1">
        <v>0</v>
      </c>
      <c r="AT15" s="1">
        <v>0</v>
      </c>
      <c r="AU15" s="1">
        <v>1</v>
      </c>
      <c r="AV15" s="1">
        <v>0.07000000000000001</v>
      </c>
      <c r="AW15" s="1">
        <v>0</v>
      </c>
      <c r="AX15" s="1">
        <v>39439</v>
      </c>
      <c r="AY15" s="1">
        <v>0</v>
      </c>
      <c r="AZ15" s="1" t="s">
        <v>56</v>
      </c>
      <c r="BA15" s="1">
        <v>0.07000000000000001</v>
      </c>
      <c r="BB15" s="1">
        <v>0</v>
      </c>
      <c r="BC15" s="1">
        <v>10824</v>
      </c>
      <c r="BD15" s="1">
        <v>1490</v>
      </c>
      <c r="BE15" s="1">
        <v>440</v>
      </c>
      <c r="BF15" s="1">
        <v>0.031</v>
      </c>
      <c r="BG15" s="1">
        <v>162</v>
      </c>
      <c r="BH15" s="1">
        <v>38460</v>
      </c>
      <c r="BI15" s="1">
        <v>0</v>
      </c>
      <c r="BJ15" s="1">
        <v>0.031</v>
      </c>
      <c r="BK15" s="1">
        <v>0</v>
      </c>
      <c r="BL15" s="1">
        <v>0</v>
      </c>
      <c r="BM15" s="1">
        <v>1</v>
      </c>
      <c r="BN15" s="1">
        <v>0.05</v>
      </c>
      <c r="BO15" s="1">
        <v>2</v>
      </c>
      <c r="BP15" s="1">
        <v>21634</v>
      </c>
      <c r="BQ15" s="1">
        <v>0</v>
      </c>
      <c r="BR15" s="1" t="s">
        <v>56</v>
      </c>
      <c r="BS15" s="1">
        <v>0.05</v>
      </c>
      <c r="BT15" s="1">
        <v>0</v>
      </c>
      <c r="BU15" s="1">
        <v>7004</v>
      </c>
      <c r="BV15" s="1">
        <v>4961</v>
      </c>
      <c r="BW15" s="1">
        <v>62</v>
      </c>
      <c r="BX15" s="1">
        <v>0.046</v>
      </c>
      <c r="BY15" s="1">
        <v>0</v>
      </c>
      <c r="BZ15" s="1">
        <v>66244</v>
      </c>
      <c r="CA15" s="1">
        <v>0</v>
      </c>
      <c r="CB15" s="1">
        <v>0.046</v>
      </c>
      <c r="CC15" s="1">
        <v>0</v>
      </c>
      <c r="CD15" s="1">
        <v>0</v>
      </c>
      <c r="CE15" s="1">
        <v>1</v>
      </c>
      <c r="CF15" s="1">
        <v>0.07000000000000001</v>
      </c>
      <c r="CG15" s="1">
        <v>0</v>
      </c>
      <c r="CH15" s="1">
        <v>41133</v>
      </c>
      <c r="CI15" s="1">
        <v>0</v>
      </c>
      <c r="CJ15" s="1" t="s">
        <v>56</v>
      </c>
      <c r="CK15" s="1">
        <v>0.07000000000000001</v>
      </c>
      <c r="CL15" s="1">
        <v>0</v>
      </c>
      <c r="CM15" s="1">
        <v>10644</v>
      </c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>
        <v>4964</v>
      </c>
      <c r="DY15" s="1">
        <v>1864</v>
      </c>
      <c r="DZ15" s="1">
        <v>0.07099999999999999</v>
      </c>
      <c r="EA15" s="1">
        <v>485</v>
      </c>
      <c r="EB15" s="1">
        <v>66244</v>
      </c>
      <c r="EC15" s="1">
        <v>0</v>
      </c>
      <c r="ED15" s="1">
        <v>0.05099999999999999</v>
      </c>
      <c r="EE15" s="1">
        <v>0</v>
      </c>
      <c r="EF15" s="1">
        <v>0</v>
      </c>
      <c r="EG15" s="1">
        <v>1</v>
      </c>
      <c r="EH15" s="1">
        <v>0.1</v>
      </c>
      <c r="EI15" s="1">
        <v>5</v>
      </c>
      <c r="EJ15" s="1">
        <v>41136</v>
      </c>
      <c r="EK15" s="1">
        <v>0.02</v>
      </c>
      <c r="EL15" s="1" t="s">
        <v>56</v>
      </c>
      <c r="EM15" s="1">
        <v>0.1</v>
      </c>
      <c r="EN15" s="1">
        <v>0</v>
      </c>
      <c r="EO15" s="1">
        <v>10644</v>
      </c>
      <c r="EP15" s="1">
        <v>1955</v>
      </c>
      <c r="EQ15" s="1">
        <v>64</v>
      </c>
      <c r="ER15" s="1">
        <v>0.042</v>
      </c>
      <c r="ES15" s="1">
        <v>0</v>
      </c>
      <c r="ET15" s="1">
        <v>58432</v>
      </c>
      <c r="EU15" s="1">
        <v>0</v>
      </c>
      <c r="EV15" s="1">
        <v>0.042</v>
      </c>
      <c r="EW15" s="1">
        <v>0</v>
      </c>
      <c r="EX15" s="1">
        <v>0</v>
      </c>
      <c r="EY15" s="1">
        <v>1</v>
      </c>
      <c r="EZ15" s="1">
        <v>0.07000000000000001</v>
      </c>
      <c r="FA15" s="1">
        <v>0</v>
      </c>
      <c r="FB15" s="1">
        <v>38143</v>
      </c>
      <c r="FC15" s="1">
        <v>0</v>
      </c>
      <c r="FD15" s="1" t="s">
        <v>56</v>
      </c>
      <c r="FE15" s="1">
        <v>0.07000000000000001</v>
      </c>
      <c r="FF15" s="1">
        <v>0</v>
      </c>
      <c r="FG15" s="1">
        <v>8904</v>
      </c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>
        <v>1955</v>
      </c>
      <c r="GA15" s="1">
        <v>141</v>
      </c>
      <c r="GB15" s="1">
        <v>0.044</v>
      </c>
      <c r="GC15" s="1">
        <v>73</v>
      </c>
      <c r="GD15" s="1">
        <v>68992</v>
      </c>
      <c r="GE15" s="1">
        <v>0</v>
      </c>
      <c r="GF15" s="1">
        <v>0.044</v>
      </c>
      <c r="GG15" s="1">
        <v>0</v>
      </c>
      <c r="GH15" s="1">
        <v>0</v>
      </c>
      <c r="GI15" s="1">
        <v>1</v>
      </c>
      <c r="GJ15" s="1">
        <v>0.07000000000000001</v>
      </c>
      <c r="GK15" s="1">
        <v>0</v>
      </c>
      <c r="GL15" s="1">
        <v>39439</v>
      </c>
      <c r="GM15" s="1">
        <v>0</v>
      </c>
      <c r="GN15" s="1" t="s">
        <v>56</v>
      </c>
      <c r="GO15" s="1">
        <v>0.07000000000000001</v>
      </c>
      <c r="GP15" s="1">
        <v>0</v>
      </c>
      <c r="GQ15" s="1">
        <v>10824</v>
      </c>
      <c r="GR15" s="1">
        <v>1490</v>
      </c>
      <c r="GS15" s="1">
        <v>440</v>
      </c>
      <c r="GT15" s="1">
        <v>0.029</v>
      </c>
      <c r="GU15" s="1">
        <v>162</v>
      </c>
      <c r="GV15" s="1">
        <v>38460</v>
      </c>
      <c r="GW15" s="1">
        <v>0</v>
      </c>
      <c r="GX15" s="1">
        <v>0.029</v>
      </c>
      <c r="GY15" s="1">
        <v>0</v>
      </c>
      <c r="GZ15" s="1">
        <v>0</v>
      </c>
      <c r="HA15" s="1">
        <v>1</v>
      </c>
      <c r="HB15" s="1">
        <v>0.06</v>
      </c>
      <c r="HC15" s="1">
        <v>2</v>
      </c>
      <c r="HD15" s="1">
        <v>21634</v>
      </c>
      <c r="HE15" s="1">
        <v>0</v>
      </c>
      <c r="HF15" s="1" t="s">
        <v>56</v>
      </c>
      <c r="HG15" s="1">
        <v>0.06</v>
      </c>
      <c r="HH15" s="1">
        <v>0</v>
      </c>
      <c r="HI15" s="1">
        <v>7004</v>
      </c>
      <c r="HJ15" s="1">
        <v>1965</v>
      </c>
      <c r="HK15" s="1">
        <v>62</v>
      </c>
      <c r="HL15" s="1">
        <v>0.343</v>
      </c>
      <c r="HM15" s="1">
        <v>0</v>
      </c>
      <c r="HN15" s="1">
        <v>58432</v>
      </c>
      <c r="HO15" s="1">
        <v>0</v>
      </c>
      <c r="HP15" s="1">
        <v>0.173</v>
      </c>
      <c r="HQ15" s="1">
        <v>19</v>
      </c>
      <c r="HR15" s="1">
        <v>0</v>
      </c>
      <c r="HS15" s="1">
        <v>1</v>
      </c>
      <c r="HT15" s="1">
        <v>0.49</v>
      </c>
      <c r="HU15" s="1">
        <v>0</v>
      </c>
      <c r="HV15" s="1">
        <v>36841</v>
      </c>
      <c r="HW15" s="1">
        <v>0.17</v>
      </c>
      <c r="HX15" s="1" t="s">
        <v>56</v>
      </c>
      <c r="HY15" s="1">
        <v>0.49</v>
      </c>
      <c r="HZ15" s="1">
        <v>0</v>
      </c>
      <c r="IA15" s="1">
        <v>8904</v>
      </c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>
        <v>1965</v>
      </c>
      <c r="JM15" s="1">
        <v>1648</v>
      </c>
      <c r="JN15" s="1">
        <v>2.568</v>
      </c>
      <c r="JO15" s="1">
        <v>589</v>
      </c>
      <c r="JP15" s="1">
        <v>58432</v>
      </c>
      <c r="JQ15" s="1">
        <v>0</v>
      </c>
      <c r="JR15" s="1">
        <v>0.09799999999999986</v>
      </c>
      <c r="JS15" s="1">
        <v>19</v>
      </c>
      <c r="JT15" s="1">
        <v>0</v>
      </c>
      <c r="JU15" s="1">
        <v>1</v>
      </c>
      <c r="JV15" s="1">
        <v>2.6</v>
      </c>
      <c r="JW15" s="1">
        <v>4</v>
      </c>
      <c r="JX15" s="1">
        <v>36841</v>
      </c>
      <c r="JY15" s="1">
        <v>2.47</v>
      </c>
      <c r="JZ15" s="1" t="s">
        <v>56</v>
      </c>
      <c r="KA15" s="1">
        <v>2.6</v>
      </c>
      <c r="KB15" s="1">
        <v>0</v>
      </c>
      <c r="KC15" s="1">
        <v>8904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>
        <v>2599</v>
      </c>
      <c r="C16" s="1">
        <v>76</v>
      </c>
      <c r="D16" s="1">
        <v>0.061</v>
      </c>
      <c r="E16" s="1">
        <v>0</v>
      </c>
      <c r="F16" s="1">
        <v>99760</v>
      </c>
      <c r="G16" s="1">
        <v>0</v>
      </c>
      <c r="H16" s="1">
        <v>0.061</v>
      </c>
      <c r="I16" s="1">
        <v>0</v>
      </c>
      <c r="J16" s="1">
        <v>0</v>
      </c>
      <c r="K16" s="1">
        <v>1</v>
      </c>
      <c r="L16" s="1">
        <v>0.09</v>
      </c>
      <c r="M16" s="1">
        <v>0</v>
      </c>
      <c r="N16" s="1">
        <v>66297</v>
      </c>
      <c r="O16" s="1">
        <v>0</v>
      </c>
      <c r="P16" s="1" t="s">
        <v>56</v>
      </c>
      <c r="Q16" s="1">
        <v>0.09</v>
      </c>
      <c r="R16" s="1">
        <v>0</v>
      </c>
      <c r="S16" s="1">
        <v>14060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>
        <v>2599</v>
      </c>
      <c r="AM16" s="1">
        <v>799</v>
      </c>
      <c r="AN16" s="1">
        <v>0.08699999999999999</v>
      </c>
      <c r="AO16" s="1">
        <v>364</v>
      </c>
      <c r="AP16" s="1">
        <v>116560</v>
      </c>
      <c r="AQ16" s="1">
        <v>0</v>
      </c>
      <c r="AR16" s="1">
        <v>0.077</v>
      </c>
      <c r="AS16" s="1">
        <v>19</v>
      </c>
      <c r="AT16" s="1">
        <v>0</v>
      </c>
      <c r="AU16" s="1">
        <v>1</v>
      </c>
      <c r="AV16" s="1">
        <v>0.12</v>
      </c>
      <c r="AW16" s="1">
        <v>3</v>
      </c>
      <c r="AX16" s="1">
        <v>68453</v>
      </c>
      <c r="AY16" s="1">
        <v>0.01</v>
      </c>
      <c r="AZ16" s="1" t="s">
        <v>56</v>
      </c>
      <c r="BA16" s="1">
        <v>0.12</v>
      </c>
      <c r="BB16" s="1">
        <v>0</v>
      </c>
      <c r="BC16" s="1">
        <v>17084</v>
      </c>
      <c r="BD16" s="1">
        <v>1972</v>
      </c>
      <c r="BE16" s="1">
        <v>473</v>
      </c>
      <c r="BF16" s="1">
        <v>0.067</v>
      </c>
      <c r="BG16" s="1">
        <v>160</v>
      </c>
      <c r="BH16" s="1">
        <v>62766</v>
      </c>
      <c r="BI16" s="1">
        <v>0</v>
      </c>
      <c r="BJ16" s="1">
        <v>0.057</v>
      </c>
      <c r="BK16" s="1">
        <v>11</v>
      </c>
      <c r="BL16" s="1">
        <v>0</v>
      </c>
      <c r="BM16" s="1">
        <v>1</v>
      </c>
      <c r="BN16" s="1">
        <v>0.16</v>
      </c>
      <c r="BO16" s="1">
        <v>2</v>
      </c>
      <c r="BP16" s="1">
        <v>35164</v>
      </c>
      <c r="BQ16" s="1">
        <v>0.01</v>
      </c>
      <c r="BR16" s="1" t="s">
        <v>56</v>
      </c>
      <c r="BS16" s="1">
        <v>0.16</v>
      </c>
      <c r="BT16" s="1">
        <v>0</v>
      </c>
      <c r="BU16" s="1">
        <v>11086</v>
      </c>
      <c r="BV16" s="1">
        <v>6777</v>
      </c>
      <c r="BW16" s="1">
        <v>74</v>
      </c>
      <c r="BX16" s="1">
        <v>0.08</v>
      </c>
      <c r="BY16" s="1">
        <v>0</v>
      </c>
      <c r="BZ16" s="1">
        <v>112346</v>
      </c>
      <c r="CA16" s="1">
        <v>0</v>
      </c>
      <c r="CB16" s="1">
        <v>0.08</v>
      </c>
      <c r="CC16" s="1">
        <v>0</v>
      </c>
      <c r="CD16" s="1">
        <v>0</v>
      </c>
      <c r="CE16" s="1">
        <v>1</v>
      </c>
      <c r="CF16" s="1">
        <v>0.11</v>
      </c>
      <c r="CG16" s="1">
        <v>0</v>
      </c>
      <c r="CH16" s="1">
        <v>70819</v>
      </c>
      <c r="CI16" s="1">
        <v>0</v>
      </c>
      <c r="CJ16" s="1" t="s">
        <v>56</v>
      </c>
      <c r="CK16" s="1">
        <v>0.11</v>
      </c>
      <c r="CL16" s="1">
        <v>0</v>
      </c>
      <c r="CM16" s="1">
        <v>16818</v>
      </c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>
        <v>6780</v>
      </c>
      <c r="DY16" s="1">
        <v>7084</v>
      </c>
      <c r="DZ16" s="1">
        <v>0.18</v>
      </c>
      <c r="EA16" s="1">
        <v>2406</v>
      </c>
      <c r="EB16" s="1">
        <v>112346</v>
      </c>
      <c r="EC16" s="1">
        <v>0</v>
      </c>
      <c r="ED16" s="1">
        <v>0.06999999999999999</v>
      </c>
      <c r="EE16" s="1">
        <v>21</v>
      </c>
      <c r="EF16" s="1">
        <v>0</v>
      </c>
      <c r="EG16" s="1">
        <v>1</v>
      </c>
      <c r="EH16" s="1">
        <v>0.21</v>
      </c>
      <c r="EI16" s="1">
        <v>14</v>
      </c>
      <c r="EJ16" s="1">
        <v>70822</v>
      </c>
      <c r="EK16" s="1">
        <v>0.11</v>
      </c>
      <c r="EL16" s="1" t="s">
        <v>56</v>
      </c>
      <c r="EM16" s="1">
        <v>0.21</v>
      </c>
      <c r="EN16" s="1">
        <v>0</v>
      </c>
      <c r="EO16" s="1">
        <v>16818</v>
      </c>
      <c r="EP16" s="1">
        <v>2599</v>
      </c>
      <c r="EQ16" s="1">
        <v>76</v>
      </c>
      <c r="ER16" s="1">
        <v>0.067</v>
      </c>
      <c r="ES16" s="1">
        <v>0</v>
      </c>
      <c r="ET16" s="1">
        <v>99760</v>
      </c>
      <c r="EU16" s="1">
        <v>0</v>
      </c>
      <c r="EV16" s="1">
        <v>0.067</v>
      </c>
      <c r="EW16" s="1">
        <v>0</v>
      </c>
      <c r="EX16" s="1">
        <v>0</v>
      </c>
      <c r="EY16" s="1">
        <v>1</v>
      </c>
      <c r="EZ16" s="1">
        <v>0.09</v>
      </c>
      <c r="FA16" s="1">
        <v>0</v>
      </c>
      <c r="FB16" s="1">
        <v>66297</v>
      </c>
      <c r="FC16" s="1">
        <v>0</v>
      </c>
      <c r="FD16" s="1" t="s">
        <v>56</v>
      </c>
      <c r="FE16" s="1">
        <v>0.09</v>
      </c>
      <c r="FF16" s="1">
        <v>0</v>
      </c>
      <c r="FG16" s="1">
        <v>14060</v>
      </c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>
        <v>2599</v>
      </c>
      <c r="GA16" s="1">
        <v>799</v>
      </c>
      <c r="GB16" s="1">
        <v>0.08</v>
      </c>
      <c r="GC16" s="1">
        <v>364</v>
      </c>
      <c r="GD16" s="1">
        <v>116560</v>
      </c>
      <c r="GE16" s="1">
        <v>0</v>
      </c>
      <c r="GF16" s="1">
        <v>0.07000000000000001</v>
      </c>
      <c r="GG16" s="1">
        <v>0</v>
      </c>
      <c r="GH16" s="1">
        <v>0</v>
      </c>
      <c r="GI16" s="1">
        <v>1</v>
      </c>
      <c r="GJ16" s="1">
        <v>0.11</v>
      </c>
      <c r="GK16" s="1">
        <v>3</v>
      </c>
      <c r="GL16" s="1">
        <v>68453</v>
      </c>
      <c r="GM16" s="1">
        <v>0.01</v>
      </c>
      <c r="GN16" s="1" t="s">
        <v>56</v>
      </c>
      <c r="GO16" s="1">
        <v>0.11</v>
      </c>
      <c r="GP16" s="1">
        <v>0</v>
      </c>
      <c r="GQ16" s="1">
        <v>17084</v>
      </c>
      <c r="GR16" s="1">
        <v>1972</v>
      </c>
      <c r="GS16" s="1">
        <v>473</v>
      </c>
      <c r="GT16" s="1">
        <v>0.061</v>
      </c>
      <c r="GU16" s="1">
        <v>160</v>
      </c>
      <c r="GV16" s="1">
        <v>62766</v>
      </c>
      <c r="GW16" s="1">
        <v>0</v>
      </c>
      <c r="GX16" s="1">
        <v>0.051</v>
      </c>
      <c r="GY16" s="1">
        <v>6</v>
      </c>
      <c r="GZ16" s="1">
        <v>0</v>
      </c>
      <c r="HA16" s="1">
        <v>1</v>
      </c>
      <c r="HB16" s="1">
        <v>0.18</v>
      </c>
      <c r="HC16" s="1">
        <v>2</v>
      </c>
      <c r="HD16" s="1">
        <v>35164</v>
      </c>
      <c r="HE16" s="1">
        <v>0.01</v>
      </c>
      <c r="HF16" s="1" t="s">
        <v>56</v>
      </c>
      <c r="HG16" s="1">
        <v>0.18</v>
      </c>
      <c r="HH16" s="1">
        <v>0</v>
      </c>
      <c r="HI16" s="1">
        <v>11086</v>
      </c>
      <c r="HJ16" s="1">
        <v>2609</v>
      </c>
      <c r="HK16" s="1">
        <v>74</v>
      </c>
      <c r="HL16" s="1">
        <v>0.5590000000000001</v>
      </c>
      <c r="HM16" s="1">
        <v>0</v>
      </c>
      <c r="HN16" s="1">
        <v>99760</v>
      </c>
      <c r="HO16" s="1">
        <v>0</v>
      </c>
      <c r="HP16" s="1">
        <v>0.2690000000000001</v>
      </c>
      <c r="HQ16" s="1">
        <v>22</v>
      </c>
      <c r="HR16" s="1">
        <v>0</v>
      </c>
      <c r="HS16" s="1">
        <v>1</v>
      </c>
      <c r="HT16" s="1">
        <v>0.59</v>
      </c>
      <c r="HU16" s="1">
        <v>0</v>
      </c>
      <c r="HV16" s="1">
        <v>64495</v>
      </c>
      <c r="HW16" s="1">
        <v>0.29</v>
      </c>
      <c r="HX16" s="1" t="s">
        <v>56</v>
      </c>
      <c r="HY16" s="1">
        <v>0.59</v>
      </c>
      <c r="HZ16" s="1">
        <v>0</v>
      </c>
      <c r="IA16" s="1">
        <v>14060</v>
      </c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>
        <v>2609</v>
      </c>
      <c r="JM16" s="1">
        <v>6409</v>
      </c>
      <c r="JN16" s="1">
        <v>15.86</v>
      </c>
      <c r="JO16" s="1">
        <v>2737</v>
      </c>
      <c r="JP16" s="1">
        <v>99760</v>
      </c>
      <c r="JQ16" s="1">
        <v>0</v>
      </c>
      <c r="JR16" s="1">
        <v>0.1399999999999988</v>
      </c>
      <c r="JS16" s="1">
        <v>22</v>
      </c>
      <c r="JT16" s="1">
        <v>0</v>
      </c>
      <c r="JU16" s="1">
        <v>1</v>
      </c>
      <c r="JV16" s="1">
        <v>15.89</v>
      </c>
      <c r="JW16" s="1">
        <v>14</v>
      </c>
      <c r="JX16" s="1">
        <v>64495</v>
      </c>
      <c r="JY16" s="1">
        <v>15.72</v>
      </c>
      <c r="JZ16" s="1" t="s">
        <v>56</v>
      </c>
      <c r="KA16" s="1">
        <v>15.89</v>
      </c>
      <c r="KB16" s="1">
        <v>0</v>
      </c>
      <c r="KC16" s="1">
        <v>14060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>
        <v>3331</v>
      </c>
      <c r="C17" s="1">
        <v>88</v>
      </c>
      <c r="D17" s="1">
        <v>0.103</v>
      </c>
      <c r="E17" s="1">
        <v>0</v>
      </c>
      <c r="F17" s="1">
        <v>158816</v>
      </c>
      <c r="G17" s="1">
        <v>0</v>
      </c>
      <c r="H17" s="1">
        <v>0.103</v>
      </c>
      <c r="I17" s="1">
        <v>18</v>
      </c>
      <c r="J17" s="1">
        <v>0</v>
      </c>
      <c r="K17" s="1">
        <v>1</v>
      </c>
      <c r="L17" s="1">
        <v>0.14</v>
      </c>
      <c r="M17" s="1">
        <v>0</v>
      </c>
      <c r="N17" s="1">
        <v>107459</v>
      </c>
      <c r="O17" s="1">
        <v>0</v>
      </c>
      <c r="P17" s="1" t="s">
        <v>56</v>
      </c>
      <c r="Q17" s="1">
        <v>0.14</v>
      </c>
      <c r="R17" s="1">
        <v>0</v>
      </c>
      <c r="S17" s="1">
        <v>20904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>
        <v>3331</v>
      </c>
      <c r="AM17" s="1">
        <v>571</v>
      </c>
      <c r="AN17" s="1">
        <v>0.12</v>
      </c>
      <c r="AO17" s="1">
        <v>216</v>
      </c>
      <c r="AP17" s="1">
        <v>183904</v>
      </c>
      <c r="AQ17" s="1">
        <v>0</v>
      </c>
      <c r="AR17" s="1">
        <v>0.11</v>
      </c>
      <c r="AS17" s="1">
        <v>22</v>
      </c>
      <c r="AT17" s="1">
        <v>0</v>
      </c>
      <c r="AU17" s="1">
        <v>1</v>
      </c>
      <c r="AV17" s="1">
        <v>0.15</v>
      </c>
      <c r="AW17" s="1">
        <v>2</v>
      </c>
      <c r="AX17" s="1">
        <v>110787</v>
      </c>
      <c r="AY17" s="1">
        <v>0.01</v>
      </c>
      <c r="AZ17" s="1" t="s">
        <v>56</v>
      </c>
      <c r="BA17" s="1">
        <v>0.15</v>
      </c>
      <c r="BB17" s="1">
        <v>0</v>
      </c>
      <c r="BC17" s="1">
        <v>25384</v>
      </c>
      <c r="BD17" s="1">
        <v>2518</v>
      </c>
      <c r="BE17" s="1">
        <v>705</v>
      </c>
      <c r="BF17" s="1">
        <v>0.068</v>
      </c>
      <c r="BG17" s="1">
        <v>162</v>
      </c>
      <c r="BH17" s="1">
        <v>95640</v>
      </c>
      <c r="BI17" s="1">
        <v>0</v>
      </c>
      <c r="BJ17" s="1">
        <v>0.058</v>
      </c>
      <c r="BK17" s="1">
        <v>0</v>
      </c>
      <c r="BL17" s="1">
        <v>0</v>
      </c>
      <c r="BM17" s="1">
        <v>1</v>
      </c>
      <c r="BN17" s="1">
        <v>0.1</v>
      </c>
      <c r="BO17" s="1">
        <v>2</v>
      </c>
      <c r="BP17" s="1">
        <v>53446</v>
      </c>
      <c r="BQ17" s="1">
        <v>0.01</v>
      </c>
      <c r="BR17" s="1" t="s">
        <v>56</v>
      </c>
      <c r="BS17" s="1">
        <v>0.1</v>
      </c>
      <c r="BT17" s="1">
        <v>0</v>
      </c>
      <c r="BU17" s="1">
        <v>16512</v>
      </c>
      <c r="BV17" s="1">
        <v>8873</v>
      </c>
      <c r="BW17" s="1">
        <v>86</v>
      </c>
      <c r="BX17" s="1">
        <v>0.121</v>
      </c>
      <c r="BY17" s="1">
        <v>0</v>
      </c>
      <c r="BZ17" s="1">
        <v>177808</v>
      </c>
      <c r="CA17" s="1">
        <v>0</v>
      </c>
      <c r="CB17" s="1">
        <v>0.121</v>
      </c>
      <c r="CC17" s="1">
        <v>21</v>
      </c>
      <c r="CD17" s="1">
        <v>0</v>
      </c>
      <c r="CE17" s="1">
        <v>1</v>
      </c>
      <c r="CF17" s="1">
        <v>0.15</v>
      </c>
      <c r="CG17" s="1">
        <v>0</v>
      </c>
      <c r="CH17" s="1">
        <v>113937</v>
      </c>
      <c r="CI17" s="1">
        <v>0</v>
      </c>
      <c r="CJ17" s="1" t="s">
        <v>56</v>
      </c>
      <c r="CK17" s="1">
        <v>0.15</v>
      </c>
      <c r="CL17" s="1">
        <v>0</v>
      </c>
      <c r="CM17" s="1">
        <v>25016</v>
      </c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>
        <v>8876</v>
      </c>
      <c r="DY17" s="1">
        <v>66717</v>
      </c>
      <c r="DZ17" s="1">
        <v>1.759</v>
      </c>
      <c r="EA17" s="1">
        <v>32353</v>
      </c>
      <c r="EB17" s="1">
        <v>177808</v>
      </c>
      <c r="EC17" s="1">
        <v>0</v>
      </c>
      <c r="ED17" s="1">
        <v>0.119</v>
      </c>
      <c r="EE17" s="1">
        <v>27</v>
      </c>
      <c r="EF17" s="1">
        <v>0</v>
      </c>
      <c r="EG17" s="1">
        <v>1</v>
      </c>
      <c r="EH17" s="1">
        <v>1.79</v>
      </c>
      <c r="EI17" s="1">
        <v>126</v>
      </c>
      <c r="EJ17" s="1">
        <v>113940</v>
      </c>
      <c r="EK17" s="1">
        <v>1.64</v>
      </c>
      <c r="EL17" s="1" t="s">
        <v>56</v>
      </c>
      <c r="EM17" s="1">
        <v>1.79</v>
      </c>
      <c r="EN17" s="1">
        <v>0</v>
      </c>
      <c r="EO17" s="1">
        <v>25016</v>
      </c>
      <c r="EP17" s="1">
        <v>3331</v>
      </c>
      <c r="EQ17" s="1">
        <v>88</v>
      </c>
      <c r="ER17" s="1">
        <v>0.096</v>
      </c>
      <c r="ES17" s="1">
        <v>0</v>
      </c>
      <c r="ET17" s="1">
        <v>158816</v>
      </c>
      <c r="EU17" s="1">
        <v>0</v>
      </c>
      <c r="EV17" s="1">
        <v>0.096</v>
      </c>
      <c r="EW17" s="1">
        <v>24</v>
      </c>
      <c r="EX17" s="1">
        <v>0</v>
      </c>
      <c r="EY17" s="1">
        <v>1</v>
      </c>
      <c r="EZ17" s="1">
        <v>0.12</v>
      </c>
      <c r="FA17" s="1">
        <v>0</v>
      </c>
      <c r="FB17" s="1">
        <v>107459</v>
      </c>
      <c r="FC17" s="1">
        <v>0</v>
      </c>
      <c r="FD17" s="1" t="s">
        <v>56</v>
      </c>
      <c r="FE17" s="1">
        <v>0.12</v>
      </c>
      <c r="FF17" s="1">
        <v>0</v>
      </c>
      <c r="FG17" s="1">
        <v>20904</v>
      </c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>
        <v>3331</v>
      </c>
      <c r="GA17" s="1">
        <v>571</v>
      </c>
      <c r="GB17" s="1">
        <v>0.122</v>
      </c>
      <c r="GC17" s="1">
        <v>216</v>
      </c>
      <c r="GD17" s="1">
        <v>183904</v>
      </c>
      <c r="GE17" s="1">
        <v>0</v>
      </c>
      <c r="GF17" s="1">
        <v>0.112</v>
      </c>
      <c r="GG17" s="1">
        <v>21</v>
      </c>
      <c r="GH17" s="1">
        <v>0</v>
      </c>
      <c r="GI17" s="1">
        <v>1</v>
      </c>
      <c r="GJ17" s="1">
        <v>0.15</v>
      </c>
      <c r="GK17" s="1">
        <v>2</v>
      </c>
      <c r="GL17" s="1">
        <v>110787</v>
      </c>
      <c r="GM17" s="1">
        <v>0.01</v>
      </c>
      <c r="GN17" s="1" t="s">
        <v>56</v>
      </c>
      <c r="GO17" s="1">
        <v>0.15</v>
      </c>
      <c r="GP17" s="1">
        <v>0</v>
      </c>
      <c r="GQ17" s="1">
        <v>25384</v>
      </c>
      <c r="GR17" s="1">
        <v>2518</v>
      </c>
      <c r="GS17" s="1">
        <v>705</v>
      </c>
      <c r="GT17" s="1">
        <v>0.09</v>
      </c>
      <c r="GU17" s="1">
        <v>162</v>
      </c>
      <c r="GV17" s="1">
        <v>95640</v>
      </c>
      <c r="GW17" s="1">
        <v>0</v>
      </c>
      <c r="GX17" s="1">
        <v>0.08</v>
      </c>
      <c r="GY17" s="1">
        <v>9</v>
      </c>
      <c r="GZ17" s="1">
        <v>0</v>
      </c>
      <c r="HA17" s="1">
        <v>1</v>
      </c>
      <c r="HB17" s="1">
        <v>0.2</v>
      </c>
      <c r="HC17" s="1">
        <v>2</v>
      </c>
      <c r="HD17" s="1">
        <v>53446</v>
      </c>
      <c r="HE17" s="1">
        <v>0.01</v>
      </c>
      <c r="HF17" s="1" t="s">
        <v>56</v>
      </c>
      <c r="HG17" s="1">
        <v>0.2</v>
      </c>
      <c r="HH17" s="1">
        <v>0</v>
      </c>
      <c r="HI17" s="1">
        <v>16512</v>
      </c>
      <c r="HJ17" s="1">
        <v>3341</v>
      </c>
      <c r="HK17" s="1">
        <v>86</v>
      </c>
      <c r="HL17" s="1">
        <v>0.636</v>
      </c>
      <c r="HM17" s="1">
        <v>0</v>
      </c>
      <c r="HN17" s="1">
        <v>158816</v>
      </c>
      <c r="HO17" s="1">
        <v>0</v>
      </c>
      <c r="HP17" s="1">
        <v>0.186</v>
      </c>
      <c r="HQ17" s="1">
        <v>27</v>
      </c>
      <c r="HR17" s="1">
        <v>0</v>
      </c>
      <c r="HS17" s="1">
        <v>1</v>
      </c>
      <c r="HT17" s="1">
        <v>0.66</v>
      </c>
      <c r="HU17" s="1">
        <v>0</v>
      </c>
      <c r="HV17" s="1">
        <v>105077</v>
      </c>
      <c r="HW17" s="1">
        <v>0.45</v>
      </c>
      <c r="HX17" s="1" t="s">
        <v>56</v>
      </c>
      <c r="HY17" s="1">
        <v>0.66</v>
      </c>
      <c r="HZ17" s="1">
        <v>0</v>
      </c>
      <c r="IA17" s="1">
        <v>20904</v>
      </c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>
        <v>3341</v>
      </c>
      <c r="JM17" s="1">
        <v>73143</v>
      </c>
      <c r="JN17" s="1">
        <v>272.202</v>
      </c>
      <c r="JO17" s="1">
        <v>41471</v>
      </c>
      <c r="JP17" s="1">
        <v>158816</v>
      </c>
      <c r="JQ17" s="1">
        <v>0</v>
      </c>
      <c r="JR17" s="1">
        <v>0.1920000000000073</v>
      </c>
      <c r="JS17" s="1">
        <v>31</v>
      </c>
      <c r="JT17" s="1">
        <v>0</v>
      </c>
      <c r="JU17" s="1">
        <v>1</v>
      </c>
      <c r="JV17" s="1">
        <v>272.24</v>
      </c>
      <c r="JW17" s="1">
        <v>143</v>
      </c>
      <c r="JX17" s="1">
        <v>105077</v>
      </c>
      <c r="JY17" s="1">
        <v>272.01</v>
      </c>
      <c r="JZ17" s="1" t="s">
        <v>56</v>
      </c>
      <c r="KA17" s="1">
        <v>272.24</v>
      </c>
      <c r="KB17" s="1">
        <v>0</v>
      </c>
      <c r="KC17" s="1">
        <v>20904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>
        <v>4151</v>
      </c>
      <c r="C18" s="1">
        <v>100</v>
      </c>
      <c r="D18" s="1">
        <v>0.151</v>
      </c>
      <c r="E18" s="1">
        <v>0</v>
      </c>
      <c r="F18" s="1">
        <v>239728</v>
      </c>
      <c r="G18" s="1">
        <v>0</v>
      </c>
      <c r="H18" s="1">
        <v>0.151</v>
      </c>
      <c r="I18" s="1">
        <v>18</v>
      </c>
      <c r="J18" s="1">
        <v>0</v>
      </c>
      <c r="K18" s="1">
        <v>1</v>
      </c>
      <c r="L18" s="1">
        <v>0.18</v>
      </c>
      <c r="M18" s="1">
        <v>0</v>
      </c>
      <c r="N18" s="1">
        <v>165037</v>
      </c>
      <c r="O18" s="1">
        <v>0</v>
      </c>
      <c r="P18" s="1" t="s">
        <v>56</v>
      </c>
      <c r="Q18" s="1">
        <v>0.18</v>
      </c>
      <c r="R18" s="1">
        <v>0</v>
      </c>
      <c r="S18" s="1">
        <v>29676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>
        <v>4151</v>
      </c>
      <c r="AM18" s="1">
        <v>773</v>
      </c>
      <c r="AN18" s="1">
        <v>0.177</v>
      </c>
      <c r="AO18" s="1">
        <v>237</v>
      </c>
      <c r="AP18" s="1">
        <v>275440</v>
      </c>
      <c r="AQ18" s="1">
        <v>0</v>
      </c>
      <c r="AR18" s="1">
        <v>0.167</v>
      </c>
      <c r="AS18" s="1">
        <v>18</v>
      </c>
      <c r="AT18" s="1">
        <v>0</v>
      </c>
      <c r="AU18" s="1">
        <v>1</v>
      </c>
      <c r="AV18" s="1">
        <v>0.2</v>
      </c>
      <c r="AW18" s="1">
        <v>2</v>
      </c>
      <c r="AX18" s="1">
        <v>169897</v>
      </c>
      <c r="AY18" s="1">
        <v>0.01</v>
      </c>
      <c r="AZ18" s="1" t="s">
        <v>56</v>
      </c>
      <c r="BA18" s="1">
        <v>0.2</v>
      </c>
      <c r="BB18" s="1">
        <v>0</v>
      </c>
      <c r="BC18" s="1">
        <v>36012</v>
      </c>
      <c r="BD18" s="1">
        <v>3128</v>
      </c>
      <c r="BE18" s="1">
        <v>1413</v>
      </c>
      <c r="BF18" s="1">
        <v>0.108</v>
      </c>
      <c r="BG18" s="1">
        <v>459</v>
      </c>
      <c r="BH18" s="1">
        <v>138378</v>
      </c>
      <c r="BI18" s="1">
        <v>0</v>
      </c>
      <c r="BJ18" s="1">
        <v>0.08799999999999999</v>
      </c>
      <c r="BK18" s="1">
        <v>23</v>
      </c>
      <c r="BL18" s="1">
        <v>0</v>
      </c>
      <c r="BM18" s="1">
        <v>1</v>
      </c>
      <c r="BN18" s="1">
        <v>0.13</v>
      </c>
      <c r="BO18" s="1">
        <v>5</v>
      </c>
      <c r="BP18" s="1">
        <v>77200</v>
      </c>
      <c r="BQ18" s="1">
        <v>0.02</v>
      </c>
      <c r="BR18" s="1" t="s">
        <v>56</v>
      </c>
      <c r="BS18" s="1">
        <v>0.13</v>
      </c>
      <c r="BT18" s="1">
        <v>0</v>
      </c>
      <c r="BU18" s="1">
        <v>23474</v>
      </c>
      <c r="BV18" s="1">
        <v>11249</v>
      </c>
      <c r="BW18" s="1">
        <v>98</v>
      </c>
      <c r="BX18" s="1">
        <v>0.172</v>
      </c>
      <c r="BY18" s="1">
        <v>0</v>
      </c>
      <c r="BZ18" s="1">
        <v>266998</v>
      </c>
      <c r="CA18" s="1">
        <v>0</v>
      </c>
      <c r="CB18" s="1">
        <v>0.172</v>
      </c>
      <c r="CC18" s="1">
        <v>20</v>
      </c>
      <c r="CD18" s="1">
        <v>0</v>
      </c>
      <c r="CE18" s="1">
        <v>1</v>
      </c>
      <c r="CF18" s="1">
        <v>0.2</v>
      </c>
      <c r="CG18" s="1">
        <v>0</v>
      </c>
      <c r="CH18" s="1">
        <v>173943</v>
      </c>
      <c r="CI18" s="1">
        <v>0</v>
      </c>
      <c r="CJ18" s="1" t="s">
        <v>56</v>
      </c>
      <c r="CK18" s="1">
        <v>0.2</v>
      </c>
      <c r="CL18" s="1">
        <v>0</v>
      </c>
      <c r="CM18" s="1">
        <v>35526</v>
      </c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>
        <v>11252</v>
      </c>
      <c r="DY18" s="1">
        <v>10140961</v>
      </c>
      <c r="DZ18" s="1">
        <v>299.992</v>
      </c>
      <c r="EA18" s="1">
        <v>5643374</v>
      </c>
      <c r="EB18" s="1">
        <v>266998</v>
      </c>
      <c r="EC18" s="1">
        <v>0</v>
      </c>
      <c r="ED18" s="1">
        <v>0.1720000000000255</v>
      </c>
      <c r="EE18" s="1">
        <v>43</v>
      </c>
      <c r="EF18" s="1">
        <v>0</v>
      </c>
      <c r="EG18" s="1">
        <v>0</v>
      </c>
      <c r="EH18" s="1">
        <v>600</v>
      </c>
      <c r="EI18" s="1">
        <v>12281</v>
      </c>
      <c r="EJ18" s="1">
        <v>173946</v>
      </c>
      <c r="EK18" s="1">
        <v>299.82</v>
      </c>
      <c r="EL18" s="1" t="s">
        <v>57</v>
      </c>
      <c r="EM18" s="1">
        <v>300</v>
      </c>
      <c r="EN18" s="1">
        <v>1</v>
      </c>
      <c r="EO18" s="1">
        <v>35526</v>
      </c>
      <c r="EP18" s="1">
        <v>4151</v>
      </c>
      <c r="EQ18" s="1">
        <v>100</v>
      </c>
      <c r="ER18" s="1">
        <v>0.145</v>
      </c>
      <c r="ES18" s="1">
        <v>0</v>
      </c>
      <c r="ET18" s="1">
        <v>239728</v>
      </c>
      <c r="EU18" s="1">
        <v>0</v>
      </c>
      <c r="EV18" s="1">
        <v>0.145</v>
      </c>
      <c r="EW18" s="1">
        <v>20</v>
      </c>
      <c r="EX18" s="1">
        <v>0</v>
      </c>
      <c r="EY18" s="1">
        <v>1</v>
      </c>
      <c r="EZ18" s="1">
        <v>0.17</v>
      </c>
      <c r="FA18" s="1">
        <v>0</v>
      </c>
      <c r="FB18" s="1">
        <v>165037</v>
      </c>
      <c r="FC18" s="1">
        <v>0</v>
      </c>
      <c r="FD18" s="1" t="s">
        <v>56</v>
      </c>
      <c r="FE18" s="1">
        <v>0.17</v>
      </c>
      <c r="FF18" s="1">
        <v>0</v>
      </c>
      <c r="FG18" s="1">
        <v>29676</v>
      </c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>
        <v>4151</v>
      </c>
      <c r="GA18" s="1">
        <v>773</v>
      </c>
      <c r="GB18" s="1">
        <v>0.171</v>
      </c>
      <c r="GC18" s="1">
        <v>237</v>
      </c>
      <c r="GD18" s="1">
        <v>275440</v>
      </c>
      <c r="GE18" s="1">
        <v>0</v>
      </c>
      <c r="GF18" s="1">
        <v>0.161</v>
      </c>
      <c r="GG18" s="1">
        <v>20</v>
      </c>
      <c r="GH18" s="1">
        <v>0</v>
      </c>
      <c r="GI18" s="1">
        <v>1</v>
      </c>
      <c r="GJ18" s="1">
        <v>0.2</v>
      </c>
      <c r="GK18" s="1">
        <v>2</v>
      </c>
      <c r="GL18" s="1">
        <v>169897</v>
      </c>
      <c r="GM18" s="1">
        <v>0.01</v>
      </c>
      <c r="GN18" s="1" t="s">
        <v>56</v>
      </c>
      <c r="GO18" s="1">
        <v>0.2</v>
      </c>
      <c r="GP18" s="1">
        <v>0</v>
      </c>
      <c r="GQ18" s="1">
        <v>36012</v>
      </c>
      <c r="GR18" s="1">
        <v>3128</v>
      </c>
      <c r="GS18" s="1">
        <v>1413</v>
      </c>
      <c r="GT18" s="1">
        <v>0.109</v>
      </c>
      <c r="GU18" s="1">
        <v>459</v>
      </c>
      <c r="GV18" s="1">
        <v>138378</v>
      </c>
      <c r="GW18" s="1">
        <v>0</v>
      </c>
      <c r="GX18" s="1">
        <v>0.089</v>
      </c>
      <c r="GY18" s="1">
        <v>24</v>
      </c>
      <c r="GZ18" s="1">
        <v>0</v>
      </c>
      <c r="HA18" s="1">
        <v>1</v>
      </c>
      <c r="HB18" s="1">
        <v>0.14</v>
      </c>
      <c r="HC18" s="1">
        <v>5</v>
      </c>
      <c r="HD18" s="1">
        <v>77200</v>
      </c>
      <c r="HE18" s="1">
        <v>0.02</v>
      </c>
      <c r="HF18" s="1" t="s">
        <v>56</v>
      </c>
      <c r="HG18" s="1">
        <v>0.14</v>
      </c>
      <c r="HH18" s="1">
        <v>0</v>
      </c>
      <c r="HI18" s="1">
        <v>23474</v>
      </c>
      <c r="HJ18" s="1">
        <v>4161</v>
      </c>
      <c r="HK18" s="1">
        <v>98</v>
      </c>
      <c r="HL18" s="1">
        <v>0.91</v>
      </c>
      <c r="HM18" s="1">
        <v>0</v>
      </c>
      <c r="HN18" s="1">
        <v>239728</v>
      </c>
      <c r="HO18" s="1">
        <v>0</v>
      </c>
      <c r="HP18" s="1">
        <v>0.25</v>
      </c>
      <c r="HQ18" s="1">
        <v>33</v>
      </c>
      <c r="HR18" s="1">
        <v>0</v>
      </c>
      <c r="HS18" s="1">
        <v>1</v>
      </c>
      <c r="HT18" s="1">
        <v>0.9399999999999999</v>
      </c>
      <c r="HU18" s="1">
        <v>0</v>
      </c>
      <c r="HV18" s="1">
        <v>161995</v>
      </c>
      <c r="HW18" s="1">
        <v>0.66</v>
      </c>
      <c r="HX18" s="1" t="s">
        <v>56</v>
      </c>
      <c r="HY18" s="1">
        <v>0.9399999999999999</v>
      </c>
      <c r="HZ18" s="1">
        <v>0</v>
      </c>
      <c r="IA18" s="1">
        <v>29676</v>
      </c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>
        <v>4161</v>
      </c>
      <c r="JM18" s="1">
        <v>67202</v>
      </c>
      <c r="JN18" s="1">
        <v>299.914</v>
      </c>
      <c r="JO18" s="1">
        <v>31903</v>
      </c>
      <c r="JP18" s="1">
        <v>239728</v>
      </c>
      <c r="JQ18" s="1">
        <v>0</v>
      </c>
      <c r="JR18" s="1">
        <v>0.2740000000000009</v>
      </c>
      <c r="JS18" s="1">
        <v>37</v>
      </c>
      <c r="JT18" s="1">
        <v>0</v>
      </c>
      <c r="JU18" s="1">
        <v>0</v>
      </c>
      <c r="JV18" s="1">
        <v>600</v>
      </c>
      <c r="JW18" s="1">
        <v>126</v>
      </c>
      <c r="JX18" s="1">
        <v>161995</v>
      </c>
      <c r="JY18" s="1">
        <v>299.64</v>
      </c>
      <c r="JZ18" s="1" t="s">
        <v>57</v>
      </c>
      <c r="KA18" s="1">
        <v>300</v>
      </c>
      <c r="KB18" s="1">
        <v>1</v>
      </c>
      <c r="KC18" s="1">
        <v>29676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>
        <v>5059</v>
      </c>
      <c r="C19" s="1">
        <v>105</v>
      </c>
      <c r="D19" s="1">
        <v>0.222</v>
      </c>
      <c r="E19" s="1">
        <v>0</v>
      </c>
      <c r="F19" s="1">
        <v>347008</v>
      </c>
      <c r="G19" s="1">
        <v>0</v>
      </c>
      <c r="H19" s="1">
        <v>0.222</v>
      </c>
      <c r="I19" s="1">
        <v>35</v>
      </c>
      <c r="J19" s="1">
        <v>0</v>
      </c>
      <c r="K19" s="1">
        <v>1</v>
      </c>
      <c r="L19" s="1">
        <v>0.25</v>
      </c>
      <c r="M19" s="1">
        <v>0</v>
      </c>
      <c r="N19" s="1">
        <v>242823</v>
      </c>
      <c r="O19" s="1">
        <v>0</v>
      </c>
      <c r="P19" s="1" t="s">
        <v>56</v>
      </c>
      <c r="Q19" s="1">
        <v>0.25</v>
      </c>
      <c r="R19" s="1">
        <v>0</v>
      </c>
      <c r="S19" s="1">
        <v>40616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>
        <v>5059</v>
      </c>
      <c r="AM19" s="1">
        <v>895</v>
      </c>
      <c r="AN19" s="1">
        <v>0.281</v>
      </c>
      <c r="AO19" s="1">
        <v>234</v>
      </c>
      <c r="AP19" s="1">
        <v>395968</v>
      </c>
      <c r="AQ19" s="1">
        <v>0</v>
      </c>
      <c r="AR19" s="1">
        <v>0.261</v>
      </c>
      <c r="AS19" s="1">
        <v>38</v>
      </c>
      <c r="AT19" s="1">
        <v>0</v>
      </c>
      <c r="AU19" s="1">
        <v>1</v>
      </c>
      <c r="AV19" s="1">
        <v>0.37</v>
      </c>
      <c r="AW19" s="1">
        <v>2</v>
      </c>
      <c r="AX19" s="1">
        <v>249623</v>
      </c>
      <c r="AY19" s="1">
        <v>0.02</v>
      </c>
      <c r="AZ19" s="1" t="s">
        <v>56</v>
      </c>
      <c r="BA19" s="1">
        <v>0.37</v>
      </c>
      <c r="BB19" s="1">
        <v>0</v>
      </c>
      <c r="BC19" s="1">
        <v>49256</v>
      </c>
      <c r="BD19" s="1">
        <v>3802</v>
      </c>
      <c r="BE19" s="1">
        <v>2144</v>
      </c>
      <c r="BF19" s="1">
        <v>0.152</v>
      </c>
      <c r="BG19" s="1">
        <v>411</v>
      </c>
      <c r="BH19" s="1">
        <v>192276</v>
      </c>
      <c r="BI19" s="1">
        <v>0</v>
      </c>
      <c r="BJ19" s="1">
        <v>0.132</v>
      </c>
      <c r="BK19" s="1">
        <v>23</v>
      </c>
      <c r="BL19" s="1">
        <v>0</v>
      </c>
      <c r="BM19" s="1">
        <v>1</v>
      </c>
      <c r="BN19" s="1">
        <v>0.18</v>
      </c>
      <c r="BO19" s="1">
        <v>4</v>
      </c>
      <c r="BP19" s="1">
        <v>107146</v>
      </c>
      <c r="BQ19" s="1">
        <v>0.02</v>
      </c>
      <c r="BR19" s="1" t="s">
        <v>56</v>
      </c>
      <c r="BS19" s="1">
        <v>0.18</v>
      </c>
      <c r="BT19" s="1">
        <v>0</v>
      </c>
      <c r="BU19" s="1">
        <v>32164</v>
      </c>
      <c r="BV19" s="1">
        <v>13905</v>
      </c>
      <c r="BW19" s="1">
        <v>110</v>
      </c>
      <c r="BX19" s="1">
        <v>0.262</v>
      </c>
      <c r="BY19" s="1">
        <v>0</v>
      </c>
      <c r="BZ19" s="1">
        <v>384668</v>
      </c>
      <c r="CA19" s="1">
        <v>0</v>
      </c>
      <c r="CB19" s="1">
        <v>0.252</v>
      </c>
      <c r="CC19" s="1">
        <v>42</v>
      </c>
      <c r="CD19" s="1">
        <v>0</v>
      </c>
      <c r="CE19" s="1">
        <v>1</v>
      </c>
      <c r="CF19" s="1">
        <v>0.34</v>
      </c>
      <c r="CG19" s="1">
        <v>0</v>
      </c>
      <c r="CH19" s="1">
        <v>254677</v>
      </c>
      <c r="CI19" s="1">
        <v>0.01</v>
      </c>
      <c r="CJ19" s="1" t="s">
        <v>56</v>
      </c>
      <c r="CK19" s="1">
        <v>0.34</v>
      </c>
      <c r="CL19" s="1">
        <v>0</v>
      </c>
      <c r="CM19" s="1">
        <v>48636</v>
      </c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>
        <v>13908</v>
      </c>
      <c r="DY19" s="1">
        <v>9513638</v>
      </c>
      <c r="DZ19" s="1">
        <v>299.992</v>
      </c>
      <c r="EA19" s="1">
        <v>4747670</v>
      </c>
      <c r="EB19" s="1">
        <v>384668</v>
      </c>
      <c r="EC19" s="1">
        <v>0</v>
      </c>
      <c r="ED19" s="1">
        <v>0.2520000000000095</v>
      </c>
      <c r="EE19" s="1">
        <v>52</v>
      </c>
      <c r="EF19" s="1">
        <v>0</v>
      </c>
      <c r="EG19" s="1">
        <v>0</v>
      </c>
      <c r="EH19" s="1">
        <v>600</v>
      </c>
      <c r="EI19" s="1">
        <v>9850</v>
      </c>
      <c r="EJ19" s="1">
        <v>254680</v>
      </c>
      <c r="EK19" s="1">
        <v>299.74</v>
      </c>
      <c r="EL19" s="1" t="s">
        <v>57</v>
      </c>
      <c r="EM19" s="1">
        <v>300</v>
      </c>
      <c r="EN19" s="1">
        <v>1</v>
      </c>
      <c r="EO19" s="1">
        <v>48636</v>
      </c>
      <c r="EP19" s="1">
        <v>5059</v>
      </c>
      <c r="EQ19" s="1">
        <v>105</v>
      </c>
      <c r="ER19" s="1">
        <v>0.224</v>
      </c>
      <c r="ES19" s="1">
        <v>0</v>
      </c>
      <c r="ET19" s="1">
        <v>347008</v>
      </c>
      <c r="EU19" s="1">
        <v>0</v>
      </c>
      <c r="EV19" s="1">
        <v>0.224</v>
      </c>
      <c r="EW19" s="1">
        <v>35</v>
      </c>
      <c r="EX19" s="1">
        <v>0</v>
      </c>
      <c r="EY19" s="1">
        <v>1</v>
      </c>
      <c r="EZ19" s="1">
        <v>0.25</v>
      </c>
      <c r="FA19" s="1">
        <v>0</v>
      </c>
      <c r="FB19" s="1">
        <v>242823</v>
      </c>
      <c r="FC19" s="1">
        <v>0</v>
      </c>
      <c r="FD19" s="1" t="s">
        <v>56</v>
      </c>
      <c r="FE19" s="1">
        <v>0.25</v>
      </c>
      <c r="FF19" s="1">
        <v>0</v>
      </c>
      <c r="FG19" s="1">
        <v>40616</v>
      </c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>
        <v>5059</v>
      </c>
      <c r="GA19" s="1">
        <v>895</v>
      </c>
      <c r="GB19" s="1">
        <v>0.26</v>
      </c>
      <c r="GC19" s="1">
        <v>234</v>
      </c>
      <c r="GD19" s="1">
        <v>395968</v>
      </c>
      <c r="GE19" s="1">
        <v>0</v>
      </c>
      <c r="GF19" s="1">
        <v>0.24</v>
      </c>
      <c r="GG19" s="1">
        <v>37</v>
      </c>
      <c r="GH19" s="1">
        <v>0</v>
      </c>
      <c r="GI19" s="1">
        <v>1</v>
      </c>
      <c r="GJ19" s="1">
        <v>0.29</v>
      </c>
      <c r="GK19" s="1">
        <v>2</v>
      </c>
      <c r="GL19" s="1">
        <v>249623</v>
      </c>
      <c r="GM19" s="1">
        <v>0.02</v>
      </c>
      <c r="GN19" s="1" t="s">
        <v>56</v>
      </c>
      <c r="GO19" s="1">
        <v>0.29</v>
      </c>
      <c r="GP19" s="1">
        <v>0</v>
      </c>
      <c r="GQ19" s="1">
        <v>49256</v>
      </c>
      <c r="GR19" s="1">
        <v>3802</v>
      </c>
      <c r="GS19" s="1">
        <v>2144</v>
      </c>
      <c r="GT19" s="1">
        <v>0.148</v>
      </c>
      <c r="GU19" s="1">
        <v>411</v>
      </c>
      <c r="GV19" s="1">
        <v>192276</v>
      </c>
      <c r="GW19" s="1">
        <v>0</v>
      </c>
      <c r="GX19" s="1">
        <v>0.128</v>
      </c>
      <c r="GY19" s="1">
        <v>23</v>
      </c>
      <c r="GZ19" s="1">
        <v>0</v>
      </c>
      <c r="HA19" s="1">
        <v>1</v>
      </c>
      <c r="HB19" s="1">
        <v>0.18</v>
      </c>
      <c r="HC19" s="1">
        <v>4</v>
      </c>
      <c r="HD19" s="1">
        <v>107146</v>
      </c>
      <c r="HE19" s="1">
        <v>0.02</v>
      </c>
      <c r="HF19" s="1" t="s">
        <v>56</v>
      </c>
      <c r="HG19" s="1">
        <v>0.18</v>
      </c>
      <c r="HH19" s="1">
        <v>0</v>
      </c>
      <c r="HI19" s="1">
        <v>32164</v>
      </c>
      <c r="HJ19" s="1">
        <v>5069</v>
      </c>
      <c r="HK19" s="1">
        <v>110</v>
      </c>
      <c r="HL19" s="1">
        <v>1.288</v>
      </c>
      <c r="HM19" s="1">
        <v>0</v>
      </c>
      <c r="HN19" s="1">
        <v>347008</v>
      </c>
      <c r="HO19" s="1">
        <v>0</v>
      </c>
      <c r="HP19" s="1">
        <v>0.3480000000000001</v>
      </c>
      <c r="HQ19" s="1">
        <v>41</v>
      </c>
      <c r="HR19" s="1">
        <v>0</v>
      </c>
      <c r="HS19" s="1">
        <v>1</v>
      </c>
      <c r="HT19" s="1">
        <v>1.33</v>
      </c>
      <c r="HU19" s="1">
        <v>0</v>
      </c>
      <c r="HV19" s="1">
        <v>239041</v>
      </c>
      <c r="HW19" s="1">
        <v>0.9399999999999999</v>
      </c>
      <c r="HX19" s="1" t="s">
        <v>56</v>
      </c>
      <c r="HY19" s="1">
        <v>1.33</v>
      </c>
      <c r="HZ19" s="1">
        <v>0</v>
      </c>
      <c r="IA19" s="1">
        <v>40616</v>
      </c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>
        <v>5069</v>
      </c>
      <c r="JM19" s="1">
        <v>52671</v>
      </c>
      <c r="JN19" s="1">
        <v>299.99</v>
      </c>
      <c r="JO19" s="1">
        <v>19603</v>
      </c>
      <c r="JP19" s="1">
        <v>347008</v>
      </c>
      <c r="JQ19" s="1">
        <v>0</v>
      </c>
      <c r="JR19" s="1">
        <v>0.3500000000000227</v>
      </c>
      <c r="JS19" s="1">
        <v>42</v>
      </c>
      <c r="JT19" s="1">
        <v>0</v>
      </c>
      <c r="JU19" s="1">
        <v>0</v>
      </c>
      <c r="JV19" s="1">
        <v>600</v>
      </c>
      <c r="JW19" s="1">
        <v>92</v>
      </c>
      <c r="JX19" s="1">
        <v>239041</v>
      </c>
      <c r="JY19" s="1">
        <v>299.64</v>
      </c>
      <c r="JZ19" s="1" t="s">
        <v>57</v>
      </c>
      <c r="KA19" s="1">
        <v>300</v>
      </c>
      <c r="KB19" s="1">
        <v>1</v>
      </c>
      <c r="KC19" s="1">
        <v>40616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>
        <v>176</v>
      </c>
      <c r="C20" s="1">
        <v>12</v>
      </c>
      <c r="D20" s="1">
        <v>0.004</v>
      </c>
      <c r="E20" s="1">
        <v>0</v>
      </c>
      <c r="F20" s="1">
        <v>1132</v>
      </c>
      <c r="G20" s="1">
        <v>0</v>
      </c>
      <c r="H20" s="1">
        <v>0.004</v>
      </c>
      <c r="I20" s="1">
        <v>0</v>
      </c>
      <c r="J20" s="1">
        <v>0</v>
      </c>
      <c r="K20" s="1">
        <v>1</v>
      </c>
      <c r="L20" s="1">
        <v>0.03</v>
      </c>
      <c r="M20" s="1">
        <v>0</v>
      </c>
      <c r="N20" s="1">
        <v>621</v>
      </c>
      <c r="O20" s="1">
        <v>0</v>
      </c>
      <c r="P20" s="1" t="s">
        <v>56</v>
      </c>
      <c r="Q20" s="1">
        <v>0.03</v>
      </c>
      <c r="R20" s="1">
        <v>0</v>
      </c>
      <c r="S20" s="1">
        <v>295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>
        <v>176</v>
      </c>
      <c r="AM20" s="1">
        <v>6</v>
      </c>
      <c r="AN20" s="1">
        <v>0.004</v>
      </c>
      <c r="AO20" s="1">
        <v>1</v>
      </c>
      <c r="AP20" s="1">
        <v>1336</v>
      </c>
      <c r="AQ20" s="1">
        <v>0</v>
      </c>
      <c r="AR20" s="1">
        <v>0.004</v>
      </c>
      <c r="AS20" s="1">
        <v>0</v>
      </c>
      <c r="AT20" s="1">
        <v>0</v>
      </c>
      <c r="AU20" s="1">
        <v>1</v>
      </c>
      <c r="AV20" s="1">
        <v>0.03</v>
      </c>
      <c r="AW20" s="1">
        <v>0</v>
      </c>
      <c r="AX20" s="1">
        <v>630</v>
      </c>
      <c r="AY20" s="1">
        <v>0</v>
      </c>
      <c r="AZ20" s="1" t="s">
        <v>56</v>
      </c>
      <c r="BA20" s="1">
        <v>0.03</v>
      </c>
      <c r="BB20" s="1">
        <v>0</v>
      </c>
      <c r="BC20" s="1">
        <v>337</v>
      </c>
      <c r="BD20" s="1">
        <v>130</v>
      </c>
      <c r="BE20" s="1">
        <v>7</v>
      </c>
      <c r="BF20" s="1">
        <v>0.003</v>
      </c>
      <c r="BG20" s="1">
        <v>1</v>
      </c>
      <c r="BH20" s="1">
        <v>785</v>
      </c>
      <c r="BI20" s="1">
        <v>0</v>
      </c>
      <c r="BJ20" s="1">
        <v>0.003</v>
      </c>
      <c r="BK20" s="1">
        <v>0</v>
      </c>
      <c r="BL20" s="1">
        <v>0</v>
      </c>
      <c r="BM20" s="1">
        <v>1</v>
      </c>
      <c r="BN20" s="1">
        <v>0.03</v>
      </c>
      <c r="BO20" s="1">
        <v>0</v>
      </c>
      <c r="BP20" s="1">
        <v>418</v>
      </c>
      <c r="BQ20" s="1">
        <v>0</v>
      </c>
      <c r="BR20" s="1" t="s">
        <v>56</v>
      </c>
      <c r="BS20" s="1">
        <v>0.03</v>
      </c>
      <c r="BT20" s="1">
        <v>0</v>
      </c>
      <c r="BU20" s="1">
        <v>206</v>
      </c>
      <c r="BV20" s="1">
        <v>342</v>
      </c>
      <c r="BW20" s="1">
        <v>12</v>
      </c>
      <c r="BX20" s="1">
        <v>0.02</v>
      </c>
      <c r="BY20" s="1">
        <v>0</v>
      </c>
      <c r="BZ20" s="1">
        <v>1267</v>
      </c>
      <c r="CA20" s="1">
        <v>0</v>
      </c>
      <c r="CB20" s="1">
        <v>0.02</v>
      </c>
      <c r="CC20" s="1">
        <v>0</v>
      </c>
      <c r="CD20" s="1">
        <v>0</v>
      </c>
      <c r="CE20" s="1">
        <v>1</v>
      </c>
      <c r="CF20" s="1">
        <v>0.11</v>
      </c>
      <c r="CG20" s="1">
        <v>0</v>
      </c>
      <c r="CH20" s="1">
        <v>724</v>
      </c>
      <c r="CI20" s="1">
        <v>0</v>
      </c>
      <c r="CJ20" s="1" t="s">
        <v>56</v>
      </c>
      <c r="CK20" s="1">
        <v>0.11</v>
      </c>
      <c r="CL20" s="1">
        <v>0</v>
      </c>
      <c r="CM20" s="1">
        <v>334</v>
      </c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>
        <v>345</v>
      </c>
      <c r="DY20" s="1">
        <v>15</v>
      </c>
      <c r="DZ20" s="1">
        <v>0.006</v>
      </c>
      <c r="EA20" s="1">
        <v>2</v>
      </c>
      <c r="EB20" s="1">
        <v>1267</v>
      </c>
      <c r="EC20" s="1">
        <v>0</v>
      </c>
      <c r="ED20" s="1">
        <v>0.006</v>
      </c>
      <c r="EE20" s="1">
        <v>0</v>
      </c>
      <c r="EF20" s="1">
        <v>0</v>
      </c>
      <c r="EG20" s="1">
        <v>1</v>
      </c>
      <c r="EH20" s="1">
        <v>0.03</v>
      </c>
      <c r="EI20" s="1">
        <v>0</v>
      </c>
      <c r="EJ20" s="1">
        <v>727</v>
      </c>
      <c r="EK20" s="1">
        <v>0</v>
      </c>
      <c r="EL20" s="1" t="s">
        <v>56</v>
      </c>
      <c r="EM20" s="1">
        <v>0.03</v>
      </c>
      <c r="EN20" s="1">
        <v>0</v>
      </c>
      <c r="EO20" s="1">
        <v>334</v>
      </c>
      <c r="EP20" s="1">
        <v>176</v>
      </c>
      <c r="EQ20" s="1">
        <v>12</v>
      </c>
      <c r="ER20" s="1">
        <v>0.004</v>
      </c>
      <c r="ES20" s="1">
        <v>0</v>
      </c>
      <c r="ET20" s="1">
        <v>1132</v>
      </c>
      <c r="EU20" s="1">
        <v>0</v>
      </c>
      <c r="EV20" s="1">
        <v>0.004</v>
      </c>
      <c r="EW20" s="1">
        <v>0</v>
      </c>
      <c r="EX20" s="1">
        <v>0</v>
      </c>
      <c r="EY20" s="1">
        <v>1</v>
      </c>
      <c r="EZ20" s="1">
        <v>0.03</v>
      </c>
      <c r="FA20" s="1">
        <v>0</v>
      </c>
      <c r="FB20" s="1">
        <v>621</v>
      </c>
      <c r="FC20" s="1">
        <v>0</v>
      </c>
      <c r="FD20" s="1" t="s">
        <v>56</v>
      </c>
      <c r="FE20" s="1">
        <v>0.03</v>
      </c>
      <c r="FF20" s="1">
        <v>0</v>
      </c>
      <c r="FG20" s="1">
        <v>295</v>
      </c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>
        <v>176</v>
      </c>
      <c r="GA20" s="1">
        <v>6</v>
      </c>
      <c r="GB20" s="1">
        <v>0.005</v>
      </c>
      <c r="GC20" s="1">
        <v>1</v>
      </c>
      <c r="GD20" s="1">
        <v>1336</v>
      </c>
      <c r="GE20" s="1">
        <v>0</v>
      </c>
      <c r="GF20" s="1">
        <v>0.005</v>
      </c>
      <c r="GG20" s="1">
        <v>0</v>
      </c>
      <c r="GH20" s="1">
        <v>0</v>
      </c>
      <c r="GI20" s="1">
        <v>1</v>
      </c>
      <c r="GJ20" s="1">
        <v>0.03</v>
      </c>
      <c r="GK20" s="1">
        <v>0</v>
      </c>
      <c r="GL20" s="1">
        <v>630</v>
      </c>
      <c r="GM20" s="1">
        <v>0</v>
      </c>
      <c r="GN20" s="1" t="s">
        <v>56</v>
      </c>
      <c r="GO20" s="1">
        <v>0.03</v>
      </c>
      <c r="GP20" s="1">
        <v>0</v>
      </c>
      <c r="GQ20" s="1">
        <v>337</v>
      </c>
      <c r="GR20" s="1">
        <v>130</v>
      </c>
      <c r="GS20" s="1">
        <v>7</v>
      </c>
      <c r="GT20" s="1">
        <v>0.003</v>
      </c>
      <c r="GU20" s="1">
        <v>1</v>
      </c>
      <c r="GV20" s="1">
        <v>785</v>
      </c>
      <c r="GW20" s="1">
        <v>0</v>
      </c>
      <c r="GX20" s="1">
        <v>0.003</v>
      </c>
      <c r="GY20" s="1">
        <v>0</v>
      </c>
      <c r="GZ20" s="1">
        <v>0</v>
      </c>
      <c r="HA20" s="1">
        <v>1</v>
      </c>
      <c r="HB20" s="1">
        <v>0.03</v>
      </c>
      <c r="HC20" s="1">
        <v>0</v>
      </c>
      <c r="HD20" s="1">
        <v>418</v>
      </c>
      <c r="HE20" s="1">
        <v>0</v>
      </c>
      <c r="HF20" s="1" t="s">
        <v>56</v>
      </c>
      <c r="HG20" s="1">
        <v>0.03</v>
      </c>
      <c r="HH20" s="1">
        <v>0</v>
      </c>
      <c r="HI20" s="1">
        <v>206</v>
      </c>
      <c r="HJ20" s="1">
        <v>186</v>
      </c>
      <c r="HK20" s="1">
        <v>12</v>
      </c>
      <c r="HL20" s="1">
        <v>0.036</v>
      </c>
      <c r="HM20" s="1">
        <v>0</v>
      </c>
      <c r="HN20" s="1">
        <v>1132</v>
      </c>
      <c r="HO20" s="1">
        <v>0</v>
      </c>
      <c r="HP20" s="1">
        <v>0.036</v>
      </c>
      <c r="HQ20" s="1">
        <v>0</v>
      </c>
      <c r="HR20" s="1">
        <v>0</v>
      </c>
      <c r="HS20" s="1">
        <v>1</v>
      </c>
      <c r="HT20" s="1">
        <v>0.06</v>
      </c>
      <c r="HU20" s="1">
        <v>0</v>
      </c>
      <c r="HV20" s="1">
        <v>559</v>
      </c>
      <c r="HW20" s="1">
        <v>0</v>
      </c>
      <c r="HX20" s="1" t="s">
        <v>56</v>
      </c>
      <c r="HY20" s="1">
        <v>0.06</v>
      </c>
      <c r="HZ20" s="1">
        <v>0</v>
      </c>
      <c r="IA20" s="1">
        <v>295</v>
      </c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>
        <v>186</v>
      </c>
      <c r="JM20" s="1">
        <v>10</v>
      </c>
      <c r="JN20" s="1">
        <v>0.044</v>
      </c>
      <c r="JO20" s="1">
        <v>4</v>
      </c>
      <c r="JP20" s="1">
        <v>1132</v>
      </c>
      <c r="JQ20" s="1">
        <v>0</v>
      </c>
      <c r="JR20" s="1">
        <v>0.044</v>
      </c>
      <c r="JS20" s="1">
        <v>0</v>
      </c>
      <c r="JT20" s="1">
        <v>0</v>
      </c>
      <c r="JU20" s="1">
        <v>1</v>
      </c>
      <c r="JV20" s="1">
        <v>0.08</v>
      </c>
      <c r="JW20" s="1">
        <v>0</v>
      </c>
      <c r="JX20" s="1">
        <v>559</v>
      </c>
      <c r="JY20" s="1">
        <v>0</v>
      </c>
      <c r="JZ20" s="1" t="s">
        <v>56</v>
      </c>
      <c r="KA20" s="1">
        <v>0.08</v>
      </c>
      <c r="KB20" s="1">
        <v>0</v>
      </c>
      <c r="KC20" s="1">
        <v>295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>
        <v>6055</v>
      </c>
      <c r="C21" s="1">
        <v>116</v>
      </c>
      <c r="D21" s="1">
        <v>0.331</v>
      </c>
      <c r="E21" s="1">
        <v>0</v>
      </c>
      <c r="F21" s="1">
        <v>485552</v>
      </c>
      <c r="G21" s="1">
        <v>0</v>
      </c>
      <c r="H21" s="1">
        <v>0.331</v>
      </c>
      <c r="I21" s="1">
        <v>44</v>
      </c>
      <c r="J21" s="1">
        <v>0</v>
      </c>
      <c r="K21" s="1">
        <v>1</v>
      </c>
      <c r="L21" s="1">
        <v>0.43</v>
      </c>
      <c r="M21" s="1">
        <v>0</v>
      </c>
      <c r="N21" s="1">
        <v>344993</v>
      </c>
      <c r="O21" s="1">
        <v>0</v>
      </c>
      <c r="P21" s="1" t="s">
        <v>56</v>
      </c>
      <c r="Q21" s="1">
        <v>0.43</v>
      </c>
      <c r="R21" s="1">
        <v>0</v>
      </c>
      <c r="S21" s="1">
        <v>53964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>
        <v>6055</v>
      </c>
      <c r="AM21" s="1">
        <v>2397</v>
      </c>
      <c r="AN21" s="1">
        <v>0.395</v>
      </c>
      <c r="AO21" s="1">
        <v>539</v>
      </c>
      <c r="AP21" s="1">
        <v>550672</v>
      </c>
      <c r="AQ21" s="1">
        <v>0</v>
      </c>
      <c r="AR21" s="1">
        <v>0.345</v>
      </c>
      <c r="AS21" s="1">
        <v>50</v>
      </c>
      <c r="AT21" s="1">
        <v>0</v>
      </c>
      <c r="AU21" s="1">
        <v>1</v>
      </c>
      <c r="AV21" s="1">
        <v>0.43</v>
      </c>
      <c r="AW21" s="1">
        <v>5</v>
      </c>
      <c r="AX21" s="1">
        <v>354189</v>
      </c>
      <c r="AY21" s="1">
        <v>0.05</v>
      </c>
      <c r="AZ21" s="1" t="s">
        <v>56</v>
      </c>
      <c r="BA21" s="1">
        <v>0.43</v>
      </c>
      <c r="BB21" s="1">
        <v>0</v>
      </c>
      <c r="BC21" s="1">
        <v>65404</v>
      </c>
      <c r="BD21" s="1">
        <v>4540</v>
      </c>
      <c r="BE21" s="1">
        <v>3105</v>
      </c>
      <c r="BF21" s="1">
        <v>0.217</v>
      </c>
      <c r="BG21" s="1">
        <v>456</v>
      </c>
      <c r="BH21" s="1">
        <v>258630</v>
      </c>
      <c r="BI21" s="1">
        <v>0</v>
      </c>
      <c r="BJ21" s="1">
        <v>0.187</v>
      </c>
      <c r="BK21" s="1">
        <v>35</v>
      </c>
      <c r="BL21" s="1">
        <v>0</v>
      </c>
      <c r="BM21" s="1">
        <v>1</v>
      </c>
      <c r="BN21" s="1">
        <v>0.24</v>
      </c>
      <c r="BO21" s="1">
        <v>5</v>
      </c>
      <c r="BP21" s="1">
        <v>144004</v>
      </c>
      <c r="BQ21" s="1">
        <v>0.03</v>
      </c>
      <c r="BR21" s="1" t="s">
        <v>56</v>
      </c>
      <c r="BS21" s="1">
        <v>0.24</v>
      </c>
      <c r="BT21" s="1">
        <v>0</v>
      </c>
      <c r="BU21" s="1">
        <v>42774</v>
      </c>
      <c r="BV21" s="1">
        <v>16841</v>
      </c>
      <c r="BW21" s="1">
        <v>122</v>
      </c>
      <c r="BX21" s="1">
        <v>0.373</v>
      </c>
      <c r="BY21" s="1">
        <v>0</v>
      </c>
      <c r="BZ21" s="1">
        <v>535954</v>
      </c>
      <c r="CA21" s="1">
        <v>0</v>
      </c>
      <c r="CB21" s="1">
        <v>0.363</v>
      </c>
      <c r="CC21" s="1">
        <v>49</v>
      </c>
      <c r="CD21" s="1">
        <v>0</v>
      </c>
      <c r="CE21" s="1">
        <v>1</v>
      </c>
      <c r="CF21" s="1">
        <v>0.41</v>
      </c>
      <c r="CG21" s="1">
        <v>0</v>
      </c>
      <c r="CH21" s="1">
        <v>360363</v>
      </c>
      <c r="CI21" s="1">
        <v>0.01</v>
      </c>
      <c r="CJ21" s="1" t="s">
        <v>56</v>
      </c>
      <c r="CK21" s="1">
        <v>0.41</v>
      </c>
      <c r="CL21" s="1">
        <v>0</v>
      </c>
      <c r="CM21" s="1">
        <v>64634</v>
      </c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>
        <v>16844</v>
      </c>
      <c r="DY21" s="1">
        <v>9192381</v>
      </c>
      <c r="DZ21" s="1">
        <v>299.988</v>
      </c>
      <c r="EA21" s="1">
        <v>4041414</v>
      </c>
      <c r="EB21" s="1">
        <v>535954</v>
      </c>
      <c r="EC21" s="1">
        <v>0</v>
      </c>
      <c r="ED21" s="1">
        <v>0.3580000000000041</v>
      </c>
      <c r="EE21" s="1">
        <v>65</v>
      </c>
      <c r="EF21" s="1">
        <v>0</v>
      </c>
      <c r="EG21" s="1">
        <v>0</v>
      </c>
      <c r="EH21" s="1">
        <v>600</v>
      </c>
      <c r="EI21" s="1">
        <v>8190</v>
      </c>
      <c r="EJ21" s="1">
        <v>360366</v>
      </c>
      <c r="EK21" s="1">
        <v>299.63</v>
      </c>
      <c r="EL21" s="1" t="s">
        <v>57</v>
      </c>
      <c r="EM21" s="1">
        <v>300</v>
      </c>
      <c r="EN21" s="1">
        <v>1</v>
      </c>
      <c r="EO21" s="1">
        <v>64634</v>
      </c>
      <c r="EP21" s="1">
        <v>6055</v>
      </c>
      <c r="EQ21" s="1">
        <v>116</v>
      </c>
      <c r="ER21" s="1">
        <v>0.322</v>
      </c>
      <c r="ES21" s="1">
        <v>0</v>
      </c>
      <c r="ET21" s="1">
        <v>485552</v>
      </c>
      <c r="EU21" s="1">
        <v>0</v>
      </c>
      <c r="EV21" s="1">
        <v>0.322</v>
      </c>
      <c r="EW21" s="1">
        <v>45</v>
      </c>
      <c r="EX21" s="1">
        <v>0</v>
      </c>
      <c r="EY21" s="1">
        <v>1</v>
      </c>
      <c r="EZ21" s="1">
        <v>0.35</v>
      </c>
      <c r="FA21" s="1">
        <v>0</v>
      </c>
      <c r="FB21" s="1">
        <v>344993</v>
      </c>
      <c r="FC21" s="1">
        <v>0</v>
      </c>
      <c r="FD21" s="1" t="s">
        <v>56</v>
      </c>
      <c r="FE21" s="1">
        <v>0.35</v>
      </c>
      <c r="FF21" s="1">
        <v>0</v>
      </c>
      <c r="FG21" s="1">
        <v>53964</v>
      </c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>
        <v>6055</v>
      </c>
      <c r="GA21" s="1">
        <v>2397</v>
      </c>
      <c r="GB21" s="1">
        <v>0.392</v>
      </c>
      <c r="GC21" s="1">
        <v>539</v>
      </c>
      <c r="GD21" s="1">
        <v>550672</v>
      </c>
      <c r="GE21" s="1">
        <v>0</v>
      </c>
      <c r="GF21" s="1">
        <v>0.342</v>
      </c>
      <c r="GG21" s="1">
        <v>52</v>
      </c>
      <c r="GH21" s="1">
        <v>0</v>
      </c>
      <c r="GI21" s="1">
        <v>1</v>
      </c>
      <c r="GJ21" s="1">
        <v>0.43</v>
      </c>
      <c r="GK21" s="1">
        <v>5</v>
      </c>
      <c r="GL21" s="1">
        <v>354189</v>
      </c>
      <c r="GM21" s="1">
        <v>0.05</v>
      </c>
      <c r="GN21" s="1" t="s">
        <v>56</v>
      </c>
      <c r="GO21" s="1">
        <v>0.43</v>
      </c>
      <c r="GP21" s="1">
        <v>0</v>
      </c>
      <c r="GQ21" s="1">
        <v>65404</v>
      </c>
      <c r="GR21" s="1">
        <v>4540</v>
      </c>
      <c r="GS21" s="1">
        <v>3105</v>
      </c>
      <c r="GT21" s="1">
        <v>0.225</v>
      </c>
      <c r="GU21" s="1">
        <v>456</v>
      </c>
      <c r="GV21" s="1">
        <v>258630</v>
      </c>
      <c r="GW21" s="1">
        <v>0</v>
      </c>
      <c r="GX21" s="1">
        <v>0.195</v>
      </c>
      <c r="GY21" s="1">
        <v>35</v>
      </c>
      <c r="GZ21" s="1">
        <v>0</v>
      </c>
      <c r="HA21" s="1">
        <v>1</v>
      </c>
      <c r="HB21" s="1">
        <v>0.25</v>
      </c>
      <c r="HC21" s="1">
        <v>5</v>
      </c>
      <c r="HD21" s="1">
        <v>144004</v>
      </c>
      <c r="HE21" s="1">
        <v>0.03</v>
      </c>
      <c r="HF21" s="1" t="s">
        <v>56</v>
      </c>
      <c r="HG21" s="1">
        <v>0.25</v>
      </c>
      <c r="HH21" s="1">
        <v>0</v>
      </c>
      <c r="HI21" s="1">
        <v>42774</v>
      </c>
      <c r="HJ21" s="1">
        <v>6065</v>
      </c>
      <c r="HK21" s="1">
        <v>106</v>
      </c>
      <c r="HL21" s="1">
        <v>1.492</v>
      </c>
      <c r="HM21" s="1">
        <v>0</v>
      </c>
      <c r="HN21" s="1">
        <v>485552</v>
      </c>
      <c r="HO21" s="1">
        <v>0</v>
      </c>
      <c r="HP21" s="1">
        <v>0.452</v>
      </c>
      <c r="HQ21" s="1">
        <v>51</v>
      </c>
      <c r="HR21" s="1">
        <v>0</v>
      </c>
      <c r="HS21" s="1">
        <v>1</v>
      </c>
      <c r="HT21" s="1">
        <v>1.52</v>
      </c>
      <c r="HU21" s="1">
        <v>0</v>
      </c>
      <c r="HV21" s="1">
        <v>340391</v>
      </c>
      <c r="HW21" s="1">
        <v>1.04</v>
      </c>
      <c r="HX21" s="1" t="s">
        <v>56</v>
      </c>
      <c r="HY21" s="1">
        <v>1.52</v>
      </c>
      <c r="HZ21" s="1">
        <v>0</v>
      </c>
      <c r="IA21" s="1">
        <v>53964</v>
      </c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>
        <v>6065</v>
      </c>
      <c r="JM21" s="1">
        <v>42727</v>
      </c>
      <c r="JN21" s="1">
        <v>299.985</v>
      </c>
      <c r="JO21" s="1">
        <v>14565</v>
      </c>
      <c r="JP21" s="1">
        <v>485552</v>
      </c>
      <c r="JQ21" s="1">
        <v>0</v>
      </c>
      <c r="JR21" s="1">
        <v>0.4650000000000318</v>
      </c>
      <c r="JS21" s="1">
        <v>51</v>
      </c>
      <c r="JT21" s="1">
        <v>0</v>
      </c>
      <c r="JU21" s="1">
        <v>0</v>
      </c>
      <c r="JV21" s="1">
        <v>600</v>
      </c>
      <c r="JW21" s="1">
        <v>62</v>
      </c>
      <c r="JX21" s="1">
        <v>340391</v>
      </c>
      <c r="JY21" s="1">
        <v>299.52</v>
      </c>
      <c r="JZ21" s="1" t="s">
        <v>57</v>
      </c>
      <c r="KA21" s="1">
        <v>300</v>
      </c>
      <c r="KB21" s="1">
        <v>1</v>
      </c>
      <c r="KC21" s="1">
        <v>53964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>
        <v>551</v>
      </c>
      <c r="C22" s="1">
        <v>28</v>
      </c>
      <c r="D22" s="1">
        <v>0.008999999999999999</v>
      </c>
      <c r="E22" s="1">
        <v>0</v>
      </c>
      <c r="F22" s="1">
        <v>5548</v>
      </c>
      <c r="G22" s="1">
        <v>0</v>
      </c>
      <c r="H22" s="1">
        <v>0.008999999999999999</v>
      </c>
      <c r="I22" s="1">
        <v>0</v>
      </c>
      <c r="J22" s="1">
        <v>0</v>
      </c>
      <c r="K22" s="1">
        <v>1</v>
      </c>
      <c r="L22" s="1">
        <v>0.03</v>
      </c>
      <c r="M22" s="1">
        <v>0</v>
      </c>
      <c r="N22" s="1">
        <v>3439</v>
      </c>
      <c r="O22" s="1">
        <v>0</v>
      </c>
      <c r="P22" s="1" t="s">
        <v>56</v>
      </c>
      <c r="Q22" s="1">
        <v>0.03</v>
      </c>
      <c r="R22" s="1">
        <v>0</v>
      </c>
      <c r="S22" s="1">
        <v>1200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>
        <v>551</v>
      </c>
      <c r="AM22" s="1">
        <v>23</v>
      </c>
      <c r="AN22" s="1">
        <v>0.008</v>
      </c>
      <c r="AO22" s="1">
        <v>1</v>
      </c>
      <c r="AP22" s="1">
        <v>6796</v>
      </c>
      <c r="AQ22" s="1">
        <v>0</v>
      </c>
      <c r="AR22" s="1">
        <v>0.008</v>
      </c>
      <c r="AS22" s="1">
        <v>0</v>
      </c>
      <c r="AT22" s="1">
        <v>0</v>
      </c>
      <c r="AU22" s="1">
        <v>1</v>
      </c>
      <c r="AV22" s="1">
        <v>0.03</v>
      </c>
      <c r="AW22" s="1">
        <v>0</v>
      </c>
      <c r="AX22" s="1">
        <v>3547</v>
      </c>
      <c r="AY22" s="1">
        <v>0</v>
      </c>
      <c r="AZ22" s="1" t="s">
        <v>56</v>
      </c>
      <c r="BA22" s="1">
        <v>0.03</v>
      </c>
      <c r="BB22" s="1">
        <v>0</v>
      </c>
      <c r="BC22" s="1">
        <v>1440</v>
      </c>
      <c r="BD22" s="1">
        <v>428</v>
      </c>
      <c r="BE22" s="1">
        <v>44</v>
      </c>
      <c r="BF22" s="1">
        <v>0.005</v>
      </c>
      <c r="BG22" s="1">
        <v>15</v>
      </c>
      <c r="BH22" s="1">
        <v>4242</v>
      </c>
      <c r="BI22" s="1">
        <v>0</v>
      </c>
      <c r="BJ22" s="1">
        <v>0.005</v>
      </c>
      <c r="BK22" s="1">
        <v>0</v>
      </c>
      <c r="BL22" s="1">
        <v>0</v>
      </c>
      <c r="BM22" s="1">
        <v>1</v>
      </c>
      <c r="BN22" s="1">
        <v>0.03</v>
      </c>
      <c r="BO22" s="1">
        <v>0</v>
      </c>
      <c r="BP22" s="1">
        <v>2386</v>
      </c>
      <c r="BQ22" s="1">
        <v>0</v>
      </c>
      <c r="BR22" s="1" t="s">
        <v>56</v>
      </c>
      <c r="BS22" s="1">
        <v>0.03</v>
      </c>
      <c r="BT22" s="1">
        <v>0</v>
      </c>
      <c r="BU22" s="1">
        <v>938</v>
      </c>
      <c r="BV22" s="1">
        <v>1193</v>
      </c>
      <c r="BW22" s="1">
        <v>26</v>
      </c>
      <c r="BX22" s="1">
        <v>0.008</v>
      </c>
      <c r="BY22" s="1">
        <v>0</v>
      </c>
      <c r="BZ22" s="1">
        <v>6430</v>
      </c>
      <c r="CA22" s="1">
        <v>0</v>
      </c>
      <c r="CB22" s="1">
        <v>0.008</v>
      </c>
      <c r="CC22" s="1">
        <v>0</v>
      </c>
      <c r="CD22" s="1">
        <v>0</v>
      </c>
      <c r="CE22" s="1">
        <v>1</v>
      </c>
      <c r="CF22" s="1">
        <v>0.03</v>
      </c>
      <c r="CG22" s="1">
        <v>0</v>
      </c>
      <c r="CH22" s="1">
        <v>3897</v>
      </c>
      <c r="CI22" s="1">
        <v>0</v>
      </c>
      <c r="CJ22" s="1" t="s">
        <v>56</v>
      </c>
      <c r="CK22" s="1">
        <v>0.03</v>
      </c>
      <c r="CL22" s="1">
        <v>0</v>
      </c>
      <c r="CM22" s="1">
        <v>1422</v>
      </c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>
        <v>1196</v>
      </c>
      <c r="DY22" s="1">
        <v>42</v>
      </c>
      <c r="DZ22" s="1">
        <v>0.01</v>
      </c>
      <c r="EA22" s="1">
        <v>2</v>
      </c>
      <c r="EB22" s="1">
        <v>6430</v>
      </c>
      <c r="EC22" s="1">
        <v>0</v>
      </c>
      <c r="ED22" s="1">
        <v>0.01</v>
      </c>
      <c r="EE22" s="1">
        <v>0</v>
      </c>
      <c r="EF22" s="1">
        <v>0</v>
      </c>
      <c r="EG22" s="1">
        <v>1</v>
      </c>
      <c r="EH22" s="1">
        <v>0.03</v>
      </c>
      <c r="EI22" s="1">
        <v>0</v>
      </c>
      <c r="EJ22" s="1">
        <v>3900</v>
      </c>
      <c r="EK22" s="1">
        <v>0</v>
      </c>
      <c r="EL22" s="1" t="s">
        <v>56</v>
      </c>
      <c r="EM22" s="1">
        <v>0.03</v>
      </c>
      <c r="EN22" s="1">
        <v>0</v>
      </c>
      <c r="EO22" s="1">
        <v>1422</v>
      </c>
      <c r="EP22" s="1">
        <v>551</v>
      </c>
      <c r="EQ22" s="1">
        <v>28</v>
      </c>
      <c r="ER22" s="1">
        <v>0.007</v>
      </c>
      <c r="ES22" s="1">
        <v>0</v>
      </c>
      <c r="ET22" s="1">
        <v>5548</v>
      </c>
      <c r="EU22" s="1">
        <v>0</v>
      </c>
      <c r="EV22" s="1">
        <v>0.007</v>
      </c>
      <c r="EW22" s="1">
        <v>0</v>
      </c>
      <c r="EX22" s="1">
        <v>0</v>
      </c>
      <c r="EY22" s="1">
        <v>1</v>
      </c>
      <c r="EZ22" s="1">
        <v>0.03</v>
      </c>
      <c r="FA22" s="1">
        <v>0</v>
      </c>
      <c r="FB22" s="1">
        <v>3439</v>
      </c>
      <c r="FC22" s="1">
        <v>0</v>
      </c>
      <c r="FD22" s="1" t="s">
        <v>56</v>
      </c>
      <c r="FE22" s="1">
        <v>0.03</v>
      </c>
      <c r="FF22" s="1">
        <v>0</v>
      </c>
      <c r="FG22" s="1">
        <v>1200</v>
      </c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>
        <v>551</v>
      </c>
      <c r="GA22" s="1">
        <v>23</v>
      </c>
      <c r="GB22" s="1">
        <v>0.032</v>
      </c>
      <c r="GC22" s="1">
        <v>1</v>
      </c>
      <c r="GD22" s="1">
        <v>6796</v>
      </c>
      <c r="GE22" s="1">
        <v>0</v>
      </c>
      <c r="GF22" s="1">
        <v>0.032</v>
      </c>
      <c r="GG22" s="1">
        <v>7</v>
      </c>
      <c r="GH22" s="1">
        <v>0</v>
      </c>
      <c r="GI22" s="1">
        <v>1</v>
      </c>
      <c r="GJ22" s="1">
        <v>0.14</v>
      </c>
      <c r="GK22" s="1">
        <v>0</v>
      </c>
      <c r="GL22" s="1">
        <v>3547</v>
      </c>
      <c r="GM22" s="1">
        <v>0</v>
      </c>
      <c r="GN22" s="1" t="s">
        <v>56</v>
      </c>
      <c r="GO22" s="1">
        <v>0.14</v>
      </c>
      <c r="GP22" s="1">
        <v>0</v>
      </c>
      <c r="GQ22" s="1">
        <v>1440</v>
      </c>
      <c r="GR22" s="1">
        <v>428</v>
      </c>
      <c r="GS22" s="1">
        <v>44</v>
      </c>
      <c r="GT22" s="1">
        <v>0.008</v>
      </c>
      <c r="GU22" s="1">
        <v>15</v>
      </c>
      <c r="GV22" s="1">
        <v>4242</v>
      </c>
      <c r="GW22" s="1">
        <v>0</v>
      </c>
      <c r="GX22" s="1">
        <v>0.008</v>
      </c>
      <c r="GY22" s="1">
        <v>0</v>
      </c>
      <c r="GZ22" s="1">
        <v>0</v>
      </c>
      <c r="HA22" s="1">
        <v>1</v>
      </c>
      <c r="HB22" s="1">
        <v>0.04</v>
      </c>
      <c r="HC22" s="1">
        <v>0</v>
      </c>
      <c r="HD22" s="1">
        <v>2386</v>
      </c>
      <c r="HE22" s="1">
        <v>0</v>
      </c>
      <c r="HF22" s="1" t="s">
        <v>56</v>
      </c>
      <c r="HG22" s="1">
        <v>0.04</v>
      </c>
      <c r="HH22" s="1">
        <v>0</v>
      </c>
      <c r="HI22" s="1">
        <v>938</v>
      </c>
      <c r="HJ22" s="1">
        <v>561</v>
      </c>
      <c r="HK22" s="1">
        <v>26</v>
      </c>
      <c r="HL22" s="1">
        <v>0.06</v>
      </c>
      <c r="HM22" s="1">
        <v>0</v>
      </c>
      <c r="HN22" s="1">
        <v>5548</v>
      </c>
      <c r="HO22" s="1">
        <v>0</v>
      </c>
      <c r="HP22" s="1">
        <v>0.03999999999999999</v>
      </c>
      <c r="HQ22" s="1">
        <v>0</v>
      </c>
      <c r="HR22" s="1">
        <v>0</v>
      </c>
      <c r="HS22" s="1">
        <v>1</v>
      </c>
      <c r="HT22" s="1">
        <v>0.09</v>
      </c>
      <c r="HU22" s="1">
        <v>0</v>
      </c>
      <c r="HV22" s="1">
        <v>3157</v>
      </c>
      <c r="HW22" s="1">
        <v>0.02</v>
      </c>
      <c r="HX22" s="1" t="s">
        <v>56</v>
      </c>
      <c r="HY22" s="1">
        <v>0.09</v>
      </c>
      <c r="HZ22" s="1">
        <v>0</v>
      </c>
      <c r="IA22" s="1">
        <v>1200</v>
      </c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>
        <v>561</v>
      </c>
      <c r="JM22" s="1">
        <v>38</v>
      </c>
      <c r="JN22" s="1">
        <v>0.061</v>
      </c>
      <c r="JO22" s="1">
        <v>4</v>
      </c>
      <c r="JP22" s="1">
        <v>5548</v>
      </c>
      <c r="JQ22" s="1">
        <v>0</v>
      </c>
      <c r="JR22" s="1">
        <v>0.04099999999999999</v>
      </c>
      <c r="JS22" s="1">
        <v>0</v>
      </c>
      <c r="JT22" s="1">
        <v>0</v>
      </c>
      <c r="JU22" s="1">
        <v>1</v>
      </c>
      <c r="JV22" s="1">
        <v>0.09</v>
      </c>
      <c r="JW22" s="1">
        <v>0</v>
      </c>
      <c r="JX22" s="1">
        <v>3157</v>
      </c>
      <c r="JY22" s="1">
        <v>0.02</v>
      </c>
      <c r="JZ22" s="1" t="s">
        <v>56</v>
      </c>
      <c r="KA22" s="1">
        <v>0.09</v>
      </c>
      <c r="KB22" s="1">
        <v>0</v>
      </c>
      <c r="KC22" s="1">
        <v>1200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>
        <v>931</v>
      </c>
      <c r="C23" s="1">
        <v>40</v>
      </c>
      <c r="D23" s="1">
        <v>0.016</v>
      </c>
      <c r="E23" s="1">
        <v>0</v>
      </c>
      <c r="F23" s="1">
        <v>14368</v>
      </c>
      <c r="G23" s="1">
        <v>0</v>
      </c>
      <c r="H23" s="1">
        <v>0.016</v>
      </c>
      <c r="I23" s="1">
        <v>0</v>
      </c>
      <c r="J23" s="1">
        <v>0</v>
      </c>
      <c r="K23" s="1">
        <v>1</v>
      </c>
      <c r="L23" s="1">
        <v>0.04</v>
      </c>
      <c r="M23" s="1">
        <v>0</v>
      </c>
      <c r="N23" s="1">
        <v>9147</v>
      </c>
      <c r="O23" s="1">
        <v>0</v>
      </c>
      <c r="P23" s="1" t="s">
        <v>56</v>
      </c>
      <c r="Q23" s="1">
        <v>0.04</v>
      </c>
      <c r="R23" s="1">
        <v>0</v>
      </c>
      <c r="S23" s="1">
        <v>2696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>
        <v>931</v>
      </c>
      <c r="AM23" s="1">
        <v>36</v>
      </c>
      <c r="AN23" s="1">
        <v>0.016</v>
      </c>
      <c r="AO23" s="1">
        <v>3</v>
      </c>
      <c r="AP23" s="1">
        <v>17440</v>
      </c>
      <c r="AQ23" s="1">
        <v>0</v>
      </c>
      <c r="AR23" s="1">
        <v>0.016</v>
      </c>
      <c r="AS23" s="1">
        <v>0</v>
      </c>
      <c r="AT23" s="1">
        <v>0</v>
      </c>
      <c r="AU23" s="1">
        <v>1</v>
      </c>
      <c r="AV23" s="1">
        <v>0.04</v>
      </c>
      <c r="AW23" s="1">
        <v>0</v>
      </c>
      <c r="AX23" s="1">
        <v>9467</v>
      </c>
      <c r="AY23" s="1">
        <v>0</v>
      </c>
      <c r="AZ23" s="1" t="s">
        <v>56</v>
      </c>
      <c r="BA23" s="1">
        <v>0.04</v>
      </c>
      <c r="BB23" s="1">
        <v>0</v>
      </c>
      <c r="BC23" s="1">
        <v>3272</v>
      </c>
      <c r="BD23" s="1">
        <v>718</v>
      </c>
      <c r="BE23" s="1">
        <v>177</v>
      </c>
      <c r="BF23" s="1">
        <v>0.013</v>
      </c>
      <c r="BG23" s="1">
        <v>104</v>
      </c>
      <c r="BH23" s="1">
        <v>10368</v>
      </c>
      <c r="BI23" s="1">
        <v>0</v>
      </c>
      <c r="BJ23" s="1">
        <v>0.013</v>
      </c>
      <c r="BK23" s="1">
        <v>0</v>
      </c>
      <c r="BL23" s="1">
        <v>0</v>
      </c>
      <c r="BM23" s="1">
        <v>1</v>
      </c>
      <c r="BN23" s="1">
        <v>0.04</v>
      </c>
      <c r="BO23" s="1">
        <v>1</v>
      </c>
      <c r="BP23" s="1">
        <v>5950</v>
      </c>
      <c r="BQ23" s="1">
        <v>0</v>
      </c>
      <c r="BR23" s="1" t="s">
        <v>56</v>
      </c>
      <c r="BS23" s="1">
        <v>0.04</v>
      </c>
      <c r="BT23" s="1">
        <v>0</v>
      </c>
      <c r="BU23" s="1">
        <v>2104</v>
      </c>
      <c r="BV23" s="1">
        <v>2169</v>
      </c>
      <c r="BW23" s="1">
        <v>38</v>
      </c>
      <c r="BX23" s="1">
        <v>0.02</v>
      </c>
      <c r="BY23" s="1">
        <v>0</v>
      </c>
      <c r="BZ23" s="1">
        <v>16568</v>
      </c>
      <c r="CA23" s="1">
        <v>0</v>
      </c>
      <c r="CB23" s="1">
        <v>0.02</v>
      </c>
      <c r="CC23" s="1">
        <v>0</v>
      </c>
      <c r="CD23" s="1">
        <v>0</v>
      </c>
      <c r="CE23" s="1">
        <v>1</v>
      </c>
      <c r="CF23" s="1">
        <v>0.05</v>
      </c>
      <c r="CG23" s="1">
        <v>0</v>
      </c>
      <c r="CH23" s="1">
        <v>10153</v>
      </c>
      <c r="CI23" s="1">
        <v>0</v>
      </c>
      <c r="CJ23" s="1" t="s">
        <v>56</v>
      </c>
      <c r="CK23" s="1">
        <v>0.05</v>
      </c>
      <c r="CL23" s="1">
        <v>0</v>
      </c>
      <c r="CM23" s="1">
        <v>3216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2172</v>
      </c>
      <c r="DY23" s="1">
        <v>96</v>
      </c>
      <c r="DZ23" s="1">
        <v>0.032</v>
      </c>
      <c r="EA23" s="1">
        <v>12</v>
      </c>
      <c r="EB23" s="1">
        <v>16568</v>
      </c>
      <c r="EC23" s="1">
        <v>0</v>
      </c>
      <c r="ED23" s="1">
        <v>0.032</v>
      </c>
      <c r="EE23" s="1">
        <v>7</v>
      </c>
      <c r="EF23" s="1">
        <v>0</v>
      </c>
      <c r="EG23" s="1">
        <v>1</v>
      </c>
      <c r="EH23" s="1">
        <v>0.16</v>
      </c>
      <c r="EI23" s="1">
        <v>0</v>
      </c>
      <c r="EJ23" s="1">
        <v>10156</v>
      </c>
      <c r="EK23" s="1">
        <v>0</v>
      </c>
      <c r="EL23" s="1" t="s">
        <v>56</v>
      </c>
      <c r="EM23" s="1">
        <v>0.16</v>
      </c>
      <c r="EN23" s="1">
        <v>0</v>
      </c>
      <c r="EO23" s="1">
        <v>3216</v>
      </c>
      <c r="EP23" s="1">
        <v>931</v>
      </c>
      <c r="EQ23" s="1">
        <v>40</v>
      </c>
      <c r="ER23" s="1">
        <v>0.012</v>
      </c>
      <c r="ES23" s="1">
        <v>0</v>
      </c>
      <c r="ET23" s="1">
        <v>14368</v>
      </c>
      <c r="EU23" s="1">
        <v>0</v>
      </c>
      <c r="EV23" s="1">
        <v>0.012</v>
      </c>
      <c r="EW23" s="1">
        <v>0</v>
      </c>
      <c r="EX23" s="1">
        <v>0</v>
      </c>
      <c r="EY23" s="1">
        <v>1</v>
      </c>
      <c r="EZ23" s="1">
        <v>0.04</v>
      </c>
      <c r="FA23" s="1">
        <v>0</v>
      </c>
      <c r="FB23" s="1">
        <v>9147</v>
      </c>
      <c r="FC23" s="1">
        <v>0</v>
      </c>
      <c r="FD23" s="1" t="s">
        <v>56</v>
      </c>
      <c r="FE23" s="1">
        <v>0.04</v>
      </c>
      <c r="FF23" s="1">
        <v>0</v>
      </c>
      <c r="FG23" s="1">
        <v>2696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>
        <v>931</v>
      </c>
      <c r="GA23" s="1">
        <v>36</v>
      </c>
      <c r="GB23" s="1">
        <v>0.015</v>
      </c>
      <c r="GC23" s="1">
        <v>3</v>
      </c>
      <c r="GD23" s="1">
        <v>17440</v>
      </c>
      <c r="GE23" s="1">
        <v>0</v>
      </c>
      <c r="GF23" s="1">
        <v>0.015</v>
      </c>
      <c r="GG23" s="1">
        <v>0</v>
      </c>
      <c r="GH23" s="1">
        <v>0</v>
      </c>
      <c r="GI23" s="1">
        <v>1</v>
      </c>
      <c r="GJ23" s="1">
        <v>0.04</v>
      </c>
      <c r="GK23" s="1">
        <v>0</v>
      </c>
      <c r="GL23" s="1">
        <v>9467</v>
      </c>
      <c r="GM23" s="1">
        <v>0</v>
      </c>
      <c r="GN23" s="1" t="s">
        <v>56</v>
      </c>
      <c r="GO23" s="1">
        <v>0.04</v>
      </c>
      <c r="GP23" s="1">
        <v>0</v>
      </c>
      <c r="GQ23" s="1">
        <v>3272</v>
      </c>
      <c r="GR23" s="1">
        <v>718</v>
      </c>
      <c r="GS23" s="1">
        <v>177</v>
      </c>
      <c r="GT23" s="1">
        <v>0.013</v>
      </c>
      <c r="GU23" s="1">
        <v>104</v>
      </c>
      <c r="GV23" s="1">
        <v>10368</v>
      </c>
      <c r="GW23" s="1">
        <v>0</v>
      </c>
      <c r="GX23" s="1">
        <v>0.013</v>
      </c>
      <c r="GY23" s="1">
        <v>0</v>
      </c>
      <c r="GZ23" s="1">
        <v>0</v>
      </c>
      <c r="HA23" s="1">
        <v>1</v>
      </c>
      <c r="HB23" s="1">
        <v>0.04</v>
      </c>
      <c r="HC23" s="1">
        <v>1</v>
      </c>
      <c r="HD23" s="1">
        <v>5950</v>
      </c>
      <c r="HE23" s="1">
        <v>0</v>
      </c>
      <c r="HF23" s="1" t="s">
        <v>56</v>
      </c>
      <c r="HG23" s="1">
        <v>0.04</v>
      </c>
      <c r="HH23" s="1">
        <v>0</v>
      </c>
      <c r="HI23" s="1">
        <v>2104</v>
      </c>
      <c r="HJ23" s="1">
        <v>941</v>
      </c>
      <c r="HK23" s="1">
        <v>38</v>
      </c>
      <c r="HL23" s="1">
        <v>0.099</v>
      </c>
      <c r="HM23" s="1">
        <v>0</v>
      </c>
      <c r="HN23" s="1">
        <v>14368</v>
      </c>
      <c r="HO23" s="1">
        <v>0</v>
      </c>
      <c r="HP23" s="1">
        <v>0.059</v>
      </c>
      <c r="HQ23" s="1">
        <v>15</v>
      </c>
      <c r="HR23" s="1">
        <v>0</v>
      </c>
      <c r="HS23" s="1">
        <v>1</v>
      </c>
      <c r="HT23" s="1">
        <v>0.12</v>
      </c>
      <c r="HU23" s="1">
        <v>0</v>
      </c>
      <c r="HV23" s="1">
        <v>8605</v>
      </c>
      <c r="HW23" s="1">
        <v>0.04</v>
      </c>
      <c r="HX23" s="1" t="s">
        <v>56</v>
      </c>
      <c r="HY23" s="1">
        <v>0.12</v>
      </c>
      <c r="HZ23" s="1">
        <v>0</v>
      </c>
      <c r="IA23" s="1">
        <v>2696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>
        <v>941</v>
      </c>
      <c r="JM23" s="1">
        <v>96</v>
      </c>
      <c r="JN23" s="1">
        <v>0.137</v>
      </c>
      <c r="JO23" s="1">
        <v>18</v>
      </c>
      <c r="JP23" s="1">
        <v>14368</v>
      </c>
      <c r="JQ23" s="1">
        <v>0</v>
      </c>
      <c r="JR23" s="1">
        <v>0.05700000000000001</v>
      </c>
      <c r="JS23" s="1">
        <v>15</v>
      </c>
      <c r="JT23" s="1">
        <v>0</v>
      </c>
      <c r="JU23" s="1">
        <v>1</v>
      </c>
      <c r="JV23" s="1">
        <v>0.16</v>
      </c>
      <c r="JW23" s="1">
        <v>0</v>
      </c>
      <c r="JX23" s="1">
        <v>8605</v>
      </c>
      <c r="JY23" s="1">
        <v>0.08</v>
      </c>
      <c r="JZ23" s="1" t="s">
        <v>56</v>
      </c>
      <c r="KA23" s="1">
        <v>0.16</v>
      </c>
      <c r="KB23" s="1">
        <v>0</v>
      </c>
      <c r="KC23" s="1">
        <v>2696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>
        <v>1399</v>
      </c>
      <c r="C24" s="1">
        <v>52</v>
      </c>
      <c r="D24" s="1">
        <v>0.022</v>
      </c>
      <c r="E24" s="1">
        <v>0</v>
      </c>
      <c r="F24" s="1">
        <v>31088</v>
      </c>
      <c r="G24" s="1">
        <v>0</v>
      </c>
      <c r="H24" s="1">
        <v>0.022</v>
      </c>
      <c r="I24" s="1">
        <v>0</v>
      </c>
      <c r="J24" s="1">
        <v>0</v>
      </c>
      <c r="K24" s="1">
        <v>1</v>
      </c>
      <c r="L24" s="1">
        <v>0.05</v>
      </c>
      <c r="M24" s="1">
        <v>0</v>
      </c>
      <c r="N24" s="1">
        <v>19973</v>
      </c>
      <c r="O24" s="1">
        <v>0</v>
      </c>
      <c r="P24" s="1" t="s">
        <v>56</v>
      </c>
      <c r="Q24" s="1">
        <v>0.05</v>
      </c>
      <c r="R24" s="1">
        <v>0</v>
      </c>
      <c r="S24" s="1">
        <v>5196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>
        <v>1399</v>
      </c>
      <c r="AM24" s="1">
        <v>68</v>
      </c>
      <c r="AN24" s="1">
        <v>0.03</v>
      </c>
      <c r="AO24" s="1">
        <v>18</v>
      </c>
      <c r="AP24" s="1">
        <v>37168</v>
      </c>
      <c r="AQ24" s="1">
        <v>0</v>
      </c>
      <c r="AR24" s="1">
        <v>0.03</v>
      </c>
      <c r="AS24" s="1">
        <v>0</v>
      </c>
      <c r="AT24" s="1">
        <v>0</v>
      </c>
      <c r="AU24" s="1">
        <v>1</v>
      </c>
      <c r="AV24" s="1">
        <v>0.06</v>
      </c>
      <c r="AW24" s="1">
        <v>0</v>
      </c>
      <c r="AX24" s="1">
        <v>20673</v>
      </c>
      <c r="AY24" s="1">
        <v>0</v>
      </c>
      <c r="AZ24" s="1" t="s">
        <v>56</v>
      </c>
      <c r="BA24" s="1">
        <v>0.06</v>
      </c>
      <c r="BB24" s="1">
        <v>0</v>
      </c>
      <c r="BC24" s="1">
        <v>6316</v>
      </c>
      <c r="BD24" s="1">
        <v>1072</v>
      </c>
      <c r="BE24" s="1">
        <v>456</v>
      </c>
      <c r="BF24" s="1">
        <v>0.022</v>
      </c>
      <c r="BG24" s="1">
        <v>248</v>
      </c>
      <c r="BH24" s="1">
        <v>21426</v>
      </c>
      <c r="BI24" s="1">
        <v>0</v>
      </c>
      <c r="BJ24" s="1">
        <v>0.022</v>
      </c>
      <c r="BK24" s="1">
        <v>0</v>
      </c>
      <c r="BL24" s="1">
        <v>0</v>
      </c>
      <c r="BM24" s="1">
        <v>1</v>
      </c>
      <c r="BN24" s="1">
        <v>0.05</v>
      </c>
      <c r="BO24" s="1">
        <v>3</v>
      </c>
      <c r="BP24" s="1">
        <v>12136</v>
      </c>
      <c r="BQ24" s="1">
        <v>0</v>
      </c>
      <c r="BR24" s="1" t="s">
        <v>56</v>
      </c>
      <c r="BS24" s="1">
        <v>0.05</v>
      </c>
      <c r="BT24" s="1">
        <v>0</v>
      </c>
      <c r="BU24" s="1">
        <v>4074</v>
      </c>
      <c r="BV24" s="1">
        <v>3425</v>
      </c>
      <c r="BW24" s="1">
        <v>50</v>
      </c>
      <c r="BX24" s="1">
        <v>0.031</v>
      </c>
      <c r="BY24" s="1">
        <v>0</v>
      </c>
      <c r="BZ24" s="1">
        <v>35518</v>
      </c>
      <c r="CA24" s="1">
        <v>0</v>
      </c>
      <c r="CB24" s="1">
        <v>0.031</v>
      </c>
      <c r="CC24" s="1">
        <v>0</v>
      </c>
      <c r="CD24" s="1">
        <v>0</v>
      </c>
      <c r="CE24" s="1">
        <v>1</v>
      </c>
      <c r="CF24" s="1">
        <v>0.06</v>
      </c>
      <c r="CG24" s="1">
        <v>0</v>
      </c>
      <c r="CH24" s="1">
        <v>21807</v>
      </c>
      <c r="CI24" s="1">
        <v>0</v>
      </c>
      <c r="CJ24" s="1" t="s">
        <v>56</v>
      </c>
      <c r="CK24" s="1">
        <v>0.06</v>
      </c>
      <c r="CL24" s="1">
        <v>0</v>
      </c>
      <c r="CM24" s="1">
        <v>6206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>
        <v>3428</v>
      </c>
      <c r="DY24" s="1">
        <v>431</v>
      </c>
      <c r="DZ24" s="1">
        <v>0.034</v>
      </c>
      <c r="EA24" s="1">
        <v>94</v>
      </c>
      <c r="EB24" s="1">
        <v>35518</v>
      </c>
      <c r="EC24" s="1">
        <v>0</v>
      </c>
      <c r="ED24" s="1">
        <v>0.034</v>
      </c>
      <c r="EE24" s="1">
        <v>0</v>
      </c>
      <c r="EF24" s="1">
        <v>0</v>
      </c>
      <c r="EG24" s="1">
        <v>1</v>
      </c>
      <c r="EH24" s="1">
        <v>0.06</v>
      </c>
      <c r="EI24" s="1">
        <v>1</v>
      </c>
      <c r="EJ24" s="1">
        <v>21810</v>
      </c>
      <c r="EK24" s="1">
        <v>0</v>
      </c>
      <c r="EL24" s="1" t="s">
        <v>56</v>
      </c>
      <c r="EM24" s="1">
        <v>0.06</v>
      </c>
      <c r="EN24" s="1">
        <v>0</v>
      </c>
      <c r="EO24" s="1">
        <v>6206</v>
      </c>
      <c r="EP24" s="1">
        <v>1399</v>
      </c>
      <c r="EQ24" s="1">
        <v>52</v>
      </c>
      <c r="ER24" s="1">
        <v>0.046</v>
      </c>
      <c r="ES24" s="1">
        <v>0</v>
      </c>
      <c r="ET24" s="1">
        <v>31088</v>
      </c>
      <c r="EU24" s="1">
        <v>0</v>
      </c>
      <c r="EV24" s="1">
        <v>0.046</v>
      </c>
      <c r="EW24" s="1">
        <v>7</v>
      </c>
      <c r="EX24" s="1">
        <v>0</v>
      </c>
      <c r="EY24" s="1">
        <v>1</v>
      </c>
      <c r="EZ24" s="1">
        <v>0.17</v>
      </c>
      <c r="FA24" s="1">
        <v>0</v>
      </c>
      <c r="FB24" s="1">
        <v>19973</v>
      </c>
      <c r="FC24" s="1">
        <v>0</v>
      </c>
      <c r="FD24" s="1" t="s">
        <v>56</v>
      </c>
      <c r="FE24" s="1">
        <v>0.17</v>
      </c>
      <c r="FF24" s="1">
        <v>0</v>
      </c>
      <c r="FG24" s="1">
        <v>5196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>
        <v>1399</v>
      </c>
      <c r="GA24" s="1">
        <v>68</v>
      </c>
      <c r="GB24" s="1">
        <v>0.034</v>
      </c>
      <c r="GC24" s="1">
        <v>18</v>
      </c>
      <c r="GD24" s="1">
        <v>37168</v>
      </c>
      <c r="GE24" s="1">
        <v>0</v>
      </c>
      <c r="GF24" s="1">
        <v>0.034</v>
      </c>
      <c r="GG24" s="1">
        <v>0</v>
      </c>
      <c r="GH24" s="1">
        <v>0</v>
      </c>
      <c r="GI24" s="1">
        <v>1</v>
      </c>
      <c r="GJ24" s="1">
        <v>0.06</v>
      </c>
      <c r="GK24" s="1">
        <v>0</v>
      </c>
      <c r="GL24" s="1">
        <v>20673</v>
      </c>
      <c r="GM24" s="1">
        <v>0</v>
      </c>
      <c r="GN24" s="1" t="s">
        <v>56</v>
      </c>
      <c r="GO24" s="1">
        <v>0.06</v>
      </c>
      <c r="GP24" s="1">
        <v>0</v>
      </c>
      <c r="GQ24" s="1">
        <v>6316</v>
      </c>
      <c r="GR24" s="1">
        <v>1072</v>
      </c>
      <c r="GS24" s="1">
        <v>456</v>
      </c>
      <c r="GT24" s="1">
        <v>0.029</v>
      </c>
      <c r="GU24" s="1">
        <v>248</v>
      </c>
      <c r="GV24" s="1">
        <v>21426</v>
      </c>
      <c r="GW24" s="1">
        <v>0</v>
      </c>
      <c r="GX24" s="1">
        <v>0.019</v>
      </c>
      <c r="GY24" s="1">
        <v>0</v>
      </c>
      <c r="GZ24" s="1">
        <v>0</v>
      </c>
      <c r="HA24" s="1">
        <v>1</v>
      </c>
      <c r="HB24" s="1">
        <v>0.07000000000000001</v>
      </c>
      <c r="HC24" s="1">
        <v>3</v>
      </c>
      <c r="HD24" s="1">
        <v>12136</v>
      </c>
      <c r="HE24" s="1">
        <v>0.01</v>
      </c>
      <c r="HF24" s="1" t="s">
        <v>56</v>
      </c>
      <c r="HG24" s="1">
        <v>0.07000000000000001</v>
      </c>
      <c r="HH24" s="1">
        <v>0</v>
      </c>
      <c r="HI24" s="1">
        <v>4074</v>
      </c>
      <c r="HJ24" s="1">
        <v>1409</v>
      </c>
      <c r="HK24" s="1">
        <v>52</v>
      </c>
      <c r="HL24" s="1">
        <v>0.173</v>
      </c>
      <c r="HM24" s="1">
        <v>0</v>
      </c>
      <c r="HN24" s="1">
        <v>31088</v>
      </c>
      <c r="HO24" s="1">
        <v>0</v>
      </c>
      <c r="HP24" s="1">
        <v>0.08299999999999999</v>
      </c>
      <c r="HQ24" s="1">
        <v>17</v>
      </c>
      <c r="HR24" s="1">
        <v>0</v>
      </c>
      <c r="HS24" s="1">
        <v>1</v>
      </c>
      <c r="HT24" s="1">
        <v>0.2</v>
      </c>
      <c r="HU24" s="1">
        <v>0</v>
      </c>
      <c r="HV24" s="1">
        <v>19091</v>
      </c>
      <c r="HW24" s="1">
        <v>0.09</v>
      </c>
      <c r="HX24" s="1" t="s">
        <v>56</v>
      </c>
      <c r="HY24" s="1">
        <v>0.2</v>
      </c>
      <c r="HZ24" s="1">
        <v>0</v>
      </c>
      <c r="IA24" s="1">
        <v>5196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>
        <v>1409</v>
      </c>
      <c r="JM24" s="1">
        <v>257</v>
      </c>
      <c r="JN24" s="1">
        <v>0.333</v>
      </c>
      <c r="JO24" s="1">
        <v>94</v>
      </c>
      <c r="JP24" s="1">
        <v>31088</v>
      </c>
      <c r="JQ24" s="1">
        <v>0</v>
      </c>
      <c r="JR24" s="1">
        <v>0.07300000000000001</v>
      </c>
      <c r="JS24" s="1">
        <v>17</v>
      </c>
      <c r="JT24" s="1">
        <v>0</v>
      </c>
      <c r="JU24" s="1">
        <v>1</v>
      </c>
      <c r="JV24" s="1">
        <v>0.36</v>
      </c>
      <c r="JW24" s="1">
        <v>0</v>
      </c>
      <c r="JX24" s="1">
        <v>19091</v>
      </c>
      <c r="JY24" s="1">
        <v>0.26</v>
      </c>
      <c r="JZ24" s="1" t="s">
        <v>56</v>
      </c>
      <c r="KA24" s="1">
        <v>0.36</v>
      </c>
      <c r="KB24" s="1">
        <v>0</v>
      </c>
      <c r="KC24" s="1">
        <v>5196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>
        <v>157485</v>
      </c>
      <c r="C25" s="1">
        <v>199</v>
      </c>
      <c r="D25" s="1">
        <v>60.845</v>
      </c>
      <c r="E25" s="1">
        <v>0</v>
      </c>
      <c r="F25" s="1">
        <v>45425967</v>
      </c>
      <c r="G25" s="1">
        <v>0</v>
      </c>
      <c r="H25" s="1">
        <v>59.625</v>
      </c>
      <c r="I25" s="1">
        <v>4472</v>
      </c>
      <c r="J25" s="1">
        <v>0</v>
      </c>
      <c r="K25" s="1">
        <v>1</v>
      </c>
      <c r="L25" s="1">
        <v>62.21</v>
      </c>
      <c r="M25" s="1">
        <v>0</v>
      </c>
      <c r="N25" s="1">
        <v>30173366</v>
      </c>
      <c r="O25" s="1">
        <v>1.22</v>
      </c>
      <c r="P25" s="1" t="s">
        <v>56</v>
      </c>
      <c r="Q25" s="1">
        <v>62.21</v>
      </c>
      <c r="R25" s="1">
        <v>0</v>
      </c>
      <c r="S25" s="1">
        <v>5134488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>
        <v>203258</v>
      </c>
      <c r="AM25" s="1">
        <v>29915</v>
      </c>
      <c r="AN25" s="1">
        <v>299.992</v>
      </c>
      <c r="AO25" s="1">
        <v>9247</v>
      </c>
      <c r="AP25" s="1">
        <v>53205567</v>
      </c>
      <c r="AQ25" s="1">
        <v>0</v>
      </c>
      <c r="AR25" s="1">
        <v>72.85200000000003</v>
      </c>
      <c r="AS25" s="1">
        <v>4092</v>
      </c>
      <c r="AT25" s="1">
        <v>0</v>
      </c>
      <c r="AU25" s="1">
        <v>0</v>
      </c>
      <c r="AV25" s="1">
        <v>600</v>
      </c>
      <c r="AW25" s="1">
        <v>40</v>
      </c>
      <c r="AX25" s="1">
        <v>30251773</v>
      </c>
      <c r="AY25" s="1">
        <v>227.14</v>
      </c>
      <c r="AZ25" s="1" t="s">
        <v>57</v>
      </c>
      <c r="BA25" s="1">
        <v>300</v>
      </c>
      <c r="BB25" s="1">
        <v>1</v>
      </c>
      <c r="BC25" s="1">
        <v>5173886</v>
      </c>
      <c r="BD25" s="1">
        <v>124406</v>
      </c>
      <c r="BE25" s="1">
        <v>1514422</v>
      </c>
      <c r="BF25" s="1">
        <v>299.992</v>
      </c>
      <c r="BG25" s="1">
        <v>40424</v>
      </c>
      <c r="BH25" s="1">
        <v>19516377</v>
      </c>
      <c r="BI25" s="1">
        <v>0</v>
      </c>
      <c r="BJ25" s="1">
        <v>20.952</v>
      </c>
      <c r="BK25" s="1">
        <v>1334</v>
      </c>
      <c r="BL25" s="1">
        <v>0</v>
      </c>
      <c r="BM25" s="1">
        <v>0</v>
      </c>
      <c r="BN25" s="1">
        <v>600</v>
      </c>
      <c r="BO25" s="1">
        <v>126</v>
      </c>
      <c r="BP25" s="1">
        <v>25051578</v>
      </c>
      <c r="BQ25" s="1">
        <v>279.04</v>
      </c>
      <c r="BR25" s="1" t="s">
        <v>57</v>
      </c>
      <c r="BS25" s="1">
        <v>300</v>
      </c>
      <c r="BT25" s="1">
        <v>1</v>
      </c>
      <c r="BU25" s="1">
        <v>146298</v>
      </c>
      <c r="BV25" s="1">
        <v>156092</v>
      </c>
      <c r="BW25" s="1">
        <v>136</v>
      </c>
      <c r="BX25" s="1">
        <v>28.246</v>
      </c>
      <c r="BY25" s="1">
        <v>14</v>
      </c>
      <c r="BZ25" s="1">
        <v>28364821</v>
      </c>
      <c r="CA25" s="1">
        <v>0</v>
      </c>
      <c r="CB25" s="1">
        <v>27.576</v>
      </c>
      <c r="CC25" s="1">
        <v>2099</v>
      </c>
      <c r="CD25" s="1">
        <v>0</v>
      </c>
      <c r="CE25" s="1">
        <v>1</v>
      </c>
      <c r="CF25" s="1">
        <v>28.9</v>
      </c>
      <c r="CG25" s="1">
        <v>0</v>
      </c>
      <c r="CH25" s="1">
        <v>26606033</v>
      </c>
      <c r="CI25" s="1">
        <v>0.67</v>
      </c>
      <c r="CJ25" s="1" t="s">
        <v>56</v>
      </c>
      <c r="CK25" s="1">
        <v>28.9</v>
      </c>
      <c r="CL25" s="1">
        <v>0</v>
      </c>
      <c r="CM25" s="1">
        <v>1597016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>
        <v>156092</v>
      </c>
      <c r="DY25" s="1">
        <v>174593</v>
      </c>
      <c r="DZ25" s="1">
        <v>233.639</v>
      </c>
      <c r="EA25" s="1">
        <v>6468</v>
      </c>
      <c r="EB25" s="1">
        <v>28364821</v>
      </c>
      <c r="EC25" s="1">
        <v>0</v>
      </c>
      <c r="ED25" s="1">
        <v>27.69900000000001</v>
      </c>
      <c r="EE25" s="1">
        <v>2109</v>
      </c>
      <c r="EF25" s="1">
        <v>0</v>
      </c>
      <c r="EG25" s="1">
        <v>1</v>
      </c>
      <c r="EH25" s="1">
        <v>234.41</v>
      </c>
      <c r="EI25" s="1">
        <v>30</v>
      </c>
      <c r="EJ25" s="1">
        <v>26606033</v>
      </c>
      <c r="EK25" s="1">
        <v>205.94</v>
      </c>
      <c r="EL25" s="1" t="s">
        <v>56</v>
      </c>
      <c r="EM25" s="1">
        <v>234.41</v>
      </c>
      <c r="EN25" s="1">
        <v>0</v>
      </c>
      <c r="EO25" s="1">
        <v>1597016</v>
      </c>
      <c r="EP25" s="1">
        <v>157485</v>
      </c>
      <c r="EQ25" s="1">
        <v>199</v>
      </c>
      <c r="ER25" s="1">
        <v>60.971</v>
      </c>
      <c r="ES25" s="1">
        <v>0</v>
      </c>
      <c r="ET25" s="1">
        <v>45425967</v>
      </c>
      <c r="EU25" s="1">
        <v>0</v>
      </c>
      <c r="EV25" s="1">
        <v>59.741</v>
      </c>
      <c r="EW25" s="1">
        <v>4480</v>
      </c>
      <c r="EX25" s="1">
        <v>0</v>
      </c>
      <c r="EY25" s="1">
        <v>1</v>
      </c>
      <c r="EZ25" s="1">
        <v>62.41</v>
      </c>
      <c r="FA25" s="1">
        <v>0</v>
      </c>
      <c r="FB25" s="1">
        <v>30173366</v>
      </c>
      <c r="FC25" s="1">
        <v>1.23</v>
      </c>
      <c r="FD25" s="1" t="s">
        <v>56</v>
      </c>
      <c r="FE25" s="1">
        <v>62.41</v>
      </c>
      <c r="FF25" s="1">
        <v>0</v>
      </c>
      <c r="FG25" s="1">
        <v>5134488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>
        <v>203258</v>
      </c>
      <c r="GA25" s="1">
        <v>28876</v>
      </c>
      <c r="GB25" s="1">
        <v>299.992</v>
      </c>
      <c r="GC25" s="1">
        <v>8744</v>
      </c>
      <c r="GD25" s="1">
        <v>53205567</v>
      </c>
      <c r="GE25" s="1">
        <v>0</v>
      </c>
      <c r="GF25" s="1">
        <v>75.79200000000003</v>
      </c>
      <c r="GG25" s="1">
        <v>4098</v>
      </c>
      <c r="GH25" s="1">
        <v>0</v>
      </c>
      <c r="GI25" s="1">
        <v>0</v>
      </c>
      <c r="GJ25" s="1">
        <v>600</v>
      </c>
      <c r="GK25" s="1">
        <v>37</v>
      </c>
      <c r="GL25" s="1">
        <v>30251773</v>
      </c>
      <c r="GM25" s="1">
        <v>224.2</v>
      </c>
      <c r="GN25" s="1" t="s">
        <v>57</v>
      </c>
      <c r="GO25" s="1">
        <v>300</v>
      </c>
      <c r="GP25" s="1">
        <v>1</v>
      </c>
      <c r="GQ25" s="1">
        <v>5173886</v>
      </c>
      <c r="GR25" s="1">
        <v>124406</v>
      </c>
      <c r="GS25" s="1">
        <v>1471385</v>
      </c>
      <c r="GT25" s="1">
        <v>299.988</v>
      </c>
      <c r="GU25" s="1">
        <v>38525</v>
      </c>
      <c r="GV25" s="1">
        <v>19516377</v>
      </c>
      <c r="GW25" s="1">
        <v>0</v>
      </c>
      <c r="GX25" s="1">
        <v>21.798</v>
      </c>
      <c r="GY25" s="1">
        <v>1407</v>
      </c>
      <c r="GZ25" s="1">
        <v>0</v>
      </c>
      <c r="HA25" s="1">
        <v>0</v>
      </c>
      <c r="HB25" s="1">
        <v>600</v>
      </c>
      <c r="HC25" s="1">
        <v>126</v>
      </c>
      <c r="HD25" s="1">
        <v>25051578</v>
      </c>
      <c r="HE25" s="1">
        <v>278.19</v>
      </c>
      <c r="HF25" s="1" t="s">
        <v>57</v>
      </c>
      <c r="HG25" s="1">
        <v>300</v>
      </c>
      <c r="HH25" s="1">
        <v>1</v>
      </c>
      <c r="HI25" s="1">
        <v>146298</v>
      </c>
      <c r="HJ25" s="1">
        <v>126096</v>
      </c>
      <c r="HK25" s="1">
        <v>117</v>
      </c>
      <c r="HL25" s="1">
        <v>26.267</v>
      </c>
      <c r="HM25" s="1">
        <v>23</v>
      </c>
      <c r="HN25" s="1">
        <v>28355016</v>
      </c>
      <c r="HO25" s="1">
        <v>0</v>
      </c>
      <c r="HP25" s="1">
        <v>24.697</v>
      </c>
      <c r="HQ25" s="1">
        <v>2081</v>
      </c>
      <c r="HR25" s="1">
        <v>0</v>
      </c>
      <c r="HS25" s="1">
        <v>1</v>
      </c>
      <c r="HT25" s="1">
        <v>26.58</v>
      </c>
      <c r="HU25" s="1">
        <v>0</v>
      </c>
      <c r="HV25" s="1">
        <v>26566236</v>
      </c>
      <c r="HW25" s="1">
        <v>1.57</v>
      </c>
      <c r="HX25" s="1" t="s">
        <v>56</v>
      </c>
      <c r="HY25" s="1">
        <v>26.58</v>
      </c>
      <c r="HZ25" s="1">
        <v>0</v>
      </c>
      <c r="IA25" s="1">
        <v>1596917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>
        <v>126096</v>
      </c>
      <c r="JM25" s="1">
        <v>339759</v>
      </c>
      <c r="JN25" s="1">
        <v>300.001</v>
      </c>
      <c r="JO25" s="1">
        <v>9414</v>
      </c>
      <c r="JP25" s="1">
        <v>28355016</v>
      </c>
      <c r="JQ25" s="1">
        <v>0</v>
      </c>
      <c r="JR25" s="1">
        <v>24.51099999999997</v>
      </c>
      <c r="JS25" s="1">
        <v>2077</v>
      </c>
      <c r="JT25" s="1">
        <v>0</v>
      </c>
      <c r="JU25" s="1">
        <v>0</v>
      </c>
      <c r="JV25" s="1">
        <v>600</v>
      </c>
      <c r="JW25" s="1">
        <v>43</v>
      </c>
      <c r="JX25" s="1">
        <v>26566236</v>
      </c>
      <c r="JY25" s="1">
        <v>275.49</v>
      </c>
      <c r="JZ25" s="1" t="s">
        <v>57</v>
      </c>
      <c r="KA25" s="1">
        <v>300</v>
      </c>
      <c r="KB25" s="1">
        <v>1</v>
      </c>
      <c r="KC25" s="1">
        <v>1596917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>
        <v>226185</v>
      </c>
      <c r="C26" s="1">
        <v>235</v>
      </c>
      <c r="D26" s="1">
        <v>102.445</v>
      </c>
      <c r="E26" s="1">
        <v>0</v>
      </c>
      <c r="F26" s="1">
        <v>71559127</v>
      </c>
      <c r="G26" s="1">
        <v>0</v>
      </c>
      <c r="H26" s="1">
        <v>100.435</v>
      </c>
      <c r="I26" s="1">
        <v>7037</v>
      </c>
      <c r="J26" s="1">
        <v>0</v>
      </c>
      <c r="K26" s="1">
        <v>1</v>
      </c>
      <c r="L26" s="1">
        <v>104.48</v>
      </c>
      <c r="M26" s="1">
        <v>0</v>
      </c>
      <c r="N26" s="1">
        <v>51109366</v>
      </c>
      <c r="O26" s="1">
        <v>2.01</v>
      </c>
      <c r="P26" s="1" t="s">
        <v>56</v>
      </c>
      <c r="Q26" s="1">
        <v>104.48</v>
      </c>
      <c r="R26" s="1">
        <v>0</v>
      </c>
      <c r="S26" s="1">
        <v>7440048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291918</v>
      </c>
      <c r="AM26" s="1">
        <v>255590</v>
      </c>
      <c r="AN26" s="1">
        <v>299.988</v>
      </c>
      <c r="AO26" s="1">
        <v>2985</v>
      </c>
      <c r="AP26" s="1">
        <v>82844907</v>
      </c>
      <c r="AQ26" s="1">
        <v>0</v>
      </c>
      <c r="AR26" s="1">
        <v>123.518</v>
      </c>
      <c r="AS26" s="1">
        <v>6419</v>
      </c>
      <c r="AT26" s="1">
        <v>0</v>
      </c>
      <c r="AU26" s="1">
        <v>0</v>
      </c>
      <c r="AV26" s="1">
        <v>600</v>
      </c>
      <c r="AW26" s="1">
        <v>15</v>
      </c>
      <c r="AX26" s="1">
        <v>51223903</v>
      </c>
      <c r="AY26" s="1">
        <v>176.47</v>
      </c>
      <c r="AZ26" s="1" t="s">
        <v>57</v>
      </c>
      <c r="BA26" s="1">
        <v>300</v>
      </c>
      <c r="BB26" s="1">
        <v>1</v>
      </c>
      <c r="BC26" s="1">
        <v>7500466</v>
      </c>
      <c r="BD26" s="1">
        <v>179286</v>
      </c>
      <c r="BE26" s="1">
        <v>1032414</v>
      </c>
      <c r="BF26" s="1">
        <v>299.989</v>
      </c>
      <c r="BG26" s="1">
        <v>20876</v>
      </c>
      <c r="BH26" s="1">
        <v>34001307</v>
      </c>
      <c r="BI26" s="1">
        <v>0</v>
      </c>
      <c r="BJ26" s="1">
        <v>36.779</v>
      </c>
      <c r="BK26" s="1">
        <v>2305</v>
      </c>
      <c r="BL26" s="1">
        <v>0</v>
      </c>
      <c r="BM26" s="1">
        <v>0</v>
      </c>
      <c r="BN26" s="1">
        <v>600</v>
      </c>
      <c r="BO26" s="1">
        <v>62</v>
      </c>
      <c r="BP26" s="1">
        <v>43695218</v>
      </c>
      <c r="BQ26" s="1">
        <v>263.21</v>
      </c>
      <c r="BR26" s="1" t="s">
        <v>57</v>
      </c>
      <c r="BS26" s="1">
        <v>300</v>
      </c>
      <c r="BT26" s="1">
        <v>1</v>
      </c>
      <c r="BU26" s="1">
        <v>211548</v>
      </c>
      <c r="BV26" s="1">
        <v>224512</v>
      </c>
      <c r="BW26" s="1">
        <v>162</v>
      </c>
      <c r="BX26" s="1">
        <v>49.672</v>
      </c>
      <c r="BY26" s="1">
        <v>16</v>
      </c>
      <c r="BZ26" s="1">
        <v>46859311</v>
      </c>
      <c r="CA26" s="1">
        <v>0</v>
      </c>
      <c r="CB26" s="1">
        <v>48.462</v>
      </c>
      <c r="CC26" s="1">
        <v>3444</v>
      </c>
      <c r="CD26" s="1">
        <v>0</v>
      </c>
      <c r="CE26" s="1">
        <v>1</v>
      </c>
      <c r="CF26" s="1">
        <v>50.68</v>
      </c>
      <c r="CG26" s="1">
        <v>0</v>
      </c>
      <c r="CH26" s="1">
        <v>45944493</v>
      </c>
      <c r="CI26" s="1">
        <v>1.21</v>
      </c>
      <c r="CJ26" s="1" t="s">
        <v>56</v>
      </c>
      <c r="CK26" s="1">
        <v>50.68</v>
      </c>
      <c r="CL26" s="1">
        <v>0</v>
      </c>
      <c r="CM26" s="1">
        <v>2319326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>
        <v>224512</v>
      </c>
      <c r="DY26" s="1">
        <v>29935</v>
      </c>
      <c r="DZ26" s="1">
        <v>299.991</v>
      </c>
      <c r="EA26" s="1">
        <v>3658</v>
      </c>
      <c r="EB26" s="1">
        <v>46859311</v>
      </c>
      <c r="EC26" s="1">
        <v>0</v>
      </c>
      <c r="ED26" s="1">
        <v>47.92099999999999</v>
      </c>
      <c r="EE26" s="1">
        <v>3459</v>
      </c>
      <c r="EF26" s="1">
        <v>0</v>
      </c>
      <c r="EG26" s="1">
        <v>0</v>
      </c>
      <c r="EH26" s="1">
        <v>600</v>
      </c>
      <c r="EI26" s="1">
        <v>14</v>
      </c>
      <c r="EJ26" s="1">
        <v>45944493</v>
      </c>
      <c r="EK26" s="1">
        <v>252.07</v>
      </c>
      <c r="EL26" s="1" t="s">
        <v>57</v>
      </c>
      <c r="EM26" s="1">
        <v>300</v>
      </c>
      <c r="EN26" s="1">
        <v>1</v>
      </c>
      <c r="EO26" s="1">
        <v>2319326</v>
      </c>
      <c r="EP26" s="1">
        <v>226185</v>
      </c>
      <c r="EQ26" s="1">
        <v>235</v>
      </c>
      <c r="ER26" s="1">
        <v>84.026</v>
      </c>
      <c r="ES26" s="1">
        <v>0</v>
      </c>
      <c r="ET26" s="1">
        <v>71559127</v>
      </c>
      <c r="EU26" s="1">
        <v>0</v>
      </c>
      <c r="EV26" s="1">
        <v>82.836</v>
      </c>
      <c r="EW26" s="1">
        <v>7049</v>
      </c>
      <c r="EX26" s="1">
        <v>0</v>
      </c>
      <c r="EY26" s="1">
        <v>1</v>
      </c>
      <c r="EZ26" s="1">
        <v>85.52</v>
      </c>
      <c r="FA26" s="1">
        <v>0</v>
      </c>
      <c r="FB26" s="1">
        <v>51109366</v>
      </c>
      <c r="FC26" s="1">
        <v>1.19</v>
      </c>
      <c r="FD26" s="1" t="s">
        <v>56</v>
      </c>
      <c r="FE26" s="1">
        <v>85.52</v>
      </c>
      <c r="FF26" s="1">
        <v>0</v>
      </c>
      <c r="FG26" s="1">
        <v>7440048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>
        <v>291918</v>
      </c>
      <c r="GA26" s="1">
        <v>246207</v>
      </c>
      <c r="GB26" s="1">
        <v>299.988</v>
      </c>
      <c r="GC26" s="1">
        <v>2572</v>
      </c>
      <c r="GD26" s="1">
        <v>82844907</v>
      </c>
      <c r="GE26" s="1">
        <v>0</v>
      </c>
      <c r="GF26" s="1">
        <v>125.118</v>
      </c>
      <c r="GG26" s="1">
        <v>6426</v>
      </c>
      <c r="GH26" s="1">
        <v>0</v>
      </c>
      <c r="GI26" s="1">
        <v>0</v>
      </c>
      <c r="GJ26" s="1">
        <v>600</v>
      </c>
      <c r="GK26" s="1">
        <v>14</v>
      </c>
      <c r="GL26" s="1">
        <v>51223903</v>
      </c>
      <c r="GM26" s="1">
        <v>174.87</v>
      </c>
      <c r="GN26" s="1" t="s">
        <v>57</v>
      </c>
      <c r="GO26" s="1">
        <v>300</v>
      </c>
      <c r="GP26" s="1">
        <v>1</v>
      </c>
      <c r="GQ26" s="1">
        <v>7500466</v>
      </c>
      <c r="GR26" s="1">
        <v>179286</v>
      </c>
      <c r="GS26" s="1">
        <v>1027072</v>
      </c>
      <c r="GT26" s="1">
        <v>299.987</v>
      </c>
      <c r="GU26" s="1">
        <v>20689</v>
      </c>
      <c r="GV26" s="1">
        <v>34001307</v>
      </c>
      <c r="GW26" s="1">
        <v>0</v>
      </c>
      <c r="GX26" s="1">
        <v>37.887</v>
      </c>
      <c r="GY26" s="1">
        <v>2323</v>
      </c>
      <c r="GZ26" s="1">
        <v>0</v>
      </c>
      <c r="HA26" s="1">
        <v>0</v>
      </c>
      <c r="HB26" s="1">
        <v>600</v>
      </c>
      <c r="HC26" s="1">
        <v>62</v>
      </c>
      <c r="HD26" s="1">
        <v>43695218</v>
      </c>
      <c r="HE26" s="1">
        <v>262.1</v>
      </c>
      <c r="HF26" s="1" t="s">
        <v>57</v>
      </c>
      <c r="HG26" s="1">
        <v>300</v>
      </c>
      <c r="HH26" s="1">
        <v>1</v>
      </c>
      <c r="HI26" s="1">
        <v>211548</v>
      </c>
      <c r="HJ26" s="1">
        <v>181316</v>
      </c>
      <c r="HK26" s="1">
        <v>150</v>
      </c>
      <c r="HL26" s="1">
        <v>44.013</v>
      </c>
      <c r="HM26" s="1">
        <v>27</v>
      </c>
      <c r="HN26" s="1">
        <v>46845146</v>
      </c>
      <c r="HO26" s="1">
        <v>0</v>
      </c>
      <c r="HP26" s="1">
        <v>41.333</v>
      </c>
      <c r="HQ26" s="1">
        <v>3412</v>
      </c>
      <c r="HR26" s="1">
        <v>0</v>
      </c>
      <c r="HS26" s="1">
        <v>1</v>
      </c>
      <c r="HT26" s="1">
        <v>44.47</v>
      </c>
      <c r="HU26" s="1">
        <v>0</v>
      </c>
      <c r="HV26" s="1">
        <v>45887136</v>
      </c>
      <c r="HW26" s="1">
        <v>2.68</v>
      </c>
      <c r="HX26" s="1" t="s">
        <v>56</v>
      </c>
      <c r="HY26" s="1">
        <v>44.47</v>
      </c>
      <c r="HZ26" s="1">
        <v>0</v>
      </c>
      <c r="IA26" s="1">
        <v>2319207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>
        <v>181316</v>
      </c>
      <c r="JM26" s="1">
        <v>157062</v>
      </c>
      <c r="JN26" s="1">
        <v>299.999</v>
      </c>
      <c r="JO26" s="1">
        <v>2879</v>
      </c>
      <c r="JP26" s="1">
        <v>46845146</v>
      </c>
      <c r="JQ26" s="1">
        <v>0</v>
      </c>
      <c r="JR26" s="1">
        <v>41.51900000000001</v>
      </c>
      <c r="JS26" s="1">
        <v>3413</v>
      </c>
      <c r="JT26" s="1">
        <v>0</v>
      </c>
      <c r="JU26" s="1">
        <v>0</v>
      </c>
      <c r="JV26" s="1">
        <v>600</v>
      </c>
      <c r="JW26" s="1">
        <v>14</v>
      </c>
      <c r="JX26" s="1">
        <v>45887136</v>
      </c>
      <c r="JY26" s="1">
        <v>258.48</v>
      </c>
      <c r="JZ26" s="1" t="s">
        <v>57</v>
      </c>
      <c r="KA26" s="1">
        <v>300</v>
      </c>
      <c r="KB26" s="1">
        <v>1</v>
      </c>
      <c r="KC26" s="1">
        <v>2319207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>
        <v>307285</v>
      </c>
      <c r="C27" s="1">
        <v>275</v>
      </c>
      <c r="D27" s="1">
        <v>159.463</v>
      </c>
      <c r="E27" s="1">
        <v>0</v>
      </c>
      <c r="F27" s="1">
        <v>105671887</v>
      </c>
      <c r="G27" s="1">
        <v>0</v>
      </c>
      <c r="H27" s="1">
        <v>156.253</v>
      </c>
      <c r="I27" s="1">
        <v>10200</v>
      </c>
      <c r="J27" s="1">
        <v>0</v>
      </c>
      <c r="K27" s="1">
        <v>1</v>
      </c>
      <c r="L27" s="1">
        <v>162.43</v>
      </c>
      <c r="M27" s="1">
        <v>0</v>
      </c>
      <c r="N27" s="1">
        <v>79980566</v>
      </c>
      <c r="O27" s="1">
        <v>3.21</v>
      </c>
      <c r="P27" s="1" t="s">
        <v>56</v>
      </c>
      <c r="Q27" s="1">
        <v>162.43</v>
      </c>
      <c r="R27" s="1">
        <v>0</v>
      </c>
      <c r="S27" s="1">
        <v>10172008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>
        <v>396578</v>
      </c>
      <c r="AM27" s="1">
        <v>128890</v>
      </c>
      <c r="AN27" s="1">
        <v>299.989</v>
      </c>
      <c r="AO27" s="1">
        <v>1605</v>
      </c>
      <c r="AP27" s="1">
        <v>121114247</v>
      </c>
      <c r="AQ27" s="1">
        <v>0</v>
      </c>
      <c r="AR27" s="1">
        <v>191.529</v>
      </c>
      <c r="AS27" s="1">
        <v>9066</v>
      </c>
      <c r="AT27" s="1">
        <v>0</v>
      </c>
      <c r="AU27" s="1">
        <v>0</v>
      </c>
      <c r="AV27" s="1">
        <v>600</v>
      </c>
      <c r="AW27" s="1">
        <v>11</v>
      </c>
      <c r="AX27" s="1">
        <v>80138033</v>
      </c>
      <c r="AY27" s="1">
        <v>108.46</v>
      </c>
      <c r="AZ27" s="1" t="s">
        <v>57</v>
      </c>
      <c r="BA27" s="1">
        <v>300</v>
      </c>
      <c r="BB27" s="1">
        <v>1</v>
      </c>
      <c r="BC27" s="1">
        <v>10257846</v>
      </c>
      <c r="BD27" s="1">
        <v>244166</v>
      </c>
      <c r="BE27" s="1">
        <v>576948</v>
      </c>
      <c r="BF27" s="1">
        <v>299.99</v>
      </c>
      <c r="BG27" s="1">
        <v>9590</v>
      </c>
      <c r="BH27" s="1">
        <v>54309437</v>
      </c>
      <c r="BI27" s="1">
        <v>0</v>
      </c>
      <c r="BJ27" s="1">
        <v>61.85000000000002</v>
      </c>
      <c r="BK27" s="1">
        <v>3477</v>
      </c>
      <c r="BL27" s="1">
        <v>0</v>
      </c>
      <c r="BM27" s="1">
        <v>0</v>
      </c>
      <c r="BN27" s="1">
        <v>600</v>
      </c>
      <c r="BO27" s="1">
        <v>38</v>
      </c>
      <c r="BP27" s="1">
        <v>69851258</v>
      </c>
      <c r="BQ27" s="1">
        <v>238.14</v>
      </c>
      <c r="BR27" s="1" t="s">
        <v>57</v>
      </c>
      <c r="BS27" s="1">
        <v>300</v>
      </c>
      <c r="BT27" s="1">
        <v>1</v>
      </c>
      <c r="BU27" s="1">
        <v>288798</v>
      </c>
      <c r="BV27" s="1">
        <v>305332</v>
      </c>
      <c r="BW27" s="1">
        <v>191</v>
      </c>
      <c r="BX27" s="1">
        <v>76.813</v>
      </c>
      <c r="BY27" s="1">
        <v>19</v>
      </c>
      <c r="BZ27" s="1">
        <v>71924201</v>
      </c>
      <c r="CA27" s="1">
        <v>0</v>
      </c>
      <c r="CB27" s="1">
        <v>74.813</v>
      </c>
      <c r="CC27" s="1">
        <v>4954</v>
      </c>
      <c r="CD27" s="1">
        <v>0</v>
      </c>
      <c r="CE27" s="1">
        <v>1</v>
      </c>
      <c r="CF27" s="1">
        <v>78.33</v>
      </c>
      <c r="CG27" s="1">
        <v>0</v>
      </c>
      <c r="CH27" s="1">
        <v>72923353</v>
      </c>
      <c r="CI27" s="1">
        <v>2</v>
      </c>
      <c r="CJ27" s="1" t="s">
        <v>56</v>
      </c>
      <c r="CK27" s="1">
        <v>78.33</v>
      </c>
      <c r="CL27" s="1">
        <v>0</v>
      </c>
      <c r="CM27" s="1">
        <v>3176036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>
        <v>305332</v>
      </c>
      <c r="DY27" s="1">
        <v>3917</v>
      </c>
      <c r="DZ27" s="1">
        <v>299.99</v>
      </c>
      <c r="EA27" s="1">
        <v>1246</v>
      </c>
      <c r="EB27" s="1">
        <v>71924201</v>
      </c>
      <c r="EC27" s="1">
        <v>0</v>
      </c>
      <c r="ED27" s="1">
        <v>75.67000000000002</v>
      </c>
      <c r="EE27" s="1">
        <v>4969</v>
      </c>
      <c r="EF27" s="1">
        <v>0</v>
      </c>
      <c r="EG27" s="1">
        <v>0</v>
      </c>
      <c r="EH27" s="1">
        <v>600</v>
      </c>
      <c r="EI27" s="1">
        <v>9</v>
      </c>
      <c r="EJ27" s="1">
        <v>72923353</v>
      </c>
      <c r="EK27" s="1">
        <v>224.32</v>
      </c>
      <c r="EL27" s="1" t="s">
        <v>57</v>
      </c>
      <c r="EM27" s="1">
        <v>300</v>
      </c>
      <c r="EN27" s="1">
        <v>1</v>
      </c>
      <c r="EO27" s="1">
        <v>3176036</v>
      </c>
      <c r="EP27" s="1">
        <v>307285</v>
      </c>
      <c r="EQ27" s="1">
        <v>275</v>
      </c>
      <c r="ER27" s="1">
        <v>127.277</v>
      </c>
      <c r="ES27" s="1">
        <v>0</v>
      </c>
      <c r="ET27" s="1">
        <v>105671887</v>
      </c>
      <c r="EU27" s="1">
        <v>0</v>
      </c>
      <c r="EV27" s="1">
        <v>125.457</v>
      </c>
      <c r="EW27" s="1">
        <v>10203</v>
      </c>
      <c r="EX27" s="1">
        <v>0</v>
      </c>
      <c r="EY27" s="1">
        <v>1</v>
      </c>
      <c r="EZ27" s="1">
        <v>129.25</v>
      </c>
      <c r="FA27" s="1">
        <v>0</v>
      </c>
      <c r="FB27" s="1">
        <v>79980566</v>
      </c>
      <c r="FC27" s="1">
        <v>1.82</v>
      </c>
      <c r="FD27" s="1" t="s">
        <v>56</v>
      </c>
      <c r="FE27" s="1">
        <v>129.25</v>
      </c>
      <c r="FF27" s="1">
        <v>0</v>
      </c>
      <c r="FG27" s="1">
        <v>10172008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>
        <v>396578</v>
      </c>
      <c r="GA27" s="1">
        <v>125977</v>
      </c>
      <c r="GB27" s="1">
        <v>299.987</v>
      </c>
      <c r="GC27" s="1">
        <v>1588</v>
      </c>
      <c r="GD27" s="1">
        <v>121114247</v>
      </c>
      <c r="GE27" s="1">
        <v>0</v>
      </c>
      <c r="GF27" s="1">
        <v>193.207</v>
      </c>
      <c r="GG27" s="1">
        <v>9067</v>
      </c>
      <c r="GH27" s="1">
        <v>0</v>
      </c>
      <c r="GI27" s="1">
        <v>0</v>
      </c>
      <c r="GJ27" s="1">
        <v>600</v>
      </c>
      <c r="GK27" s="1">
        <v>11</v>
      </c>
      <c r="GL27" s="1">
        <v>80138033</v>
      </c>
      <c r="GM27" s="1">
        <v>106.78</v>
      </c>
      <c r="GN27" s="1" t="s">
        <v>57</v>
      </c>
      <c r="GO27" s="1">
        <v>300</v>
      </c>
      <c r="GP27" s="1">
        <v>1</v>
      </c>
      <c r="GQ27" s="1">
        <v>10257846</v>
      </c>
      <c r="GR27" s="1">
        <v>244166</v>
      </c>
      <c r="GS27" s="1">
        <v>572231</v>
      </c>
      <c r="GT27" s="1">
        <v>299.99</v>
      </c>
      <c r="GU27" s="1">
        <v>9514</v>
      </c>
      <c r="GV27" s="1">
        <v>54309437</v>
      </c>
      <c r="GW27" s="1">
        <v>0</v>
      </c>
      <c r="GX27" s="1">
        <v>61.62</v>
      </c>
      <c r="GY27" s="1">
        <v>3492</v>
      </c>
      <c r="GZ27" s="1">
        <v>0</v>
      </c>
      <c r="HA27" s="1">
        <v>0</v>
      </c>
      <c r="HB27" s="1">
        <v>600</v>
      </c>
      <c r="HC27" s="1">
        <v>37</v>
      </c>
      <c r="HD27" s="1">
        <v>69851258</v>
      </c>
      <c r="HE27" s="1">
        <v>238.37</v>
      </c>
      <c r="HF27" s="1" t="s">
        <v>57</v>
      </c>
      <c r="HG27" s="1">
        <v>300</v>
      </c>
      <c r="HH27" s="1">
        <v>1</v>
      </c>
      <c r="HI27" s="1">
        <v>288798</v>
      </c>
      <c r="HJ27" s="1">
        <v>246536</v>
      </c>
      <c r="HK27" s="1">
        <v>176</v>
      </c>
      <c r="HL27" s="1">
        <v>68.117</v>
      </c>
      <c r="HM27" s="1">
        <v>35</v>
      </c>
      <c r="HN27" s="1">
        <v>71904876</v>
      </c>
      <c r="HO27" s="1">
        <v>0</v>
      </c>
      <c r="HP27" s="1">
        <v>63.56700000000001</v>
      </c>
      <c r="HQ27" s="1">
        <v>4925</v>
      </c>
      <c r="HR27" s="1">
        <v>0</v>
      </c>
      <c r="HS27" s="1">
        <v>1</v>
      </c>
      <c r="HT27" s="1">
        <v>68.76000000000001</v>
      </c>
      <c r="HU27" s="1">
        <v>0</v>
      </c>
      <c r="HV27" s="1">
        <v>72845236</v>
      </c>
      <c r="HW27" s="1">
        <v>4.55</v>
      </c>
      <c r="HX27" s="1" t="s">
        <v>56</v>
      </c>
      <c r="HY27" s="1">
        <v>68.76000000000001</v>
      </c>
      <c r="HZ27" s="1">
        <v>0</v>
      </c>
      <c r="IA27" s="1">
        <v>3175897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>
        <v>246536</v>
      </c>
      <c r="JM27" s="1">
        <v>133495</v>
      </c>
      <c r="JN27" s="1">
        <v>299.94</v>
      </c>
      <c r="JO27" s="1">
        <v>2629</v>
      </c>
      <c r="JP27" s="1">
        <v>71904876</v>
      </c>
      <c r="JQ27" s="1">
        <v>0</v>
      </c>
      <c r="JR27" s="1">
        <v>64.25</v>
      </c>
      <c r="JS27" s="1">
        <v>4922</v>
      </c>
      <c r="JT27" s="1">
        <v>0</v>
      </c>
      <c r="JU27" s="1">
        <v>0</v>
      </c>
      <c r="JV27" s="1">
        <v>600</v>
      </c>
      <c r="JW27" s="1">
        <v>14</v>
      </c>
      <c r="JX27" s="1">
        <v>72845236</v>
      </c>
      <c r="JY27" s="1">
        <v>235.69</v>
      </c>
      <c r="JZ27" s="1" t="s">
        <v>57</v>
      </c>
      <c r="KA27" s="1">
        <v>300</v>
      </c>
      <c r="KB27" s="1">
        <v>1</v>
      </c>
      <c r="KC27" s="1">
        <v>3175897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>
        <v>400785</v>
      </c>
      <c r="C28" s="1">
        <v>310</v>
      </c>
      <c r="D28" s="1">
        <v>234.309</v>
      </c>
      <c r="E28" s="1">
        <v>0</v>
      </c>
      <c r="F28" s="1">
        <v>148748247</v>
      </c>
      <c r="G28" s="1">
        <v>0</v>
      </c>
      <c r="H28" s="1">
        <v>229.889</v>
      </c>
      <c r="I28" s="1">
        <v>14174</v>
      </c>
      <c r="J28" s="1">
        <v>0</v>
      </c>
      <c r="K28" s="1">
        <v>1</v>
      </c>
      <c r="L28" s="1">
        <v>238.2</v>
      </c>
      <c r="M28" s="1">
        <v>0</v>
      </c>
      <c r="N28" s="1">
        <v>118058966</v>
      </c>
      <c r="O28" s="1">
        <v>4.42</v>
      </c>
      <c r="P28" s="1" t="s">
        <v>56</v>
      </c>
      <c r="Q28" s="1">
        <v>238.2</v>
      </c>
      <c r="R28" s="1">
        <v>0</v>
      </c>
      <c r="S28" s="1">
        <v>13330368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>
        <v>517238</v>
      </c>
      <c r="AM28" s="1">
        <v>31996</v>
      </c>
      <c r="AN28" s="1">
        <v>299.986</v>
      </c>
      <c r="AO28" s="1">
        <v>260</v>
      </c>
      <c r="AP28" s="1">
        <v>168997587</v>
      </c>
      <c r="AQ28" s="1">
        <v>0</v>
      </c>
      <c r="AR28" s="1">
        <v>283.236</v>
      </c>
      <c r="AS28" s="1">
        <v>12650</v>
      </c>
      <c r="AT28" s="1">
        <v>0</v>
      </c>
      <c r="AU28" s="1">
        <v>0</v>
      </c>
      <c r="AV28" s="1">
        <v>600</v>
      </c>
      <c r="AW28" s="1">
        <v>2</v>
      </c>
      <c r="AX28" s="1">
        <v>118266163</v>
      </c>
      <c r="AY28" s="1">
        <v>16.75</v>
      </c>
      <c r="AZ28" s="1" t="s">
        <v>57</v>
      </c>
      <c r="BA28" s="1">
        <v>300</v>
      </c>
      <c r="BB28" s="1">
        <v>1</v>
      </c>
      <c r="BC28" s="1">
        <v>13446026</v>
      </c>
      <c r="BD28" s="1">
        <v>319046</v>
      </c>
      <c r="BE28" s="1">
        <v>384841</v>
      </c>
      <c r="BF28" s="1">
        <v>299.991</v>
      </c>
      <c r="BG28" s="1">
        <v>5862</v>
      </c>
      <c r="BH28" s="1">
        <v>81424767</v>
      </c>
      <c r="BI28" s="1">
        <v>0</v>
      </c>
      <c r="BJ28" s="1">
        <v>92.98099999999999</v>
      </c>
      <c r="BK28" s="1">
        <v>5342</v>
      </c>
      <c r="BL28" s="1">
        <v>0</v>
      </c>
      <c r="BM28" s="1">
        <v>0</v>
      </c>
      <c r="BN28" s="1">
        <v>600</v>
      </c>
      <c r="BO28" s="1">
        <v>28</v>
      </c>
      <c r="BP28" s="1">
        <v>104791698</v>
      </c>
      <c r="BQ28" s="1">
        <v>207.01</v>
      </c>
      <c r="BR28" s="1" t="s">
        <v>57</v>
      </c>
      <c r="BS28" s="1">
        <v>300</v>
      </c>
      <c r="BT28" s="1">
        <v>1</v>
      </c>
      <c r="BU28" s="1">
        <v>378048</v>
      </c>
      <c r="BV28" s="1">
        <v>398552</v>
      </c>
      <c r="BW28" s="1">
        <v>217</v>
      </c>
      <c r="BX28" s="1">
        <v>112.409</v>
      </c>
      <c r="BY28" s="1">
        <v>21</v>
      </c>
      <c r="BZ28" s="1">
        <v>104543491</v>
      </c>
      <c r="CA28" s="1">
        <v>0</v>
      </c>
      <c r="CB28" s="1">
        <v>109.569</v>
      </c>
      <c r="CC28" s="1">
        <v>7320</v>
      </c>
      <c r="CD28" s="1">
        <v>0</v>
      </c>
      <c r="CE28" s="1">
        <v>1</v>
      </c>
      <c r="CF28" s="1">
        <v>114.27</v>
      </c>
      <c r="CG28" s="1">
        <v>0</v>
      </c>
      <c r="CH28" s="1">
        <v>108814613</v>
      </c>
      <c r="CI28" s="1">
        <v>2.84</v>
      </c>
      <c r="CJ28" s="1" t="s">
        <v>56</v>
      </c>
      <c r="CK28" s="1">
        <v>114.27</v>
      </c>
      <c r="CL28" s="1">
        <v>0</v>
      </c>
      <c r="CM28" s="1">
        <v>4167146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>
        <v>398552</v>
      </c>
      <c r="DY28" s="1">
        <v>1826</v>
      </c>
      <c r="DZ28" s="1">
        <v>299.993</v>
      </c>
      <c r="EA28" s="1">
        <v>894</v>
      </c>
      <c r="EB28" s="1">
        <v>104543491</v>
      </c>
      <c r="EC28" s="1">
        <v>0</v>
      </c>
      <c r="ED28" s="1">
        <v>112.393</v>
      </c>
      <c r="EE28" s="1">
        <v>7338</v>
      </c>
      <c r="EF28" s="1">
        <v>0</v>
      </c>
      <c r="EG28" s="1">
        <v>0</v>
      </c>
      <c r="EH28" s="1">
        <v>600</v>
      </c>
      <c r="EI28" s="1">
        <v>6</v>
      </c>
      <c r="EJ28" s="1">
        <v>108814613</v>
      </c>
      <c r="EK28" s="1">
        <v>187.6</v>
      </c>
      <c r="EL28" s="1" t="s">
        <v>57</v>
      </c>
      <c r="EM28" s="1">
        <v>300</v>
      </c>
      <c r="EN28" s="1">
        <v>1</v>
      </c>
      <c r="EO28" s="1">
        <v>4167146</v>
      </c>
      <c r="EP28" s="1">
        <v>400785</v>
      </c>
      <c r="EQ28" s="1">
        <v>310</v>
      </c>
      <c r="ER28" s="1">
        <v>234.424</v>
      </c>
      <c r="ES28" s="1">
        <v>0</v>
      </c>
      <c r="ET28" s="1">
        <v>148748247</v>
      </c>
      <c r="EU28" s="1">
        <v>0</v>
      </c>
      <c r="EV28" s="1">
        <v>229.864</v>
      </c>
      <c r="EW28" s="1">
        <v>14217</v>
      </c>
      <c r="EX28" s="1">
        <v>0</v>
      </c>
      <c r="EY28" s="1">
        <v>1</v>
      </c>
      <c r="EZ28" s="1">
        <v>238.53</v>
      </c>
      <c r="FA28" s="1">
        <v>0</v>
      </c>
      <c r="FB28" s="1">
        <v>118058966</v>
      </c>
      <c r="FC28" s="1">
        <v>4.56</v>
      </c>
      <c r="FD28" s="1" t="s">
        <v>56</v>
      </c>
      <c r="FE28" s="1">
        <v>238.53</v>
      </c>
      <c r="FF28" s="1">
        <v>0</v>
      </c>
      <c r="FG28" s="1">
        <v>13330368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>
        <v>517238</v>
      </c>
      <c r="GA28" s="1">
        <v>11143</v>
      </c>
      <c r="GB28" s="1">
        <v>299.99</v>
      </c>
      <c r="GC28" s="1">
        <v>125</v>
      </c>
      <c r="GD28" s="1">
        <v>168997587</v>
      </c>
      <c r="GE28" s="1">
        <v>0</v>
      </c>
      <c r="GF28" s="1">
        <v>290.95</v>
      </c>
      <c r="GG28" s="1">
        <v>12687</v>
      </c>
      <c r="GH28" s="1">
        <v>0</v>
      </c>
      <c r="GI28" s="1">
        <v>0</v>
      </c>
      <c r="GJ28" s="1">
        <v>600</v>
      </c>
      <c r="GK28" s="1">
        <v>1</v>
      </c>
      <c r="GL28" s="1">
        <v>118266163</v>
      </c>
      <c r="GM28" s="1">
        <v>9.039999999999999</v>
      </c>
      <c r="GN28" s="1" t="s">
        <v>57</v>
      </c>
      <c r="GO28" s="1">
        <v>300</v>
      </c>
      <c r="GP28" s="1">
        <v>1</v>
      </c>
      <c r="GQ28" s="1">
        <v>13446026</v>
      </c>
      <c r="GR28" s="1">
        <v>319046</v>
      </c>
      <c r="GS28" s="1">
        <v>378809</v>
      </c>
      <c r="GT28" s="1">
        <v>299.988</v>
      </c>
      <c r="GU28" s="1">
        <v>5780</v>
      </c>
      <c r="GV28" s="1">
        <v>81424767</v>
      </c>
      <c r="GW28" s="1">
        <v>0</v>
      </c>
      <c r="GX28" s="1">
        <v>95.148</v>
      </c>
      <c r="GY28" s="1">
        <v>5371</v>
      </c>
      <c r="GZ28" s="1">
        <v>0</v>
      </c>
      <c r="HA28" s="1">
        <v>0</v>
      </c>
      <c r="HB28" s="1">
        <v>600</v>
      </c>
      <c r="HC28" s="1">
        <v>28</v>
      </c>
      <c r="HD28" s="1">
        <v>104791698</v>
      </c>
      <c r="HE28" s="1">
        <v>204.84</v>
      </c>
      <c r="HF28" s="1" t="s">
        <v>57</v>
      </c>
      <c r="HG28" s="1">
        <v>300</v>
      </c>
      <c r="HH28" s="1">
        <v>1</v>
      </c>
      <c r="HI28" s="1">
        <v>378048</v>
      </c>
      <c r="HJ28" s="1">
        <v>321756</v>
      </c>
      <c r="HK28" s="1">
        <v>197</v>
      </c>
      <c r="HL28" s="1">
        <v>102.979</v>
      </c>
      <c r="HM28" s="1">
        <v>41</v>
      </c>
      <c r="HN28" s="1">
        <v>104518206</v>
      </c>
      <c r="HO28" s="1">
        <v>0</v>
      </c>
      <c r="HP28" s="1">
        <v>95.029</v>
      </c>
      <c r="HQ28" s="1">
        <v>7264</v>
      </c>
      <c r="HR28" s="1">
        <v>0</v>
      </c>
      <c r="HS28" s="1">
        <v>1</v>
      </c>
      <c r="HT28" s="1">
        <v>103.83</v>
      </c>
      <c r="HU28" s="1">
        <v>0</v>
      </c>
      <c r="HV28" s="1">
        <v>108712536</v>
      </c>
      <c r="HW28" s="1">
        <v>7.95</v>
      </c>
      <c r="HX28" s="1" t="s">
        <v>56</v>
      </c>
      <c r="HY28" s="1">
        <v>103.83</v>
      </c>
      <c r="HZ28" s="1">
        <v>0</v>
      </c>
      <c r="IA28" s="1">
        <v>4166987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>
        <v>321756</v>
      </c>
      <c r="JM28" s="1">
        <v>17756</v>
      </c>
      <c r="JN28" s="1">
        <v>300</v>
      </c>
      <c r="JO28" s="1">
        <v>905</v>
      </c>
      <c r="JP28" s="1">
        <v>104518206</v>
      </c>
      <c r="JQ28" s="1">
        <v>0</v>
      </c>
      <c r="JR28" s="1">
        <v>94.88</v>
      </c>
      <c r="JS28" s="1">
        <v>7263</v>
      </c>
      <c r="JT28" s="1">
        <v>0</v>
      </c>
      <c r="JU28" s="1">
        <v>0</v>
      </c>
      <c r="JV28" s="1">
        <v>600</v>
      </c>
      <c r="JW28" s="1">
        <v>5</v>
      </c>
      <c r="JX28" s="1">
        <v>108712536</v>
      </c>
      <c r="JY28" s="1">
        <v>205.12</v>
      </c>
      <c r="JZ28" s="1" t="s">
        <v>57</v>
      </c>
      <c r="KA28" s="1">
        <v>300</v>
      </c>
      <c r="KB28" s="1">
        <v>1</v>
      </c>
      <c r="KC28" s="1">
        <v>4166987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>
        <v>0</v>
      </c>
      <c r="C29" s="1">
        <v>0</v>
      </c>
      <c r="D29" s="1">
        <v>299.988</v>
      </c>
      <c r="E29" s="1">
        <v>0</v>
      </c>
      <c r="F29" s="1">
        <v>0</v>
      </c>
      <c r="G29" s="1">
        <v>0</v>
      </c>
      <c r="H29" s="1">
        <v>299.988</v>
      </c>
      <c r="I29" s="1">
        <v>20121</v>
      </c>
      <c r="J29" s="1">
        <v>0</v>
      </c>
      <c r="K29" s="1">
        <v>0</v>
      </c>
      <c r="L29" s="1">
        <v>600</v>
      </c>
      <c r="M29" s="1">
        <v>0</v>
      </c>
      <c r="N29" s="1">
        <v>0</v>
      </c>
      <c r="O29" s="1">
        <v>0</v>
      </c>
      <c r="P29" s="1" t="s">
        <v>57</v>
      </c>
      <c r="Q29" s="1">
        <v>300</v>
      </c>
      <c r="R29" s="1">
        <v>1</v>
      </c>
      <c r="S29" s="1">
        <v>16915128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>
        <v>0</v>
      </c>
      <c r="AM29" s="1">
        <v>0</v>
      </c>
      <c r="AN29" s="1">
        <v>299.992</v>
      </c>
      <c r="AO29" s="1">
        <v>0</v>
      </c>
      <c r="AP29" s="1">
        <v>0</v>
      </c>
      <c r="AQ29" s="1">
        <v>0</v>
      </c>
      <c r="AR29" s="1">
        <v>299.992</v>
      </c>
      <c r="AS29" s="1">
        <v>6380</v>
      </c>
      <c r="AT29" s="1">
        <v>0</v>
      </c>
      <c r="AU29" s="1">
        <v>0</v>
      </c>
      <c r="AV29" s="1">
        <v>600</v>
      </c>
      <c r="AW29" s="1">
        <v>0</v>
      </c>
      <c r="AX29" s="1">
        <v>0</v>
      </c>
      <c r="AY29" s="1">
        <v>0</v>
      </c>
      <c r="AZ29" s="1" t="s">
        <v>57</v>
      </c>
      <c r="BA29" s="1">
        <v>300</v>
      </c>
      <c r="BB29" s="1">
        <v>1</v>
      </c>
      <c r="BC29" s="1">
        <v>0</v>
      </c>
      <c r="BD29" s="1">
        <v>403926</v>
      </c>
      <c r="BE29" s="1">
        <v>189026</v>
      </c>
      <c r="BF29" s="1">
        <v>299.99</v>
      </c>
      <c r="BG29" s="1">
        <v>3881</v>
      </c>
      <c r="BH29" s="1">
        <v>116331297</v>
      </c>
      <c r="BI29" s="1">
        <v>0</v>
      </c>
      <c r="BJ29" s="1">
        <v>135.84</v>
      </c>
      <c r="BK29" s="1">
        <v>7618</v>
      </c>
      <c r="BL29" s="1">
        <v>0</v>
      </c>
      <c r="BM29" s="1">
        <v>0</v>
      </c>
      <c r="BN29" s="1">
        <v>600</v>
      </c>
      <c r="BO29" s="1">
        <v>21</v>
      </c>
      <c r="BP29" s="1">
        <v>149788538</v>
      </c>
      <c r="BQ29" s="1">
        <v>164.15</v>
      </c>
      <c r="BR29" s="1" t="s">
        <v>57</v>
      </c>
      <c r="BS29" s="1">
        <v>300</v>
      </c>
      <c r="BT29" s="1">
        <v>1</v>
      </c>
      <c r="BU29" s="1">
        <v>479298</v>
      </c>
      <c r="BV29" s="1">
        <v>504172</v>
      </c>
      <c r="BW29" s="1">
        <v>246</v>
      </c>
      <c r="BX29" s="1">
        <v>164.127</v>
      </c>
      <c r="BY29" s="1">
        <v>24</v>
      </c>
      <c r="BZ29" s="1">
        <v>145701181</v>
      </c>
      <c r="CA29" s="1">
        <v>0</v>
      </c>
      <c r="CB29" s="1">
        <v>159.817</v>
      </c>
      <c r="CC29" s="1">
        <v>10124</v>
      </c>
      <c r="CD29" s="1">
        <v>0</v>
      </c>
      <c r="CE29" s="1">
        <v>1</v>
      </c>
      <c r="CF29" s="1">
        <v>166.71</v>
      </c>
      <c r="CG29" s="1">
        <v>0</v>
      </c>
      <c r="CH29" s="1">
        <v>154890273</v>
      </c>
      <c r="CI29" s="1">
        <v>4.31</v>
      </c>
      <c r="CJ29" s="1" t="s">
        <v>56</v>
      </c>
      <c r="CK29" s="1">
        <v>166.71</v>
      </c>
      <c r="CL29" s="1">
        <v>0</v>
      </c>
      <c r="CM29" s="1">
        <v>5292656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>
        <v>504172</v>
      </c>
      <c r="DY29" s="1">
        <v>405</v>
      </c>
      <c r="DZ29" s="1">
        <v>299.992</v>
      </c>
      <c r="EA29" s="1">
        <v>150</v>
      </c>
      <c r="EB29" s="1">
        <v>145701181</v>
      </c>
      <c r="EC29" s="1">
        <v>0</v>
      </c>
      <c r="ED29" s="1">
        <v>161.012</v>
      </c>
      <c r="EE29" s="1">
        <v>10146</v>
      </c>
      <c r="EF29" s="1">
        <v>0</v>
      </c>
      <c r="EG29" s="1">
        <v>0</v>
      </c>
      <c r="EH29" s="1">
        <v>600</v>
      </c>
      <c r="EI29" s="1">
        <v>1</v>
      </c>
      <c r="EJ29" s="1">
        <v>154890273</v>
      </c>
      <c r="EK29" s="1">
        <v>138.98</v>
      </c>
      <c r="EL29" s="1" t="s">
        <v>57</v>
      </c>
      <c r="EM29" s="1">
        <v>300</v>
      </c>
      <c r="EN29" s="1">
        <v>1</v>
      </c>
      <c r="EO29" s="1">
        <v>5292656</v>
      </c>
      <c r="EP29" s="1">
        <v>506685</v>
      </c>
      <c r="EQ29" s="1">
        <v>359</v>
      </c>
      <c r="ER29" s="1">
        <v>257.298</v>
      </c>
      <c r="ES29" s="1">
        <v>0</v>
      </c>
      <c r="ET29" s="1">
        <v>201772207</v>
      </c>
      <c r="EU29" s="1">
        <v>0</v>
      </c>
      <c r="EV29" s="1">
        <v>253.608</v>
      </c>
      <c r="EW29" s="1">
        <v>20282</v>
      </c>
      <c r="EX29" s="1">
        <v>0</v>
      </c>
      <c r="EY29" s="1">
        <v>1</v>
      </c>
      <c r="EZ29" s="1">
        <v>260.72</v>
      </c>
      <c r="FA29" s="1">
        <v>0</v>
      </c>
      <c r="FB29" s="1">
        <v>166616566</v>
      </c>
      <c r="FC29" s="1">
        <v>3.69</v>
      </c>
      <c r="FD29" s="1" t="s">
        <v>56</v>
      </c>
      <c r="FE29" s="1">
        <v>260.72</v>
      </c>
      <c r="FF29" s="1">
        <v>0</v>
      </c>
      <c r="FG29" s="1">
        <v>16915128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>
        <v>0</v>
      </c>
      <c r="GA29" s="1">
        <v>0</v>
      </c>
      <c r="GB29" s="1">
        <v>299.99</v>
      </c>
      <c r="GC29" s="1">
        <v>0</v>
      </c>
      <c r="GD29" s="1">
        <v>0</v>
      </c>
      <c r="GE29" s="1">
        <v>0</v>
      </c>
      <c r="GF29" s="1">
        <v>299.99</v>
      </c>
      <c r="GG29" s="1">
        <v>6383</v>
      </c>
      <c r="GH29" s="1">
        <v>0</v>
      </c>
      <c r="GI29" s="1">
        <v>0</v>
      </c>
      <c r="GJ29" s="1">
        <v>600</v>
      </c>
      <c r="GK29" s="1">
        <v>0</v>
      </c>
      <c r="GL29" s="1">
        <v>0</v>
      </c>
      <c r="GM29" s="1">
        <v>0</v>
      </c>
      <c r="GN29" s="1" t="s">
        <v>57</v>
      </c>
      <c r="GO29" s="1">
        <v>300</v>
      </c>
      <c r="GP29" s="1">
        <v>1</v>
      </c>
      <c r="GQ29" s="1">
        <v>0</v>
      </c>
      <c r="GR29" s="1">
        <v>403926</v>
      </c>
      <c r="GS29" s="1">
        <v>180916</v>
      </c>
      <c r="GT29" s="1">
        <v>299.992</v>
      </c>
      <c r="GU29" s="1">
        <v>3741</v>
      </c>
      <c r="GV29" s="1">
        <v>116331297</v>
      </c>
      <c r="GW29" s="1">
        <v>0</v>
      </c>
      <c r="GX29" s="1">
        <v>137.782</v>
      </c>
      <c r="GY29" s="1">
        <v>7654</v>
      </c>
      <c r="GZ29" s="1">
        <v>0</v>
      </c>
      <c r="HA29" s="1">
        <v>0</v>
      </c>
      <c r="HB29" s="1">
        <v>600</v>
      </c>
      <c r="HC29" s="1">
        <v>20</v>
      </c>
      <c r="HD29" s="1">
        <v>149788538</v>
      </c>
      <c r="HE29" s="1">
        <v>162.21</v>
      </c>
      <c r="HF29" s="1" t="s">
        <v>57</v>
      </c>
      <c r="HG29" s="1">
        <v>300</v>
      </c>
      <c r="HH29" s="1">
        <v>1</v>
      </c>
      <c r="HI29" s="1">
        <v>479298</v>
      </c>
      <c r="HJ29" s="1">
        <v>406976</v>
      </c>
      <c r="HK29" s="1">
        <v>226</v>
      </c>
      <c r="HL29" s="1">
        <v>145.376</v>
      </c>
      <c r="HM29" s="1">
        <v>48</v>
      </c>
      <c r="HN29" s="1">
        <v>145669136</v>
      </c>
      <c r="HO29" s="1">
        <v>0</v>
      </c>
      <c r="HP29" s="1">
        <v>132.546</v>
      </c>
      <c r="HQ29" s="1">
        <v>10035</v>
      </c>
      <c r="HR29" s="1">
        <v>0</v>
      </c>
      <c r="HS29" s="1">
        <v>1</v>
      </c>
      <c r="HT29" s="1">
        <v>146.57</v>
      </c>
      <c r="HU29" s="1">
        <v>0</v>
      </c>
      <c r="HV29" s="1">
        <v>154761036</v>
      </c>
      <c r="HW29" s="1">
        <v>12.83</v>
      </c>
      <c r="HX29" s="1" t="s">
        <v>56</v>
      </c>
      <c r="HY29" s="1">
        <v>146.57</v>
      </c>
      <c r="HZ29" s="1">
        <v>0</v>
      </c>
      <c r="IA29" s="1">
        <v>5292477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>
        <v>406976</v>
      </c>
      <c r="JM29" s="1">
        <v>5259</v>
      </c>
      <c r="JN29" s="1">
        <v>300</v>
      </c>
      <c r="JO29" s="1">
        <v>765</v>
      </c>
      <c r="JP29" s="1">
        <v>145669136</v>
      </c>
      <c r="JQ29" s="1">
        <v>0</v>
      </c>
      <c r="JR29" s="1">
        <v>131.46</v>
      </c>
      <c r="JS29" s="1">
        <v>10032</v>
      </c>
      <c r="JT29" s="1">
        <v>0</v>
      </c>
      <c r="JU29" s="1">
        <v>0</v>
      </c>
      <c r="JV29" s="1">
        <v>600</v>
      </c>
      <c r="JW29" s="1">
        <v>5</v>
      </c>
      <c r="JX29" s="1">
        <v>154761036</v>
      </c>
      <c r="JY29" s="1">
        <v>168.54</v>
      </c>
      <c r="JZ29" s="1" t="s">
        <v>57</v>
      </c>
      <c r="KA29" s="1">
        <v>300</v>
      </c>
      <c r="KB29" s="1">
        <v>1</v>
      </c>
      <c r="KC29" s="1">
        <v>5292477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>
        <v>6685</v>
      </c>
      <c r="C30" s="1">
        <v>39</v>
      </c>
      <c r="D30" s="1">
        <v>0.891</v>
      </c>
      <c r="E30" s="1">
        <v>0</v>
      </c>
      <c r="F30" s="1">
        <v>1009327</v>
      </c>
      <c r="G30" s="1">
        <v>0</v>
      </c>
      <c r="H30" s="1">
        <v>0.871</v>
      </c>
      <c r="I30" s="1">
        <v>117</v>
      </c>
      <c r="J30" s="1">
        <v>0</v>
      </c>
      <c r="K30" s="1">
        <v>1</v>
      </c>
      <c r="L30" s="1">
        <v>0.95</v>
      </c>
      <c r="M30" s="1">
        <v>0</v>
      </c>
      <c r="N30" s="1">
        <v>341366</v>
      </c>
      <c r="O30" s="1">
        <v>0.02</v>
      </c>
      <c r="P30" s="1" t="s">
        <v>56</v>
      </c>
      <c r="Q30" s="1">
        <v>0.95</v>
      </c>
      <c r="R30" s="1">
        <v>0</v>
      </c>
      <c r="S30" s="1">
        <v>176248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>
        <v>8618</v>
      </c>
      <c r="AM30" s="1">
        <v>1115</v>
      </c>
      <c r="AN30" s="1">
        <v>2.229</v>
      </c>
      <c r="AO30" s="1">
        <v>774</v>
      </c>
      <c r="AP30" s="1">
        <v>1268207</v>
      </c>
      <c r="AQ30" s="1">
        <v>0</v>
      </c>
      <c r="AR30" s="1">
        <v>0.9690000000000001</v>
      </c>
      <c r="AS30" s="1">
        <v>118</v>
      </c>
      <c r="AT30" s="1">
        <v>0</v>
      </c>
      <c r="AU30" s="1">
        <v>1</v>
      </c>
      <c r="AV30" s="1">
        <v>2.3</v>
      </c>
      <c r="AW30" s="1">
        <v>6</v>
      </c>
      <c r="AX30" s="1">
        <v>343253</v>
      </c>
      <c r="AY30" s="1">
        <v>1.26</v>
      </c>
      <c r="AZ30" s="1" t="s">
        <v>56</v>
      </c>
      <c r="BA30" s="1">
        <v>2.3</v>
      </c>
      <c r="BB30" s="1">
        <v>0</v>
      </c>
      <c r="BC30" s="1">
        <v>175566</v>
      </c>
      <c r="BD30" s="1">
        <v>4886</v>
      </c>
      <c r="BE30" s="1">
        <v>266</v>
      </c>
      <c r="BF30" s="1">
        <v>0.168</v>
      </c>
      <c r="BG30" s="1">
        <v>177</v>
      </c>
      <c r="BH30" s="1">
        <v>128657</v>
      </c>
      <c r="BI30" s="1">
        <v>0</v>
      </c>
      <c r="BJ30" s="1">
        <v>0.148</v>
      </c>
      <c r="BK30" s="1">
        <v>14</v>
      </c>
      <c r="BL30" s="1">
        <v>0</v>
      </c>
      <c r="BM30" s="1">
        <v>1</v>
      </c>
      <c r="BN30" s="1">
        <v>0.28</v>
      </c>
      <c r="BO30" s="1">
        <v>1</v>
      </c>
      <c r="BP30" s="1">
        <v>161018</v>
      </c>
      <c r="BQ30" s="1">
        <v>0.02</v>
      </c>
      <c r="BR30" s="1" t="s">
        <v>56</v>
      </c>
      <c r="BS30" s="1">
        <v>0.28</v>
      </c>
      <c r="BT30" s="1">
        <v>0</v>
      </c>
      <c r="BU30" s="1">
        <v>5298</v>
      </c>
      <c r="BV30" s="1">
        <v>6412</v>
      </c>
      <c r="BW30" s="1">
        <v>26</v>
      </c>
      <c r="BX30" s="1">
        <v>0.264</v>
      </c>
      <c r="BY30" s="1">
        <v>4</v>
      </c>
      <c r="BZ30" s="1">
        <v>410861</v>
      </c>
      <c r="CA30" s="1">
        <v>0</v>
      </c>
      <c r="CB30" s="1">
        <v>0.254</v>
      </c>
      <c r="CC30" s="1">
        <v>26</v>
      </c>
      <c r="CD30" s="1">
        <v>0</v>
      </c>
      <c r="CE30" s="1">
        <v>1</v>
      </c>
      <c r="CF30" s="1">
        <v>0.3</v>
      </c>
      <c r="CG30" s="1">
        <v>0</v>
      </c>
      <c r="CH30" s="1">
        <v>216193</v>
      </c>
      <c r="CI30" s="1">
        <v>0.01</v>
      </c>
      <c r="CJ30" s="1" t="s">
        <v>56</v>
      </c>
      <c r="CK30" s="1">
        <v>0.3</v>
      </c>
      <c r="CL30" s="1">
        <v>0</v>
      </c>
      <c r="CM30" s="1">
        <v>51776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>
        <v>6412</v>
      </c>
      <c r="DY30" s="1">
        <v>233</v>
      </c>
      <c r="DZ30" s="1">
        <v>0.352</v>
      </c>
      <c r="EA30" s="1">
        <v>138</v>
      </c>
      <c r="EB30" s="1">
        <v>410861</v>
      </c>
      <c r="EC30" s="1">
        <v>0</v>
      </c>
      <c r="ED30" s="1">
        <v>0.262</v>
      </c>
      <c r="EE30" s="1">
        <v>46</v>
      </c>
      <c r="EF30" s="1">
        <v>0</v>
      </c>
      <c r="EG30" s="1">
        <v>1</v>
      </c>
      <c r="EH30" s="1">
        <v>0.39</v>
      </c>
      <c r="EI30" s="1">
        <v>1</v>
      </c>
      <c r="EJ30" s="1">
        <v>216193</v>
      </c>
      <c r="EK30" s="1">
        <v>0.09</v>
      </c>
      <c r="EL30" s="1" t="s">
        <v>56</v>
      </c>
      <c r="EM30" s="1">
        <v>0.39</v>
      </c>
      <c r="EN30" s="1">
        <v>0</v>
      </c>
      <c r="EO30" s="1">
        <v>51776</v>
      </c>
      <c r="EP30" s="1">
        <v>6685</v>
      </c>
      <c r="EQ30" s="1">
        <v>39</v>
      </c>
      <c r="ER30" s="1">
        <v>0.922</v>
      </c>
      <c r="ES30" s="1">
        <v>0</v>
      </c>
      <c r="ET30" s="1">
        <v>1009327</v>
      </c>
      <c r="EU30" s="1">
        <v>0</v>
      </c>
      <c r="EV30" s="1">
        <v>0.902</v>
      </c>
      <c r="EW30" s="1">
        <v>112</v>
      </c>
      <c r="EX30" s="1">
        <v>0</v>
      </c>
      <c r="EY30" s="1">
        <v>1</v>
      </c>
      <c r="EZ30" s="1">
        <v>1.02</v>
      </c>
      <c r="FA30" s="1">
        <v>0</v>
      </c>
      <c r="FB30" s="1">
        <v>341366</v>
      </c>
      <c r="FC30" s="1">
        <v>0.02</v>
      </c>
      <c r="FD30" s="1" t="s">
        <v>56</v>
      </c>
      <c r="FE30" s="1">
        <v>1.02</v>
      </c>
      <c r="FF30" s="1">
        <v>0</v>
      </c>
      <c r="FG30" s="1">
        <v>176248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>
        <v>8618</v>
      </c>
      <c r="GA30" s="1">
        <v>1115</v>
      </c>
      <c r="GB30" s="1">
        <v>2.206</v>
      </c>
      <c r="GC30" s="1">
        <v>774</v>
      </c>
      <c r="GD30" s="1">
        <v>1268207</v>
      </c>
      <c r="GE30" s="1">
        <v>0</v>
      </c>
      <c r="GF30" s="1">
        <v>0.976</v>
      </c>
      <c r="GG30" s="1">
        <v>120</v>
      </c>
      <c r="GH30" s="1">
        <v>0</v>
      </c>
      <c r="GI30" s="1">
        <v>1</v>
      </c>
      <c r="GJ30" s="1">
        <v>2.28</v>
      </c>
      <c r="GK30" s="1">
        <v>6</v>
      </c>
      <c r="GL30" s="1">
        <v>343253</v>
      </c>
      <c r="GM30" s="1">
        <v>1.23</v>
      </c>
      <c r="GN30" s="1" t="s">
        <v>56</v>
      </c>
      <c r="GO30" s="1">
        <v>2.28</v>
      </c>
      <c r="GP30" s="1">
        <v>0</v>
      </c>
      <c r="GQ30" s="1">
        <v>175566</v>
      </c>
      <c r="GR30" s="1">
        <v>4886</v>
      </c>
      <c r="GS30" s="1">
        <v>266</v>
      </c>
      <c r="GT30" s="1">
        <v>0.176</v>
      </c>
      <c r="GU30" s="1">
        <v>177</v>
      </c>
      <c r="GV30" s="1">
        <v>128657</v>
      </c>
      <c r="GW30" s="1">
        <v>0</v>
      </c>
      <c r="GX30" s="1">
        <v>0.156</v>
      </c>
      <c r="GY30" s="1">
        <v>21</v>
      </c>
      <c r="GZ30" s="1">
        <v>0</v>
      </c>
      <c r="HA30" s="1">
        <v>1</v>
      </c>
      <c r="HB30" s="1">
        <v>0.35</v>
      </c>
      <c r="HC30" s="1">
        <v>1</v>
      </c>
      <c r="HD30" s="1">
        <v>161018</v>
      </c>
      <c r="HE30" s="1">
        <v>0.02</v>
      </c>
      <c r="HF30" s="1" t="s">
        <v>56</v>
      </c>
      <c r="HG30" s="1">
        <v>0.35</v>
      </c>
      <c r="HH30" s="1">
        <v>0</v>
      </c>
      <c r="HI30" s="1">
        <v>5298</v>
      </c>
      <c r="HJ30" s="1">
        <v>5216</v>
      </c>
      <c r="HK30" s="1">
        <v>26</v>
      </c>
      <c r="HL30" s="1">
        <v>0.344</v>
      </c>
      <c r="HM30" s="1">
        <v>4</v>
      </c>
      <c r="HN30" s="1">
        <v>410496</v>
      </c>
      <c r="HO30" s="1">
        <v>0</v>
      </c>
      <c r="HP30" s="1">
        <v>0.3139999999999999</v>
      </c>
      <c r="HQ30" s="1">
        <v>49</v>
      </c>
      <c r="HR30" s="1">
        <v>0</v>
      </c>
      <c r="HS30" s="1">
        <v>1</v>
      </c>
      <c r="HT30" s="1">
        <v>0.37</v>
      </c>
      <c r="HU30" s="1">
        <v>0</v>
      </c>
      <c r="HV30" s="1">
        <v>214636</v>
      </c>
      <c r="HW30" s="1">
        <v>0.03</v>
      </c>
      <c r="HX30" s="1" t="s">
        <v>56</v>
      </c>
      <c r="HY30" s="1">
        <v>0.37</v>
      </c>
      <c r="HZ30" s="1">
        <v>0</v>
      </c>
      <c r="IA30" s="1">
        <v>51757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>
        <v>5216</v>
      </c>
      <c r="JM30" s="1">
        <v>190</v>
      </c>
      <c r="JN30" s="1">
        <v>0.528</v>
      </c>
      <c r="JO30" s="1">
        <v>124</v>
      </c>
      <c r="JP30" s="1">
        <v>410496</v>
      </c>
      <c r="JQ30" s="1">
        <v>0</v>
      </c>
      <c r="JR30" s="1">
        <v>0.3180000000000001</v>
      </c>
      <c r="JS30" s="1">
        <v>50</v>
      </c>
      <c r="JT30" s="1">
        <v>0</v>
      </c>
      <c r="JU30" s="1">
        <v>1</v>
      </c>
      <c r="JV30" s="1">
        <v>0.55</v>
      </c>
      <c r="JW30" s="1">
        <v>1</v>
      </c>
      <c r="JX30" s="1">
        <v>214636</v>
      </c>
      <c r="JY30" s="1">
        <v>0.21</v>
      </c>
      <c r="JZ30" s="1" t="s">
        <v>56</v>
      </c>
      <c r="KA30" s="1">
        <v>0.55</v>
      </c>
      <c r="KB30" s="1">
        <v>0</v>
      </c>
      <c r="KC30" s="1">
        <v>51757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>
        <v>0</v>
      </c>
      <c r="C31" s="1">
        <v>0</v>
      </c>
      <c r="D31" s="1">
        <v>299.992</v>
      </c>
      <c r="E31" s="1">
        <v>0</v>
      </c>
      <c r="F31" s="1">
        <v>0</v>
      </c>
      <c r="G31" s="1">
        <v>0</v>
      </c>
      <c r="H31" s="1">
        <v>299.992</v>
      </c>
      <c r="I31" s="1">
        <v>12652</v>
      </c>
      <c r="J31" s="1">
        <v>0</v>
      </c>
      <c r="K31" s="1">
        <v>0</v>
      </c>
      <c r="L31" s="1">
        <v>600</v>
      </c>
      <c r="M31" s="1">
        <v>0</v>
      </c>
      <c r="N31" s="1">
        <v>0</v>
      </c>
      <c r="O31" s="1">
        <v>0</v>
      </c>
      <c r="P31" s="1" t="s">
        <v>57</v>
      </c>
      <c r="Q31" s="1">
        <v>300</v>
      </c>
      <c r="R31" s="1">
        <v>1</v>
      </c>
      <c r="S31" s="1"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>
        <v>0</v>
      </c>
      <c r="AM31" s="1">
        <v>0</v>
      </c>
      <c r="AN31" s="1">
        <v>299.925</v>
      </c>
      <c r="AO31" s="1">
        <v>0</v>
      </c>
      <c r="AP31" s="1">
        <v>0</v>
      </c>
      <c r="AQ31" s="1">
        <v>0</v>
      </c>
      <c r="AR31" s="1">
        <v>299.925</v>
      </c>
      <c r="AS31" s="1">
        <v>6013</v>
      </c>
      <c r="AT31" s="1">
        <v>0</v>
      </c>
      <c r="AU31" s="1">
        <v>0</v>
      </c>
      <c r="AV31" s="1">
        <v>600</v>
      </c>
      <c r="AW31" s="1">
        <v>0</v>
      </c>
      <c r="AX31" s="1">
        <v>0</v>
      </c>
      <c r="AY31" s="1">
        <v>0</v>
      </c>
      <c r="AZ31" s="1" t="s">
        <v>57</v>
      </c>
      <c r="BA31" s="1">
        <v>300</v>
      </c>
      <c r="BB31" s="1">
        <v>1</v>
      </c>
      <c r="BC31" s="1">
        <v>0</v>
      </c>
      <c r="BD31" s="1">
        <v>498806</v>
      </c>
      <c r="BE31" s="1">
        <v>77614</v>
      </c>
      <c r="BF31" s="1">
        <v>299.99</v>
      </c>
      <c r="BG31" s="1">
        <v>1324</v>
      </c>
      <c r="BH31" s="1">
        <v>160013027</v>
      </c>
      <c r="BI31" s="1">
        <v>0</v>
      </c>
      <c r="BJ31" s="1">
        <v>187.63</v>
      </c>
      <c r="BK31" s="1">
        <v>9737</v>
      </c>
      <c r="BL31" s="1">
        <v>0</v>
      </c>
      <c r="BM31" s="1">
        <v>0</v>
      </c>
      <c r="BN31" s="1">
        <v>600</v>
      </c>
      <c r="BO31" s="1">
        <v>9</v>
      </c>
      <c r="BP31" s="1">
        <v>206113778</v>
      </c>
      <c r="BQ31" s="1">
        <v>112.36</v>
      </c>
      <c r="BR31" s="1" t="s">
        <v>57</v>
      </c>
      <c r="BS31" s="1">
        <v>300</v>
      </c>
      <c r="BT31" s="1">
        <v>1</v>
      </c>
      <c r="BU31" s="1">
        <v>592548</v>
      </c>
      <c r="BV31" s="1">
        <v>622192</v>
      </c>
      <c r="BW31" s="1">
        <v>272</v>
      </c>
      <c r="BX31" s="1">
        <v>221.518</v>
      </c>
      <c r="BY31" s="1">
        <v>26</v>
      </c>
      <c r="BZ31" s="1">
        <v>196381271</v>
      </c>
      <c r="CA31" s="1">
        <v>0</v>
      </c>
      <c r="CB31" s="1">
        <v>216.118</v>
      </c>
      <c r="CC31" s="1">
        <v>12962</v>
      </c>
      <c r="CD31" s="1">
        <v>0</v>
      </c>
      <c r="CE31" s="1">
        <v>1</v>
      </c>
      <c r="CF31" s="1">
        <v>224.61</v>
      </c>
      <c r="CG31" s="1">
        <v>0</v>
      </c>
      <c r="CH31" s="1">
        <v>212422333</v>
      </c>
      <c r="CI31" s="1">
        <v>5.4</v>
      </c>
      <c r="CJ31" s="1" t="s">
        <v>56</v>
      </c>
      <c r="CK31" s="1">
        <v>224.61</v>
      </c>
      <c r="CL31" s="1">
        <v>0</v>
      </c>
      <c r="CM31" s="1">
        <v>6552566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>
        <v>622192</v>
      </c>
      <c r="DY31" s="1">
        <v>752</v>
      </c>
      <c r="DZ31" s="1">
        <v>299.995</v>
      </c>
      <c r="EA31" s="1">
        <v>198</v>
      </c>
      <c r="EB31" s="1">
        <v>196381271</v>
      </c>
      <c r="EC31" s="1">
        <v>0</v>
      </c>
      <c r="ED31" s="1">
        <v>222.765</v>
      </c>
      <c r="EE31" s="1">
        <v>12990</v>
      </c>
      <c r="EF31" s="1">
        <v>0</v>
      </c>
      <c r="EG31" s="1">
        <v>0</v>
      </c>
      <c r="EH31" s="1">
        <v>600</v>
      </c>
      <c r="EI31" s="1">
        <v>2</v>
      </c>
      <c r="EJ31" s="1">
        <v>212422333</v>
      </c>
      <c r="EK31" s="1">
        <v>77.23</v>
      </c>
      <c r="EL31" s="1" t="s">
        <v>57</v>
      </c>
      <c r="EM31" s="1">
        <v>300</v>
      </c>
      <c r="EN31" s="1">
        <v>1</v>
      </c>
      <c r="EO31" s="1">
        <v>6552566</v>
      </c>
      <c r="EP31" s="1">
        <v>0</v>
      </c>
      <c r="EQ31" s="1">
        <v>0</v>
      </c>
      <c r="ER31" s="1">
        <v>299.992</v>
      </c>
      <c r="ES31" s="1">
        <v>0</v>
      </c>
      <c r="ET31" s="1">
        <v>0</v>
      </c>
      <c r="EU31" s="1">
        <v>0</v>
      </c>
      <c r="EV31" s="1">
        <v>299.992</v>
      </c>
      <c r="EW31" s="1">
        <v>12507</v>
      </c>
      <c r="EX31" s="1">
        <v>0</v>
      </c>
      <c r="EY31" s="1">
        <v>0</v>
      </c>
      <c r="EZ31" s="1">
        <v>600</v>
      </c>
      <c r="FA31" s="1">
        <v>0</v>
      </c>
      <c r="FB31" s="1">
        <v>0</v>
      </c>
      <c r="FC31" s="1">
        <v>0</v>
      </c>
      <c r="FD31" s="1" t="s">
        <v>57</v>
      </c>
      <c r="FE31" s="1">
        <v>300</v>
      </c>
      <c r="FF31" s="1">
        <v>1</v>
      </c>
      <c r="FG31" s="1"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>
        <v>0</v>
      </c>
      <c r="GA31" s="1">
        <v>0</v>
      </c>
      <c r="GB31" s="1">
        <v>299.987</v>
      </c>
      <c r="GC31" s="1">
        <v>0</v>
      </c>
      <c r="GD31" s="1">
        <v>0</v>
      </c>
      <c r="GE31" s="1">
        <v>0</v>
      </c>
      <c r="GF31" s="1">
        <v>299.987</v>
      </c>
      <c r="GG31" s="1">
        <v>5996</v>
      </c>
      <c r="GH31" s="1">
        <v>0</v>
      </c>
      <c r="GI31" s="1">
        <v>0</v>
      </c>
      <c r="GJ31" s="1">
        <v>600</v>
      </c>
      <c r="GK31" s="1">
        <v>0</v>
      </c>
      <c r="GL31" s="1">
        <v>0</v>
      </c>
      <c r="GM31" s="1">
        <v>0</v>
      </c>
      <c r="GN31" s="1" t="s">
        <v>57</v>
      </c>
      <c r="GO31" s="1">
        <v>300</v>
      </c>
      <c r="GP31" s="1">
        <v>1</v>
      </c>
      <c r="GQ31" s="1">
        <v>0</v>
      </c>
      <c r="GR31" s="1">
        <v>498806</v>
      </c>
      <c r="GS31" s="1">
        <v>77580</v>
      </c>
      <c r="GT31" s="1">
        <v>299.987</v>
      </c>
      <c r="GU31" s="1">
        <v>1293</v>
      </c>
      <c r="GV31" s="1">
        <v>160013027</v>
      </c>
      <c r="GW31" s="1">
        <v>0</v>
      </c>
      <c r="GX31" s="1">
        <v>189.747</v>
      </c>
      <c r="GY31" s="1">
        <v>9785</v>
      </c>
      <c r="GZ31" s="1">
        <v>0</v>
      </c>
      <c r="HA31" s="1">
        <v>0</v>
      </c>
      <c r="HB31" s="1">
        <v>600</v>
      </c>
      <c r="HC31" s="1">
        <v>9</v>
      </c>
      <c r="HD31" s="1">
        <v>206113778</v>
      </c>
      <c r="HE31" s="1">
        <v>110.24</v>
      </c>
      <c r="HF31" s="1" t="s">
        <v>57</v>
      </c>
      <c r="HG31" s="1">
        <v>300</v>
      </c>
      <c r="HH31" s="1">
        <v>1</v>
      </c>
      <c r="HI31" s="1">
        <v>592548</v>
      </c>
      <c r="HJ31" s="1">
        <v>502196</v>
      </c>
      <c r="HK31" s="1">
        <v>249</v>
      </c>
      <c r="HL31" s="1">
        <v>200.178</v>
      </c>
      <c r="HM31" s="1">
        <v>54</v>
      </c>
      <c r="HN31" s="1">
        <v>196341666</v>
      </c>
      <c r="HO31" s="1">
        <v>0</v>
      </c>
      <c r="HP31" s="1">
        <v>182.338</v>
      </c>
      <c r="HQ31" s="1">
        <v>12855</v>
      </c>
      <c r="HR31" s="1">
        <v>0</v>
      </c>
      <c r="HS31" s="1">
        <v>1</v>
      </c>
      <c r="HT31" s="1">
        <v>201.59</v>
      </c>
      <c r="HU31" s="1">
        <v>0</v>
      </c>
      <c r="HV31" s="1">
        <v>212262736</v>
      </c>
      <c r="HW31" s="1">
        <v>17.84</v>
      </c>
      <c r="HX31" s="1" t="s">
        <v>56</v>
      </c>
      <c r="HY31" s="1">
        <v>201.59</v>
      </c>
      <c r="HZ31" s="1">
        <v>0</v>
      </c>
      <c r="IA31" s="1">
        <v>6552367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>
        <v>502196</v>
      </c>
      <c r="JM31" s="1">
        <v>12229</v>
      </c>
      <c r="JN31" s="1">
        <v>300.001</v>
      </c>
      <c r="JO31" s="1">
        <v>511</v>
      </c>
      <c r="JP31" s="1">
        <v>196341666</v>
      </c>
      <c r="JQ31" s="1">
        <v>0</v>
      </c>
      <c r="JR31" s="1">
        <v>180.661</v>
      </c>
      <c r="JS31" s="1">
        <v>12857</v>
      </c>
      <c r="JT31" s="1">
        <v>0</v>
      </c>
      <c r="JU31" s="1">
        <v>0</v>
      </c>
      <c r="JV31" s="1">
        <v>600</v>
      </c>
      <c r="JW31" s="1">
        <v>5</v>
      </c>
      <c r="JX31" s="1">
        <v>212262736</v>
      </c>
      <c r="JY31" s="1">
        <v>119.34</v>
      </c>
      <c r="JZ31" s="1" t="s">
        <v>57</v>
      </c>
      <c r="KA31" s="1">
        <v>300</v>
      </c>
      <c r="KB31" s="1">
        <v>1</v>
      </c>
      <c r="KC31" s="1">
        <v>6552367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>
        <v>25785</v>
      </c>
      <c r="C32" s="1">
        <v>65</v>
      </c>
      <c r="D32" s="1">
        <v>5.355</v>
      </c>
      <c r="E32" s="1">
        <v>0</v>
      </c>
      <c r="F32" s="1">
        <v>5064087</v>
      </c>
      <c r="G32" s="1">
        <v>0</v>
      </c>
      <c r="H32" s="1">
        <v>5.255000000000001</v>
      </c>
      <c r="I32" s="1">
        <v>531</v>
      </c>
      <c r="J32" s="1">
        <v>0</v>
      </c>
      <c r="K32" s="1">
        <v>1</v>
      </c>
      <c r="L32" s="1">
        <v>5.56</v>
      </c>
      <c r="M32" s="1">
        <v>0</v>
      </c>
      <c r="N32" s="1">
        <v>2256566</v>
      </c>
      <c r="O32" s="1">
        <v>0.1</v>
      </c>
      <c r="P32" s="1" t="s">
        <v>56</v>
      </c>
      <c r="Q32" s="1">
        <v>5.56</v>
      </c>
      <c r="R32" s="1">
        <v>0</v>
      </c>
      <c r="S32" s="1">
        <v>776208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>
        <v>33278</v>
      </c>
      <c r="AM32" s="1">
        <v>1346</v>
      </c>
      <c r="AN32" s="1">
        <v>8.076000000000001</v>
      </c>
      <c r="AO32" s="1">
        <v>643</v>
      </c>
      <c r="AP32" s="1">
        <v>6227547</v>
      </c>
      <c r="AQ32" s="1">
        <v>0</v>
      </c>
      <c r="AR32" s="1">
        <v>5.996</v>
      </c>
      <c r="AS32" s="1">
        <v>527</v>
      </c>
      <c r="AT32" s="1">
        <v>0</v>
      </c>
      <c r="AU32" s="1">
        <v>1</v>
      </c>
      <c r="AV32" s="1">
        <v>8.279999999999999</v>
      </c>
      <c r="AW32" s="1">
        <v>5</v>
      </c>
      <c r="AX32" s="1">
        <v>2267383</v>
      </c>
      <c r="AY32" s="1">
        <v>2.08</v>
      </c>
      <c r="AZ32" s="1" t="s">
        <v>56</v>
      </c>
      <c r="BA32" s="1">
        <v>8.279999999999999</v>
      </c>
      <c r="BB32" s="1">
        <v>0</v>
      </c>
      <c r="BC32" s="1">
        <v>778946</v>
      </c>
      <c r="BD32" s="1">
        <v>19766</v>
      </c>
      <c r="BE32" s="1">
        <v>11659</v>
      </c>
      <c r="BF32" s="1">
        <v>4.574</v>
      </c>
      <c r="BG32" s="1">
        <v>7035</v>
      </c>
      <c r="BH32" s="1">
        <v>1160787</v>
      </c>
      <c r="BI32" s="1">
        <v>0</v>
      </c>
      <c r="BJ32" s="1">
        <v>1.154</v>
      </c>
      <c r="BK32" s="1">
        <v>92</v>
      </c>
      <c r="BL32" s="1">
        <v>0</v>
      </c>
      <c r="BM32" s="1">
        <v>1</v>
      </c>
      <c r="BN32" s="1">
        <v>4.61</v>
      </c>
      <c r="BO32" s="1">
        <v>30</v>
      </c>
      <c r="BP32" s="1">
        <v>1475058</v>
      </c>
      <c r="BQ32" s="1">
        <v>3.42</v>
      </c>
      <c r="BR32" s="1" t="s">
        <v>56</v>
      </c>
      <c r="BS32" s="1">
        <v>4.61</v>
      </c>
      <c r="BT32" s="1">
        <v>0</v>
      </c>
      <c r="BU32" s="1">
        <v>22548</v>
      </c>
      <c r="BV32" s="1">
        <v>25232</v>
      </c>
      <c r="BW32" s="1">
        <v>52</v>
      </c>
      <c r="BX32" s="1">
        <v>2.139</v>
      </c>
      <c r="BY32" s="1">
        <v>6</v>
      </c>
      <c r="BZ32" s="1">
        <v>2463751</v>
      </c>
      <c r="CA32" s="1">
        <v>0</v>
      </c>
      <c r="CB32" s="1">
        <v>2.089</v>
      </c>
      <c r="CC32" s="1">
        <v>209</v>
      </c>
      <c r="CD32" s="1">
        <v>0</v>
      </c>
      <c r="CE32" s="1">
        <v>1</v>
      </c>
      <c r="CF32" s="1">
        <v>2.31</v>
      </c>
      <c r="CG32" s="1">
        <v>0</v>
      </c>
      <c r="CH32" s="1">
        <v>1713053</v>
      </c>
      <c r="CI32" s="1">
        <v>0.05</v>
      </c>
      <c r="CJ32" s="1" t="s">
        <v>56</v>
      </c>
      <c r="CK32" s="1">
        <v>2.31</v>
      </c>
      <c r="CL32" s="1">
        <v>0</v>
      </c>
      <c r="CM32" s="1">
        <v>236486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>
        <v>25232</v>
      </c>
      <c r="DY32" s="1">
        <v>36325</v>
      </c>
      <c r="DZ32" s="1">
        <v>69.009</v>
      </c>
      <c r="EA32" s="1">
        <v>23067</v>
      </c>
      <c r="EB32" s="1">
        <v>2463751</v>
      </c>
      <c r="EC32" s="1">
        <v>0</v>
      </c>
      <c r="ED32" s="1">
        <v>2.039000000000001</v>
      </c>
      <c r="EE32" s="1">
        <v>211</v>
      </c>
      <c r="EF32" s="1">
        <v>0</v>
      </c>
      <c r="EG32" s="1">
        <v>1</v>
      </c>
      <c r="EH32" s="1">
        <v>69.09</v>
      </c>
      <c r="EI32" s="1">
        <v>97</v>
      </c>
      <c r="EJ32" s="1">
        <v>1713053</v>
      </c>
      <c r="EK32" s="1">
        <v>66.97</v>
      </c>
      <c r="EL32" s="1" t="s">
        <v>56</v>
      </c>
      <c r="EM32" s="1">
        <v>69.09</v>
      </c>
      <c r="EN32" s="1">
        <v>0</v>
      </c>
      <c r="EO32" s="1">
        <v>236486</v>
      </c>
      <c r="EP32" s="1">
        <v>25785</v>
      </c>
      <c r="EQ32" s="1">
        <v>65</v>
      </c>
      <c r="ER32" s="1">
        <v>5.385</v>
      </c>
      <c r="ES32" s="1">
        <v>0</v>
      </c>
      <c r="ET32" s="1">
        <v>5064087</v>
      </c>
      <c r="EU32" s="1">
        <v>0</v>
      </c>
      <c r="EV32" s="1">
        <v>5.285</v>
      </c>
      <c r="EW32" s="1">
        <v>534</v>
      </c>
      <c r="EX32" s="1">
        <v>0</v>
      </c>
      <c r="EY32" s="1">
        <v>1</v>
      </c>
      <c r="EZ32" s="1">
        <v>5.61</v>
      </c>
      <c r="FA32" s="1">
        <v>0</v>
      </c>
      <c r="FB32" s="1">
        <v>2256566</v>
      </c>
      <c r="FC32" s="1">
        <v>0.1</v>
      </c>
      <c r="FD32" s="1" t="s">
        <v>56</v>
      </c>
      <c r="FE32" s="1">
        <v>5.61</v>
      </c>
      <c r="FF32" s="1">
        <v>0</v>
      </c>
      <c r="FG32" s="1">
        <v>776208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>
        <v>33278</v>
      </c>
      <c r="GA32" s="1">
        <v>1346</v>
      </c>
      <c r="GB32" s="1">
        <v>8.292</v>
      </c>
      <c r="GC32" s="1">
        <v>643</v>
      </c>
      <c r="GD32" s="1">
        <v>6227547</v>
      </c>
      <c r="GE32" s="1">
        <v>0</v>
      </c>
      <c r="GF32" s="1">
        <v>6.172</v>
      </c>
      <c r="GG32" s="1">
        <v>528</v>
      </c>
      <c r="GH32" s="1">
        <v>0</v>
      </c>
      <c r="GI32" s="1">
        <v>1</v>
      </c>
      <c r="GJ32" s="1">
        <v>8.529999999999999</v>
      </c>
      <c r="GK32" s="1">
        <v>5</v>
      </c>
      <c r="GL32" s="1">
        <v>2267383</v>
      </c>
      <c r="GM32" s="1">
        <v>2.12</v>
      </c>
      <c r="GN32" s="1" t="s">
        <v>56</v>
      </c>
      <c r="GO32" s="1">
        <v>8.529999999999999</v>
      </c>
      <c r="GP32" s="1">
        <v>0</v>
      </c>
      <c r="GQ32" s="1">
        <v>778946</v>
      </c>
      <c r="GR32" s="1">
        <v>19766</v>
      </c>
      <c r="GS32" s="1">
        <v>11659</v>
      </c>
      <c r="GT32" s="1">
        <v>4.58</v>
      </c>
      <c r="GU32" s="1">
        <v>7035</v>
      </c>
      <c r="GV32" s="1">
        <v>1160787</v>
      </c>
      <c r="GW32" s="1">
        <v>0</v>
      </c>
      <c r="GX32" s="1">
        <v>1.17</v>
      </c>
      <c r="GY32" s="1">
        <v>95</v>
      </c>
      <c r="GZ32" s="1">
        <v>0</v>
      </c>
      <c r="HA32" s="1">
        <v>1</v>
      </c>
      <c r="HB32" s="1">
        <v>4.62</v>
      </c>
      <c r="HC32" s="1">
        <v>30</v>
      </c>
      <c r="HD32" s="1">
        <v>1475058</v>
      </c>
      <c r="HE32" s="1">
        <v>3.41</v>
      </c>
      <c r="HF32" s="1" t="s">
        <v>56</v>
      </c>
      <c r="HG32" s="1">
        <v>4.62</v>
      </c>
      <c r="HH32" s="1">
        <v>0</v>
      </c>
      <c r="HI32" s="1">
        <v>22548</v>
      </c>
      <c r="HJ32" s="1">
        <v>20436</v>
      </c>
      <c r="HK32" s="1">
        <v>47</v>
      </c>
      <c r="HL32" s="1">
        <v>2.045</v>
      </c>
      <c r="HM32" s="1">
        <v>9</v>
      </c>
      <c r="HN32" s="1">
        <v>2462226</v>
      </c>
      <c r="HO32" s="1">
        <v>0</v>
      </c>
      <c r="HP32" s="1">
        <v>1.895</v>
      </c>
      <c r="HQ32" s="1">
        <v>213</v>
      </c>
      <c r="HR32" s="1">
        <v>0</v>
      </c>
      <c r="HS32" s="1">
        <v>1</v>
      </c>
      <c r="HT32" s="1">
        <v>2.1</v>
      </c>
      <c r="HU32" s="1">
        <v>0</v>
      </c>
      <c r="HV32" s="1">
        <v>1706736</v>
      </c>
      <c r="HW32" s="1">
        <v>0.15</v>
      </c>
      <c r="HX32" s="1" t="s">
        <v>56</v>
      </c>
      <c r="HY32" s="1">
        <v>2.1</v>
      </c>
      <c r="HZ32" s="1">
        <v>0</v>
      </c>
      <c r="IA32" s="1">
        <v>236447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>
        <v>20436</v>
      </c>
      <c r="JM32" s="1">
        <v>25197</v>
      </c>
      <c r="JN32" s="1">
        <v>78.527</v>
      </c>
      <c r="JO32" s="1">
        <v>15236</v>
      </c>
      <c r="JP32" s="1">
        <v>2462226</v>
      </c>
      <c r="JQ32" s="1">
        <v>0</v>
      </c>
      <c r="JR32" s="1">
        <v>1.897000000000006</v>
      </c>
      <c r="JS32" s="1">
        <v>213</v>
      </c>
      <c r="JT32" s="1">
        <v>0</v>
      </c>
      <c r="JU32" s="1">
        <v>1</v>
      </c>
      <c r="JV32" s="1">
        <v>78.58</v>
      </c>
      <c r="JW32" s="1">
        <v>62</v>
      </c>
      <c r="JX32" s="1">
        <v>1706736</v>
      </c>
      <c r="JY32" s="1">
        <v>76.63</v>
      </c>
      <c r="JZ32" s="1" t="s">
        <v>56</v>
      </c>
      <c r="KA32" s="1">
        <v>78.58</v>
      </c>
      <c r="KB32" s="1">
        <v>0</v>
      </c>
      <c r="KC32" s="1">
        <v>236447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>
        <v>57285</v>
      </c>
      <c r="C33" s="1">
        <v>119</v>
      </c>
      <c r="D33" s="1">
        <v>15.356</v>
      </c>
      <c r="E33" s="1">
        <v>0</v>
      </c>
      <c r="F33" s="1">
        <v>13162447</v>
      </c>
      <c r="G33" s="1">
        <v>0</v>
      </c>
      <c r="H33" s="1">
        <v>15.046</v>
      </c>
      <c r="I33" s="1">
        <v>1369</v>
      </c>
      <c r="J33" s="1">
        <v>0</v>
      </c>
      <c r="K33" s="1">
        <v>1</v>
      </c>
      <c r="L33" s="1">
        <v>15.83</v>
      </c>
      <c r="M33" s="1">
        <v>0</v>
      </c>
      <c r="N33" s="1">
        <v>7018966</v>
      </c>
      <c r="O33" s="1">
        <v>0.31</v>
      </c>
      <c r="P33" s="1" t="s">
        <v>56</v>
      </c>
      <c r="Q33" s="1">
        <v>15.83</v>
      </c>
      <c r="R33" s="1">
        <v>0</v>
      </c>
      <c r="S33" s="1">
        <v>1802568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>
        <v>73938</v>
      </c>
      <c r="AM33" s="1">
        <v>268976</v>
      </c>
      <c r="AN33" s="1">
        <v>96.777</v>
      </c>
      <c r="AO33" s="1">
        <v>12220</v>
      </c>
      <c r="AP33" s="1">
        <v>15880887</v>
      </c>
      <c r="AQ33" s="1">
        <v>0</v>
      </c>
      <c r="AR33" s="1">
        <v>17.89700000000001</v>
      </c>
      <c r="AS33" s="1">
        <v>1297</v>
      </c>
      <c r="AT33" s="1">
        <v>0</v>
      </c>
      <c r="AU33" s="1">
        <v>1</v>
      </c>
      <c r="AV33" s="1">
        <v>97.23</v>
      </c>
      <c r="AW33" s="1">
        <v>58</v>
      </c>
      <c r="AX33" s="1">
        <v>7045513</v>
      </c>
      <c r="AY33" s="1">
        <v>78.88</v>
      </c>
      <c r="AZ33" s="1" t="s">
        <v>56</v>
      </c>
      <c r="BA33" s="1">
        <v>97.23</v>
      </c>
      <c r="BB33" s="1">
        <v>0</v>
      </c>
      <c r="BC33" s="1">
        <v>1813126</v>
      </c>
      <c r="BD33" s="1">
        <v>44646</v>
      </c>
      <c r="BE33" s="1">
        <v>109652</v>
      </c>
      <c r="BF33" s="1">
        <v>10.625</v>
      </c>
      <c r="BG33" s="1">
        <v>6556</v>
      </c>
      <c r="BH33" s="1">
        <v>4080117</v>
      </c>
      <c r="BI33" s="1">
        <v>0</v>
      </c>
      <c r="BJ33" s="1">
        <v>4.115</v>
      </c>
      <c r="BK33" s="1">
        <v>290</v>
      </c>
      <c r="BL33" s="1">
        <v>0</v>
      </c>
      <c r="BM33" s="1">
        <v>1</v>
      </c>
      <c r="BN33" s="1">
        <v>10.68</v>
      </c>
      <c r="BO33" s="1">
        <v>29</v>
      </c>
      <c r="BP33" s="1">
        <v>5213498</v>
      </c>
      <c r="BQ33" s="1">
        <v>6.51</v>
      </c>
      <c r="BR33" s="1" t="s">
        <v>56</v>
      </c>
      <c r="BS33" s="1">
        <v>10.68</v>
      </c>
      <c r="BT33" s="1">
        <v>0</v>
      </c>
      <c r="BU33" s="1">
        <v>51798</v>
      </c>
      <c r="BV33" s="1">
        <v>56452</v>
      </c>
      <c r="BW33" s="1">
        <v>81</v>
      </c>
      <c r="BX33" s="1">
        <v>6.319</v>
      </c>
      <c r="BY33" s="1">
        <v>9</v>
      </c>
      <c r="BZ33" s="1">
        <v>7151041</v>
      </c>
      <c r="CA33" s="1">
        <v>0</v>
      </c>
      <c r="CB33" s="1">
        <v>6.179</v>
      </c>
      <c r="CC33" s="1">
        <v>556</v>
      </c>
      <c r="CD33" s="1">
        <v>0</v>
      </c>
      <c r="CE33" s="1">
        <v>1</v>
      </c>
      <c r="CF33" s="1">
        <v>6.54</v>
      </c>
      <c r="CG33" s="1">
        <v>0</v>
      </c>
      <c r="CH33" s="1">
        <v>5762313</v>
      </c>
      <c r="CI33" s="1">
        <v>0.14</v>
      </c>
      <c r="CJ33" s="1" t="s">
        <v>56</v>
      </c>
      <c r="CK33" s="1">
        <v>6.54</v>
      </c>
      <c r="CL33" s="1">
        <v>0</v>
      </c>
      <c r="CM33" s="1">
        <v>555596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>
        <v>56452</v>
      </c>
      <c r="DY33" s="1">
        <v>197221</v>
      </c>
      <c r="DZ33" s="1">
        <v>147.943</v>
      </c>
      <c r="EA33" s="1">
        <v>15816</v>
      </c>
      <c r="EB33" s="1">
        <v>7151041</v>
      </c>
      <c r="EC33" s="1">
        <v>0</v>
      </c>
      <c r="ED33" s="1">
        <v>6.373000000000019</v>
      </c>
      <c r="EE33" s="1">
        <v>562</v>
      </c>
      <c r="EF33" s="1">
        <v>0</v>
      </c>
      <c r="EG33" s="1">
        <v>1</v>
      </c>
      <c r="EH33" s="1">
        <v>148.12</v>
      </c>
      <c r="EI33" s="1">
        <v>62</v>
      </c>
      <c r="EJ33" s="1">
        <v>5762313</v>
      </c>
      <c r="EK33" s="1">
        <v>141.57</v>
      </c>
      <c r="EL33" s="1" t="s">
        <v>56</v>
      </c>
      <c r="EM33" s="1">
        <v>148.12</v>
      </c>
      <c r="EN33" s="1">
        <v>0</v>
      </c>
      <c r="EO33" s="1">
        <v>555596</v>
      </c>
      <c r="EP33" s="1">
        <v>57285</v>
      </c>
      <c r="EQ33" s="1">
        <v>119</v>
      </c>
      <c r="ER33" s="1">
        <v>15.345</v>
      </c>
      <c r="ES33" s="1">
        <v>0</v>
      </c>
      <c r="ET33" s="1">
        <v>13162447</v>
      </c>
      <c r="EU33" s="1">
        <v>0</v>
      </c>
      <c r="EV33" s="1">
        <v>15.035</v>
      </c>
      <c r="EW33" s="1">
        <v>1371</v>
      </c>
      <c r="EX33" s="1">
        <v>0</v>
      </c>
      <c r="EY33" s="1">
        <v>1</v>
      </c>
      <c r="EZ33" s="1">
        <v>15.85</v>
      </c>
      <c r="FA33" s="1">
        <v>0</v>
      </c>
      <c r="FB33" s="1">
        <v>7018966</v>
      </c>
      <c r="FC33" s="1">
        <v>0.31</v>
      </c>
      <c r="FD33" s="1" t="s">
        <v>56</v>
      </c>
      <c r="FE33" s="1">
        <v>15.85</v>
      </c>
      <c r="FF33" s="1">
        <v>0</v>
      </c>
      <c r="FG33" s="1">
        <v>1802568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>
        <v>73938</v>
      </c>
      <c r="GA33" s="1">
        <v>268976</v>
      </c>
      <c r="GB33" s="1">
        <v>97.878</v>
      </c>
      <c r="GC33" s="1">
        <v>12220</v>
      </c>
      <c r="GD33" s="1">
        <v>15880887</v>
      </c>
      <c r="GE33" s="1">
        <v>0</v>
      </c>
      <c r="GF33" s="1">
        <v>18.428</v>
      </c>
      <c r="GG33" s="1">
        <v>1327</v>
      </c>
      <c r="GH33" s="1">
        <v>0</v>
      </c>
      <c r="GI33" s="1">
        <v>1</v>
      </c>
      <c r="GJ33" s="1">
        <v>98.38</v>
      </c>
      <c r="GK33" s="1">
        <v>58</v>
      </c>
      <c r="GL33" s="1">
        <v>7045513</v>
      </c>
      <c r="GM33" s="1">
        <v>79.45</v>
      </c>
      <c r="GN33" s="1" t="s">
        <v>56</v>
      </c>
      <c r="GO33" s="1">
        <v>98.38</v>
      </c>
      <c r="GP33" s="1">
        <v>0</v>
      </c>
      <c r="GQ33" s="1">
        <v>1813126</v>
      </c>
      <c r="GR33" s="1">
        <v>44646</v>
      </c>
      <c r="GS33" s="1">
        <v>109652</v>
      </c>
      <c r="GT33" s="1">
        <v>11.389</v>
      </c>
      <c r="GU33" s="1">
        <v>6556</v>
      </c>
      <c r="GV33" s="1">
        <v>4080117</v>
      </c>
      <c r="GW33" s="1">
        <v>0</v>
      </c>
      <c r="GX33" s="1">
        <v>4.289</v>
      </c>
      <c r="GY33" s="1">
        <v>294</v>
      </c>
      <c r="GZ33" s="1">
        <v>0</v>
      </c>
      <c r="HA33" s="1">
        <v>1</v>
      </c>
      <c r="HB33" s="1">
        <v>11.55</v>
      </c>
      <c r="HC33" s="1">
        <v>29</v>
      </c>
      <c r="HD33" s="1">
        <v>5213498</v>
      </c>
      <c r="HE33" s="1">
        <v>7.1</v>
      </c>
      <c r="HF33" s="1" t="s">
        <v>56</v>
      </c>
      <c r="HG33" s="1">
        <v>11.55</v>
      </c>
      <c r="HH33" s="1">
        <v>0</v>
      </c>
      <c r="HI33" s="1">
        <v>51798</v>
      </c>
      <c r="HJ33" s="1">
        <v>45656</v>
      </c>
      <c r="HK33" s="1">
        <v>75</v>
      </c>
      <c r="HL33" s="1">
        <v>6.176</v>
      </c>
      <c r="HM33" s="1">
        <v>18</v>
      </c>
      <c r="HN33" s="1">
        <v>7147556</v>
      </c>
      <c r="HO33" s="1">
        <v>0</v>
      </c>
      <c r="HP33" s="1">
        <v>5.776</v>
      </c>
      <c r="HQ33" s="1">
        <v>560</v>
      </c>
      <c r="HR33" s="1">
        <v>0</v>
      </c>
      <c r="HS33" s="1">
        <v>1</v>
      </c>
      <c r="HT33" s="1">
        <v>6.29</v>
      </c>
      <c r="HU33" s="1">
        <v>0</v>
      </c>
      <c r="HV33" s="1">
        <v>5748036</v>
      </c>
      <c r="HW33" s="1">
        <v>0.4</v>
      </c>
      <c r="HX33" s="1" t="s">
        <v>56</v>
      </c>
      <c r="HY33" s="1">
        <v>6.29</v>
      </c>
      <c r="HZ33" s="1">
        <v>0</v>
      </c>
      <c r="IA33" s="1">
        <v>555537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>
        <v>45656</v>
      </c>
      <c r="JM33" s="1">
        <v>68720</v>
      </c>
      <c r="JN33" s="1">
        <v>299.999</v>
      </c>
      <c r="JO33" s="1">
        <v>29890</v>
      </c>
      <c r="JP33" s="1">
        <v>7147556</v>
      </c>
      <c r="JQ33" s="1">
        <v>0</v>
      </c>
      <c r="JR33" s="1">
        <v>5.789000000000044</v>
      </c>
      <c r="JS33" s="1">
        <v>557</v>
      </c>
      <c r="JT33" s="1">
        <v>0</v>
      </c>
      <c r="JU33" s="1">
        <v>0</v>
      </c>
      <c r="JV33" s="1">
        <v>600</v>
      </c>
      <c r="JW33" s="1">
        <v>124</v>
      </c>
      <c r="JX33" s="1">
        <v>5748036</v>
      </c>
      <c r="JY33" s="1">
        <v>294.21</v>
      </c>
      <c r="JZ33" s="1" t="s">
        <v>57</v>
      </c>
      <c r="KA33" s="1">
        <v>300</v>
      </c>
      <c r="KB33" s="1">
        <v>1</v>
      </c>
      <c r="KC33" s="1">
        <v>555537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>
        <v>101185</v>
      </c>
      <c r="C34" s="1">
        <v>159</v>
      </c>
      <c r="D34" s="1">
        <v>33.031</v>
      </c>
      <c r="E34" s="1">
        <v>0</v>
      </c>
      <c r="F34" s="1">
        <v>26288407</v>
      </c>
      <c r="G34" s="1">
        <v>0</v>
      </c>
      <c r="H34" s="1">
        <v>32.351</v>
      </c>
      <c r="I34" s="1">
        <v>2601</v>
      </c>
      <c r="J34" s="1">
        <v>0</v>
      </c>
      <c r="K34" s="1">
        <v>1</v>
      </c>
      <c r="L34" s="1">
        <v>33.87</v>
      </c>
      <c r="M34" s="1">
        <v>0</v>
      </c>
      <c r="N34" s="1">
        <v>15900566</v>
      </c>
      <c r="O34" s="1">
        <v>0.68</v>
      </c>
      <c r="P34" s="1" t="s">
        <v>56</v>
      </c>
      <c r="Q34" s="1">
        <v>33.87</v>
      </c>
      <c r="R34" s="1">
        <v>0</v>
      </c>
      <c r="S34" s="1">
        <v>3255328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>
        <v>130598</v>
      </c>
      <c r="AM34" s="1">
        <v>48110</v>
      </c>
      <c r="AN34" s="1">
        <v>299.989</v>
      </c>
      <c r="AO34" s="1">
        <v>21071</v>
      </c>
      <c r="AP34" s="1">
        <v>31212227</v>
      </c>
      <c r="AQ34" s="1">
        <v>0</v>
      </c>
      <c r="AR34" s="1">
        <v>38.94899999999996</v>
      </c>
      <c r="AS34" s="1">
        <v>2468</v>
      </c>
      <c r="AT34" s="1">
        <v>0</v>
      </c>
      <c r="AU34" s="1">
        <v>0</v>
      </c>
      <c r="AV34" s="1">
        <v>600</v>
      </c>
      <c r="AW34" s="1">
        <v>80</v>
      </c>
      <c r="AX34" s="1">
        <v>15949643</v>
      </c>
      <c r="AY34" s="1">
        <v>261.04</v>
      </c>
      <c r="AZ34" s="1" t="s">
        <v>57</v>
      </c>
      <c r="BA34" s="1">
        <v>300</v>
      </c>
      <c r="BB34" s="1">
        <v>1</v>
      </c>
      <c r="BC34" s="1">
        <v>3278106</v>
      </c>
      <c r="BD34" s="1">
        <v>79526</v>
      </c>
      <c r="BE34" s="1">
        <v>546549</v>
      </c>
      <c r="BF34" s="1">
        <v>123.121</v>
      </c>
      <c r="BG34" s="1">
        <v>25825</v>
      </c>
      <c r="BH34" s="1">
        <v>9870647</v>
      </c>
      <c r="BI34" s="1">
        <v>0</v>
      </c>
      <c r="BJ34" s="1">
        <v>10.381</v>
      </c>
      <c r="BK34" s="1">
        <v>692</v>
      </c>
      <c r="BL34" s="1">
        <v>0</v>
      </c>
      <c r="BM34" s="1">
        <v>1</v>
      </c>
      <c r="BN34" s="1">
        <v>123.2</v>
      </c>
      <c r="BO34" s="1">
        <v>91</v>
      </c>
      <c r="BP34" s="1">
        <v>12648338</v>
      </c>
      <c r="BQ34" s="1">
        <v>112.74</v>
      </c>
      <c r="BR34" s="1" t="s">
        <v>56</v>
      </c>
      <c r="BS34" s="1">
        <v>123.2</v>
      </c>
      <c r="BT34" s="1">
        <v>0</v>
      </c>
      <c r="BU34" s="1">
        <v>93048</v>
      </c>
      <c r="BV34" s="1">
        <v>100072</v>
      </c>
      <c r="BW34" s="1">
        <v>107</v>
      </c>
      <c r="BX34" s="1">
        <v>14.895</v>
      </c>
      <c r="BY34" s="1">
        <v>11</v>
      </c>
      <c r="BZ34" s="1">
        <v>15456731</v>
      </c>
      <c r="CA34" s="1">
        <v>0</v>
      </c>
      <c r="CB34" s="1">
        <v>14.555</v>
      </c>
      <c r="CC34" s="1">
        <v>1179</v>
      </c>
      <c r="CD34" s="1">
        <v>0</v>
      </c>
      <c r="CE34" s="1">
        <v>1</v>
      </c>
      <c r="CF34" s="1">
        <v>15.32</v>
      </c>
      <c r="CG34" s="1">
        <v>0</v>
      </c>
      <c r="CH34" s="1">
        <v>13635973</v>
      </c>
      <c r="CI34" s="1">
        <v>0.34</v>
      </c>
      <c r="CJ34" s="1" t="s">
        <v>56</v>
      </c>
      <c r="CK34" s="1">
        <v>15.32</v>
      </c>
      <c r="CL34" s="1">
        <v>0</v>
      </c>
      <c r="CM34" s="1">
        <v>1009106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>
        <v>100072</v>
      </c>
      <c r="DY34" s="1">
        <v>47017</v>
      </c>
      <c r="DZ34" s="1">
        <v>299.991</v>
      </c>
      <c r="EA34" s="1">
        <v>15601</v>
      </c>
      <c r="EB34" s="1">
        <v>15456731</v>
      </c>
      <c r="EC34" s="1">
        <v>0</v>
      </c>
      <c r="ED34" s="1">
        <v>14.48099999999999</v>
      </c>
      <c r="EE34" s="1">
        <v>1186</v>
      </c>
      <c r="EF34" s="1">
        <v>0</v>
      </c>
      <c r="EG34" s="1">
        <v>0</v>
      </c>
      <c r="EH34" s="1">
        <v>600</v>
      </c>
      <c r="EI34" s="1">
        <v>62</v>
      </c>
      <c r="EJ34" s="1">
        <v>13635973</v>
      </c>
      <c r="EK34" s="1">
        <v>285.51</v>
      </c>
      <c r="EL34" s="1" t="s">
        <v>57</v>
      </c>
      <c r="EM34" s="1">
        <v>300</v>
      </c>
      <c r="EN34" s="1">
        <v>1</v>
      </c>
      <c r="EO34" s="1">
        <v>1009106</v>
      </c>
      <c r="EP34" s="1">
        <v>101185</v>
      </c>
      <c r="EQ34" s="1">
        <v>159</v>
      </c>
      <c r="ER34" s="1">
        <v>32.686</v>
      </c>
      <c r="ES34" s="1">
        <v>0</v>
      </c>
      <c r="ET34" s="1">
        <v>26288407</v>
      </c>
      <c r="EU34" s="1">
        <v>0</v>
      </c>
      <c r="EV34" s="1">
        <v>32.016</v>
      </c>
      <c r="EW34" s="1">
        <v>2610</v>
      </c>
      <c r="EX34" s="1">
        <v>0</v>
      </c>
      <c r="EY34" s="1">
        <v>1</v>
      </c>
      <c r="EZ34" s="1">
        <v>33.58</v>
      </c>
      <c r="FA34" s="1">
        <v>0</v>
      </c>
      <c r="FB34" s="1">
        <v>15900566</v>
      </c>
      <c r="FC34" s="1">
        <v>0.67</v>
      </c>
      <c r="FD34" s="1" t="s">
        <v>56</v>
      </c>
      <c r="FE34" s="1">
        <v>33.58</v>
      </c>
      <c r="FF34" s="1">
        <v>0</v>
      </c>
      <c r="FG34" s="1">
        <v>3255328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>
        <v>130598</v>
      </c>
      <c r="GA34" s="1">
        <v>45889</v>
      </c>
      <c r="GB34" s="1">
        <v>299.899</v>
      </c>
      <c r="GC34" s="1">
        <v>20180</v>
      </c>
      <c r="GD34" s="1">
        <v>31212227</v>
      </c>
      <c r="GE34" s="1">
        <v>0</v>
      </c>
      <c r="GF34" s="1">
        <v>39.87900000000002</v>
      </c>
      <c r="GG34" s="1">
        <v>2472</v>
      </c>
      <c r="GH34" s="1">
        <v>0</v>
      </c>
      <c r="GI34" s="1">
        <v>0</v>
      </c>
      <c r="GJ34" s="1">
        <v>600</v>
      </c>
      <c r="GK34" s="1">
        <v>77</v>
      </c>
      <c r="GL34" s="1">
        <v>15949643</v>
      </c>
      <c r="GM34" s="1">
        <v>260.02</v>
      </c>
      <c r="GN34" s="1" t="s">
        <v>57</v>
      </c>
      <c r="GO34" s="1">
        <v>300</v>
      </c>
      <c r="GP34" s="1">
        <v>1</v>
      </c>
      <c r="GQ34" s="1">
        <v>3278106</v>
      </c>
      <c r="GR34" s="1">
        <v>79526</v>
      </c>
      <c r="GS34" s="1">
        <v>546549</v>
      </c>
      <c r="GT34" s="1">
        <v>124.814</v>
      </c>
      <c r="GU34" s="1">
        <v>25825</v>
      </c>
      <c r="GV34" s="1">
        <v>9870647</v>
      </c>
      <c r="GW34" s="1">
        <v>0</v>
      </c>
      <c r="GX34" s="1">
        <v>10.61399999999999</v>
      </c>
      <c r="GY34" s="1">
        <v>705</v>
      </c>
      <c r="GZ34" s="1">
        <v>0</v>
      </c>
      <c r="HA34" s="1">
        <v>1</v>
      </c>
      <c r="HB34" s="1">
        <v>124.91</v>
      </c>
      <c r="HC34" s="1">
        <v>91</v>
      </c>
      <c r="HD34" s="1">
        <v>12648338</v>
      </c>
      <c r="HE34" s="1">
        <v>114.2</v>
      </c>
      <c r="HF34" s="1" t="s">
        <v>56</v>
      </c>
      <c r="HG34" s="1">
        <v>124.91</v>
      </c>
      <c r="HH34" s="1">
        <v>0</v>
      </c>
      <c r="HI34" s="1">
        <v>93048</v>
      </c>
      <c r="HJ34" s="1">
        <v>80876</v>
      </c>
      <c r="HK34" s="1">
        <v>92</v>
      </c>
      <c r="HL34" s="1">
        <v>14.034</v>
      </c>
      <c r="HM34" s="1">
        <v>20</v>
      </c>
      <c r="HN34" s="1">
        <v>15450486</v>
      </c>
      <c r="HO34" s="1">
        <v>0</v>
      </c>
      <c r="HP34" s="1">
        <v>13.204</v>
      </c>
      <c r="HQ34" s="1">
        <v>1170</v>
      </c>
      <c r="HR34" s="1">
        <v>0</v>
      </c>
      <c r="HS34" s="1">
        <v>1</v>
      </c>
      <c r="HT34" s="1">
        <v>14.23</v>
      </c>
      <c r="HU34" s="1">
        <v>0</v>
      </c>
      <c r="HV34" s="1">
        <v>13610536</v>
      </c>
      <c r="HW34" s="1">
        <v>0.83</v>
      </c>
      <c r="HX34" s="1" t="s">
        <v>56</v>
      </c>
      <c r="HY34" s="1">
        <v>14.23</v>
      </c>
      <c r="HZ34" s="1">
        <v>0</v>
      </c>
      <c r="IA34" s="1">
        <v>1009027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>
        <v>80876</v>
      </c>
      <c r="JM34" s="1">
        <v>357197</v>
      </c>
      <c r="JN34" s="1">
        <v>300</v>
      </c>
      <c r="JO34" s="1">
        <v>12745</v>
      </c>
      <c r="JP34" s="1">
        <v>15450486</v>
      </c>
      <c r="JQ34" s="1">
        <v>0</v>
      </c>
      <c r="JR34" s="1">
        <v>13.05000000000001</v>
      </c>
      <c r="JS34" s="1">
        <v>1169</v>
      </c>
      <c r="JT34" s="1">
        <v>0</v>
      </c>
      <c r="JU34" s="1">
        <v>0</v>
      </c>
      <c r="JV34" s="1">
        <v>600</v>
      </c>
      <c r="JW34" s="1">
        <v>58</v>
      </c>
      <c r="JX34" s="1">
        <v>13610536</v>
      </c>
      <c r="JY34" s="1">
        <v>286.95</v>
      </c>
      <c r="JZ34" s="1" t="s">
        <v>57</v>
      </c>
      <c r="KA34" s="1">
        <v>300</v>
      </c>
      <c r="KB34" s="1">
        <v>1</v>
      </c>
      <c r="KC34" s="1">
        <v>1009027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</row>
    <row r="36" spans="1:340">
      <c r="A36" s="1" t="s">
        <v>32</v>
      </c>
      <c r="B36" s="1">
        <f>SUM(B$3:B$34)</f>
        <v>0</v>
      </c>
      <c r="C36" s="1">
        <f>SUM(C$3:C$34)</f>
        <v>0</v>
      </c>
      <c r="D36" s="1">
        <f>SUM(D$3:D$34)</f>
        <v>0</v>
      </c>
      <c r="E36" s="1">
        <f>SUM(E$3:E$34)</f>
        <v>0</v>
      </c>
      <c r="F36" s="1">
        <f>SUM(F$3:F$34)</f>
        <v>0</v>
      </c>
      <c r="G36" s="1">
        <f>SUM(G$3:G$34)</f>
        <v>0</v>
      </c>
      <c r="H36" s="1">
        <f>SUM(H$3:H$34)</f>
        <v>0</v>
      </c>
      <c r="I36" s="1">
        <f>SUM(I$3:I$34)</f>
        <v>0</v>
      </c>
      <c r="J36" s="1">
        <f>SUM(J$3:J$34)</f>
        <v>0</v>
      </c>
      <c r="K36" s="1">
        <f>SUM(K$3:K$34)</f>
        <v>0</v>
      </c>
      <c r="L36" s="1">
        <f>SUM(L$3:L$34)</f>
        <v>0</v>
      </c>
      <c r="M36" s="1">
        <f>SUM(M$3:M$34)</f>
        <v>0</v>
      </c>
      <c r="N36" s="1">
        <f>SUM(N$3:N$34)</f>
        <v>0</v>
      </c>
      <c r="O36" s="1">
        <f>SUM(O$3:O$34)</f>
        <v>0</v>
      </c>
      <c r="P36" s="1"/>
      <c r="Q36" s="1">
        <f>SUM(Q$3:Q$34)</f>
        <v>0</v>
      </c>
      <c r="R36" s="1">
        <f>SUM(R$3:R$34)</f>
        <v>0</v>
      </c>
      <c r="S36" s="1">
        <f>SUM(S$3:S$34)</f>
        <v>0</v>
      </c>
      <c r="T36" s="1">
        <f>SUM(T$3:T$34)</f>
        <v>0</v>
      </c>
      <c r="U36" s="1">
        <f>SUM(U$3:U$34)</f>
        <v>0</v>
      </c>
      <c r="V36" s="1">
        <f>SUM(V$3:V$34)</f>
        <v>0</v>
      </c>
      <c r="W36" s="1">
        <f>SUM(W$3:W$34)</f>
        <v>0</v>
      </c>
      <c r="X36" s="1">
        <f>SUM(X$3:X$34)</f>
        <v>0</v>
      </c>
      <c r="Y36" s="1">
        <f>SUM(Y$3:Y$34)</f>
        <v>0</v>
      </c>
      <c r="Z36" s="1">
        <f>SUM(Z$3:Z$34)</f>
        <v>0</v>
      </c>
      <c r="AA36" s="1">
        <f>SUM(AA$3:AA$34)</f>
        <v>0</v>
      </c>
      <c r="AB36" s="1">
        <f>SUM(AB$3:AB$34)</f>
        <v>0</v>
      </c>
      <c r="AC36" s="1">
        <f>SUM(AC$3:AC$34)</f>
        <v>0</v>
      </c>
      <c r="AD36" s="1">
        <f>SUM(AD$3:AD$34)</f>
        <v>0</v>
      </c>
      <c r="AE36" s="1">
        <f>SUM(AE$3:AE$34)</f>
        <v>0</v>
      </c>
      <c r="AF36" s="1">
        <f>SUM(AF$3:AF$34)</f>
        <v>0</v>
      </c>
      <c r="AG36" s="1">
        <f>SUM(AG$3:AG$34)</f>
        <v>0</v>
      </c>
      <c r="AH36" s="1"/>
      <c r="AI36" s="1">
        <f>SUM(AI$3:AI$34)</f>
        <v>0</v>
      </c>
      <c r="AJ36" s="1">
        <f>SUM(AJ$3:AJ$34)</f>
        <v>0</v>
      </c>
      <c r="AK36" s="1">
        <f>SUM(AK$3:AK$34)</f>
        <v>0</v>
      </c>
      <c r="AL36" s="1">
        <f>SUM(AL$3:AL$34)</f>
        <v>0</v>
      </c>
      <c r="AM36" s="1">
        <f>SUM(AM$3:AM$34)</f>
        <v>0</v>
      </c>
      <c r="AN36" s="1">
        <f>SUM(AN$3:AN$34)</f>
        <v>0</v>
      </c>
      <c r="AO36" s="1">
        <f>SUM(AO$3:AO$34)</f>
        <v>0</v>
      </c>
      <c r="AP36" s="1">
        <f>SUM(AP$3:AP$34)</f>
        <v>0</v>
      </c>
      <c r="AQ36" s="1">
        <f>SUM(AQ$3:AQ$34)</f>
        <v>0</v>
      </c>
      <c r="AR36" s="1">
        <f>SUM(AR$3:AR$34)</f>
        <v>0</v>
      </c>
      <c r="AS36" s="1">
        <f>SUM(AS$3:AS$34)</f>
        <v>0</v>
      </c>
      <c r="AT36" s="1">
        <f>SUM(AT$3:AT$34)</f>
        <v>0</v>
      </c>
      <c r="AU36" s="1">
        <f>SUM(AU$3:AU$34)</f>
        <v>0</v>
      </c>
      <c r="AV36" s="1">
        <f>SUM(AV$3:AV$34)</f>
        <v>0</v>
      </c>
      <c r="AW36" s="1">
        <f>SUM(AW$3:AW$34)</f>
        <v>0</v>
      </c>
      <c r="AX36" s="1">
        <f>SUM(AX$3:AX$34)</f>
        <v>0</v>
      </c>
      <c r="AY36" s="1">
        <f>SUM(AY$3:AY$34)</f>
        <v>0</v>
      </c>
      <c r="AZ36" s="1"/>
      <c r="BA36" s="1">
        <f>SUM(BA$3:BA$34)</f>
        <v>0</v>
      </c>
      <c r="BB36" s="1">
        <f>SUM(BB$3:BB$34)</f>
        <v>0</v>
      </c>
      <c r="BC36" s="1">
        <f>SUM(BC$3:BC$34)</f>
        <v>0</v>
      </c>
      <c r="BD36" s="1">
        <f>SUM(BD$3:BD$34)</f>
        <v>0</v>
      </c>
      <c r="BE36" s="1">
        <f>SUM(BE$3:BE$34)</f>
        <v>0</v>
      </c>
      <c r="BF36" s="1">
        <f>SUM(BF$3:BF$34)</f>
        <v>0</v>
      </c>
      <c r="BG36" s="1">
        <f>SUM(BG$3:BG$34)</f>
        <v>0</v>
      </c>
      <c r="BH36" s="1">
        <f>SUM(BH$3:BH$34)</f>
        <v>0</v>
      </c>
      <c r="BI36" s="1">
        <f>SUM(BI$3:BI$34)</f>
        <v>0</v>
      </c>
      <c r="BJ36" s="1">
        <f>SUM(BJ$3:BJ$34)</f>
        <v>0</v>
      </c>
      <c r="BK36" s="1">
        <f>SUM(BK$3:BK$34)</f>
        <v>0</v>
      </c>
      <c r="BL36" s="1">
        <f>SUM(BL$3:BL$34)</f>
        <v>0</v>
      </c>
      <c r="BM36" s="1">
        <f>SUM(BM$3:BM$34)</f>
        <v>0</v>
      </c>
      <c r="BN36" s="1">
        <f>SUM(BN$3:BN$34)</f>
        <v>0</v>
      </c>
      <c r="BO36" s="1">
        <f>SUM(BO$3:BO$34)</f>
        <v>0</v>
      </c>
      <c r="BP36" s="1">
        <f>SUM(BP$3:BP$34)</f>
        <v>0</v>
      </c>
      <c r="BQ36" s="1">
        <f>SUM(BQ$3:BQ$34)</f>
        <v>0</v>
      </c>
      <c r="BR36" s="1"/>
      <c r="BS36" s="1">
        <f>SUM(BS$3:BS$34)</f>
        <v>0</v>
      </c>
      <c r="BT36" s="1">
        <f>SUM(BT$3:BT$34)</f>
        <v>0</v>
      </c>
      <c r="BU36" s="1">
        <f>SUM(BU$3:BU$34)</f>
        <v>0</v>
      </c>
      <c r="BV36" s="1">
        <f>SUM(BV$3:BV$34)</f>
        <v>0</v>
      </c>
      <c r="BW36" s="1">
        <f>SUM(BW$3:BW$34)</f>
        <v>0</v>
      </c>
      <c r="BX36" s="1">
        <f>SUM(BX$3:BX$34)</f>
        <v>0</v>
      </c>
      <c r="BY36" s="1">
        <f>SUM(BY$3:BY$34)</f>
        <v>0</v>
      </c>
      <c r="BZ36" s="1">
        <f>SUM(BZ$3:BZ$34)</f>
        <v>0</v>
      </c>
      <c r="CA36" s="1">
        <f>SUM(CA$3:CA$34)</f>
        <v>0</v>
      </c>
      <c r="CB36" s="1">
        <f>SUM(CB$3:CB$34)</f>
        <v>0</v>
      </c>
      <c r="CC36" s="1">
        <f>SUM(CC$3:CC$34)</f>
        <v>0</v>
      </c>
      <c r="CD36" s="1">
        <f>SUM(CD$3:CD$34)</f>
        <v>0</v>
      </c>
      <c r="CE36" s="1">
        <f>SUM(CE$3:CE$34)</f>
        <v>0</v>
      </c>
      <c r="CF36" s="1">
        <f>SUM(CF$3:CF$34)</f>
        <v>0</v>
      </c>
      <c r="CG36" s="1">
        <f>SUM(CG$3:CG$34)</f>
        <v>0</v>
      </c>
      <c r="CH36" s="1">
        <f>SUM(CH$3:CH$34)</f>
        <v>0</v>
      </c>
      <c r="CI36" s="1">
        <f>SUM(CI$3:CI$34)</f>
        <v>0</v>
      </c>
      <c r="CJ36" s="1"/>
      <c r="CK36" s="1">
        <f>SUM(CK$3:CK$34)</f>
        <v>0</v>
      </c>
      <c r="CL36" s="1">
        <f>SUM(CL$3:CL$34)</f>
        <v>0</v>
      </c>
      <c r="CM36" s="1">
        <f>SUM(CM$3:CM$34)</f>
        <v>0</v>
      </c>
      <c r="CN36" s="1">
        <f>SUM(CN$3:CN$34)</f>
        <v>0</v>
      </c>
      <c r="CO36" s="1">
        <f>SUM(CO$3:CO$34)</f>
        <v>0</v>
      </c>
      <c r="CP36" s="1">
        <f>SUM(CP$3:CP$34)</f>
        <v>0</v>
      </c>
      <c r="CQ36" s="1">
        <f>SUM(CQ$3:CQ$34)</f>
        <v>0</v>
      </c>
      <c r="CR36" s="1">
        <f>SUM(CR$3:CR$34)</f>
        <v>0</v>
      </c>
      <c r="CS36" s="1">
        <f>SUM(CS$3:CS$34)</f>
        <v>0</v>
      </c>
      <c r="CT36" s="1">
        <f>SUM(CT$3:CT$34)</f>
        <v>0</v>
      </c>
      <c r="CU36" s="1">
        <f>SUM(CU$3:CU$34)</f>
        <v>0</v>
      </c>
      <c r="CV36" s="1">
        <f>SUM(CV$3:CV$34)</f>
        <v>0</v>
      </c>
      <c r="CW36" s="1">
        <f>SUM(CW$3:CW$34)</f>
        <v>0</v>
      </c>
      <c r="CX36" s="1">
        <f>SUM(CX$3:CX$34)</f>
        <v>0</v>
      </c>
      <c r="CY36" s="1">
        <f>SUM(CY$3:CY$34)</f>
        <v>0</v>
      </c>
      <c r="CZ36" s="1">
        <f>SUM(CZ$3:CZ$34)</f>
        <v>0</v>
      </c>
      <c r="DA36" s="1">
        <f>SUM(DA$3:DA$34)</f>
        <v>0</v>
      </c>
      <c r="DB36" s="1"/>
      <c r="DC36" s="1">
        <f>SUM(DC$3:DC$34)</f>
        <v>0</v>
      </c>
      <c r="DD36" s="1">
        <f>SUM(DD$3:DD$34)</f>
        <v>0</v>
      </c>
      <c r="DE36" s="1">
        <f>SUM(DE$3:DE$34)</f>
        <v>0</v>
      </c>
      <c r="DF36" s="1">
        <f>SUM(DF$3:DF$34)</f>
        <v>0</v>
      </c>
      <c r="DG36" s="1">
        <f>SUM(DG$3:DG$34)</f>
        <v>0</v>
      </c>
      <c r="DH36" s="1">
        <f>SUM(DH$3:DH$34)</f>
        <v>0</v>
      </c>
      <c r="DI36" s="1">
        <f>SUM(DI$3:DI$34)</f>
        <v>0</v>
      </c>
      <c r="DJ36" s="1">
        <f>SUM(DJ$3:DJ$34)</f>
        <v>0</v>
      </c>
      <c r="DK36" s="1">
        <f>SUM(DK$3:DK$34)</f>
        <v>0</v>
      </c>
      <c r="DL36" s="1">
        <f>SUM(DL$3:DL$34)</f>
        <v>0</v>
      </c>
      <c r="DM36" s="1">
        <f>SUM(DM$3:DM$34)</f>
        <v>0</v>
      </c>
      <c r="DN36" s="1">
        <f>SUM(DN$3:DN$34)</f>
        <v>0</v>
      </c>
      <c r="DO36" s="1">
        <f>SUM(DO$3:DO$34)</f>
        <v>0</v>
      </c>
      <c r="DP36" s="1">
        <f>SUM(DP$3:DP$34)</f>
        <v>0</v>
      </c>
      <c r="DQ36" s="1">
        <f>SUM(DQ$3:DQ$34)</f>
        <v>0</v>
      </c>
      <c r="DR36" s="1">
        <f>SUM(DR$3:DR$34)</f>
        <v>0</v>
      </c>
      <c r="DS36" s="1">
        <f>SUM(DS$3:DS$34)</f>
        <v>0</v>
      </c>
      <c r="DT36" s="1"/>
      <c r="DU36" s="1">
        <f>SUM(DU$3:DU$34)</f>
        <v>0</v>
      </c>
      <c r="DV36" s="1">
        <f>SUM(DV$3:DV$34)</f>
        <v>0</v>
      </c>
      <c r="DW36" s="1">
        <f>SUM(DW$3:DW$34)</f>
        <v>0</v>
      </c>
      <c r="DX36" s="1">
        <f>SUM(DX$3:DX$34)</f>
        <v>0</v>
      </c>
      <c r="DY36" s="1">
        <f>SUM(DY$3:DY$34)</f>
        <v>0</v>
      </c>
      <c r="DZ36" s="1">
        <f>SUM(DZ$3:DZ$34)</f>
        <v>0</v>
      </c>
      <c r="EA36" s="1">
        <f>SUM(EA$3:EA$34)</f>
        <v>0</v>
      </c>
      <c r="EB36" s="1">
        <f>SUM(EB$3:EB$34)</f>
        <v>0</v>
      </c>
      <c r="EC36" s="1">
        <f>SUM(EC$3:EC$34)</f>
        <v>0</v>
      </c>
      <c r="ED36" s="1">
        <f>SUM(ED$3:ED$34)</f>
        <v>0</v>
      </c>
      <c r="EE36" s="1">
        <f>SUM(EE$3:EE$34)</f>
        <v>0</v>
      </c>
      <c r="EF36" s="1">
        <f>SUM(EF$3:EF$34)</f>
        <v>0</v>
      </c>
      <c r="EG36" s="1">
        <f>SUM(EG$3:EG$34)</f>
        <v>0</v>
      </c>
      <c r="EH36" s="1">
        <f>SUM(EH$3:EH$34)</f>
        <v>0</v>
      </c>
      <c r="EI36" s="1">
        <f>SUM(EI$3:EI$34)</f>
        <v>0</v>
      </c>
      <c r="EJ36" s="1">
        <f>SUM(EJ$3:EJ$34)</f>
        <v>0</v>
      </c>
      <c r="EK36" s="1">
        <f>SUM(EK$3:EK$34)</f>
        <v>0</v>
      </c>
      <c r="EL36" s="1"/>
      <c r="EM36" s="1">
        <f>SUM(EM$3:EM$34)</f>
        <v>0</v>
      </c>
      <c r="EN36" s="1">
        <f>SUM(EN$3:EN$34)</f>
        <v>0</v>
      </c>
      <c r="EO36" s="1">
        <f>SUM(EO$3:EO$34)</f>
        <v>0</v>
      </c>
      <c r="EP36" s="1">
        <f>SUM(EP$3:EP$34)</f>
        <v>0</v>
      </c>
      <c r="EQ36" s="1">
        <f>SUM(EQ$3:EQ$34)</f>
        <v>0</v>
      </c>
      <c r="ER36" s="1">
        <f>SUM(ER$3:ER$34)</f>
        <v>0</v>
      </c>
      <c r="ES36" s="1">
        <f>SUM(ES$3:ES$34)</f>
        <v>0</v>
      </c>
      <c r="ET36" s="1">
        <f>SUM(ET$3:ET$34)</f>
        <v>0</v>
      </c>
      <c r="EU36" s="1">
        <f>SUM(EU$3:EU$34)</f>
        <v>0</v>
      </c>
      <c r="EV36" s="1">
        <f>SUM(EV$3:EV$34)</f>
        <v>0</v>
      </c>
      <c r="EW36" s="1">
        <f>SUM(EW$3:EW$34)</f>
        <v>0</v>
      </c>
      <c r="EX36" s="1">
        <f>SUM(EX$3:EX$34)</f>
        <v>0</v>
      </c>
      <c r="EY36" s="1">
        <f>SUM(EY$3:EY$34)</f>
        <v>0</v>
      </c>
      <c r="EZ36" s="1">
        <f>SUM(EZ$3:EZ$34)</f>
        <v>0</v>
      </c>
      <c r="FA36" s="1">
        <f>SUM(FA$3:FA$34)</f>
        <v>0</v>
      </c>
      <c r="FB36" s="1">
        <f>SUM(FB$3:FB$34)</f>
        <v>0</v>
      </c>
      <c r="FC36" s="1">
        <f>SUM(FC$3:FC$34)</f>
        <v>0</v>
      </c>
      <c r="FD36" s="1"/>
      <c r="FE36" s="1">
        <f>SUM(FE$3:FE$34)</f>
        <v>0</v>
      </c>
      <c r="FF36" s="1">
        <f>SUM(FF$3:FF$34)</f>
        <v>0</v>
      </c>
      <c r="FG36" s="1">
        <f>SUM(FG$3:FG$34)</f>
        <v>0</v>
      </c>
      <c r="FH36" s="1">
        <f>SUM(FH$3:FH$34)</f>
        <v>0</v>
      </c>
      <c r="FI36" s="1">
        <f>SUM(FI$3:FI$34)</f>
        <v>0</v>
      </c>
      <c r="FJ36" s="1">
        <f>SUM(FJ$3:FJ$34)</f>
        <v>0</v>
      </c>
      <c r="FK36" s="1">
        <f>SUM(FK$3:FK$34)</f>
        <v>0</v>
      </c>
      <c r="FL36" s="1">
        <f>SUM(FL$3:FL$34)</f>
        <v>0</v>
      </c>
      <c r="FM36" s="1">
        <f>SUM(FM$3:FM$34)</f>
        <v>0</v>
      </c>
      <c r="FN36" s="1">
        <f>SUM(FN$3:FN$34)</f>
        <v>0</v>
      </c>
      <c r="FO36" s="1">
        <f>SUM(FO$3:FO$34)</f>
        <v>0</v>
      </c>
      <c r="FP36" s="1">
        <f>SUM(FP$3:FP$34)</f>
        <v>0</v>
      </c>
      <c r="FQ36" s="1">
        <f>SUM(FQ$3:FQ$34)</f>
        <v>0</v>
      </c>
      <c r="FR36" s="1">
        <f>SUM(FR$3:FR$34)</f>
        <v>0</v>
      </c>
      <c r="FS36" s="1">
        <f>SUM(FS$3:FS$34)</f>
        <v>0</v>
      </c>
      <c r="FT36" s="1">
        <f>SUM(FT$3:FT$34)</f>
        <v>0</v>
      </c>
      <c r="FU36" s="1">
        <f>SUM(FU$3:FU$34)</f>
        <v>0</v>
      </c>
      <c r="FV36" s="1"/>
      <c r="FW36" s="1">
        <f>SUM(FW$3:FW$34)</f>
        <v>0</v>
      </c>
      <c r="FX36" s="1">
        <f>SUM(FX$3:FX$34)</f>
        <v>0</v>
      </c>
      <c r="FY36" s="1">
        <f>SUM(FY$3:FY$34)</f>
        <v>0</v>
      </c>
      <c r="FZ36" s="1">
        <f>SUM(FZ$3:FZ$34)</f>
        <v>0</v>
      </c>
      <c r="GA36" s="1">
        <f>SUM(GA$3:GA$34)</f>
        <v>0</v>
      </c>
      <c r="GB36" s="1">
        <f>SUM(GB$3:GB$34)</f>
        <v>0</v>
      </c>
      <c r="GC36" s="1">
        <f>SUM(GC$3:GC$34)</f>
        <v>0</v>
      </c>
      <c r="GD36" s="1">
        <f>SUM(GD$3:GD$34)</f>
        <v>0</v>
      </c>
      <c r="GE36" s="1">
        <f>SUM(GE$3:GE$34)</f>
        <v>0</v>
      </c>
      <c r="GF36" s="1">
        <f>SUM(GF$3:GF$34)</f>
        <v>0</v>
      </c>
      <c r="GG36" s="1">
        <f>SUM(GG$3:GG$34)</f>
        <v>0</v>
      </c>
      <c r="GH36" s="1">
        <f>SUM(GH$3:GH$34)</f>
        <v>0</v>
      </c>
      <c r="GI36" s="1">
        <f>SUM(GI$3:GI$34)</f>
        <v>0</v>
      </c>
      <c r="GJ36" s="1">
        <f>SUM(GJ$3:GJ$34)</f>
        <v>0</v>
      </c>
      <c r="GK36" s="1">
        <f>SUM(GK$3:GK$34)</f>
        <v>0</v>
      </c>
      <c r="GL36" s="1">
        <f>SUM(GL$3:GL$34)</f>
        <v>0</v>
      </c>
      <c r="GM36" s="1">
        <f>SUM(GM$3:GM$34)</f>
        <v>0</v>
      </c>
      <c r="GN36" s="1"/>
      <c r="GO36" s="1">
        <f>SUM(GO$3:GO$34)</f>
        <v>0</v>
      </c>
      <c r="GP36" s="1">
        <f>SUM(GP$3:GP$34)</f>
        <v>0</v>
      </c>
      <c r="GQ36" s="1">
        <f>SUM(GQ$3:GQ$34)</f>
        <v>0</v>
      </c>
      <c r="GR36" s="1">
        <f>SUM(GR$3:GR$34)</f>
        <v>0</v>
      </c>
      <c r="GS36" s="1">
        <f>SUM(GS$3:GS$34)</f>
        <v>0</v>
      </c>
      <c r="GT36" s="1">
        <f>SUM(GT$3:GT$34)</f>
        <v>0</v>
      </c>
      <c r="GU36" s="1">
        <f>SUM(GU$3:GU$34)</f>
        <v>0</v>
      </c>
      <c r="GV36" s="1">
        <f>SUM(GV$3:GV$34)</f>
        <v>0</v>
      </c>
      <c r="GW36" s="1">
        <f>SUM(GW$3:GW$34)</f>
        <v>0</v>
      </c>
      <c r="GX36" s="1">
        <f>SUM(GX$3:GX$34)</f>
        <v>0</v>
      </c>
      <c r="GY36" s="1">
        <f>SUM(GY$3:GY$34)</f>
        <v>0</v>
      </c>
      <c r="GZ36" s="1">
        <f>SUM(GZ$3:GZ$34)</f>
        <v>0</v>
      </c>
      <c r="HA36" s="1">
        <f>SUM(HA$3:HA$34)</f>
        <v>0</v>
      </c>
      <c r="HB36" s="1">
        <f>SUM(HB$3:HB$34)</f>
        <v>0</v>
      </c>
      <c r="HC36" s="1">
        <f>SUM(HC$3:HC$34)</f>
        <v>0</v>
      </c>
      <c r="HD36" s="1">
        <f>SUM(HD$3:HD$34)</f>
        <v>0</v>
      </c>
      <c r="HE36" s="1">
        <f>SUM(HE$3:HE$34)</f>
        <v>0</v>
      </c>
      <c r="HF36" s="1"/>
      <c r="HG36" s="1">
        <f>SUM(HG$3:HG$34)</f>
        <v>0</v>
      </c>
      <c r="HH36" s="1">
        <f>SUM(HH$3:HH$34)</f>
        <v>0</v>
      </c>
      <c r="HI36" s="1">
        <f>SUM(HI$3:HI$34)</f>
        <v>0</v>
      </c>
      <c r="HJ36" s="1">
        <f>SUM(HJ$3:HJ$34)</f>
        <v>0</v>
      </c>
      <c r="HK36" s="1">
        <f>SUM(HK$3:HK$34)</f>
        <v>0</v>
      </c>
      <c r="HL36" s="1">
        <f>SUM(HL$3:HL$34)</f>
        <v>0</v>
      </c>
      <c r="HM36" s="1">
        <f>SUM(HM$3:HM$34)</f>
        <v>0</v>
      </c>
      <c r="HN36" s="1">
        <f>SUM(HN$3:HN$34)</f>
        <v>0</v>
      </c>
      <c r="HO36" s="1">
        <f>SUM(HO$3:HO$34)</f>
        <v>0</v>
      </c>
      <c r="HP36" s="1">
        <f>SUM(HP$3:HP$34)</f>
        <v>0</v>
      </c>
      <c r="HQ36" s="1">
        <f>SUM(HQ$3:HQ$34)</f>
        <v>0</v>
      </c>
      <c r="HR36" s="1">
        <f>SUM(HR$3:HR$34)</f>
        <v>0</v>
      </c>
      <c r="HS36" s="1">
        <f>SUM(HS$3:HS$34)</f>
        <v>0</v>
      </c>
      <c r="HT36" s="1">
        <f>SUM(HT$3:HT$34)</f>
        <v>0</v>
      </c>
      <c r="HU36" s="1">
        <f>SUM(HU$3:HU$34)</f>
        <v>0</v>
      </c>
      <c r="HV36" s="1">
        <f>SUM(HV$3:HV$34)</f>
        <v>0</v>
      </c>
      <c r="HW36" s="1">
        <f>SUM(HW$3:HW$34)</f>
        <v>0</v>
      </c>
      <c r="HX36" s="1"/>
      <c r="HY36" s="1">
        <f>SUM(HY$3:HY$34)</f>
        <v>0</v>
      </c>
      <c r="HZ36" s="1">
        <f>SUM(HZ$3:HZ$34)</f>
        <v>0</v>
      </c>
      <c r="IA36" s="1">
        <f>SUM(IA$3:IA$34)</f>
        <v>0</v>
      </c>
      <c r="IB36" s="1">
        <f>SUM(IB$3:IB$34)</f>
        <v>0</v>
      </c>
      <c r="IC36" s="1">
        <f>SUM(IC$3:IC$34)</f>
        <v>0</v>
      </c>
      <c r="ID36" s="1">
        <f>SUM(ID$3:ID$34)</f>
        <v>0</v>
      </c>
      <c r="IE36" s="1">
        <f>SUM(IE$3:IE$34)</f>
        <v>0</v>
      </c>
      <c r="IF36" s="1">
        <f>SUM(IF$3:IF$34)</f>
        <v>0</v>
      </c>
      <c r="IG36" s="1">
        <f>SUM(IG$3:IG$34)</f>
        <v>0</v>
      </c>
      <c r="IH36" s="1">
        <f>SUM(IH$3:IH$34)</f>
        <v>0</v>
      </c>
      <c r="II36" s="1">
        <f>SUM(II$3:II$34)</f>
        <v>0</v>
      </c>
      <c r="IJ36" s="1">
        <f>SUM(IJ$3:IJ$34)</f>
        <v>0</v>
      </c>
      <c r="IK36" s="1">
        <f>SUM(IK$3:IK$34)</f>
        <v>0</v>
      </c>
      <c r="IL36" s="1">
        <f>SUM(IL$3:IL$34)</f>
        <v>0</v>
      </c>
      <c r="IM36" s="1">
        <f>SUM(IM$3:IM$34)</f>
        <v>0</v>
      </c>
      <c r="IN36" s="1">
        <f>SUM(IN$3:IN$34)</f>
        <v>0</v>
      </c>
      <c r="IO36" s="1">
        <f>SUM(IO$3:IO$34)</f>
        <v>0</v>
      </c>
      <c r="IP36" s="1"/>
      <c r="IQ36" s="1">
        <f>SUM(IQ$3:IQ$34)</f>
        <v>0</v>
      </c>
      <c r="IR36" s="1">
        <f>SUM(IR$3:IR$34)</f>
        <v>0</v>
      </c>
      <c r="IS36" s="1">
        <f>SUM(IS$3:IS$34)</f>
        <v>0</v>
      </c>
      <c r="IT36" s="1">
        <f>SUM(IT$3:IT$34)</f>
        <v>0</v>
      </c>
      <c r="IU36" s="1">
        <f>SUM(IU$3:IU$34)</f>
        <v>0</v>
      </c>
      <c r="IV36" s="1">
        <f>SUM(IV$3:IV$34)</f>
        <v>0</v>
      </c>
      <c r="IW36" s="1">
        <f>SUM(IW$3:IW$34)</f>
        <v>0</v>
      </c>
      <c r="IX36" s="1">
        <f>SUM(IX$3:IX$34)</f>
        <v>0</v>
      </c>
      <c r="IY36" s="1">
        <f>SUM(IY$3:IY$34)</f>
        <v>0</v>
      </c>
      <c r="IZ36" s="1">
        <f>SUM(IZ$3:IZ$34)</f>
        <v>0</v>
      </c>
      <c r="JA36" s="1">
        <f>SUM(JA$3:JA$34)</f>
        <v>0</v>
      </c>
      <c r="JB36" s="1">
        <f>SUM(JB$3:JB$34)</f>
        <v>0</v>
      </c>
      <c r="JC36" s="1">
        <f>SUM(JC$3:JC$34)</f>
        <v>0</v>
      </c>
      <c r="JD36" s="1">
        <f>SUM(JD$3:JD$34)</f>
        <v>0</v>
      </c>
      <c r="JE36" s="1">
        <f>SUM(JE$3:JE$34)</f>
        <v>0</v>
      </c>
      <c r="JF36" s="1">
        <f>SUM(JF$3:JF$34)</f>
        <v>0</v>
      </c>
      <c r="JG36" s="1">
        <f>SUM(JG$3:JG$34)</f>
        <v>0</v>
      </c>
      <c r="JH36" s="1"/>
      <c r="JI36" s="1">
        <f>SUM(JI$3:JI$34)</f>
        <v>0</v>
      </c>
      <c r="JJ36" s="1">
        <f>SUM(JJ$3:JJ$34)</f>
        <v>0</v>
      </c>
      <c r="JK36" s="1">
        <f>SUM(JK$3:JK$34)</f>
        <v>0</v>
      </c>
      <c r="JL36" s="1">
        <f>SUM(JL$3:JL$34)</f>
        <v>0</v>
      </c>
      <c r="JM36" s="1">
        <f>SUM(JM$3:JM$34)</f>
        <v>0</v>
      </c>
      <c r="JN36" s="1">
        <f>SUM(JN$3:JN$34)</f>
        <v>0</v>
      </c>
      <c r="JO36" s="1">
        <f>SUM(JO$3:JO$34)</f>
        <v>0</v>
      </c>
      <c r="JP36" s="1">
        <f>SUM(JP$3:JP$34)</f>
        <v>0</v>
      </c>
      <c r="JQ36" s="1">
        <f>SUM(JQ$3:JQ$34)</f>
        <v>0</v>
      </c>
      <c r="JR36" s="1">
        <f>SUM(JR$3:JR$34)</f>
        <v>0</v>
      </c>
      <c r="JS36" s="1">
        <f>SUM(JS$3:JS$34)</f>
        <v>0</v>
      </c>
      <c r="JT36" s="1">
        <f>SUM(JT$3:JT$34)</f>
        <v>0</v>
      </c>
      <c r="JU36" s="1">
        <f>SUM(JU$3:JU$34)</f>
        <v>0</v>
      </c>
      <c r="JV36" s="1">
        <f>SUM(JV$3:JV$34)</f>
        <v>0</v>
      </c>
      <c r="JW36" s="1">
        <f>SUM(JW$3:JW$34)</f>
        <v>0</v>
      </c>
      <c r="JX36" s="1">
        <f>SUM(JX$3:JX$34)</f>
        <v>0</v>
      </c>
      <c r="JY36" s="1">
        <f>SUM(JY$3:JY$34)</f>
        <v>0</v>
      </c>
      <c r="JZ36" s="1"/>
      <c r="KA36" s="1">
        <f>SUM(KA$3:KA$34)</f>
        <v>0</v>
      </c>
      <c r="KB36" s="1">
        <f>SUM(KB$3:KB$34)</f>
        <v>0</v>
      </c>
      <c r="KC36" s="1">
        <f>SUM(KC$3:KC$34)</f>
        <v>0</v>
      </c>
      <c r="KD36" s="1">
        <f>SUM(KD$3:KD$34)</f>
        <v>0</v>
      </c>
      <c r="KE36" s="1">
        <f>SUM(KE$3:KE$34)</f>
        <v>0</v>
      </c>
      <c r="KF36" s="1">
        <f>SUM(KF$3:KF$34)</f>
        <v>0</v>
      </c>
      <c r="KG36" s="1">
        <f>SUM(KG$3:KG$34)</f>
        <v>0</v>
      </c>
      <c r="KH36" s="1">
        <f>SUM(KH$3:KH$34)</f>
        <v>0</v>
      </c>
      <c r="KI36" s="1">
        <f>SUM(KI$3:KI$34)</f>
        <v>0</v>
      </c>
      <c r="KJ36" s="1">
        <f>SUM(KJ$3:KJ$34)</f>
        <v>0</v>
      </c>
      <c r="KK36" s="1">
        <f>SUM(KK$3:KK$34)</f>
        <v>0</v>
      </c>
      <c r="KL36" s="1">
        <f>SUM(KL$3:KL$34)</f>
        <v>0</v>
      </c>
      <c r="KM36" s="1">
        <f>SUM(KM$3:KM$34)</f>
        <v>0</v>
      </c>
      <c r="KN36" s="1">
        <f>SUM(KN$3:KN$34)</f>
        <v>0</v>
      </c>
      <c r="KO36" s="1">
        <f>SUM(KO$3:KO$34)</f>
        <v>0</v>
      </c>
      <c r="KP36" s="1">
        <f>SUM(KP$3:KP$34)</f>
        <v>0</v>
      </c>
      <c r="KQ36" s="1">
        <f>SUM(KQ$3:KQ$34)</f>
        <v>0</v>
      </c>
      <c r="KR36" s="1">
        <f>SUM(KR$3:KR$34)</f>
        <v>0</v>
      </c>
      <c r="KS36" s="1">
        <f>SUM(KS$3:KS$34)</f>
        <v>0</v>
      </c>
      <c r="KT36" s="1">
        <f>SUM(KT$3:KT$34)</f>
        <v>0</v>
      </c>
      <c r="KU36" s="1">
        <f>SUM(KU$3:KU$34)</f>
        <v>0</v>
      </c>
      <c r="KV36" s="1">
        <f>SUM(KV$3:KV$34)</f>
        <v>0</v>
      </c>
      <c r="KW36" s="1">
        <f>SUM(KW$3:KW$34)</f>
        <v>0</v>
      </c>
      <c r="KX36" s="1">
        <f>SUM(KX$3:KX$34)</f>
        <v>0</v>
      </c>
      <c r="KY36" s="1">
        <f>SUM(KY$3:KY$34)</f>
        <v>0</v>
      </c>
      <c r="KZ36" s="1">
        <f>SUM(KZ$3:KZ$34)</f>
        <v>0</v>
      </c>
      <c r="LA36" s="1">
        <f>SUM(LA$3:LA$34)</f>
        <v>0</v>
      </c>
      <c r="LB36" s="1">
        <f>SUM(LB$3:LB$34)</f>
        <v>0</v>
      </c>
      <c r="LC36" s="1">
        <f>SUM(LC$3:LC$34)</f>
        <v>0</v>
      </c>
      <c r="LD36" s="1">
        <f>SUM(LD$3:LD$34)</f>
        <v>0</v>
      </c>
      <c r="LE36" s="1">
        <f>SUM(LE$3:LE$34)</f>
        <v>0</v>
      </c>
      <c r="LF36" s="1">
        <f>SUM(LF$3:LF$34)</f>
        <v>0</v>
      </c>
      <c r="LG36" s="1">
        <f>SUM(LG$3:LG$34)</f>
        <v>0</v>
      </c>
      <c r="LH36" s="1">
        <f>SUM(LH$3:LH$34)</f>
        <v>0</v>
      </c>
      <c r="LI36" s="1">
        <f>SUM(LI$3:LI$34)</f>
        <v>0</v>
      </c>
      <c r="LJ36" s="1">
        <f>SUM(LJ$3:LJ$34)</f>
        <v>0</v>
      </c>
      <c r="LK36" s="1">
        <f>SUM(LK$3:LK$34)</f>
        <v>0</v>
      </c>
      <c r="LL36" s="1">
        <f>SUM(LL$3:LL$34)</f>
        <v>0</v>
      </c>
      <c r="LM36" s="1">
        <f>SUM(LM$3:LM$34)</f>
        <v>0</v>
      </c>
      <c r="LN36" s="1">
        <f>SUM(LN$3:LN$34)</f>
        <v>0</v>
      </c>
      <c r="LO36" s="1">
        <f>SUM(LO$3:LO$34)</f>
        <v>0</v>
      </c>
      <c r="LP36" s="1">
        <f>SUM(LP$3:LP$34)</f>
        <v>0</v>
      </c>
      <c r="LQ36" s="1">
        <f>SUM(LQ$3:LQ$34)</f>
        <v>0</v>
      </c>
      <c r="LR36" s="1">
        <f>SUM(LR$3:LR$34)</f>
        <v>0</v>
      </c>
      <c r="LS36" s="1">
        <f>SUM(LS$3:LS$34)</f>
        <v>0</v>
      </c>
      <c r="LT36" s="1">
        <f>SUM(LT$3:LT$34)</f>
        <v>0</v>
      </c>
      <c r="LU36" s="1">
        <f>SUM(LU$3:LU$34)</f>
        <v>0</v>
      </c>
      <c r="LV36" s="1">
        <f>SUM(LV$3:LV$34)</f>
        <v>0</v>
      </c>
      <c r="LW36" s="1">
        <f>SUM(LW$3:LW$34)</f>
        <v>0</v>
      </c>
      <c r="LX36" s="1">
        <f>SUM(LX$3:LX$34)</f>
        <v>0</v>
      </c>
      <c r="LY36" s="1">
        <f>SUM(LY$3:LY$34)</f>
        <v>0</v>
      </c>
      <c r="LZ36" s="1">
        <f>SUM(LZ$3:LZ$34)</f>
        <v>0</v>
      </c>
      <c r="MA36" s="1">
        <f>SUM(MA$3:MA$34)</f>
        <v>0</v>
      </c>
      <c r="MB36" s="1">
        <f>SUM(MB$3:MB$34)</f>
        <v>0</v>
      </c>
    </row>
    <row r="37" spans="1:340">
      <c r="A37" s="1" t="s">
        <v>33</v>
      </c>
      <c r="B37" s="1">
        <f>AVERAGE(B$3:B$34)</f>
        <v>0</v>
      </c>
      <c r="C37" s="1">
        <f>AVERAGE(C$3:C$34)</f>
        <v>0</v>
      </c>
      <c r="D37" s="1">
        <f>AVERAGE(D$3:D$34)</f>
        <v>0</v>
      </c>
      <c r="E37" s="1">
        <f>AVERAGE(E$3:E$34)</f>
        <v>0</v>
      </c>
      <c r="F37" s="1">
        <f>AVERAGE(F$3:F$34)</f>
        <v>0</v>
      </c>
      <c r="G37" s="1">
        <f>AVERAGE(G$3:G$34)</f>
        <v>0</v>
      </c>
      <c r="H37" s="1">
        <f>AVERAGE(H$3:H$34)</f>
        <v>0</v>
      </c>
      <c r="I37" s="1">
        <f>AVERAGE(I$3:I$34)</f>
        <v>0</v>
      </c>
      <c r="J37" s="1">
        <f>AVERAGE(J$3:J$34)</f>
        <v>0</v>
      </c>
      <c r="K37" s="1">
        <f>AVERAGE(K$3:K$34)</f>
        <v>0</v>
      </c>
      <c r="L37" s="1">
        <f>AVERAGE(L$3:L$34)</f>
        <v>0</v>
      </c>
      <c r="M37" s="1">
        <f>AVERAGE(M$3:M$34)</f>
        <v>0</v>
      </c>
      <c r="N37" s="1">
        <f>AVERAGE(N$3:N$34)</f>
        <v>0</v>
      </c>
      <c r="O37" s="1">
        <f>AVERAGE(O$3:O$34)</f>
        <v>0</v>
      </c>
      <c r="P37" s="1"/>
      <c r="Q37" s="1">
        <f>AVERAGE(Q$3:Q$34)</f>
        <v>0</v>
      </c>
      <c r="R37" s="1">
        <f>AVERAGE(R$3:R$34)</f>
        <v>0</v>
      </c>
      <c r="S37" s="1">
        <f>AVERAGE(S$3:S$34)</f>
        <v>0</v>
      </c>
      <c r="T37" s="1">
        <f>AVERAGE(T$3:T$34)</f>
        <v>0</v>
      </c>
      <c r="U37" s="1">
        <f>AVERAGE(U$3:U$34)</f>
        <v>0</v>
      </c>
      <c r="V37" s="1">
        <f>AVERAGE(V$3:V$34)</f>
        <v>0</v>
      </c>
      <c r="W37" s="1">
        <f>AVERAGE(W$3:W$34)</f>
        <v>0</v>
      </c>
      <c r="X37" s="1">
        <f>AVERAGE(X$3:X$34)</f>
        <v>0</v>
      </c>
      <c r="Y37" s="1">
        <f>AVERAGE(Y$3:Y$34)</f>
        <v>0</v>
      </c>
      <c r="Z37" s="1">
        <f>AVERAGE(Z$3:Z$34)</f>
        <v>0</v>
      </c>
      <c r="AA37" s="1">
        <f>AVERAGE(AA$3:AA$34)</f>
        <v>0</v>
      </c>
      <c r="AB37" s="1">
        <f>AVERAGE(AB$3:AB$34)</f>
        <v>0</v>
      </c>
      <c r="AC37" s="1">
        <f>AVERAGE(AC$3:AC$34)</f>
        <v>0</v>
      </c>
      <c r="AD37" s="1">
        <f>AVERAGE(AD$3:AD$34)</f>
        <v>0</v>
      </c>
      <c r="AE37" s="1">
        <f>AVERAGE(AE$3:AE$34)</f>
        <v>0</v>
      </c>
      <c r="AF37" s="1">
        <f>AVERAGE(AF$3:AF$34)</f>
        <v>0</v>
      </c>
      <c r="AG37" s="1">
        <f>AVERAGE(AG$3:AG$34)</f>
        <v>0</v>
      </c>
      <c r="AH37" s="1"/>
      <c r="AI37" s="1">
        <f>AVERAGE(AI$3:AI$34)</f>
        <v>0</v>
      </c>
      <c r="AJ37" s="1">
        <f>AVERAGE(AJ$3:AJ$34)</f>
        <v>0</v>
      </c>
      <c r="AK37" s="1">
        <f>AVERAGE(AK$3:AK$34)</f>
        <v>0</v>
      </c>
      <c r="AL37" s="1">
        <f>AVERAGE(AL$3:AL$34)</f>
        <v>0</v>
      </c>
      <c r="AM37" s="1">
        <f>AVERAGE(AM$3:AM$34)</f>
        <v>0</v>
      </c>
      <c r="AN37" s="1">
        <f>AVERAGE(AN$3:AN$34)</f>
        <v>0</v>
      </c>
      <c r="AO37" s="1">
        <f>AVERAGE(AO$3:AO$34)</f>
        <v>0</v>
      </c>
      <c r="AP37" s="1">
        <f>AVERAGE(AP$3:AP$34)</f>
        <v>0</v>
      </c>
      <c r="AQ37" s="1">
        <f>AVERAGE(AQ$3:AQ$34)</f>
        <v>0</v>
      </c>
      <c r="AR37" s="1">
        <f>AVERAGE(AR$3:AR$34)</f>
        <v>0</v>
      </c>
      <c r="AS37" s="1">
        <f>AVERAGE(AS$3:AS$34)</f>
        <v>0</v>
      </c>
      <c r="AT37" s="1">
        <f>AVERAGE(AT$3:AT$34)</f>
        <v>0</v>
      </c>
      <c r="AU37" s="1">
        <f>AVERAGE(AU$3:AU$34)</f>
        <v>0</v>
      </c>
      <c r="AV37" s="1">
        <f>AVERAGE(AV$3:AV$34)</f>
        <v>0</v>
      </c>
      <c r="AW37" s="1">
        <f>AVERAGE(AW$3:AW$34)</f>
        <v>0</v>
      </c>
      <c r="AX37" s="1">
        <f>AVERAGE(AX$3:AX$34)</f>
        <v>0</v>
      </c>
      <c r="AY37" s="1">
        <f>AVERAGE(AY$3:AY$34)</f>
        <v>0</v>
      </c>
      <c r="AZ37" s="1"/>
      <c r="BA37" s="1">
        <f>AVERAGE(BA$3:BA$34)</f>
        <v>0</v>
      </c>
      <c r="BB37" s="1">
        <f>AVERAGE(BB$3:BB$34)</f>
        <v>0</v>
      </c>
      <c r="BC37" s="1">
        <f>AVERAGE(BC$3:BC$34)</f>
        <v>0</v>
      </c>
      <c r="BD37" s="1">
        <f>AVERAGE(BD$3:BD$34)</f>
        <v>0</v>
      </c>
      <c r="BE37" s="1">
        <f>AVERAGE(BE$3:BE$34)</f>
        <v>0</v>
      </c>
      <c r="BF37" s="1">
        <f>AVERAGE(BF$3:BF$34)</f>
        <v>0</v>
      </c>
      <c r="BG37" s="1">
        <f>AVERAGE(BG$3:BG$34)</f>
        <v>0</v>
      </c>
      <c r="BH37" s="1">
        <f>AVERAGE(BH$3:BH$34)</f>
        <v>0</v>
      </c>
      <c r="BI37" s="1">
        <f>AVERAGE(BI$3:BI$34)</f>
        <v>0</v>
      </c>
      <c r="BJ37" s="1">
        <f>AVERAGE(BJ$3:BJ$34)</f>
        <v>0</v>
      </c>
      <c r="BK37" s="1">
        <f>AVERAGE(BK$3:BK$34)</f>
        <v>0</v>
      </c>
      <c r="BL37" s="1">
        <f>AVERAGE(BL$3:BL$34)</f>
        <v>0</v>
      </c>
      <c r="BM37" s="1">
        <f>AVERAGE(BM$3:BM$34)</f>
        <v>0</v>
      </c>
      <c r="BN37" s="1">
        <f>AVERAGE(BN$3:BN$34)</f>
        <v>0</v>
      </c>
      <c r="BO37" s="1">
        <f>AVERAGE(BO$3:BO$34)</f>
        <v>0</v>
      </c>
      <c r="BP37" s="1">
        <f>AVERAGE(BP$3:BP$34)</f>
        <v>0</v>
      </c>
      <c r="BQ37" s="1">
        <f>AVERAGE(BQ$3:BQ$34)</f>
        <v>0</v>
      </c>
      <c r="BR37" s="1"/>
      <c r="BS37" s="1">
        <f>AVERAGE(BS$3:BS$34)</f>
        <v>0</v>
      </c>
      <c r="BT37" s="1">
        <f>AVERAGE(BT$3:BT$34)</f>
        <v>0</v>
      </c>
      <c r="BU37" s="1">
        <f>AVERAGE(BU$3:BU$34)</f>
        <v>0</v>
      </c>
      <c r="BV37" s="1">
        <f>AVERAGE(BV$3:BV$34)</f>
        <v>0</v>
      </c>
      <c r="BW37" s="1">
        <f>AVERAGE(BW$3:BW$34)</f>
        <v>0</v>
      </c>
      <c r="BX37" s="1">
        <f>AVERAGE(BX$3:BX$34)</f>
        <v>0</v>
      </c>
      <c r="BY37" s="1">
        <f>AVERAGE(BY$3:BY$34)</f>
        <v>0</v>
      </c>
      <c r="BZ37" s="1">
        <f>AVERAGE(BZ$3:BZ$34)</f>
        <v>0</v>
      </c>
      <c r="CA37" s="1">
        <f>AVERAGE(CA$3:CA$34)</f>
        <v>0</v>
      </c>
      <c r="CB37" s="1">
        <f>AVERAGE(CB$3:CB$34)</f>
        <v>0</v>
      </c>
      <c r="CC37" s="1">
        <f>AVERAGE(CC$3:CC$34)</f>
        <v>0</v>
      </c>
      <c r="CD37" s="1">
        <f>AVERAGE(CD$3:CD$34)</f>
        <v>0</v>
      </c>
      <c r="CE37" s="1">
        <f>AVERAGE(CE$3:CE$34)</f>
        <v>0</v>
      </c>
      <c r="CF37" s="1">
        <f>AVERAGE(CF$3:CF$34)</f>
        <v>0</v>
      </c>
      <c r="CG37" s="1">
        <f>AVERAGE(CG$3:CG$34)</f>
        <v>0</v>
      </c>
      <c r="CH37" s="1">
        <f>AVERAGE(CH$3:CH$34)</f>
        <v>0</v>
      </c>
      <c r="CI37" s="1">
        <f>AVERAGE(CI$3:CI$34)</f>
        <v>0</v>
      </c>
      <c r="CJ37" s="1"/>
      <c r="CK37" s="1">
        <f>AVERAGE(CK$3:CK$34)</f>
        <v>0</v>
      </c>
      <c r="CL37" s="1">
        <f>AVERAGE(CL$3:CL$34)</f>
        <v>0</v>
      </c>
      <c r="CM37" s="1">
        <f>AVERAGE(CM$3:CM$34)</f>
        <v>0</v>
      </c>
      <c r="CN37" s="1">
        <f>AVERAGE(CN$3:CN$34)</f>
        <v>0</v>
      </c>
      <c r="CO37" s="1">
        <f>AVERAGE(CO$3:CO$34)</f>
        <v>0</v>
      </c>
      <c r="CP37" s="1">
        <f>AVERAGE(CP$3:CP$34)</f>
        <v>0</v>
      </c>
      <c r="CQ37" s="1">
        <f>AVERAGE(CQ$3:CQ$34)</f>
        <v>0</v>
      </c>
      <c r="CR37" s="1">
        <f>AVERAGE(CR$3:CR$34)</f>
        <v>0</v>
      </c>
      <c r="CS37" s="1">
        <f>AVERAGE(CS$3:CS$34)</f>
        <v>0</v>
      </c>
      <c r="CT37" s="1">
        <f>AVERAGE(CT$3:CT$34)</f>
        <v>0</v>
      </c>
      <c r="CU37" s="1">
        <f>AVERAGE(CU$3:CU$34)</f>
        <v>0</v>
      </c>
      <c r="CV37" s="1">
        <f>AVERAGE(CV$3:CV$34)</f>
        <v>0</v>
      </c>
      <c r="CW37" s="1">
        <f>AVERAGE(CW$3:CW$34)</f>
        <v>0</v>
      </c>
      <c r="CX37" s="1">
        <f>AVERAGE(CX$3:CX$34)</f>
        <v>0</v>
      </c>
      <c r="CY37" s="1">
        <f>AVERAGE(CY$3:CY$34)</f>
        <v>0</v>
      </c>
      <c r="CZ37" s="1">
        <f>AVERAGE(CZ$3:CZ$34)</f>
        <v>0</v>
      </c>
      <c r="DA37" s="1">
        <f>AVERAGE(DA$3:DA$34)</f>
        <v>0</v>
      </c>
      <c r="DB37" s="1"/>
      <c r="DC37" s="1">
        <f>AVERAGE(DC$3:DC$34)</f>
        <v>0</v>
      </c>
      <c r="DD37" s="1">
        <f>AVERAGE(DD$3:DD$34)</f>
        <v>0</v>
      </c>
      <c r="DE37" s="1">
        <f>AVERAGE(DE$3:DE$34)</f>
        <v>0</v>
      </c>
      <c r="DF37" s="1">
        <f>AVERAGE(DF$3:DF$34)</f>
        <v>0</v>
      </c>
      <c r="DG37" s="1">
        <f>AVERAGE(DG$3:DG$34)</f>
        <v>0</v>
      </c>
      <c r="DH37" s="1">
        <f>AVERAGE(DH$3:DH$34)</f>
        <v>0</v>
      </c>
      <c r="DI37" s="1">
        <f>AVERAGE(DI$3:DI$34)</f>
        <v>0</v>
      </c>
      <c r="DJ37" s="1">
        <f>AVERAGE(DJ$3:DJ$34)</f>
        <v>0</v>
      </c>
      <c r="DK37" s="1">
        <f>AVERAGE(DK$3:DK$34)</f>
        <v>0</v>
      </c>
      <c r="DL37" s="1">
        <f>AVERAGE(DL$3:DL$34)</f>
        <v>0</v>
      </c>
      <c r="DM37" s="1">
        <f>AVERAGE(DM$3:DM$34)</f>
        <v>0</v>
      </c>
      <c r="DN37" s="1">
        <f>AVERAGE(DN$3:DN$34)</f>
        <v>0</v>
      </c>
      <c r="DO37" s="1">
        <f>AVERAGE(DO$3:DO$34)</f>
        <v>0</v>
      </c>
      <c r="DP37" s="1">
        <f>AVERAGE(DP$3:DP$34)</f>
        <v>0</v>
      </c>
      <c r="DQ37" s="1">
        <f>AVERAGE(DQ$3:DQ$34)</f>
        <v>0</v>
      </c>
      <c r="DR37" s="1">
        <f>AVERAGE(DR$3:DR$34)</f>
        <v>0</v>
      </c>
      <c r="DS37" s="1">
        <f>AVERAGE(DS$3:DS$34)</f>
        <v>0</v>
      </c>
      <c r="DT37" s="1"/>
      <c r="DU37" s="1">
        <f>AVERAGE(DU$3:DU$34)</f>
        <v>0</v>
      </c>
      <c r="DV37" s="1">
        <f>AVERAGE(DV$3:DV$34)</f>
        <v>0</v>
      </c>
      <c r="DW37" s="1">
        <f>AVERAGE(DW$3:DW$34)</f>
        <v>0</v>
      </c>
      <c r="DX37" s="1">
        <f>AVERAGE(DX$3:DX$34)</f>
        <v>0</v>
      </c>
      <c r="DY37" s="1">
        <f>AVERAGE(DY$3:DY$34)</f>
        <v>0</v>
      </c>
      <c r="DZ37" s="1">
        <f>AVERAGE(DZ$3:DZ$34)</f>
        <v>0</v>
      </c>
      <c r="EA37" s="1">
        <f>AVERAGE(EA$3:EA$34)</f>
        <v>0</v>
      </c>
      <c r="EB37" s="1">
        <f>AVERAGE(EB$3:EB$34)</f>
        <v>0</v>
      </c>
      <c r="EC37" s="1">
        <f>AVERAGE(EC$3:EC$34)</f>
        <v>0</v>
      </c>
      <c r="ED37" s="1">
        <f>AVERAGE(ED$3:ED$34)</f>
        <v>0</v>
      </c>
      <c r="EE37" s="1">
        <f>AVERAGE(EE$3:EE$34)</f>
        <v>0</v>
      </c>
      <c r="EF37" s="1">
        <f>AVERAGE(EF$3:EF$34)</f>
        <v>0</v>
      </c>
      <c r="EG37" s="1">
        <f>AVERAGE(EG$3:EG$34)</f>
        <v>0</v>
      </c>
      <c r="EH37" s="1">
        <f>AVERAGE(EH$3:EH$34)</f>
        <v>0</v>
      </c>
      <c r="EI37" s="1">
        <f>AVERAGE(EI$3:EI$34)</f>
        <v>0</v>
      </c>
      <c r="EJ37" s="1">
        <f>AVERAGE(EJ$3:EJ$34)</f>
        <v>0</v>
      </c>
      <c r="EK37" s="1">
        <f>AVERAGE(EK$3:EK$34)</f>
        <v>0</v>
      </c>
      <c r="EL37" s="1"/>
      <c r="EM37" s="1">
        <f>AVERAGE(EM$3:EM$34)</f>
        <v>0</v>
      </c>
      <c r="EN37" s="1">
        <f>AVERAGE(EN$3:EN$34)</f>
        <v>0</v>
      </c>
      <c r="EO37" s="1">
        <f>AVERAGE(EO$3:EO$34)</f>
        <v>0</v>
      </c>
      <c r="EP37" s="1">
        <f>AVERAGE(EP$3:EP$34)</f>
        <v>0</v>
      </c>
      <c r="EQ37" s="1">
        <f>AVERAGE(EQ$3:EQ$34)</f>
        <v>0</v>
      </c>
      <c r="ER37" s="1">
        <f>AVERAGE(ER$3:ER$34)</f>
        <v>0</v>
      </c>
      <c r="ES37" s="1">
        <f>AVERAGE(ES$3:ES$34)</f>
        <v>0</v>
      </c>
      <c r="ET37" s="1">
        <f>AVERAGE(ET$3:ET$34)</f>
        <v>0</v>
      </c>
      <c r="EU37" s="1">
        <f>AVERAGE(EU$3:EU$34)</f>
        <v>0</v>
      </c>
      <c r="EV37" s="1">
        <f>AVERAGE(EV$3:EV$34)</f>
        <v>0</v>
      </c>
      <c r="EW37" s="1">
        <f>AVERAGE(EW$3:EW$34)</f>
        <v>0</v>
      </c>
      <c r="EX37" s="1">
        <f>AVERAGE(EX$3:EX$34)</f>
        <v>0</v>
      </c>
      <c r="EY37" s="1">
        <f>AVERAGE(EY$3:EY$34)</f>
        <v>0</v>
      </c>
      <c r="EZ37" s="1">
        <f>AVERAGE(EZ$3:EZ$34)</f>
        <v>0</v>
      </c>
      <c r="FA37" s="1">
        <f>AVERAGE(FA$3:FA$34)</f>
        <v>0</v>
      </c>
      <c r="FB37" s="1">
        <f>AVERAGE(FB$3:FB$34)</f>
        <v>0</v>
      </c>
      <c r="FC37" s="1">
        <f>AVERAGE(FC$3:FC$34)</f>
        <v>0</v>
      </c>
      <c r="FD37" s="1"/>
      <c r="FE37" s="1">
        <f>AVERAGE(FE$3:FE$34)</f>
        <v>0</v>
      </c>
      <c r="FF37" s="1">
        <f>AVERAGE(FF$3:FF$34)</f>
        <v>0</v>
      </c>
      <c r="FG37" s="1">
        <f>AVERAGE(FG$3:FG$34)</f>
        <v>0</v>
      </c>
      <c r="FH37" s="1">
        <f>AVERAGE(FH$3:FH$34)</f>
        <v>0</v>
      </c>
      <c r="FI37" s="1">
        <f>AVERAGE(FI$3:FI$34)</f>
        <v>0</v>
      </c>
      <c r="FJ37" s="1">
        <f>AVERAGE(FJ$3:FJ$34)</f>
        <v>0</v>
      </c>
      <c r="FK37" s="1">
        <f>AVERAGE(FK$3:FK$34)</f>
        <v>0</v>
      </c>
      <c r="FL37" s="1">
        <f>AVERAGE(FL$3:FL$34)</f>
        <v>0</v>
      </c>
      <c r="FM37" s="1">
        <f>AVERAGE(FM$3:FM$34)</f>
        <v>0</v>
      </c>
      <c r="FN37" s="1">
        <f>AVERAGE(FN$3:FN$34)</f>
        <v>0</v>
      </c>
      <c r="FO37" s="1">
        <f>AVERAGE(FO$3:FO$34)</f>
        <v>0</v>
      </c>
      <c r="FP37" s="1">
        <f>AVERAGE(FP$3:FP$34)</f>
        <v>0</v>
      </c>
      <c r="FQ37" s="1">
        <f>AVERAGE(FQ$3:FQ$34)</f>
        <v>0</v>
      </c>
      <c r="FR37" s="1">
        <f>AVERAGE(FR$3:FR$34)</f>
        <v>0</v>
      </c>
      <c r="FS37" s="1">
        <f>AVERAGE(FS$3:FS$34)</f>
        <v>0</v>
      </c>
      <c r="FT37" s="1">
        <f>AVERAGE(FT$3:FT$34)</f>
        <v>0</v>
      </c>
      <c r="FU37" s="1">
        <f>AVERAGE(FU$3:FU$34)</f>
        <v>0</v>
      </c>
      <c r="FV37" s="1"/>
      <c r="FW37" s="1">
        <f>AVERAGE(FW$3:FW$34)</f>
        <v>0</v>
      </c>
      <c r="FX37" s="1">
        <f>AVERAGE(FX$3:FX$34)</f>
        <v>0</v>
      </c>
      <c r="FY37" s="1">
        <f>AVERAGE(FY$3:FY$34)</f>
        <v>0</v>
      </c>
      <c r="FZ37" s="1">
        <f>AVERAGE(FZ$3:FZ$34)</f>
        <v>0</v>
      </c>
      <c r="GA37" s="1">
        <f>AVERAGE(GA$3:GA$34)</f>
        <v>0</v>
      </c>
      <c r="GB37" s="1">
        <f>AVERAGE(GB$3:GB$34)</f>
        <v>0</v>
      </c>
      <c r="GC37" s="1">
        <f>AVERAGE(GC$3:GC$34)</f>
        <v>0</v>
      </c>
      <c r="GD37" s="1">
        <f>AVERAGE(GD$3:GD$34)</f>
        <v>0</v>
      </c>
      <c r="GE37" s="1">
        <f>AVERAGE(GE$3:GE$34)</f>
        <v>0</v>
      </c>
      <c r="GF37" s="1">
        <f>AVERAGE(GF$3:GF$34)</f>
        <v>0</v>
      </c>
      <c r="GG37" s="1">
        <f>AVERAGE(GG$3:GG$34)</f>
        <v>0</v>
      </c>
      <c r="GH37" s="1">
        <f>AVERAGE(GH$3:GH$34)</f>
        <v>0</v>
      </c>
      <c r="GI37" s="1">
        <f>AVERAGE(GI$3:GI$34)</f>
        <v>0</v>
      </c>
      <c r="GJ37" s="1">
        <f>AVERAGE(GJ$3:GJ$34)</f>
        <v>0</v>
      </c>
      <c r="GK37" s="1">
        <f>AVERAGE(GK$3:GK$34)</f>
        <v>0</v>
      </c>
      <c r="GL37" s="1">
        <f>AVERAGE(GL$3:GL$34)</f>
        <v>0</v>
      </c>
      <c r="GM37" s="1">
        <f>AVERAGE(GM$3:GM$34)</f>
        <v>0</v>
      </c>
      <c r="GN37" s="1"/>
      <c r="GO37" s="1">
        <f>AVERAGE(GO$3:GO$34)</f>
        <v>0</v>
      </c>
      <c r="GP37" s="1">
        <f>AVERAGE(GP$3:GP$34)</f>
        <v>0</v>
      </c>
      <c r="GQ37" s="1">
        <f>AVERAGE(GQ$3:GQ$34)</f>
        <v>0</v>
      </c>
      <c r="GR37" s="1">
        <f>AVERAGE(GR$3:GR$34)</f>
        <v>0</v>
      </c>
      <c r="GS37" s="1">
        <f>AVERAGE(GS$3:GS$34)</f>
        <v>0</v>
      </c>
      <c r="GT37" s="1">
        <f>AVERAGE(GT$3:GT$34)</f>
        <v>0</v>
      </c>
      <c r="GU37" s="1">
        <f>AVERAGE(GU$3:GU$34)</f>
        <v>0</v>
      </c>
      <c r="GV37" s="1">
        <f>AVERAGE(GV$3:GV$34)</f>
        <v>0</v>
      </c>
      <c r="GW37" s="1">
        <f>AVERAGE(GW$3:GW$34)</f>
        <v>0</v>
      </c>
      <c r="GX37" s="1">
        <f>AVERAGE(GX$3:GX$34)</f>
        <v>0</v>
      </c>
      <c r="GY37" s="1">
        <f>AVERAGE(GY$3:GY$34)</f>
        <v>0</v>
      </c>
      <c r="GZ37" s="1">
        <f>AVERAGE(GZ$3:GZ$34)</f>
        <v>0</v>
      </c>
      <c r="HA37" s="1">
        <f>AVERAGE(HA$3:HA$34)</f>
        <v>0</v>
      </c>
      <c r="HB37" s="1">
        <f>AVERAGE(HB$3:HB$34)</f>
        <v>0</v>
      </c>
      <c r="HC37" s="1">
        <f>AVERAGE(HC$3:HC$34)</f>
        <v>0</v>
      </c>
      <c r="HD37" s="1">
        <f>AVERAGE(HD$3:HD$34)</f>
        <v>0</v>
      </c>
      <c r="HE37" s="1">
        <f>AVERAGE(HE$3:HE$34)</f>
        <v>0</v>
      </c>
      <c r="HF37" s="1"/>
      <c r="HG37" s="1">
        <f>AVERAGE(HG$3:HG$34)</f>
        <v>0</v>
      </c>
      <c r="HH37" s="1">
        <f>AVERAGE(HH$3:HH$34)</f>
        <v>0</v>
      </c>
      <c r="HI37" s="1">
        <f>AVERAGE(HI$3:HI$34)</f>
        <v>0</v>
      </c>
      <c r="HJ37" s="1">
        <f>AVERAGE(HJ$3:HJ$34)</f>
        <v>0</v>
      </c>
      <c r="HK37" s="1">
        <f>AVERAGE(HK$3:HK$34)</f>
        <v>0</v>
      </c>
      <c r="HL37" s="1">
        <f>AVERAGE(HL$3:HL$34)</f>
        <v>0</v>
      </c>
      <c r="HM37" s="1">
        <f>AVERAGE(HM$3:HM$34)</f>
        <v>0</v>
      </c>
      <c r="HN37" s="1">
        <f>AVERAGE(HN$3:HN$34)</f>
        <v>0</v>
      </c>
      <c r="HO37" s="1">
        <f>AVERAGE(HO$3:HO$34)</f>
        <v>0</v>
      </c>
      <c r="HP37" s="1">
        <f>AVERAGE(HP$3:HP$34)</f>
        <v>0</v>
      </c>
      <c r="HQ37" s="1">
        <f>AVERAGE(HQ$3:HQ$34)</f>
        <v>0</v>
      </c>
      <c r="HR37" s="1">
        <f>AVERAGE(HR$3:HR$34)</f>
        <v>0</v>
      </c>
      <c r="HS37" s="1">
        <f>AVERAGE(HS$3:HS$34)</f>
        <v>0</v>
      </c>
      <c r="HT37" s="1">
        <f>AVERAGE(HT$3:HT$34)</f>
        <v>0</v>
      </c>
      <c r="HU37" s="1">
        <f>AVERAGE(HU$3:HU$34)</f>
        <v>0</v>
      </c>
      <c r="HV37" s="1">
        <f>AVERAGE(HV$3:HV$34)</f>
        <v>0</v>
      </c>
      <c r="HW37" s="1">
        <f>AVERAGE(HW$3:HW$34)</f>
        <v>0</v>
      </c>
      <c r="HX37" s="1"/>
      <c r="HY37" s="1">
        <f>AVERAGE(HY$3:HY$34)</f>
        <v>0</v>
      </c>
      <c r="HZ37" s="1">
        <f>AVERAGE(HZ$3:HZ$34)</f>
        <v>0</v>
      </c>
      <c r="IA37" s="1">
        <f>AVERAGE(IA$3:IA$34)</f>
        <v>0</v>
      </c>
      <c r="IB37" s="1">
        <f>AVERAGE(IB$3:IB$34)</f>
        <v>0</v>
      </c>
      <c r="IC37" s="1">
        <f>AVERAGE(IC$3:IC$34)</f>
        <v>0</v>
      </c>
      <c r="ID37" s="1">
        <f>AVERAGE(ID$3:ID$34)</f>
        <v>0</v>
      </c>
      <c r="IE37" s="1">
        <f>AVERAGE(IE$3:IE$34)</f>
        <v>0</v>
      </c>
      <c r="IF37" s="1">
        <f>AVERAGE(IF$3:IF$34)</f>
        <v>0</v>
      </c>
      <c r="IG37" s="1">
        <f>AVERAGE(IG$3:IG$34)</f>
        <v>0</v>
      </c>
      <c r="IH37" s="1">
        <f>AVERAGE(IH$3:IH$34)</f>
        <v>0</v>
      </c>
      <c r="II37" s="1">
        <f>AVERAGE(II$3:II$34)</f>
        <v>0</v>
      </c>
      <c r="IJ37" s="1">
        <f>AVERAGE(IJ$3:IJ$34)</f>
        <v>0</v>
      </c>
      <c r="IK37" s="1">
        <f>AVERAGE(IK$3:IK$34)</f>
        <v>0</v>
      </c>
      <c r="IL37" s="1">
        <f>AVERAGE(IL$3:IL$34)</f>
        <v>0</v>
      </c>
      <c r="IM37" s="1">
        <f>AVERAGE(IM$3:IM$34)</f>
        <v>0</v>
      </c>
      <c r="IN37" s="1">
        <f>AVERAGE(IN$3:IN$34)</f>
        <v>0</v>
      </c>
      <c r="IO37" s="1">
        <f>AVERAGE(IO$3:IO$34)</f>
        <v>0</v>
      </c>
      <c r="IP37" s="1"/>
      <c r="IQ37" s="1">
        <f>AVERAGE(IQ$3:IQ$34)</f>
        <v>0</v>
      </c>
      <c r="IR37" s="1">
        <f>AVERAGE(IR$3:IR$34)</f>
        <v>0</v>
      </c>
      <c r="IS37" s="1">
        <f>AVERAGE(IS$3:IS$34)</f>
        <v>0</v>
      </c>
      <c r="IT37" s="1">
        <f>AVERAGE(IT$3:IT$34)</f>
        <v>0</v>
      </c>
      <c r="IU37" s="1">
        <f>AVERAGE(IU$3:IU$34)</f>
        <v>0</v>
      </c>
      <c r="IV37" s="1">
        <f>AVERAGE(IV$3:IV$34)</f>
        <v>0</v>
      </c>
      <c r="IW37" s="1">
        <f>AVERAGE(IW$3:IW$34)</f>
        <v>0</v>
      </c>
      <c r="IX37" s="1">
        <f>AVERAGE(IX$3:IX$34)</f>
        <v>0</v>
      </c>
      <c r="IY37" s="1">
        <f>AVERAGE(IY$3:IY$34)</f>
        <v>0</v>
      </c>
      <c r="IZ37" s="1">
        <f>AVERAGE(IZ$3:IZ$34)</f>
        <v>0</v>
      </c>
      <c r="JA37" s="1">
        <f>AVERAGE(JA$3:JA$34)</f>
        <v>0</v>
      </c>
      <c r="JB37" s="1">
        <f>AVERAGE(JB$3:JB$34)</f>
        <v>0</v>
      </c>
      <c r="JC37" s="1">
        <f>AVERAGE(JC$3:JC$34)</f>
        <v>0</v>
      </c>
      <c r="JD37" s="1">
        <f>AVERAGE(JD$3:JD$34)</f>
        <v>0</v>
      </c>
      <c r="JE37" s="1">
        <f>AVERAGE(JE$3:JE$34)</f>
        <v>0</v>
      </c>
      <c r="JF37" s="1">
        <f>AVERAGE(JF$3:JF$34)</f>
        <v>0</v>
      </c>
      <c r="JG37" s="1">
        <f>AVERAGE(JG$3:JG$34)</f>
        <v>0</v>
      </c>
      <c r="JH37" s="1"/>
      <c r="JI37" s="1">
        <f>AVERAGE(JI$3:JI$34)</f>
        <v>0</v>
      </c>
      <c r="JJ37" s="1">
        <f>AVERAGE(JJ$3:JJ$34)</f>
        <v>0</v>
      </c>
      <c r="JK37" s="1">
        <f>AVERAGE(JK$3:JK$34)</f>
        <v>0</v>
      </c>
      <c r="JL37" s="1">
        <f>AVERAGE(JL$3:JL$34)</f>
        <v>0</v>
      </c>
      <c r="JM37" s="1">
        <f>AVERAGE(JM$3:JM$34)</f>
        <v>0</v>
      </c>
      <c r="JN37" s="1">
        <f>AVERAGE(JN$3:JN$34)</f>
        <v>0</v>
      </c>
      <c r="JO37" s="1">
        <f>AVERAGE(JO$3:JO$34)</f>
        <v>0</v>
      </c>
      <c r="JP37" s="1">
        <f>AVERAGE(JP$3:JP$34)</f>
        <v>0</v>
      </c>
      <c r="JQ37" s="1">
        <f>AVERAGE(JQ$3:JQ$34)</f>
        <v>0</v>
      </c>
      <c r="JR37" s="1">
        <f>AVERAGE(JR$3:JR$34)</f>
        <v>0</v>
      </c>
      <c r="JS37" s="1">
        <f>AVERAGE(JS$3:JS$34)</f>
        <v>0</v>
      </c>
      <c r="JT37" s="1">
        <f>AVERAGE(JT$3:JT$34)</f>
        <v>0</v>
      </c>
      <c r="JU37" s="1">
        <f>AVERAGE(JU$3:JU$34)</f>
        <v>0</v>
      </c>
      <c r="JV37" s="1">
        <f>AVERAGE(JV$3:JV$34)</f>
        <v>0</v>
      </c>
      <c r="JW37" s="1">
        <f>AVERAGE(JW$3:JW$34)</f>
        <v>0</v>
      </c>
      <c r="JX37" s="1">
        <f>AVERAGE(JX$3:JX$34)</f>
        <v>0</v>
      </c>
      <c r="JY37" s="1">
        <f>AVERAGE(JY$3:JY$34)</f>
        <v>0</v>
      </c>
      <c r="JZ37" s="1"/>
      <c r="KA37" s="1">
        <f>AVERAGE(KA$3:KA$34)</f>
        <v>0</v>
      </c>
      <c r="KB37" s="1">
        <f>AVERAGE(KB$3:KB$34)</f>
        <v>0</v>
      </c>
      <c r="KC37" s="1">
        <f>AVERAGE(KC$3:KC$34)</f>
        <v>0</v>
      </c>
      <c r="KD37" s="1">
        <f>AVERAGE(KD$3:KD$34)</f>
        <v>0</v>
      </c>
      <c r="KE37" s="1">
        <f>AVERAGE(KE$3:KE$34)</f>
        <v>0</v>
      </c>
      <c r="KF37" s="1">
        <f>AVERAGE(KF$3:KF$34)</f>
        <v>0</v>
      </c>
      <c r="KG37" s="1">
        <f>AVERAGE(KG$3:KG$34)</f>
        <v>0</v>
      </c>
      <c r="KH37" s="1">
        <f>AVERAGE(KH$3:KH$34)</f>
        <v>0</v>
      </c>
      <c r="KI37" s="1">
        <f>AVERAGE(KI$3:KI$34)</f>
        <v>0</v>
      </c>
      <c r="KJ37" s="1">
        <f>AVERAGE(KJ$3:KJ$34)</f>
        <v>0</v>
      </c>
      <c r="KK37" s="1">
        <f>AVERAGE(KK$3:KK$34)</f>
        <v>0</v>
      </c>
      <c r="KL37" s="1">
        <f>AVERAGE(KL$3:KL$34)</f>
        <v>0</v>
      </c>
      <c r="KM37" s="1">
        <f>AVERAGE(KM$3:KM$34)</f>
        <v>0</v>
      </c>
      <c r="KN37" s="1">
        <f>AVERAGE(KN$3:KN$34)</f>
        <v>0</v>
      </c>
      <c r="KO37" s="1">
        <f>AVERAGE(KO$3:KO$34)</f>
        <v>0</v>
      </c>
      <c r="KP37" s="1">
        <f>AVERAGE(KP$3:KP$34)</f>
        <v>0</v>
      </c>
      <c r="KQ37" s="1">
        <f>AVERAGE(KQ$3:KQ$34)</f>
        <v>0</v>
      </c>
      <c r="KR37" s="1">
        <f>AVERAGE(KR$3:KR$34)</f>
        <v>0</v>
      </c>
      <c r="KS37" s="1">
        <f>AVERAGE(KS$3:KS$34)</f>
        <v>0</v>
      </c>
      <c r="KT37" s="1">
        <f>AVERAGE(KT$3:KT$34)</f>
        <v>0</v>
      </c>
      <c r="KU37" s="1">
        <f>AVERAGE(KU$3:KU$34)</f>
        <v>0</v>
      </c>
      <c r="KV37" s="1">
        <f>AVERAGE(KV$3:KV$34)</f>
        <v>0</v>
      </c>
      <c r="KW37" s="1">
        <f>AVERAGE(KW$3:KW$34)</f>
        <v>0</v>
      </c>
      <c r="KX37" s="1">
        <f>AVERAGE(KX$3:KX$34)</f>
        <v>0</v>
      </c>
      <c r="KY37" s="1">
        <f>AVERAGE(KY$3:KY$34)</f>
        <v>0</v>
      </c>
      <c r="KZ37" s="1">
        <f>AVERAGE(KZ$3:KZ$34)</f>
        <v>0</v>
      </c>
      <c r="LA37" s="1">
        <f>AVERAGE(LA$3:LA$34)</f>
        <v>0</v>
      </c>
      <c r="LB37" s="1">
        <f>AVERAGE(LB$3:LB$34)</f>
        <v>0</v>
      </c>
      <c r="LC37" s="1">
        <f>AVERAGE(LC$3:LC$34)</f>
        <v>0</v>
      </c>
      <c r="LD37" s="1">
        <f>AVERAGE(LD$3:LD$34)</f>
        <v>0</v>
      </c>
      <c r="LE37" s="1">
        <f>AVERAGE(LE$3:LE$34)</f>
        <v>0</v>
      </c>
      <c r="LF37" s="1">
        <f>AVERAGE(LF$3:LF$34)</f>
        <v>0</v>
      </c>
      <c r="LG37" s="1">
        <f>AVERAGE(LG$3:LG$34)</f>
        <v>0</v>
      </c>
      <c r="LH37" s="1">
        <f>AVERAGE(LH$3:LH$34)</f>
        <v>0</v>
      </c>
      <c r="LI37" s="1">
        <f>AVERAGE(LI$3:LI$34)</f>
        <v>0</v>
      </c>
      <c r="LJ37" s="1">
        <f>AVERAGE(LJ$3:LJ$34)</f>
        <v>0</v>
      </c>
      <c r="LK37" s="1">
        <f>AVERAGE(LK$3:LK$34)</f>
        <v>0</v>
      </c>
      <c r="LL37" s="1">
        <f>AVERAGE(LL$3:LL$34)</f>
        <v>0</v>
      </c>
      <c r="LM37" s="1">
        <f>AVERAGE(LM$3:LM$34)</f>
        <v>0</v>
      </c>
      <c r="LN37" s="1">
        <f>AVERAGE(LN$3:LN$34)</f>
        <v>0</v>
      </c>
      <c r="LO37" s="1">
        <f>AVERAGE(LO$3:LO$34)</f>
        <v>0</v>
      </c>
      <c r="LP37" s="1">
        <f>AVERAGE(LP$3:LP$34)</f>
        <v>0</v>
      </c>
      <c r="LQ37" s="1">
        <f>AVERAGE(LQ$3:LQ$34)</f>
        <v>0</v>
      </c>
      <c r="LR37" s="1">
        <f>AVERAGE(LR$3:LR$34)</f>
        <v>0</v>
      </c>
      <c r="LS37" s="1">
        <f>AVERAGE(LS$3:LS$34)</f>
        <v>0</v>
      </c>
      <c r="LT37" s="1">
        <f>AVERAGE(LT$3:LT$34)</f>
        <v>0</v>
      </c>
      <c r="LU37" s="1">
        <f>AVERAGE(LU$3:LU$34)</f>
        <v>0</v>
      </c>
      <c r="LV37" s="1">
        <f>AVERAGE(LV$3:LV$34)</f>
        <v>0</v>
      </c>
      <c r="LW37" s="1">
        <f>AVERAGE(LW$3:LW$34)</f>
        <v>0</v>
      </c>
      <c r="LX37" s="1">
        <f>AVERAGE(LX$3:LX$34)</f>
        <v>0</v>
      </c>
      <c r="LY37" s="1">
        <f>AVERAGE(LY$3:LY$34)</f>
        <v>0</v>
      </c>
      <c r="LZ37" s="1">
        <f>AVERAGE(LZ$3:LZ$34)</f>
        <v>0</v>
      </c>
      <c r="MA37" s="1">
        <f>AVERAGE(MA$3:MA$34)</f>
        <v>0</v>
      </c>
      <c r="MB37" s="1">
        <f>AVERAGE(MB$3:MB$34)</f>
        <v>0</v>
      </c>
    </row>
    <row r="38" spans="1:340">
      <c r="A38" s="1" t="s">
        <v>34</v>
      </c>
      <c r="B38" s="1">
        <f>STDEV(B$3:B$34)</f>
        <v>0</v>
      </c>
      <c r="C38" s="1">
        <f>STDEV(C$3:C$34)</f>
        <v>0</v>
      </c>
      <c r="D38" s="1">
        <f>STDEV(D$3:D$34)</f>
        <v>0</v>
      </c>
      <c r="E38" s="1">
        <f>STDEV(E$3:E$34)</f>
        <v>0</v>
      </c>
      <c r="F38" s="1">
        <f>STDEV(F$3:F$34)</f>
        <v>0</v>
      </c>
      <c r="G38" s="1">
        <f>STDEV(G$3:G$34)</f>
        <v>0</v>
      </c>
      <c r="H38" s="1">
        <f>STDEV(H$3:H$34)</f>
        <v>0</v>
      </c>
      <c r="I38" s="1">
        <f>STDEV(I$3:I$34)</f>
        <v>0</v>
      </c>
      <c r="J38" s="1">
        <f>STDEV(J$3:J$34)</f>
        <v>0</v>
      </c>
      <c r="K38" s="1">
        <f>STDEV(K$3:K$34)</f>
        <v>0</v>
      </c>
      <c r="L38" s="1">
        <f>STDEV(L$3:L$34)</f>
        <v>0</v>
      </c>
      <c r="M38" s="1">
        <f>STDEV(M$3:M$34)</f>
        <v>0</v>
      </c>
      <c r="N38" s="1">
        <f>STDEV(N$3:N$34)</f>
        <v>0</v>
      </c>
      <c r="O38" s="1">
        <f>STDEV(O$3:O$34)</f>
        <v>0</v>
      </c>
      <c r="P38" s="1"/>
      <c r="Q38" s="1">
        <f>STDEV(Q$3:Q$34)</f>
        <v>0</v>
      </c>
      <c r="R38" s="1">
        <f>STDEV(R$3:R$34)</f>
        <v>0</v>
      </c>
      <c r="S38" s="1">
        <f>STDEV(S$3:S$34)</f>
        <v>0</v>
      </c>
      <c r="T38" s="1">
        <f>STDEV(T$3:T$34)</f>
        <v>0</v>
      </c>
      <c r="U38" s="1">
        <f>STDEV(U$3:U$34)</f>
        <v>0</v>
      </c>
      <c r="V38" s="1">
        <f>STDEV(V$3:V$34)</f>
        <v>0</v>
      </c>
      <c r="W38" s="1">
        <f>STDEV(W$3:W$34)</f>
        <v>0</v>
      </c>
      <c r="X38" s="1">
        <f>STDEV(X$3:X$34)</f>
        <v>0</v>
      </c>
      <c r="Y38" s="1">
        <f>STDEV(Y$3:Y$34)</f>
        <v>0</v>
      </c>
      <c r="Z38" s="1">
        <f>STDEV(Z$3:Z$34)</f>
        <v>0</v>
      </c>
      <c r="AA38" s="1">
        <f>STDEV(AA$3:AA$34)</f>
        <v>0</v>
      </c>
      <c r="AB38" s="1">
        <f>STDEV(AB$3:AB$34)</f>
        <v>0</v>
      </c>
      <c r="AC38" s="1">
        <f>STDEV(AC$3:AC$34)</f>
        <v>0</v>
      </c>
      <c r="AD38" s="1">
        <f>STDEV(AD$3:AD$34)</f>
        <v>0</v>
      </c>
      <c r="AE38" s="1">
        <f>STDEV(AE$3:AE$34)</f>
        <v>0</v>
      </c>
      <c r="AF38" s="1">
        <f>STDEV(AF$3:AF$34)</f>
        <v>0</v>
      </c>
      <c r="AG38" s="1">
        <f>STDEV(AG$3:AG$34)</f>
        <v>0</v>
      </c>
      <c r="AH38" s="1"/>
      <c r="AI38" s="1">
        <f>STDEV(AI$3:AI$34)</f>
        <v>0</v>
      </c>
      <c r="AJ38" s="1">
        <f>STDEV(AJ$3:AJ$34)</f>
        <v>0</v>
      </c>
      <c r="AK38" s="1">
        <f>STDEV(AK$3:AK$34)</f>
        <v>0</v>
      </c>
      <c r="AL38" s="1">
        <f>STDEV(AL$3:AL$34)</f>
        <v>0</v>
      </c>
      <c r="AM38" s="1">
        <f>STDEV(AM$3:AM$34)</f>
        <v>0</v>
      </c>
      <c r="AN38" s="1">
        <f>STDEV(AN$3:AN$34)</f>
        <v>0</v>
      </c>
      <c r="AO38" s="1">
        <f>STDEV(AO$3:AO$34)</f>
        <v>0</v>
      </c>
      <c r="AP38" s="1">
        <f>STDEV(AP$3:AP$34)</f>
        <v>0</v>
      </c>
      <c r="AQ38" s="1">
        <f>STDEV(AQ$3:AQ$34)</f>
        <v>0</v>
      </c>
      <c r="AR38" s="1">
        <f>STDEV(AR$3:AR$34)</f>
        <v>0</v>
      </c>
      <c r="AS38" s="1">
        <f>STDEV(AS$3:AS$34)</f>
        <v>0</v>
      </c>
      <c r="AT38" s="1">
        <f>STDEV(AT$3:AT$34)</f>
        <v>0</v>
      </c>
      <c r="AU38" s="1">
        <f>STDEV(AU$3:AU$34)</f>
        <v>0</v>
      </c>
      <c r="AV38" s="1">
        <f>STDEV(AV$3:AV$34)</f>
        <v>0</v>
      </c>
      <c r="AW38" s="1">
        <f>STDEV(AW$3:AW$34)</f>
        <v>0</v>
      </c>
      <c r="AX38" s="1">
        <f>STDEV(AX$3:AX$34)</f>
        <v>0</v>
      </c>
      <c r="AY38" s="1">
        <f>STDEV(AY$3:AY$34)</f>
        <v>0</v>
      </c>
      <c r="AZ38" s="1"/>
      <c r="BA38" s="1">
        <f>STDEV(BA$3:BA$34)</f>
        <v>0</v>
      </c>
      <c r="BB38" s="1">
        <f>STDEV(BB$3:BB$34)</f>
        <v>0</v>
      </c>
      <c r="BC38" s="1">
        <f>STDEV(BC$3:BC$34)</f>
        <v>0</v>
      </c>
      <c r="BD38" s="1">
        <f>STDEV(BD$3:BD$34)</f>
        <v>0</v>
      </c>
      <c r="BE38" s="1">
        <f>STDEV(BE$3:BE$34)</f>
        <v>0</v>
      </c>
      <c r="BF38" s="1">
        <f>STDEV(BF$3:BF$34)</f>
        <v>0</v>
      </c>
      <c r="BG38" s="1">
        <f>STDEV(BG$3:BG$34)</f>
        <v>0</v>
      </c>
      <c r="BH38" s="1">
        <f>STDEV(BH$3:BH$34)</f>
        <v>0</v>
      </c>
      <c r="BI38" s="1">
        <f>STDEV(BI$3:BI$34)</f>
        <v>0</v>
      </c>
      <c r="BJ38" s="1">
        <f>STDEV(BJ$3:BJ$34)</f>
        <v>0</v>
      </c>
      <c r="BK38" s="1">
        <f>STDEV(BK$3:BK$34)</f>
        <v>0</v>
      </c>
      <c r="BL38" s="1">
        <f>STDEV(BL$3:BL$34)</f>
        <v>0</v>
      </c>
      <c r="BM38" s="1">
        <f>STDEV(BM$3:BM$34)</f>
        <v>0</v>
      </c>
      <c r="BN38" s="1">
        <f>STDEV(BN$3:BN$34)</f>
        <v>0</v>
      </c>
      <c r="BO38" s="1">
        <f>STDEV(BO$3:BO$34)</f>
        <v>0</v>
      </c>
      <c r="BP38" s="1">
        <f>STDEV(BP$3:BP$34)</f>
        <v>0</v>
      </c>
      <c r="BQ38" s="1">
        <f>STDEV(BQ$3:BQ$34)</f>
        <v>0</v>
      </c>
      <c r="BR38" s="1"/>
      <c r="BS38" s="1">
        <f>STDEV(BS$3:BS$34)</f>
        <v>0</v>
      </c>
      <c r="BT38" s="1">
        <f>STDEV(BT$3:BT$34)</f>
        <v>0</v>
      </c>
      <c r="BU38" s="1">
        <f>STDEV(BU$3:BU$34)</f>
        <v>0</v>
      </c>
      <c r="BV38" s="1">
        <f>STDEV(BV$3:BV$34)</f>
        <v>0</v>
      </c>
      <c r="BW38" s="1">
        <f>STDEV(BW$3:BW$34)</f>
        <v>0</v>
      </c>
      <c r="BX38" s="1">
        <f>STDEV(BX$3:BX$34)</f>
        <v>0</v>
      </c>
      <c r="BY38" s="1">
        <f>STDEV(BY$3:BY$34)</f>
        <v>0</v>
      </c>
      <c r="BZ38" s="1">
        <f>STDEV(BZ$3:BZ$34)</f>
        <v>0</v>
      </c>
      <c r="CA38" s="1">
        <f>STDEV(CA$3:CA$34)</f>
        <v>0</v>
      </c>
      <c r="CB38" s="1">
        <f>STDEV(CB$3:CB$34)</f>
        <v>0</v>
      </c>
      <c r="CC38" s="1">
        <f>STDEV(CC$3:CC$34)</f>
        <v>0</v>
      </c>
      <c r="CD38" s="1">
        <f>STDEV(CD$3:CD$34)</f>
        <v>0</v>
      </c>
      <c r="CE38" s="1">
        <f>STDEV(CE$3:CE$34)</f>
        <v>0</v>
      </c>
      <c r="CF38" s="1">
        <f>STDEV(CF$3:CF$34)</f>
        <v>0</v>
      </c>
      <c r="CG38" s="1">
        <f>STDEV(CG$3:CG$34)</f>
        <v>0</v>
      </c>
      <c r="CH38" s="1">
        <f>STDEV(CH$3:CH$34)</f>
        <v>0</v>
      </c>
      <c r="CI38" s="1">
        <f>STDEV(CI$3:CI$34)</f>
        <v>0</v>
      </c>
      <c r="CJ38" s="1"/>
      <c r="CK38" s="1">
        <f>STDEV(CK$3:CK$34)</f>
        <v>0</v>
      </c>
      <c r="CL38" s="1">
        <f>STDEV(CL$3:CL$34)</f>
        <v>0</v>
      </c>
      <c r="CM38" s="1">
        <f>STDEV(CM$3:CM$34)</f>
        <v>0</v>
      </c>
      <c r="CN38" s="1">
        <f>STDEV(CN$3:CN$34)</f>
        <v>0</v>
      </c>
      <c r="CO38" s="1">
        <f>STDEV(CO$3:CO$34)</f>
        <v>0</v>
      </c>
      <c r="CP38" s="1">
        <f>STDEV(CP$3:CP$34)</f>
        <v>0</v>
      </c>
      <c r="CQ38" s="1">
        <f>STDEV(CQ$3:CQ$34)</f>
        <v>0</v>
      </c>
      <c r="CR38" s="1">
        <f>STDEV(CR$3:CR$34)</f>
        <v>0</v>
      </c>
      <c r="CS38" s="1">
        <f>STDEV(CS$3:CS$34)</f>
        <v>0</v>
      </c>
      <c r="CT38" s="1">
        <f>STDEV(CT$3:CT$34)</f>
        <v>0</v>
      </c>
      <c r="CU38" s="1">
        <f>STDEV(CU$3:CU$34)</f>
        <v>0</v>
      </c>
      <c r="CV38" s="1">
        <f>STDEV(CV$3:CV$34)</f>
        <v>0</v>
      </c>
      <c r="CW38" s="1">
        <f>STDEV(CW$3:CW$34)</f>
        <v>0</v>
      </c>
      <c r="CX38" s="1">
        <f>STDEV(CX$3:CX$34)</f>
        <v>0</v>
      </c>
      <c r="CY38" s="1">
        <f>STDEV(CY$3:CY$34)</f>
        <v>0</v>
      </c>
      <c r="CZ38" s="1">
        <f>STDEV(CZ$3:CZ$34)</f>
        <v>0</v>
      </c>
      <c r="DA38" s="1">
        <f>STDEV(DA$3:DA$34)</f>
        <v>0</v>
      </c>
      <c r="DB38" s="1"/>
      <c r="DC38" s="1">
        <f>STDEV(DC$3:DC$34)</f>
        <v>0</v>
      </c>
      <c r="DD38" s="1">
        <f>STDEV(DD$3:DD$34)</f>
        <v>0</v>
      </c>
      <c r="DE38" s="1">
        <f>STDEV(DE$3:DE$34)</f>
        <v>0</v>
      </c>
      <c r="DF38" s="1">
        <f>STDEV(DF$3:DF$34)</f>
        <v>0</v>
      </c>
      <c r="DG38" s="1">
        <f>STDEV(DG$3:DG$34)</f>
        <v>0</v>
      </c>
      <c r="DH38" s="1">
        <f>STDEV(DH$3:DH$34)</f>
        <v>0</v>
      </c>
      <c r="DI38" s="1">
        <f>STDEV(DI$3:DI$34)</f>
        <v>0</v>
      </c>
      <c r="DJ38" s="1">
        <f>STDEV(DJ$3:DJ$34)</f>
        <v>0</v>
      </c>
      <c r="DK38" s="1">
        <f>STDEV(DK$3:DK$34)</f>
        <v>0</v>
      </c>
      <c r="DL38" s="1">
        <f>STDEV(DL$3:DL$34)</f>
        <v>0</v>
      </c>
      <c r="DM38" s="1">
        <f>STDEV(DM$3:DM$34)</f>
        <v>0</v>
      </c>
      <c r="DN38" s="1">
        <f>STDEV(DN$3:DN$34)</f>
        <v>0</v>
      </c>
      <c r="DO38" s="1">
        <f>STDEV(DO$3:DO$34)</f>
        <v>0</v>
      </c>
      <c r="DP38" s="1">
        <f>STDEV(DP$3:DP$34)</f>
        <v>0</v>
      </c>
      <c r="DQ38" s="1">
        <f>STDEV(DQ$3:DQ$34)</f>
        <v>0</v>
      </c>
      <c r="DR38" s="1">
        <f>STDEV(DR$3:DR$34)</f>
        <v>0</v>
      </c>
      <c r="DS38" s="1">
        <f>STDEV(DS$3:DS$34)</f>
        <v>0</v>
      </c>
      <c r="DT38" s="1"/>
      <c r="DU38" s="1">
        <f>STDEV(DU$3:DU$34)</f>
        <v>0</v>
      </c>
      <c r="DV38" s="1">
        <f>STDEV(DV$3:DV$34)</f>
        <v>0</v>
      </c>
      <c r="DW38" s="1">
        <f>STDEV(DW$3:DW$34)</f>
        <v>0</v>
      </c>
      <c r="DX38" s="1">
        <f>STDEV(DX$3:DX$34)</f>
        <v>0</v>
      </c>
      <c r="DY38" s="1">
        <f>STDEV(DY$3:DY$34)</f>
        <v>0</v>
      </c>
      <c r="DZ38" s="1">
        <f>STDEV(DZ$3:DZ$34)</f>
        <v>0</v>
      </c>
      <c r="EA38" s="1">
        <f>STDEV(EA$3:EA$34)</f>
        <v>0</v>
      </c>
      <c r="EB38" s="1">
        <f>STDEV(EB$3:EB$34)</f>
        <v>0</v>
      </c>
      <c r="EC38" s="1">
        <f>STDEV(EC$3:EC$34)</f>
        <v>0</v>
      </c>
      <c r="ED38" s="1">
        <f>STDEV(ED$3:ED$34)</f>
        <v>0</v>
      </c>
      <c r="EE38" s="1">
        <f>STDEV(EE$3:EE$34)</f>
        <v>0</v>
      </c>
      <c r="EF38" s="1">
        <f>STDEV(EF$3:EF$34)</f>
        <v>0</v>
      </c>
      <c r="EG38" s="1">
        <f>STDEV(EG$3:EG$34)</f>
        <v>0</v>
      </c>
      <c r="EH38" s="1">
        <f>STDEV(EH$3:EH$34)</f>
        <v>0</v>
      </c>
      <c r="EI38" s="1">
        <f>STDEV(EI$3:EI$34)</f>
        <v>0</v>
      </c>
      <c r="EJ38" s="1">
        <f>STDEV(EJ$3:EJ$34)</f>
        <v>0</v>
      </c>
      <c r="EK38" s="1">
        <f>STDEV(EK$3:EK$34)</f>
        <v>0</v>
      </c>
      <c r="EL38" s="1"/>
      <c r="EM38" s="1">
        <f>STDEV(EM$3:EM$34)</f>
        <v>0</v>
      </c>
      <c r="EN38" s="1">
        <f>STDEV(EN$3:EN$34)</f>
        <v>0</v>
      </c>
      <c r="EO38" s="1">
        <f>STDEV(EO$3:EO$34)</f>
        <v>0</v>
      </c>
      <c r="EP38" s="1">
        <f>STDEV(EP$3:EP$34)</f>
        <v>0</v>
      </c>
      <c r="EQ38" s="1">
        <f>STDEV(EQ$3:EQ$34)</f>
        <v>0</v>
      </c>
      <c r="ER38" s="1">
        <f>STDEV(ER$3:ER$34)</f>
        <v>0</v>
      </c>
      <c r="ES38" s="1">
        <f>STDEV(ES$3:ES$34)</f>
        <v>0</v>
      </c>
      <c r="ET38" s="1">
        <f>STDEV(ET$3:ET$34)</f>
        <v>0</v>
      </c>
      <c r="EU38" s="1">
        <f>STDEV(EU$3:EU$34)</f>
        <v>0</v>
      </c>
      <c r="EV38" s="1">
        <f>STDEV(EV$3:EV$34)</f>
        <v>0</v>
      </c>
      <c r="EW38" s="1">
        <f>STDEV(EW$3:EW$34)</f>
        <v>0</v>
      </c>
      <c r="EX38" s="1">
        <f>STDEV(EX$3:EX$34)</f>
        <v>0</v>
      </c>
      <c r="EY38" s="1">
        <f>STDEV(EY$3:EY$34)</f>
        <v>0</v>
      </c>
      <c r="EZ38" s="1">
        <f>STDEV(EZ$3:EZ$34)</f>
        <v>0</v>
      </c>
      <c r="FA38" s="1">
        <f>STDEV(FA$3:FA$34)</f>
        <v>0</v>
      </c>
      <c r="FB38" s="1">
        <f>STDEV(FB$3:FB$34)</f>
        <v>0</v>
      </c>
      <c r="FC38" s="1">
        <f>STDEV(FC$3:FC$34)</f>
        <v>0</v>
      </c>
      <c r="FD38" s="1"/>
      <c r="FE38" s="1">
        <f>STDEV(FE$3:FE$34)</f>
        <v>0</v>
      </c>
      <c r="FF38" s="1">
        <f>STDEV(FF$3:FF$34)</f>
        <v>0</v>
      </c>
      <c r="FG38" s="1">
        <f>STDEV(FG$3:FG$34)</f>
        <v>0</v>
      </c>
      <c r="FH38" s="1">
        <f>STDEV(FH$3:FH$34)</f>
        <v>0</v>
      </c>
      <c r="FI38" s="1">
        <f>STDEV(FI$3:FI$34)</f>
        <v>0</v>
      </c>
      <c r="FJ38" s="1">
        <f>STDEV(FJ$3:FJ$34)</f>
        <v>0</v>
      </c>
      <c r="FK38" s="1">
        <f>STDEV(FK$3:FK$34)</f>
        <v>0</v>
      </c>
      <c r="FL38" s="1">
        <f>STDEV(FL$3:FL$34)</f>
        <v>0</v>
      </c>
      <c r="FM38" s="1">
        <f>STDEV(FM$3:FM$34)</f>
        <v>0</v>
      </c>
      <c r="FN38" s="1">
        <f>STDEV(FN$3:FN$34)</f>
        <v>0</v>
      </c>
      <c r="FO38" s="1">
        <f>STDEV(FO$3:FO$34)</f>
        <v>0</v>
      </c>
      <c r="FP38" s="1">
        <f>STDEV(FP$3:FP$34)</f>
        <v>0</v>
      </c>
      <c r="FQ38" s="1">
        <f>STDEV(FQ$3:FQ$34)</f>
        <v>0</v>
      </c>
      <c r="FR38" s="1">
        <f>STDEV(FR$3:FR$34)</f>
        <v>0</v>
      </c>
      <c r="FS38" s="1">
        <f>STDEV(FS$3:FS$34)</f>
        <v>0</v>
      </c>
      <c r="FT38" s="1">
        <f>STDEV(FT$3:FT$34)</f>
        <v>0</v>
      </c>
      <c r="FU38" s="1">
        <f>STDEV(FU$3:FU$34)</f>
        <v>0</v>
      </c>
      <c r="FV38" s="1"/>
      <c r="FW38" s="1">
        <f>STDEV(FW$3:FW$34)</f>
        <v>0</v>
      </c>
      <c r="FX38" s="1">
        <f>STDEV(FX$3:FX$34)</f>
        <v>0</v>
      </c>
      <c r="FY38" s="1">
        <f>STDEV(FY$3:FY$34)</f>
        <v>0</v>
      </c>
      <c r="FZ38" s="1">
        <f>STDEV(FZ$3:FZ$34)</f>
        <v>0</v>
      </c>
      <c r="GA38" s="1">
        <f>STDEV(GA$3:GA$34)</f>
        <v>0</v>
      </c>
      <c r="GB38" s="1">
        <f>STDEV(GB$3:GB$34)</f>
        <v>0</v>
      </c>
      <c r="GC38" s="1">
        <f>STDEV(GC$3:GC$34)</f>
        <v>0</v>
      </c>
      <c r="GD38" s="1">
        <f>STDEV(GD$3:GD$34)</f>
        <v>0</v>
      </c>
      <c r="GE38" s="1">
        <f>STDEV(GE$3:GE$34)</f>
        <v>0</v>
      </c>
      <c r="GF38" s="1">
        <f>STDEV(GF$3:GF$34)</f>
        <v>0</v>
      </c>
      <c r="GG38" s="1">
        <f>STDEV(GG$3:GG$34)</f>
        <v>0</v>
      </c>
      <c r="GH38" s="1">
        <f>STDEV(GH$3:GH$34)</f>
        <v>0</v>
      </c>
      <c r="GI38" s="1">
        <f>STDEV(GI$3:GI$34)</f>
        <v>0</v>
      </c>
      <c r="GJ38" s="1">
        <f>STDEV(GJ$3:GJ$34)</f>
        <v>0</v>
      </c>
      <c r="GK38" s="1">
        <f>STDEV(GK$3:GK$34)</f>
        <v>0</v>
      </c>
      <c r="GL38" s="1">
        <f>STDEV(GL$3:GL$34)</f>
        <v>0</v>
      </c>
      <c r="GM38" s="1">
        <f>STDEV(GM$3:GM$34)</f>
        <v>0</v>
      </c>
      <c r="GN38" s="1"/>
      <c r="GO38" s="1">
        <f>STDEV(GO$3:GO$34)</f>
        <v>0</v>
      </c>
      <c r="GP38" s="1">
        <f>STDEV(GP$3:GP$34)</f>
        <v>0</v>
      </c>
      <c r="GQ38" s="1">
        <f>STDEV(GQ$3:GQ$34)</f>
        <v>0</v>
      </c>
      <c r="GR38" s="1">
        <f>STDEV(GR$3:GR$34)</f>
        <v>0</v>
      </c>
      <c r="GS38" s="1">
        <f>STDEV(GS$3:GS$34)</f>
        <v>0</v>
      </c>
      <c r="GT38" s="1">
        <f>STDEV(GT$3:GT$34)</f>
        <v>0</v>
      </c>
      <c r="GU38" s="1">
        <f>STDEV(GU$3:GU$34)</f>
        <v>0</v>
      </c>
      <c r="GV38" s="1">
        <f>STDEV(GV$3:GV$34)</f>
        <v>0</v>
      </c>
      <c r="GW38" s="1">
        <f>STDEV(GW$3:GW$34)</f>
        <v>0</v>
      </c>
      <c r="GX38" s="1">
        <f>STDEV(GX$3:GX$34)</f>
        <v>0</v>
      </c>
      <c r="GY38" s="1">
        <f>STDEV(GY$3:GY$34)</f>
        <v>0</v>
      </c>
      <c r="GZ38" s="1">
        <f>STDEV(GZ$3:GZ$34)</f>
        <v>0</v>
      </c>
      <c r="HA38" s="1">
        <f>STDEV(HA$3:HA$34)</f>
        <v>0</v>
      </c>
      <c r="HB38" s="1">
        <f>STDEV(HB$3:HB$34)</f>
        <v>0</v>
      </c>
      <c r="HC38" s="1">
        <f>STDEV(HC$3:HC$34)</f>
        <v>0</v>
      </c>
      <c r="HD38" s="1">
        <f>STDEV(HD$3:HD$34)</f>
        <v>0</v>
      </c>
      <c r="HE38" s="1">
        <f>STDEV(HE$3:HE$34)</f>
        <v>0</v>
      </c>
      <c r="HF38" s="1"/>
      <c r="HG38" s="1">
        <f>STDEV(HG$3:HG$34)</f>
        <v>0</v>
      </c>
      <c r="HH38" s="1">
        <f>STDEV(HH$3:HH$34)</f>
        <v>0</v>
      </c>
      <c r="HI38" s="1">
        <f>STDEV(HI$3:HI$34)</f>
        <v>0</v>
      </c>
      <c r="HJ38" s="1">
        <f>STDEV(HJ$3:HJ$34)</f>
        <v>0</v>
      </c>
      <c r="HK38" s="1">
        <f>STDEV(HK$3:HK$34)</f>
        <v>0</v>
      </c>
      <c r="HL38" s="1">
        <f>STDEV(HL$3:HL$34)</f>
        <v>0</v>
      </c>
      <c r="HM38" s="1">
        <f>STDEV(HM$3:HM$34)</f>
        <v>0</v>
      </c>
      <c r="HN38" s="1">
        <f>STDEV(HN$3:HN$34)</f>
        <v>0</v>
      </c>
      <c r="HO38" s="1">
        <f>STDEV(HO$3:HO$34)</f>
        <v>0</v>
      </c>
      <c r="HP38" s="1">
        <f>STDEV(HP$3:HP$34)</f>
        <v>0</v>
      </c>
      <c r="HQ38" s="1">
        <f>STDEV(HQ$3:HQ$34)</f>
        <v>0</v>
      </c>
      <c r="HR38" s="1">
        <f>STDEV(HR$3:HR$34)</f>
        <v>0</v>
      </c>
      <c r="HS38" s="1">
        <f>STDEV(HS$3:HS$34)</f>
        <v>0</v>
      </c>
      <c r="HT38" s="1">
        <f>STDEV(HT$3:HT$34)</f>
        <v>0</v>
      </c>
      <c r="HU38" s="1">
        <f>STDEV(HU$3:HU$34)</f>
        <v>0</v>
      </c>
      <c r="HV38" s="1">
        <f>STDEV(HV$3:HV$34)</f>
        <v>0</v>
      </c>
      <c r="HW38" s="1">
        <f>STDEV(HW$3:HW$34)</f>
        <v>0</v>
      </c>
      <c r="HX38" s="1"/>
      <c r="HY38" s="1">
        <f>STDEV(HY$3:HY$34)</f>
        <v>0</v>
      </c>
      <c r="HZ38" s="1">
        <f>STDEV(HZ$3:HZ$34)</f>
        <v>0</v>
      </c>
      <c r="IA38" s="1">
        <f>STDEV(IA$3:IA$34)</f>
        <v>0</v>
      </c>
      <c r="IB38" s="1">
        <f>STDEV(IB$3:IB$34)</f>
        <v>0</v>
      </c>
      <c r="IC38" s="1">
        <f>STDEV(IC$3:IC$34)</f>
        <v>0</v>
      </c>
      <c r="ID38" s="1">
        <f>STDEV(ID$3:ID$34)</f>
        <v>0</v>
      </c>
      <c r="IE38" s="1">
        <f>STDEV(IE$3:IE$34)</f>
        <v>0</v>
      </c>
      <c r="IF38" s="1">
        <f>STDEV(IF$3:IF$34)</f>
        <v>0</v>
      </c>
      <c r="IG38" s="1">
        <f>STDEV(IG$3:IG$34)</f>
        <v>0</v>
      </c>
      <c r="IH38" s="1">
        <f>STDEV(IH$3:IH$34)</f>
        <v>0</v>
      </c>
      <c r="II38" s="1">
        <f>STDEV(II$3:II$34)</f>
        <v>0</v>
      </c>
      <c r="IJ38" s="1">
        <f>STDEV(IJ$3:IJ$34)</f>
        <v>0</v>
      </c>
      <c r="IK38" s="1">
        <f>STDEV(IK$3:IK$34)</f>
        <v>0</v>
      </c>
      <c r="IL38" s="1">
        <f>STDEV(IL$3:IL$34)</f>
        <v>0</v>
      </c>
      <c r="IM38" s="1">
        <f>STDEV(IM$3:IM$34)</f>
        <v>0</v>
      </c>
      <c r="IN38" s="1">
        <f>STDEV(IN$3:IN$34)</f>
        <v>0</v>
      </c>
      <c r="IO38" s="1">
        <f>STDEV(IO$3:IO$34)</f>
        <v>0</v>
      </c>
      <c r="IP38" s="1"/>
      <c r="IQ38" s="1">
        <f>STDEV(IQ$3:IQ$34)</f>
        <v>0</v>
      </c>
      <c r="IR38" s="1">
        <f>STDEV(IR$3:IR$34)</f>
        <v>0</v>
      </c>
      <c r="IS38" s="1">
        <f>STDEV(IS$3:IS$34)</f>
        <v>0</v>
      </c>
      <c r="IT38" s="1">
        <f>STDEV(IT$3:IT$34)</f>
        <v>0</v>
      </c>
      <c r="IU38" s="1">
        <f>STDEV(IU$3:IU$34)</f>
        <v>0</v>
      </c>
      <c r="IV38" s="1">
        <f>STDEV(IV$3:IV$34)</f>
        <v>0</v>
      </c>
      <c r="IW38" s="1">
        <f>STDEV(IW$3:IW$34)</f>
        <v>0</v>
      </c>
      <c r="IX38" s="1">
        <f>STDEV(IX$3:IX$34)</f>
        <v>0</v>
      </c>
      <c r="IY38" s="1">
        <f>STDEV(IY$3:IY$34)</f>
        <v>0</v>
      </c>
      <c r="IZ38" s="1">
        <f>STDEV(IZ$3:IZ$34)</f>
        <v>0</v>
      </c>
      <c r="JA38" s="1">
        <f>STDEV(JA$3:JA$34)</f>
        <v>0</v>
      </c>
      <c r="JB38" s="1">
        <f>STDEV(JB$3:JB$34)</f>
        <v>0</v>
      </c>
      <c r="JC38" s="1">
        <f>STDEV(JC$3:JC$34)</f>
        <v>0</v>
      </c>
      <c r="JD38" s="1">
        <f>STDEV(JD$3:JD$34)</f>
        <v>0</v>
      </c>
      <c r="JE38" s="1">
        <f>STDEV(JE$3:JE$34)</f>
        <v>0</v>
      </c>
      <c r="JF38" s="1">
        <f>STDEV(JF$3:JF$34)</f>
        <v>0</v>
      </c>
      <c r="JG38" s="1">
        <f>STDEV(JG$3:JG$34)</f>
        <v>0</v>
      </c>
      <c r="JH38" s="1"/>
      <c r="JI38" s="1">
        <f>STDEV(JI$3:JI$34)</f>
        <v>0</v>
      </c>
      <c r="JJ38" s="1">
        <f>STDEV(JJ$3:JJ$34)</f>
        <v>0</v>
      </c>
      <c r="JK38" s="1">
        <f>STDEV(JK$3:JK$34)</f>
        <v>0</v>
      </c>
      <c r="JL38" s="1">
        <f>STDEV(JL$3:JL$34)</f>
        <v>0</v>
      </c>
      <c r="JM38" s="1">
        <f>STDEV(JM$3:JM$34)</f>
        <v>0</v>
      </c>
      <c r="JN38" s="1">
        <f>STDEV(JN$3:JN$34)</f>
        <v>0</v>
      </c>
      <c r="JO38" s="1">
        <f>STDEV(JO$3:JO$34)</f>
        <v>0</v>
      </c>
      <c r="JP38" s="1">
        <f>STDEV(JP$3:JP$34)</f>
        <v>0</v>
      </c>
      <c r="JQ38" s="1">
        <f>STDEV(JQ$3:JQ$34)</f>
        <v>0</v>
      </c>
      <c r="JR38" s="1">
        <f>STDEV(JR$3:JR$34)</f>
        <v>0</v>
      </c>
      <c r="JS38" s="1">
        <f>STDEV(JS$3:JS$34)</f>
        <v>0</v>
      </c>
      <c r="JT38" s="1">
        <f>STDEV(JT$3:JT$34)</f>
        <v>0</v>
      </c>
      <c r="JU38" s="1">
        <f>STDEV(JU$3:JU$34)</f>
        <v>0</v>
      </c>
      <c r="JV38" s="1">
        <f>STDEV(JV$3:JV$34)</f>
        <v>0</v>
      </c>
      <c r="JW38" s="1">
        <f>STDEV(JW$3:JW$34)</f>
        <v>0</v>
      </c>
      <c r="JX38" s="1">
        <f>STDEV(JX$3:JX$34)</f>
        <v>0</v>
      </c>
      <c r="JY38" s="1">
        <f>STDEV(JY$3:JY$34)</f>
        <v>0</v>
      </c>
      <c r="JZ38" s="1"/>
      <c r="KA38" s="1">
        <f>STDEV(KA$3:KA$34)</f>
        <v>0</v>
      </c>
      <c r="KB38" s="1">
        <f>STDEV(KB$3:KB$34)</f>
        <v>0</v>
      </c>
      <c r="KC38" s="1">
        <f>STDEV(KC$3:KC$34)</f>
        <v>0</v>
      </c>
      <c r="KD38" s="1">
        <f>STDEV(KD$3:KD$34)</f>
        <v>0</v>
      </c>
      <c r="KE38" s="1">
        <f>STDEV(KE$3:KE$34)</f>
        <v>0</v>
      </c>
      <c r="KF38" s="1">
        <f>STDEV(KF$3:KF$34)</f>
        <v>0</v>
      </c>
      <c r="KG38" s="1">
        <f>STDEV(KG$3:KG$34)</f>
        <v>0</v>
      </c>
      <c r="KH38" s="1">
        <f>STDEV(KH$3:KH$34)</f>
        <v>0</v>
      </c>
      <c r="KI38" s="1">
        <f>STDEV(KI$3:KI$34)</f>
        <v>0</v>
      </c>
      <c r="KJ38" s="1">
        <f>STDEV(KJ$3:KJ$34)</f>
        <v>0</v>
      </c>
      <c r="KK38" s="1">
        <f>STDEV(KK$3:KK$34)</f>
        <v>0</v>
      </c>
      <c r="KL38" s="1">
        <f>STDEV(KL$3:KL$34)</f>
        <v>0</v>
      </c>
      <c r="KM38" s="1">
        <f>STDEV(KM$3:KM$34)</f>
        <v>0</v>
      </c>
      <c r="KN38" s="1">
        <f>STDEV(KN$3:KN$34)</f>
        <v>0</v>
      </c>
      <c r="KO38" s="1">
        <f>STDEV(KO$3:KO$34)</f>
        <v>0</v>
      </c>
      <c r="KP38" s="1">
        <f>STDEV(KP$3:KP$34)</f>
        <v>0</v>
      </c>
      <c r="KQ38" s="1">
        <f>STDEV(KQ$3:KQ$34)</f>
        <v>0</v>
      </c>
      <c r="KR38" s="1">
        <f>STDEV(KR$3:KR$34)</f>
        <v>0</v>
      </c>
      <c r="KS38" s="1">
        <f>STDEV(KS$3:KS$34)</f>
        <v>0</v>
      </c>
      <c r="KT38" s="1">
        <f>STDEV(KT$3:KT$34)</f>
        <v>0</v>
      </c>
      <c r="KU38" s="1">
        <f>STDEV(KU$3:KU$34)</f>
        <v>0</v>
      </c>
      <c r="KV38" s="1">
        <f>STDEV(KV$3:KV$34)</f>
        <v>0</v>
      </c>
      <c r="KW38" s="1">
        <f>STDEV(KW$3:KW$34)</f>
        <v>0</v>
      </c>
      <c r="KX38" s="1">
        <f>STDEV(KX$3:KX$34)</f>
        <v>0</v>
      </c>
      <c r="KY38" s="1">
        <f>STDEV(KY$3:KY$34)</f>
        <v>0</v>
      </c>
      <c r="KZ38" s="1">
        <f>STDEV(KZ$3:KZ$34)</f>
        <v>0</v>
      </c>
      <c r="LA38" s="1">
        <f>STDEV(LA$3:LA$34)</f>
        <v>0</v>
      </c>
      <c r="LB38" s="1">
        <f>STDEV(LB$3:LB$34)</f>
        <v>0</v>
      </c>
      <c r="LC38" s="1">
        <f>STDEV(LC$3:LC$34)</f>
        <v>0</v>
      </c>
      <c r="LD38" s="1">
        <f>STDEV(LD$3:LD$34)</f>
        <v>0</v>
      </c>
      <c r="LE38" s="1">
        <f>STDEV(LE$3:LE$34)</f>
        <v>0</v>
      </c>
      <c r="LF38" s="1">
        <f>STDEV(LF$3:LF$34)</f>
        <v>0</v>
      </c>
      <c r="LG38" s="1">
        <f>STDEV(LG$3:LG$34)</f>
        <v>0</v>
      </c>
      <c r="LH38" s="1">
        <f>STDEV(LH$3:LH$34)</f>
        <v>0</v>
      </c>
      <c r="LI38" s="1">
        <f>STDEV(LI$3:LI$34)</f>
        <v>0</v>
      </c>
      <c r="LJ38" s="1">
        <f>STDEV(LJ$3:LJ$34)</f>
        <v>0</v>
      </c>
      <c r="LK38" s="1">
        <f>STDEV(LK$3:LK$34)</f>
        <v>0</v>
      </c>
      <c r="LL38" s="1">
        <f>STDEV(LL$3:LL$34)</f>
        <v>0</v>
      </c>
      <c r="LM38" s="1">
        <f>STDEV(LM$3:LM$34)</f>
        <v>0</v>
      </c>
      <c r="LN38" s="1">
        <f>STDEV(LN$3:LN$34)</f>
        <v>0</v>
      </c>
      <c r="LO38" s="1">
        <f>STDEV(LO$3:LO$34)</f>
        <v>0</v>
      </c>
      <c r="LP38" s="1">
        <f>STDEV(LP$3:LP$34)</f>
        <v>0</v>
      </c>
      <c r="LQ38" s="1">
        <f>STDEV(LQ$3:LQ$34)</f>
        <v>0</v>
      </c>
      <c r="LR38" s="1">
        <f>STDEV(LR$3:LR$34)</f>
        <v>0</v>
      </c>
      <c r="LS38" s="1">
        <f>STDEV(LS$3:LS$34)</f>
        <v>0</v>
      </c>
      <c r="LT38" s="1">
        <f>STDEV(LT$3:LT$34)</f>
        <v>0</v>
      </c>
      <c r="LU38" s="1">
        <f>STDEV(LU$3:LU$34)</f>
        <v>0</v>
      </c>
      <c r="LV38" s="1">
        <f>STDEV(LV$3:LV$34)</f>
        <v>0</v>
      </c>
      <c r="LW38" s="1">
        <f>STDEV(LW$3:LW$34)</f>
        <v>0</v>
      </c>
      <c r="LX38" s="1">
        <f>STDEV(LX$3:LX$34)</f>
        <v>0</v>
      </c>
      <c r="LY38" s="1">
        <f>STDEV(LY$3:LY$34)</f>
        <v>0</v>
      </c>
      <c r="LZ38" s="1">
        <f>STDEV(LZ$3:LZ$34)</f>
        <v>0</v>
      </c>
      <c r="MA38" s="1">
        <f>STDEV(MA$3:MA$34)</f>
        <v>0</v>
      </c>
      <c r="MB38" s="1">
        <f>STDEV(MB$3:MB$34)</f>
        <v>0</v>
      </c>
    </row>
    <row r="39" spans="1:340">
      <c r="A39" s="1" t="s">
        <v>35</v>
      </c>
      <c r="B39" s="1">
        <f>SUMPRODUCT(--(B$3:B$34-$KD$3:$KD$34)^2)^0.5</f>
        <v>0</v>
      </c>
      <c r="C39" s="1">
        <f>SUMPRODUCT(--(C$3:C$34-$KE$3:$KE$34)^2)^0.5</f>
        <v>0</v>
      </c>
      <c r="D39" s="1">
        <f>SUMPRODUCT(--(D$3:D$34-$KF$3:$KF$34)^2)^0.5</f>
        <v>0</v>
      </c>
      <c r="E39" s="1">
        <f>SUMPRODUCT(--(E$3:E$34-$KG$3:$KG$34)^2)^0.5</f>
        <v>0</v>
      </c>
      <c r="F39" s="1">
        <f>SUMPRODUCT(--(F$3:F$34-$KH$3:$KH$34)^2)^0.5</f>
        <v>0</v>
      </c>
      <c r="G39" s="1">
        <f>SUMPRODUCT(--(G$3:G$34-$KI$3:$KI$34)^2)^0.5</f>
        <v>0</v>
      </c>
      <c r="H39" s="1">
        <f>SUMPRODUCT(--(H$3:H$34-$KJ$3:$KJ$34)^2)^0.5</f>
        <v>0</v>
      </c>
      <c r="I39" s="1">
        <f>SUMPRODUCT(--(I$3:I$34-$KK$3:$KK$34)^2)^0.5</f>
        <v>0</v>
      </c>
      <c r="J39" s="1">
        <f>SUMPRODUCT(--(J$3:J$34-$KL$3:$KL$34)^2)^0.5</f>
        <v>0</v>
      </c>
      <c r="K39" s="1">
        <f>SUMPRODUCT(--(K$3:K$34-$KM$3:$KM$34)^2)^0.5</f>
        <v>0</v>
      </c>
      <c r="L39" s="1">
        <f>SUMPRODUCT(--(L$3:L$34-$KN$3:$KN$34)^2)^0.5</f>
        <v>0</v>
      </c>
      <c r="M39" s="1">
        <f>SUMPRODUCT(--(M$3:M$34-$KO$3:$KO$34)^2)^0.5</f>
        <v>0</v>
      </c>
      <c r="N39" s="1">
        <f>SUMPRODUCT(--(N$3:N$34-$KP$3:$KP$34)^2)^0.5</f>
        <v>0</v>
      </c>
      <c r="O39" s="1">
        <f>SUMPRODUCT(--(O$3:O$34-$KQ$3:$KQ$34)^2)^0.5</f>
        <v>0</v>
      </c>
      <c r="P39" s="1"/>
      <c r="Q39" s="1">
        <f>SUMPRODUCT(--(Q$3:Q$34-$KR$3:$KR$34)^2)^0.5</f>
        <v>0</v>
      </c>
      <c r="R39" s="1">
        <f>SUMPRODUCT(--(R$3:R$34-$KS$3:$KS$34)^2)^0.5</f>
        <v>0</v>
      </c>
      <c r="S39" s="1">
        <f>SUMPRODUCT(--(S$3:S$34-$KT$3:$KT$34)^2)^0.5</f>
        <v>0</v>
      </c>
      <c r="T39" s="1">
        <f>SUMPRODUCT(--(T$3:T$34-$KD$3:$KD$34)^2)^0.5</f>
        <v>0</v>
      </c>
      <c r="U39" s="1">
        <f>SUMPRODUCT(--(U$3:U$34-$KE$3:$KE$34)^2)^0.5</f>
        <v>0</v>
      </c>
      <c r="V39" s="1">
        <f>SUMPRODUCT(--(V$3:V$34-$KF$3:$KF$34)^2)^0.5</f>
        <v>0</v>
      </c>
      <c r="W39" s="1">
        <f>SUMPRODUCT(--(W$3:W$34-$KG$3:$KG$34)^2)^0.5</f>
        <v>0</v>
      </c>
      <c r="X39" s="1">
        <f>SUMPRODUCT(--(X$3:X$34-$KH$3:$KH$34)^2)^0.5</f>
        <v>0</v>
      </c>
      <c r="Y39" s="1">
        <f>SUMPRODUCT(--(Y$3:Y$34-$KI$3:$KI$34)^2)^0.5</f>
        <v>0</v>
      </c>
      <c r="Z39" s="1">
        <f>SUMPRODUCT(--(Z$3:Z$34-$KJ$3:$KJ$34)^2)^0.5</f>
        <v>0</v>
      </c>
      <c r="AA39" s="1">
        <f>SUMPRODUCT(--(AA$3:AA$34-$KK$3:$KK$34)^2)^0.5</f>
        <v>0</v>
      </c>
      <c r="AB39" s="1">
        <f>SUMPRODUCT(--(AB$3:AB$34-$KL$3:$KL$34)^2)^0.5</f>
        <v>0</v>
      </c>
      <c r="AC39" s="1">
        <f>SUMPRODUCT(--(AC$3:AC$34-$KM$3:$KM$34)^2)^0.5</f>
        <v>0</v>
      </c>
      <c r="AD39" s="1">
        <f>SUMPRODUCT(--(AD$3:AD$34-$KN$3:$KN$34)^2)^0.5</f>
        <v>0</v>
      </c>
      <c r="AE39" s="1">
        <f>SUMPRODUCT(--(AE$3:AE$34-$KO$3:$KO$34)^2)^0.5</f>
        <v>0</v>
      </c>
      <c r="AF39" s="1">
        <f>SUMPRODUCT(--(AF$3:AF$34-$KP$3:$KP$34)^2)^0.5</f>
        <v>0</v>
      </c>
      <c r="AG39" s="1">
        <f>SUMPRODUCT(--(AG$3:AG$34-$KQ$3:$KQ$34)^2)^0.5</f>
        <v>0</v>
      </c>
      <c r="AH39" s="1"/>
      <c r="AI39" s="1">
        <f>SUMPRODUCT(--(AI$3:AI$34-$KR$3:$KR$34)^2)^0.5</f>
        <v>0</v>
      </c>
      <c r="AJ39" s="1">
        <f>SUMPRODUCT(--(AJ$3:AJ$34-$KS$3:$KS$34)^2)^0.5</f>
        <v>0</v>
      </c>
      <c r="AK39" s="1">
        <f>SUMPRODUCT(--(AK$3:AK$34-$KT$3:$KT$34)^2)^0.5</f>
        <v>0</v>
      </c>
      <c r="AL39" s="1">
        <f>SUMPRODUCT(--(AL$3:AL$34-$KD$3:$KD$34)^2)^0.5</f>
        <v>0</v>
      </c>
      <c r="AM39" s="1">
        <f>SUMPRODUCT(--(AM$3:AM$34-$KE$3:$KE$34)^2)^0.5</f>
        <v>0</v>
      </c>
      <c r="AN39" s="1">
        <f>SUMPRODUCT(--(AN$3:AN$34-$KF$3:$KF$34)^2)^0.5</f>
        <v>0</v>
      </c>
      <c r="AO39" s="1">
        <f>SUMPRODUCT(--(AO$3:AO$34-$KG$3:$KG$34)^2)^0.5</f>
        <v>0</v>
      </c>
      <c r="AP39" s="1">
        <f>SUMPRODUCT(--(AP$3:AP$34-$KH$3:$KH$34)^2)^0.5</f>
        <v>0</v>
      </c>
      <c r="AQ39" s="1">
        <f>SUMPRODUCT(--(AQ$3:AQ$34-$KI$3:$KI$34)^2)^0.5</f>
        <v>0</v>
      </c>
      <c r="AR39" s="1">
        <f>SUMPRODUCT(--(AR$3:AR$34-$KJ$3:$KJ$34)^2)^0.5</f>
        <v>0</v>
      </c>
      <c r="AS39" s="1">
        <f>SUMPRODUCT(--(AS$3:AS$34-$KK$3:$KK$34)^2)^0.5</f>
        <v>0</v>
      </c>
      <c r="AT39" s="1">
        <f>SUMPRODUCT(--(AT$3:AT$34-$KL$3:$KL$34)^2)^0.5</f>
        <v>0</v>
      </c>
      <c r="AU39" s="1">
        <f>SUMPRODUCT(--(AU$3:AU$34-$KM$3:$KM$34)^2)^0.5</f>
        <v>0</v>
      </c>
      <c r="AV39" s="1">
        <f>SUMPRODUCT(--(AV$3:AV$34-$KN$3:$KN$34)^2)^0.5</f>
        <v>0</v>
      </c>
      <c r="AW39" s="1">
        <f>SUMPRODUCT(--(AW$3:AW$34-$KO$3:$KO$34)^2)^0.5</f>
        <v>0</v>
      </c>
      <c r="AX39" s="1">
        <f>SUMPRODUCT(--(AX$3:AX$34-$KP$3:$KP$34)^2)^0.5</f>
        <v>0</v>
      </c>
      <c r="AY39" s="1">
        <f>SUMPRODUCT(--(AY$3:AY$34-$KQ$3:$KQ$34)^2)^0.5</f>
        <v>0</v>
      </c>
      <c r="AZ39" s="1"/>
      <c r="BA39" s="1">
        <f>SUMPRODUCT(--(BA$3:BA$34-$KR$3:$KR$34)^2)^0.5</f>
        <v>0</v>
      </c>
      <c r="BB39" s="1">
        <f>SUMPRODUCT(--(BB$3:BB$34-$KS$3:$KS$34)^2)^0.5</f>
        <v>0</v>
      </c>
      <c r="BC39" s="1">
        <f>SUMPRODUCT(--(BC$3:BC$34-$KT$3:$KT$34)^2)^0.5</f>
        <v>0</v>
      </c>
      <c r="BD39" s="1">
        <f>SUMPRODUCT(--(BD$3:BD$34-$KD$3:$KD$34)^2)^0.5</f>
        <v>0</v>
      </c>
      <c r="BE39" s="1">
        <f>SUMPRODUCT(--(BE$3:BE$34-$KE$3:$KE$34)^2)^0.5</f>
        <v>0</v>
      </c>
      <c r="BF39" s="1">
        <f>SUMPRODUCT(--(BF$3:BF$34-$KF$3:$KF$34)^2)^0.5</f>
        <v>0</v>
      </c>
      <c r="BG39" s="1">
        <f>SUMPRODUCT(--(BG$3:BG$34-$KG$3:$KG$34)^2)^0.5</f>
        <v>0</v>
      </c>
      <c r="BH39" s="1">
        <f>SUMPRODUCT(--(BH$3:BH$34-$KH$3:$KH$34)^2)^0.5</f>
        <v>0</v>
      </c>
      <c r="BI39" s="1">
        <f>SUMPRODUCT(--(BI$3:BI$34-$KI$3:$KI$34)^2)^0.5</f>
        <v>0</v>
      </c>
      <c r="BJ39" s="1">
        <f>SUMPRODUCT(--(BJ$3:BJ$34-$KJ$3:$KJ$34)^2)^0.5</f>
        <v>0</v>
      </c>
      <c r="BK39" s="1">
        <f>SUMPRODUCT(--(BK$3:BK$34-$KK$3:$KK$34)^2)^0.5</f>
        <v>0</v>
      </c>
      <c r="BL39" s="1">
        <f>SUMPRODUCT(--(BL$3:BL$34-$KL$3:$KL$34)^2)^0.5</f>
        <v>0</v>
      </c>
      <c r="BM39" s="1">
        <f>SUMPRODUCT(--(BM$3:BM$34-$KM$3:$KM$34)^2)^0.5</f>
        <v>0</v>
      </c>
      <c r="BN39" s="1">
        <f>SUMPRODUCT(--(BN$3:BN$34-$KN$3:$KN$34)^2)^0.5</f>
        <v>0</v>
      </c>
      <c r="BO39" s="1">
        <f>SUMPRODUCT(--(BO$3:BO$34-$KO$3:$KO$34)^2)^0.5</f>
        <v>0</v>
      </c>
      <c r="BP39" s="1">
        <f>SUMPRODUCT(--(BP$3:BP$34-$KP$3:$KP$34)^2)^0.5</f>
        <v>0</v>
      </c>
      <c r="BQ39" s="1">
        <f>SUMPRODUCT(--(BQ$3:BQ$34-$KQ$3:$KQ$34)^2)^0.5</f>
        <v>0</v>
      </c>
      <c r="BR39" s="1"/>
      <c r="BS39" s="1">
        <f>SUMPRODUCT(--(BS$3:BS$34-$KR$3:$KR$34)^2)^0.5</f>
        <v>0</v>
      </c>
      <c r="BT39" s="1">
        <f>SUMPRODUCT(--(BT$3:BT$34-$KS$3:$KS$34)^2)^0.5</f>
        <v>0</v>
      </c>
      <c r="BU39" s="1">
        <f>SUMPRODUCT(--(BU$3:BU$34-$KT$3:$KT$34)^2)^0.5</f>
        <v>0</v>
      </c>
      <c r="BV39" s="1">
        <f>SUMPRODUCT(--(BV$3:BV$34-$KD$3:$KD$34)^2)^0.5</f>
        <v>0</v>
      </c>
      <c r="BW39" s="1">
        <f>SUMPRODUCT(--(BW$3:BW$34-$KE$3:$KE$34)^2)^0.5</f>
        <v>0</v>
      </c>
      <c r="BX39" s="1">
        <f>SUMPRODUCT(--(BX$3:BX$34-$KF$3:$KF$34)^2)^0.5</f>
        <v>0</v>
      </c>
      <c r="BY39" s="1">
        <f>SUMPRODUCT(--(BY$3:BY$34-$KG$3:$KG$34)^2)^0.5</f>
        <v>0</v>
      </c>
      <c r="BZ39" s="1">
        <f>SUMPRODUCT(--(BZ$3:BZ$34-$KH$3:$KH$34)^2)^0.5</f>
        <v>0</v>
      </c>
      <c r="CA39" s="1">
        <f>SUMPRODUCT(--(CA$3:CA$34-$KI$3:$KI$34)^2)^0.5</f>
        <v>0</v>
      </c>
      <c r="CB39" s="1">
        <f>SUMPRODUCT(--(CB$3:CB$34-$KJ$3:$KJ$34)^2)^0.5</f>
        <v>0</v>
      </c>
      <c r="CC39" s="1">
        <f>SUMPRODUCT(--(CC$3:CC$34-$KK$3:$KK$34)^2)^0.5</f>
        <v>0</v>
      </c>
      <c r="CD39" s="1">
        <f>SUMPRODUCT(--(CD$3:CD$34-$KL$3:$KL$34)^2)^0.5</f>
        <v>0</v>
      </c>
      <c r="CE39" s="1">
        <f>SUMPRODUCT(--(CE$3:CE$34-$KM$3:$KM$34)^2)^0.5</f>
        <v>0</v>
      </c>
      <c r="CF39" s="1">
        <f>SUMPRODUCT(--(CF$3:CF$34-$KN$3:$KN$34)^2)^0.5</f>
        <v>0</v>
      </c>
      <c r="CG39" s="1">
        <f>SUMPRODUCT(--(CG$3:CG$34-$KO$3:$KO$34)^2)^0.5</f>
        <v>0</v>
      </c>
      <c r="CH39" s="1">
        <f>SUMPRODUCT(--(CH$3:CH$34-$KP$3:$KP$34)^2)^0.5</f>
        <v>0</v>
      </c>
      <c r="CI39" s="1">
        <f>SUMPRODUCT(--(CI$3:CI$34-$KQ$3:$KQ$34)^2)^0.5</f>
        <v>0</v>
      </c>
      <c r="CJ39" s="1"/>
      <c r="CK39" s="1">
        <f>SUMPRODUCT(--(CK$3:CK$34-$KR$3:$KR$34)^2)^0.5</f>
        <v>0</v>
      </c>
      <c r="CL39" s="1">
        <f>SUMPRODUCT(--(CL$3:CL$34-$KS$3:$KS$34)^2)^0.5</f>
        <v>0</v>
      </c>
      <c r="CM39" s="1">
        <f>SUMPRODUCT(--(CM$3:CM$34-$KT$3:$KT$34)^2)^0.5</f>
        <v>0</v>
      </c>
      <c r="CN39" s="1">
        <f>SUMPRODUCT(--(CN$3:CN$34-$KD$3:$KD$34)^2)^0.5</f>
        <v>0</v>
      </c>
      <c r="CO39" s="1">
        <f>SUMPRODUCT(--(CO$3:CO$34-$KE$3:$KE$34)^2)^0.5</f>
        <v>0</v>
      </c>
      <c r="CP39" s="1">
        <f>SUMPRODUCT(--(CP$3:CP$34-$KF$3:$KF$34)^2)^0.5</f>
        <v>0</v>
      </c>
      <c r="CQ39" s="1">
        <f>SUMPRODUCT(--(CQ$3:CQ$34-$KG$3:$KG$34)^2)^0.5</f>
        <v>0</v>
      </c>
      <c r="CR39" s="1">
        <f>SUMPRODUCT(--(CR$3:CR$34-$KH$3:$KH$34)^2)^0.5</f>
        <v>0</v>
      </c>
      <c r="CS39" s="1">
        <f>SUMPRODUCT(--(CS$3:CS$34-$KI$3:$KI$34)^2)^0.5</f>
        <v>0</v>
      </c>
      <c r="CT39" s="1">
        <f>SUMPRODUCT(--(CT$3:CT$34-$KJ$3:$KJ$34)^2)^0.5</f>
        <v>0</v>
      </c>
      <c r="CU39" s="1">
        <f>SUMPRODUCT(--(CU$3:CU$34-$KK$3:$KK$34)^2)^0.5</f>
        <v>0</v>
      </c>
      <c r="CV39" s="1">
        <f>SUMPRODUCT(--(CV$3:CV$34-$KL$3:$KL$34)^2)^0.5</f>
        <v>0</v>
      </c>
      <c r="CW39" s="1">
        <f>SUMPRODUCT(--(CW$3:CW$34-$KM$3:$KM$34)^2)^0.5</f>
        <v>0</v>
      </c>
      <c r="CX39" s="1">
        <f>SUMPRODUCT(--(CX$3:CX$34-$KN$3:$KN$34)^2)^0.5</f>
        <v>0</v>
      </c>
      <c r="CY39" s="1">
        <f>SUMPRODUCT(--(CY$3:CY$34-$KO$3:$KO$34)^2)^0.5</f>
        <v>0</v>
      </c>
      <c r="CZ39" s="1">
        <f>SUMPRODUCT(--(CZ$3:CZ$34-$KP$3:$KP$34)^2)^0.5</f>
        <v>0</v>
      </c>
      <c r="DA39" s="1">
        <f>SUMPRODUCT(--(DA$3:DA$34-$KQ$3:$KQ$34)^2)^0.5</f>
        <v>0</v>
      </c>
      <c r="DB39" s="1"/>
      <c r="DC39" s="1">
        <f>SUMPRODUCT(--(DC$3:DC$34-$KR$3:$KR$34)^2)^0.5</f>
        <v>0</v>
      </c>
      <c r="DD39" s="1">
        <f>SUMPRODUCT(--(DD$3:DD$34-$KS$3:$KS$34)^2)^0.5</f>
        <v>0</v>
      </c>
      <c r="DE39" s="1">
        <f>SUMPRODUCT(--(DE$3:DE$34-$KT$3:$KT$34)^2)^0.5</f>
        <v>0</v>
      </c>
      <c r="DF39" s="1">
        <f>SUMPRODUCT(--(DF$3:DF$34-$KD$3:$KD$34)^2)^0.5</f>
        <v>0</v>
      </c>
      <c r="DG39" s="1">
        <f>SUMPRODUCT(--(DG$3:DG$34-$KE$3:$KE$34)^2)^0.5</f>
        <v>0</v>
      </c>
      <c r="DH39" s="1">
        <f>SUMPRODUCT(--(DH$3:DH$34-$KF$3:$KF$34)^2)^0.5</f>
        <v>0</v>
      </c>
      <c r="DI39" s="1">
        <f>SUMPRODUCT(--(DI$3:DI$34-$KG$3:$KG$34)^2)^0.5</f>
        <v>0</v>
      </c>
      <c r="DJ39" s="1">
        <f>SUMPRODUCT(--(DJ$3:DJ$34-$KH$3:$KH$34)^2)^0.5</f>
        <v>0</v>
      </c>
      <c r="DK39" s="1">
        <f>SUMPRODUCT(--(DK$3:DK$34-$KI$3:$KI$34)^2)^0.5</f>
        <v>0</v>
      </c>
      <c r="DL39" s="1">
        <f>SUMPRODUCT(--(DL$3:DL$34-$KJ$3:$KJ$34)^2)^0.5</f>
        <v>0</v>
      </c>
      <c r="DM39" s="1">
        <f>SUMPRODUCT(--(DM$3:DM$34-$KK$3:$KK$34)^2)^0.5</f>
        <v>0</v>
      </c>
      <c r="DN39" s="1">
        <f>SUMPRODUCT(--(DN$3:DN$34-$KL$3:$KL$34)^2)^0.5</f>
        <v>0</v>
      </c>
      <c r="DO39" s="1">
        <f>SUMPRODUCT(--(DO$3:DO$34-$KM$3:$KM$34)^2)^0.5</f>
        <v>0</v>
      </c>
      <c r="DP39" s="1">
        <f>SUMPRODUCT(--(DP$3:DP$34-$KN$3:$KN$34)^2)^0.5</f>
        <v>0</v>
      </c>
      <c r="DQ39" s="1">
        <f>SUMPRODUCT(--(DQ$3:DQ$34-$KO$3:$KO$34)^2)^0.5</f>
        <v>0</v>
      </c>
      <c r="DR39" s="1">
        <f>SUMPRODUCT(--(DR$3:DR$34-$KP$3:$KP$34)^2)^0.5</f>
        <v>0</v>
      </c>
      <c r="DS39" s="1">
        <f>SUMPRODUCT(--(DS$3:DS$34-$KQ$3:$KQ$34)^2)^0.5</f>
        <v>0</v>
      </c>
      <c r="DT39" s="1"/>
      <c r="DU39" s="1">
        <f>SUMPRODUCT(--(DU$3:DU$34-$KR$3:$KR$34)^2)^0.5</f>
        <v>0</v>
      </c>
      <c r="DV39" s="1">
        <f>SUMPRODUCT(--(DV$3:DV$34-$KS$3:$KS$34)^2)^0.5</f>
        <v>0</v>
      </c>
      <c r="DW39" s="1">
        <f>SUMPRODUCT(--(DW$3:DW$34-$KT$3:$KT$34)^2)^0.5</f>
        <v>0</v>
      </c>
      <c r="DX39" s="1">
        <f>SUMPRODUCT(--(DX$3:DX$34-$KD$3:$KD$34)^2)^0.5</f>
        <v>0</v>
      </c>
      <c r="DY39" s="1">
        <f>SUMPRODUCT(--(DY$3:DY$34-$KE$3:$KE$34)^2)^0.5</f>
        <v>0</v>
      </c>
      <c r="DZ39" s="1">
        <f>SUMPRODUCT(--(DZ$3:DZ$34-$KF$3:$KF$34)^2)^0.5</f>
        <v>0</v>
      </c>
      <c r="EA39" s="1">
        <f>SUMPRODUCT(--(EA$3:EA$34-$KG$3:$KG$34)^2)^0.5</f>
        <v>0</v>
      </c>
      <c r="EB39" s="1">
        <f>SUMPRODUCT(--(EB$3:EB$34-$KH$3:$KH$34)^2)^0.5</f>
        <v>0</v>
      </c>
      <c r="EC39" s="1">
        <f>SUMPRODUCT(--(EC$3:EC$34-$KI$3:$KI$34)^2)^0.5</f>
        <v>0</v>
      </c>
      <c r="ED39" s="1">
        <f>SUMPRODUCT(--(ED$3:ED$34-$KJ$3:$KJ$34)^2)^0.5</f>
        <v>0</v>
      </c>
      <c r="EE39" s="1">
        <f>SUMPRODUCT(--(EE$3:EE$34-$KK$3:$KK$34)^2)^0.5</f>
        <v>0</v>
      </c>
      <c r="EF39" s="1">
        <f>SUMPRODUCT(--(EF$3:EF$34-$KL$3:$KL$34)^2)^0.5</f>
        <v>0</v>
      </c>
      <c r="EG39" s="1">
        <f>SUMPRODUCT(--(EG$3:EG$34-$KM$3:$KM$34)^2)^0.5</f>
        <v>0</v>
      </c>
      <c r="EH39" s="1">
        <f>SUMPRODUCT(--(EH$3:EH$34-$KN$3:$KN$34)^2)^0.5</f>
        <v>0</v>
      </c>
      <c r="EI39" s="1">
        <f>SUMPRODUCT(--(EI$3:EI$34-$KO$3:$KO$34)^2)^0.5</f>
        <v>0</v>
      </c>
      <c r="EJ39" s="1">
        <f>SUMPRODUCT(--(EJ$3:EJ$34-$KP$3:$KP$34)^2)^0.5</f>
        <v>0</v>
      </c>
      <c r="EK39" s="1">
        <f>SUMPRODUCT(--(EK$3:EK$34-$KQ$3:$KQ$34)^2)^0.5</f>
        <v>0</v>
      </c>
      <c r="EL39" s="1"/>
      <c r="EM39" s="1">
        <f>SUMPRODUCT(--(EM$3:EM$34-$KR$3:$KR$34)^2)^0.5</f>
        <v>0</v>
      </c>
      <c r="EN39" s="1">
        <f>SUMPRODUCT(--(EN$3:EN$34-$KS$3:$KS$34)^2)^0.5</f>
        <v>0</v>
      </c>
      <c r="EO39" s="1">
        <f>SUMPRODUCT(--(EO$3:EO$34-$KT$3:$KT$34)^2)^0.5</f>
        <v>0</v>
      </c>
      <c r="EP39" s="1">
        <f>SUMPRODUCT(--(EP$3:EP$34-$KD$3:$KD$34)^2)^0.5</f>
        <v>0</v>
      </c>
      <c r="EQ39" s="1">
        <f>SUMPRODUCT(--(EQ$3:EQ$34-$KE$3:$KE$34)^2)^0.5</f>
        <v>0</v>
      </c>
      <c r="ER39" s="1">
        <f>SUMPRODUCT(--(ER$3:ER$34-$KF$3:$KF$34)^2)^0.5</f>
        <v>0</v>
      </c>
      <c r="ES39" s="1">
        <f>SUMPRODUCT(--(ES$3:ES$34-$KG$3:$KG$34)^2)^0.5</f>
        <v>0</v>
      </c>
      <c r="ET39" s="1">
        <f>SUMPRODUCT(--(ET$3:ET$34-$KH$3:$KH$34)^2)^0.5</f>
        <v>0</v>
      </c>
      <c r="EU39" s="1">
        <f>SUMPRODUCT(--(EU$3:EU$34-$KI$3:$KI$34)^2)^0.5</f>
        <v>0</v>
      </c>
      <c r="EV39" s="1">
        <f>SUMPRODUCT(--(EV$3:EV$34-$KJ$3:$KJ$34)^2)^0.5</f>
        <v>0</v>
      </c>
      <c r="EW39" s="1">
        <f>SUMPRODUCT(--(EW$3:EW$34-$KK$3:$KK$34)^2)^0.5</f>
        <v>0</v>
      </c>
      <c r="EX39" s="1">
        <f>SUMPRODUCT(--(EX$3:EX$34-$KL$3:$KL$34)^2)^0.5</f>
        <v>0</v>
      </c>
      <c r="EY39" s="1">
        <f>SUMPRODUCT(--(EY$3:EY$34-$KM$3:$KM$34)^2)^0.5</f>
        <v>0</v>
      </c>
      <c r="EZ39" s="1">
        <f>SUMPRODUCT(--(EZ$3:EZ$34-$KN$3:$KN$34)^2)^0.5</f>
        <v>0</v>
      </c>
      <c r="FA39" s="1">
        <f>SUMPRODUCT(--(FA$3:FA$34-$KO$3:$KO$34)^2)^0.5</f>
        <v>0</v>
      </c>
      <c r="FB39" s="1">
        <f>SUMPRODUCT(--(FB$3:FB$34-$KP$3:$KP$34)^2)^0.5</f>
        <v>0</v>
      </c>
      <c r="FC39" s="1">
        <f>SUMPRODUCT(--(FC$3:FC$34-$KQ$3:$KQ$34)^2)^0.5</f>
        <v>0</v>
      </c>
      <c r="FD39" s="1"/>
      <c r="FE39" s="1">
        <f>SUMPRODUCT(--(FE$3:FE$34-$KR$3:$KR$34)^2)^0.5</f>
        <v>0</v>
      </c>
      <c r="FF39" s="1">
        <f>SUMPRODUCT(--(FF$3:FF$34-$KS$3:$KS$34)^2)^0.5</f>
        <v>0</v>
      </c>
      <c r="FG39" s="1">
        <f>SUMPRODUCT(--(FG$3:FG$34-$KT$3:$KT$34)^2)^0.5</f>
        <v>0</v>
      </c>
      <c r="FH39" s="1">
        <f>SUMPRODUCT(--(FH$3:FH$34-$KD$3:$KD$34)^2)^0.5</f>
        <v>0</v>
      </c>
      <c r="FI39" s="1">
        <f>SUMPRODUCT(--(FI$3:FI$34-$KE$3:$KE$34)^2)^0.5</f>
        <v>0</v>
      </c>
      <c r="FJ39" s="1">
        <f>SUMPRODUCT(--(FJ$3:FJ$34-$KF$3:$KF$34)^2)^0.5</f>
        <v>0</v>
      </c>
      <c r="FK39" s="1">
        <f>SUMPRODUCT(--(FK$3:FK$34-$KG$3:$KG$34)^2)^0.5</f>
        <v>0</v>
      </c>
      <c r="FL39" s="1">
        <f>SUMPRODUCT(--(FL$3:FL$34-$KH$3:$KH$34)^2)^0.5</f>
        <v>0</v>
      </c>
      <c r="FM39" s="1">
        <f>SUMPRODUCT(--(FM$3:FM$34-$KI$3:$KI$34)^2)^0.5</f>
        <v>0</v>
      </c>
      <c r="FN39" s="1">
        <f>SUMPRODUCT(--(FN$3:FN$34-$KJ$3:$KJ$34)^2)^0.5</f>
        <v>0</v>
      </c>
      <c r="FO39" s="1">
        <f>SUMPRODUCT(--(FO$3:FO$34-$KK$3:$KK$34)^2)^0.5</f>
        <v>0</v>
      </c>
      <c r="FP39" s="1">
        <f>SUMPRODUCT(--(FP$3:FP$34-$KL$3:$KL$34)^2)^0.5</f>
        <v>0</v>
      </c>
      <c r="FQ39" s="1">
        <f>SUMPRODUCT(--(FQ$3:FQ$34-$KM$3:$KM$34)^2)^0.5</f>
        <v>0</v>
      </c>
      <c r="FR39" s="1">
        <f>SUMPRODUCT(--(FR$3:FR$34-$KN$3:$KN$34)^2)^0.5</f>
        <v>0</v>
      </c>
      <c r="FS39" s="1">
        <f>SUMPRODUCT(--(FS$3:FS$34-$KO$3:$KO$34)^2)^0.5</f>
        <v>0</v>
      </c>
      <c r="FT39" s="1">
        <f>SUMPRODUCT(--(FT$3:FT$34-$KP$3:$KP$34)^2)^0.5</f>
        <v>0</v>
      </c>
      <c r="FU39" s="1">
        <f>SUMPRODUCT(--(FU$3:FU$34-$KQ$3:$KQ$34)^2)^0.5</f>
        <v>0</v>
      </c>
      <c r="FV39" s="1"/>
      <c r="FW39" s="1">
        <f>SUMPRODUCT(--(FW$3:FW$34-$KR$3:$KR$34)^2)^0.5</f>
        <v>0</v>
      </c>
      <c r="FX39" s="1">
        <f>SUMPRODUCT(--(FX$3:FX$34-$KS$3:$KS$34)^2)^0.5</f>
        <v>0</v>
      </c>
      <c r="FY39" s="1">
        <f>SUMPRODUCT(--(FY$3:FY$34-$KT$3:$KT$34)^2)^0.5</f>
        <v>0</v>
      </c>
      <c r="FZ39" s="1">
        <f>SUMPRODUCT(--(FZ$3:FZ$34-$KD$3:$KD$34)^2)^0.5</f>
        <v>0</v>
      </c>
      <c r="GA39" s="1">
        <f>SUMPRODUCT(--(GA$3:GA$34-$KE$3:$KE$34)^2)^0.5</f>
        <v>0</v>
      </c>
      <c r="GB39" s="1">
        <f>SUMPRODUCT(--(GB$3:GB$34-$KF$3:$KF$34)^2)^0.5</f>
        <v>0</v>
      </c>
      <c r="GC39" s="1">
        <f>SUMPRODUCT(--(GC$3:GC$34-$KG$3:$KG$34)^2)^0.5</f>
        <v>0</v>
      </c>
      <c r="GD39" s="1">
        <f>SUMPRODUCT(--(GD$3:GD$34-$KH$3:$KH$34)^2)^0.5</f>
        <v>0</v>
      </c>
      <c r="GE39" s="1">
        <f>SUMPRODUCT(--(GE$3:GE$34-$KI$3:$KI$34)^2)^0.5</f>
        <v>0</v>
      </c>
      <c r="GF39" s="1">
        <f>SUMPRODUCT(--(GF$3:GF$34-$KJ$3:$KJ$34)^2)^0.5</f>
        <v>0</v>
      </c>
      <c r="GG39" s="1">
        <f>SUMPRODUCT(--(GG$3:GG$34-$KK$3:$KK$34)^2)^0.5</f>
        <v>0</v>
      </c>
      <c r="GH39" s="1">
        <f>SUMPRODUCT(--(GH$3:GH$34-$KL$3:$KL$34)^2)^0.5</f>
        <v>0</v>
      </c>
      <c r="GI39" s="1">
        <f>SUMPRODUCT(--(GI$3:GI$34-$KM$3:$KM$34)^2)^0.5</f>
        <v>0</v>
      </c>
      <c r="GJ39" s="1">
        <f>SUMPRODUCT(--(GJ$3:GJ$34-$KN$3:$KN$34)^2)^0.5</f>
        <v>0</v>
      </c>
      <c r="GK39" s="1">
        <f>SUMPRODUCT(--(GK$3:GK$34-$KO$3:$KO$34)^2)^0.5</f>
        <v>0</v>
      </c>
      <c r="GL39" s="1">
        <f>SUMPRODUCT(--(GL$3:GL$34-$KP$3:$KP$34)^2)^0.5</f>
        <v>0</v>
      </c>
      <c r="GM39" s="1">
        <f>SUMPRODUCT(--(GM$3:GM$34-$KQ$3:$KQ$34)^2)^0.5</f>
        <v>0</v>
      </c>
      <c r="GN39" s="1"/>
      <c r="GO39" s="1">
        <f>SUMPRODUCT(--(GO$3:GO$34-$KR$3:$KR$34)^2)^0.5</f>
        <v>0</v>
      </c>
      <c r="GP39" s="1">
        <f>SUMPRODUCT(--(GP$3:GP$34-$KS$3:$KS$34)^2)^0.5</f>
        <v>0</v>
      </c>
      <c r="GQ39" s="1">
        <f>SUMPRODUCT(--(GQ$3:GQ$34-$KT$3:$KT$34)^2)^0.5</f>
        <v>0</v>
      </c>
      <c r="GR39" s="1">
        <f>SUMPRODUCT(--(GR$3:GR$34-$KD$3:$KD$34)^2)^0.5</f>
        <v>0</v>
      </c>
      <c r="GS39" s="1">
        <f>SUMPRODUCT(--(GS$3:GS$34-$KE$3:$KE$34)^2)^0.5</f>
        <v>0</v>
      </c>
      <c r="GT39" s="1">
        <f>SUMPRODUCT(--(GT$3:GT$34-$KF$3:$KF$34)^2)^0.5</f>
        <v>0</v>
      </c>
      <c r="GU39" s="1">
        <f>SUMPRODUCT(--(GU$3:GU$34-$KG$3:$KG$34)^2)^0.5</f>
        <v>0</v>
      </c>
      <c r="GV39" s="1">
        <f>SUMPRODUCT(--(GV$3:GV$34-$KH$3:$KH$34)^2)^0.5</f>
        <v>0</v>
      </c>
      <c r="GW39" s="1">
        <f>SUMPRODUCT(--(GW$3:GW$34-$KI$3:$KI$34)^2)^0.5</f>
        <v>0</v>
      </c>
      <c r="GX39" s="1">
        <f>SUMPRODUCT(--(GX$3:GX$34-$KJ$3:$KJ$34)^2)^0.5</f>
        <v>0</v>
      </c>
      <c r="GY39" s="1">
        <f>SUMPRODUCT(--(GY$3:GY$34-$KK$3:$KK$34)^2)^0.5</f>
        <v>0</v>
      </c>
      <c r="GZ39" s="1">
        <f>SUMPRODUCT(--(GZ$3:GZ$34-$KL$3:$KL$34)^2)^0.5</f>
        <v>0</v>
      </c>
      <c r="HA39" s="1">
        <f>SUMPRODUCT(--(HA$3:HA$34-$KM$3:$KM$34)^2)^0.5</f>
        <v>0</v>
      </c>
      <c r="HB39" s="1">
        <f>SUMPRODUCT(--(HB$3:HB$34-$KN$3:$KN$34)^2)^0.5</f>
        <v>0</v>
      </c>
      <c r="HC39" s="1">
        <f>SUMPRODUCT(--(HC$3:HC$34-$KO$3:$KO$34)^2)^0.5</f>
        <v>0</v>
      </c>
      <c r="HD39" s="1">
        <f>SUMPRODUCT(--(HD$3:HD$34-$KP$3:$KP$34)^2)^0.5</f>
        <v>0</v>
      </c>
      <c r="HE39" s="1">
        <f>SUMPRODUCT(--(HE$3:HE$34-$KQ$3:$KQ$34)^2)^0.5</f>
        <v>0</v>
      </c>
      <c r="HF39" s="1"/>
      <c r="HG39" s="1">
        <f>SUMPRODUCT(--(HG$3:HG$34-$KR$3:$KR$34)^2)^0.5</f>
        <v>0</v>
      </c>
      <c r="HH39" s="1">
        <f>SUMPRODUCT(--(HH$3:HH$34-$KS$3:$KS$34)^2)^0.5</f>
        <v>0</v>
      </c>
      <c r="HI39" s="1">
        <f>SUMPRODUCT(--(HI$3:HI$34-$KT$3:$KT$34)^2)^0.5</f>
        <v>0</v>
      </c>
      <c r="HJ39" s="1">
        <f>SUMPRODUCT(--(HJ$3:HJ$34-$KD$3:$KD$34)^2)^0.5</f>
        <v>0</v>
      </c>
      <c r="HK39" s="1">
        <f>SUMPRODUCT(--(HK$3:HK$34-$KE$3:$KE$34)^2)^0.5</f>
        <v>0</v>
      </c>
      <c r="HL39" s="1">
        <f>SUMPRODUCT(--(HL$3:HL$34-$KF$3:$KF$34)^2)^0.5</f>
        <v>0</v>
      </c>
      <c r="HM39" s="1">
        <f>SUMPRODUCT(--(HM$3:HM$34-$KG$3:$KG$34)^2)^0.5</f>
        <v>0</v>
      </c>
      <c r="HN39" s="1">
        <f>SUMPRODUCT(--(HN$3:HN$34-$KH$3:$KH$34)^2)^0.5</f>
        <v>0</v>
      </c>
      <c r="HO39" s="1">
        <f>SUMPRODUCT(--(HO$3:HO$34-$KI$3:$KI$34)^2)^0.5</f>
        <v>0</v>
      </c>
      <c r="HP39" s="1">
        <f>SUMPRODUCT(--(HP$3:HP$34-$KJ$3:$KJ$34)^2)^0.5</f>
        <v>0</v>
      </c>
      <c r="HQ39" s="1">
        <f>SUMPRODUCT(--(HQ$3:HQ$34-$KK$3:$KK$34)^2)^0.5</f>
        <v>0</v>
      </c>
      <c r="HR39" s="1">
        <f>SUMPRODUCT(--(HR$3:HR$34-$KL$3:$KL$34)^2)^0.5</f>
        <v>0</v>
      </c>
      <c r="HS39" s="1">
        <f>SUMPRODUCT(--(HS$3:HS$34-$KM$3:$KM$34)^2)^0.5</f>
        <v>0</v>
      </c>
      <c r="HT39" s="1">
        <f>SUMPRODUCT(--(HT$3:HT$34-$KN$3:$KN$34)^2)^0.5</f>
        <v>0</v>
      </c>
      <c r="HU39" s="1">
        <f>SUMPRODUCT(--(HU$3:HU$34-$KO$3:$KO$34)^2)^0.5</f>
        <v>0</v>
      </c>
      <c r="HV39" s="1">
        <f>SUMPRODUCT(--(HV$3:HV$34-$KP$3:$KP$34)^2)^0.5</f>
        <v>0</v>
      </c>
      <c r="HW39" s="1">
        <f>SUMPRODUCT(--(HW$3:HW$34-$KQ$3:$KQ$34)^2)^0.5</f>
        <v>0</v>
      </c>
      <c r="HX39" s="1"/>
      <c r="HY39" s="1">
        <f>SUMPRODUCT(--(HY$3:HY$34-$KR$3:$KR$34)^2)^0.5</f>
        <v>0</v>
      </c>
      <c r="HZ39" s="1">
        <f>SUMPRODUCT(--(HZ$3:HZ$34-$KS$3:$KS$34)^2)^0.5</f>
        <v>0</v>
      </c>
      <c r="IA39" s="1">
        <f>SUMPRODUCT(--(IA$3:IA$34-$KT$3:$KT$34)^2)^0.5</f>
        <v>0</v>
      </c>
      <c r="IB39" s="1">
        <f>SUMPRODUCT(--(IB$3:IB$34-$KD$3:$KD$34)^2)^0.5</f>
        <v>0</v>
      </c>
      <c r="IC39" s="1">
        <f>SUMPRODUCT(--(IC$3:IC$34-$KE$3:$KE$34)^2)^0.5</f>
        <v>0</v>
      </c>
      <c r="ID39" s="1">
        <f>SUMPRODUCT(--(ID$3:ID$34-$KF$3:$KF$34)^2)^0.5</f>
        <v>0</v>
      </c>
      <c r="IE39" s="1">
        <f>SUMPRODUCT(--(IE$3:IE$34-$KG$3:$KG$34)^2)^0.5</f>
        <v>0</v>
      </c>
      <c r="IF39" s="1">
        <f>SUMPRODUCT(--(IF$3:IF$34-$KH$3:$KH$34)^2)^0.5</f>
        <v>0</v>
      </c>
      <c r="IG39" s="1">
        <f>SUMPRODUCT(--(IG$3:IG$34-$KI$3:$KI$34)^2)^0.5</f>
        <v>0</v>
      </c>
      <c r="IH39" s="1">
        <f>SUMPRODUCT(--(IH$3:IH$34-$KJ$3:$KJ$34)^2)^0.5</f>
        <v>0</v>
      </c>
      <c r="II39" s="1">
        <f>SUMPRODUCT(--(II$3:II$34-$KK$3:$KK$34)^2)^0.5</f>
        <v>0</v>
      </c>
      <c r="IJ39" s="1">
        <f>SUMPRODUCT(--(IJ$3:IJ$34-$KL$3:$KL$34)^2)^0.5</f>
        <v>0</v>
      </c>
      <c r="IK39" s="1">
        <f>SUMPRODUCT(--(IK$3:IK$34-$KM$3:$KM$34)^2)^0.5</f>
        <v>0</v>
      </c>
      <c r="IL39" s="1">
        <f>SUMPRODUCT(--(IL$3:IL$34-$KN$3:$KN$34)^2)^0.5</f>
        <v>0</v>
      </c>
      <c r="IM39" s="1">
        <f>SUMPRODUCT(--(IM$3:IM$34-$KO$3:$KO$34)^2)^0.5</f>
        <v>0</v>
      </c>
      <c r="IN39" s="1">
        <f>SUMPRODUCT(--(IN$3:IN$34-$KP$3:$KP$34)^2)^0.5</f>
        <v>0</v>
      </c>
      <c r="IO39" s="1">
        <f>SUMPRODUCT(--(IO$3:IO$34-$KQ$3:$KQ$34)^2)^0.5</f>
        <v>0</v>
      </c>
      <c r="IP39" s="1"/>
      <c r="IQ39" s="1">
        <f>SUMPRODUCT(--(IQ$3:IQ$34-$KR$3:$KR$34)^2)^0.5</f>
        <v>0</v>
      </c>
      <c r="IR39" s="1">
        <f>SUMPRODUCT(--(IR$3:IR$34-$KS$3:$KS$34)^2)^0.5</f>
        <v>0</v>
      </c>
      <c r="IS39" s="1">
        <f>SUMPRODUCT(--(IS$3:IS$34-$KT$3:$KT$34)^2)^0.5</f>
        <v>0</v>
      </c>
      <c r="IT39" s="1">
        <f>SUMPRODUCT(--(IT$3:IT$34-$KD$3:$KD$34)^2)^0.5</f>
        <v>0</v>
      </c>
      <c r="IU39" s="1">
        <f>SUMPRODUCT(--(IU$3:IU$34-$KE$3:$KE$34)^2)^0.5</f>
        <v>0</v>
      </c>
      <c r="IV39" s="1">
        <f>SUMPRODUCT(--(IV$3:IV$34-$KF$3:$KF$34)^2)^0.5</f>
        <v>0</v>
      </c>
      <c r="IW39" s="1">
        <f>SUMPRODUCT(--(IW$3:IW$34-$KG$3:$KG$34)^2)^0.5</f>
        <v>0</v>
      </c>
      <c r="IX39" s="1">
        <f>SUMPRODUCT(--(IX$3:IX$34-$KH$3:$KH$34)^2)^0.5</f>
        <v>0</v>
      </c>
      <c r="IY39" s="1">
        <f>SUMPRODUCT(--(IY$3:IY$34-$KI$3:$KI$34)^2)^0.5</f>
        <v>0</v>
      </c>
      <c r="IZ39" s="1">
        <f>SUMPRODUCT(--(IZ$3:IZ$34-$KJ$3:$KJ$34)^2)^0.5</f>
        <v>0</v>
      </c>
      <c r="JA39" s="1">
        <f>SUMPRODUCT(--(JA$3:JA$34-$KK$3:$KK$34)^2)^0.5</f>
        <v>0</v>
      </c>
      <c r="JB39" s="1">
        <f>SUMPRODUCT(--(JB$3:JB$34-$KL$3:$KL$34)^2)^0.5</f>
        <v>0</v>
      </c>
      <c r="JC39" s="1">
        <f>SUMPRODUCT(--(JC$3:JC$34-$KM$3:$KM$34)^2)^0.5</f>
        <v>0</v>
      </c>
      <c r="JD39" s="1">
        <f>SUMPRODUCT(--(JD$3:JD$34-$KN$3:$KN$34)^2)^0.5</f>
        <v>0</v>
      </c>
      <c r="JE39" s="1">
        <f>SUMPRODUCT(--(JE$3:JE$34-$KO$3:$KO$34)^2)^0.5</f>
        <v>0</v>
      </c>
      <c r="JF39" s="1">
        <f>SUMPRODUCT(--(JF$3:JF$34-$KP$3:$KP$34)^2)^0.5</f>
        <v>0</v>
      </c>
      <c r="JG39" s="1">
        <f>SUMPRODUCT(--(JG$3:JG$34-$KQ$3:$KQ$34)^2)^0.5</f>
        <v>0</v>
      </c>
      <c r="JH39" s="1"/>
      <c r="JI39" s="1">
        <f>SUMPRODUCT(--(JI$3:JI$34-$KR$3:$KR$34)^2)^0.5</f>
        <v>0</v>
      </c>
      <c r="JJ39" s="1">
        <f>SUMPRODUCT(--(JJ$3:JJ$34-$KS$3:$KS$34)^2)^0.5</f>
        <v>0</v>
      </c>
      <c r="JK39" s="1">
        <f>SUMPRODUCT(--(JK$3:JK$34-$KT$3:$KT$34)^2)^0.5</f>
        <v>0</v>
      </c>
      <c r="JL39" s="1">
        <f>SUMPRODUCT(--(JL$3:JL$34-$KD$3:$KD$34)^2)^0.5</f>
        <v>0</v>
      </c>
      <c r="JM39" s="1">
        <f>SUMPRODUCT(--(JM$3:JM$34-$KE$3:$KE$34)^2)^0.5</f>
        <v>0</v>
      </c>
      <c r="JN39" s="1">
        <f>SUMPRODUCT(--(JN$3:JN$34-$KF$3:$KF$34)^2)^0.5</f>
        <v>0</v>
      </c>
      <c r="JO39" s="1">
        <f>SUMPRODUCT(--(JO$3:JO$34-$KG$3:$KG$34)^2)^0.5</f>
        <v>0</v>
      </c>
      <c r="JP39" s="1">
        <f>SUMPRODUCT(--(JP$3:JP$34-$KH$3:$KH$34)^2)^0.5</f>
        <v>0</v>
      </c>
      <c r="JQ39" s="1">
        <f>SUMPRODUCT(--(JQ$3:JQ$34-$KI$3:$KI$34)^2)^0.5</f>
        <v>0</v>
      </c>
      <c r="JR39" s="1">
        <f>SUMPRODUCT(--(JR$3:JR$34-$KJ$3:$KJ$34)^2)^0.5</f>
        <v>0</v>
      </c>
      <c r="JS39" s="1">
        <f>SUMPRODUCT(--(JS$3:JS$34-$KK$3:$KK$34)^2)^0.5</f>
        <v>0</v>
      </c>
      <c r="JT39" s="1">
        <f>SUMPRODUCT(--(JT$3:JT$34-$KL$3:$KL$34)^2)^0.5</f>
        <v>0</v>
      </c>
      <c r="JU39" s="1">
        <f>SUMPRODUCT(--(JU$3:JU$34-$KM$3:$KM$34)^2)^0.5</f>
        <v>0</v>
      </c>
      <c r="JV39" s="1">
        <f>SUMPRODUCT(--(JV$3:JV$34-$KN$3:$KN$34)^2)^0.5</f>
        <v>0</v>
      </c>
      <c r="JW39" s="1">
        <f>SUMPRODUCT(--(JW$3:JW$34-$KO$3:$KO$34)^2)^0.5</f>
        <v>0</v>
      </c>
      <c r="JX39" s="1">
        <f>SUMPRODUCT(--(JX$3:JX$34-$KP$3:$KP$34)^2)^0.5</f>
        <v>0</v>
      </c>
      <c r="JY39" s="1">
        <f>SUMPRODUCT(--(JY$3:JY$34-$KQ$3:$KQ$34)^2)^0.5</f>
        <v>0</v>
      </c>
      <c r="JZ39" s="1"/>
      <c r="KA39" s="1">
        <f>SUMPRODUCT(--(KA$3:KA$34-$KR$3:$KR$34)^2)^0.5</f>
        <v>0</v>
      </c>
      <c r="KB39" s="1">
        <f>SUMPRODUCT(--(KB$3:KB$34-$KS$3:$KS$34)^2)^0.5</f>
        <v>0</v>
      </c>
      <c r="KC39" s="1">
        <f>SUMPRODUCT(--(KC$3:KC$34-$KT$3:$KT$34)^2)^0.5</f>
        <v>0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</row>
    <row r="40" spans="1:340">
      <c r="A40" s="1" t="s">
        <v>36</v>
      </c>
      <c r="B40" s="1">
        <f>SUMPRODUCT(NOT(ISBLANK(B$3:B$34))*(B$3:B$34=$KD$3:$KD$34))</f>
        <v>0</v>
      </c>
      <c r="C40" s="1">
        <f>SUMPRODUCT(NOT(ISBLANK(C$3:C$34))*(C$3:C$34=$KE$3:$KE$34))</f>
        <v>0</v>
      </c>
      <c r="D40" s="1">
        <f>SUMPRODUCT(NOT(ISBLANK(D$3:D$34))*(D$3:D$34=$KF$3:$KF$34))</f>
        <v>0</v>
      </c>
      <c r="E40" s="1">
        <f>SUMPRODUCT(NOT(ISBLANK(E$3:E$34))*(E$3:E$34=$KG$3:$KG$34))</f>
        <v>0</v>
      </c>
      <c r="F40" s="1">
        <f>SUMPRODUCT(NOT(ISBLANK(F$3:F$34))*(F$3:F$34=$KH$3:$KH$34))</f>
        <v>0</v>
      </c>
      <c r="G40" s="1">
        <f>SUMPRODUCT(NOT(ISBLANK(G$3:G$34))*(G$3:G$34=$KI$3:$KI$34))</f>
        <v>0</v>
      </c>
      <c r="H40" s="1">
        <f>SUMPRODUCT(NOT(ISBLANK(H$3:H$34))*(H$3:H$34=$KJ$3:$KJ$34))</f>
        <v>0</v>
      </c>
      <c r="I40" s="1">
        <f>SUMPRODUCT(NOT(ISBLANK(I$3:I$34))*(I$3:I$34=$KK$3:$KK$34))</f>
        <v>0</v>
      </c>
      <c r="J40" s="1">
        <f>SUMPRODUCT(NOT(ISBLANK(J$3:J$34))*(J$3:J$34=$KL$3:$KL$34))</f>
        <v>0</v>
      </c>
      <c r="K40" s="1">
        <f>SUMPRODUCT(NOT(ISBLANK(K$3:K$34))*(K$3:K$34=$KM$3:$KM$34))</f>
        <v>0</v>
      </c>
      <c r="L40" s="1">
        <f>SUMPRODUCT(NOT(ISBLANK(L$3:L$34))*(L$3:L$34=$KN$3:$KN$34))</f>
        <v>0</v>
      </c>
      <c r="M40" s="1">
        <f>SUMPRODUCT(NOT(ISBLANK(M$3:M$34))*(M$3:M$34=$KO$3:$KO$34))</f>
        <v>0</v>
      </c>
      <c r="N40" s="1">
        <f>SUMPRODUCT(NOT(ISBLANK(N$3:N$34))*(N$3:N$34=$KP$3:$KP$34))</f>
        <v>0</v>
      </c>
      <c r="O40" s="1">
        <f>SUMPRODUCT(NOT(ISBLANK(O$3:O$34))*(O$3:O$34=$KQ$3:$KQ$34))</f>
        <v>0</v>
      </c>
      <c r="P40" s="1"/>
      <c r="Q40" s="1">
        <f>SUMPRODUCT(NOT(ISBLANK(Q$3:Q$34))*(Q$3:Q$34=$KR$3:$KR$34))</f>
        <v>0</v>
      </c>
      <c r="R40" s="1">
        <f>SUMPRODUCT(NOT(ISBLANK(R$3:R$34))*(R$3:R$34=$KS$3:$KS$34))</f>
        <v>0</v>
      </c>
      <c r="S40" s="1">
        <f>SUMPRODUCT(NOT(ISBLANK(S$3:S$34))*(S$3:S$34=$KT$3:$KT$34))</f>
        <v>0</v>
      </c>
      <c r="T40" s="1">
        <f>SUMPRODUCT(NOT(ISBLANK(T$3:T$34))*(T$3:T$34=$KD$3:$KD$34))</f>
        <v>0</v>
      </c>
      <c r="U40" s="1">
        <f>SUMPRODUCT(NOT(ISBLANK(U$3:U$34))*(U$3:U$34=$KE$3:$KE$34))</f>
        <v>0</v>
      </c>
      <c r="V40" s="1">
        <f>SUMPRODUCT(NOT(ISBLANK(V$3:V$34))*(V$3:V$34=$KF$3:$KF$34))</f>
        <v>0</v>
      </c>
      <c r="W40" s="1">
        <f>SUMPRODUCT(NOT(ISBLANK(W$3:W$34))*(W$3:W$34=$KG$3:$KG$34))</f>
        <v>0</v>
      </c>
      <c r="X40" s="1">
        <f>SUMPRODUCT(NOT(ISBLANK(X$3:X$34))*(X$3:X$34=$KH$3:$KH$34))</f>
        <v>0</v>
      </c>
      <c r="Y40" s="1">
        <f>SUMPRODUCT(NOT(ISBLANK(Y$3:Y$34))*(Y$3:Y$34=$KI$3:$KI$34))</f>
        <v>0</v>
      </c>
      <c r="Z40" s="1">
        <f>SUMPRODUCT(NOT(ISBLANK(Z$3:Z$34))*(Z$3:Z$34=$KJ$3:$KJ$34))</f>
        <v>0</v>
      </c>
      <c r="AA40" s="1">
        <f>SUMPRODUCT(NOT(ISBLANK(AA$3:AA$34))*(AA$3:AA$34=$KK$3:$KK$34))</f>
        <v>0</v>
      </c>
      <c r="AB40" s="1">
        <f>SUMPRODUCT(NOT(ISBLANK(AB$3:AB$34))*(AB$3:AB$34=$KL$3:$KL$34))</f>
        <v>0</v>
      </c>
      <c r="AC40" s="1">
        <f>SUMPRODUCT(NOT(ISBLANK(AC$3:AC$34))*(AC$3:AC$34=$KM$3:$KM$34))</f>
        <v>0</v>
      </c>
      <c r="AD40" s="1">
        <f>SUMPRODUCT(NOT(ISBLANK(AD$3:AD$34))*(AD$3:AD$34=$KN$3:$KN$34))</f>
        <v>0</v>
      </c>
      <c r="AE40" s="1">
        <f>SUMPRODUCT(NOT(ISBLANK(AE$3:AE$34))*(AE$3:AE$34=$KO$3:$KO$34))</f>
        <v>0</v>
      </c>
      <c r="AF40" s="1">
        <f>SUMPRODUCT(NOT(ISBLANK(AF$3:AF$34))*(AF$3:AF$34=$KP$3:$KP$34))</f>
        <v>0</v>
      </c>
      <c r="AG40" s="1">
        <f>SUMPRODUCT(NOT(ISBLANK(AG$3:AG$34))*(AG$3:AG$34=$KQ$3:$KQ$34))</f>
        <v>0</v>
      </c>
      <c r="AH40" s="1"/>
      <c r="AI40" s="1">
        <f>SUMPRODUCT(NOT(ISBLANK(AI$3:AI$34))*(AI$3:AI$34=$KR$3:$KR$34))</f>
        <v>0</v>
      </c>
      <c r="AJ40" s="1">
        <f>SUMPRODUCT(NOT(ISBLANK(AJ$3:AJ$34))*(AJ$3:AJ$34=$KS$3:$KS$34))</f>
        <v>0</v>
      </c>
      <c r="AK40" s="1">
        <f>SUMPRODUCT(NOT(ISBLANK(AK$3:AK$34))*(AK$3:AK$34=$KT$3:$KT$34))</f>
        <v>0</v>
      </c>
      <c r="AL40" s="1">
        <f>SUMPRODUCT(NOT(ISBLANK(AL$3:AL$34))*(AL$3:AL$34=$KD$3:$KD$34))</f>
        <v>0</v>
      </c>
      <c r="AM40" s="1">
        <f>SUMPRODUCT(NOT(ISBLANK(AM$3:AM$34))*(AM$3:AM$34=$KE$3:$KE$34))</f>
        <v>0</v>
      </c>
      <c r="AN40" s="1">
        <f>SUMPRODUCT(NOT(ISBLANK(AN$3:AN$34))*(AN$3:AN$34=$KF$3:$KF$34))</f>
        <v>0</v>
      </c>
      <c r="AO40" s="1">
        <f>SUMPRODUCT(NOT(ISBLANK(AO$3:AO$34))*(AO$3:AO$34=$KG$3:$KG$34))</f>
        <v>0</v>
      </c>
      <c r="AP40" s="1">
        <f>SUMPRODUCT(NOT(ISBLANK(AP$3:AP$34))*(AP$3:AP$34=$KH$3:$KH$34))</f>
        <v>0</v>
      </c>
      <c r="AQ40" s="1">
        <f>SUMPRODUCT(NOT(ISBLANK(AQ$3:AQ$34))*(AQ$3:AQ$34=$KI$3:$KI$34))</f>
        <v>0</v>
      </c>
      <c r="AR40" s="1">
        <f>SUMPRODUCT(NOT(ISBLANK(AR$3:AR$34))*(AR$3:AR$34=$KJ$3:$KJ$34))</f>
        <v>0</v>
      </c>
      <c r="AS40" s="1">
        <f>SUMPRODUCT(NOT(ISBLANK(AS$3:AS$34))*(AS$3:AS$34=$KK$3:$KK$34))</f>
        <v>0</v>
      </c>
      <c r="AT40" s="1">
        <f>SUMPRODUCT(NOT(ISBLANK(AT$3:AT$34))*(AT$3:AT$34=$KL$3:$KL$34))</f>
        <v>0</v>
      </c>
      <c r="AU40" s="1">
        <f>SUMPRODUCT(NOT(ISBLANK(AU$3:AU$34))*(AU$3:AU$34=$KM$3:$KM$34))</f>
        <v>0</v>
      </c>
      <c r="AV40" s="1">
        <f>SUMPRODUCT(NOT(ISBLANK(AV$3:AV$34))*(AV$3:AV$34=$KN$3:$KN$34))</f>
        <v>0</v>
      </c>
      <c r="AW40" s="1">
        <f>SUMPRODUCT(NOT(ISBLANK(AW$3:AW$34))*(AW$3:AW$34=$KO$3:$KO$34))</f>
        <v>0</v>
      </c>
      <c r="AX40" s="1">
        <f>SUMPRODUCT(NOT(ISBLANK(AX$3:AX$34))*(AX$3:AX$34=$KP$3:$KP$34))</f>
        <v>0</v>
      </c>
      <c r="AY40" s="1">
        <f>SUMPRODUCT(NOT(ISBLANK(AY$3:AY$34))*(AY$3:AY$34=$KQ$3:$KQ$34))</f>
        <v>0</v>
      </c>
      <c r="AZ40" s="1"/>
      <c r="BA40" s="1">
        <f>SUMPRODUCT(NOT(ISBLANK(BA$3:BA$34))*(BA$3:BA$34=$KR$3:$KR$34))</f>
        <v>0</v>
      </c>
      <c r="BB40" s="1">
        <f>SUMPRODUCT(NOT(ISBLANK(BB$3:BB$34))*(BB$3:BB$34=$KS$3:$KS$34))</f>
        <v>0</v>
      </c>
      <c r="BC40" s="1">
        <f>SUMPRODUCT(NOT(ISBLANK(BC$3:BC$34))*(BC$3:BC$34=$KT$3:$KT$34))</f>
        <v>0</v>
      </c>
      <c r="BD40" s="1">
        <f>SUMPRODUCT(NOT(ISBLANK(BD$3:BD$34))*(BD$3:BD$34=$KD$3:$KD$34))</f>
        <v>0</v>
      </c>
      <c r="BE40" s="1">
        <f>SUMPRODUCT(NOT(ISBLANK(BE$3:BE$34))*(BE$3:BE$34=$KE$3:$KE$34))</f>
        <v>0</v>
      </c>
      <c r="BF40" s="1">
        <f>SUMPRODUCT(NOT(ISBLANK(BF$3:BF$34))*(BF$3:BF$34=$KF$3:$KF$34))</f>
        <v>0</v>
      </c>
      <c r="BG40" s="1">
        <f>SUMPRODUCT(NOT(ISBLANK(BG$3:BG$34))*(BG$3:BG$34=$KG$3:$KG$34))</f>
        <v>0</v>
      </c>
      <c r="BH40" s="1">
        <f>SUMPRODUCT(NOT(ISBLANK(BH$3:BH$34))*(BH$3:BH$34=$KH$3:$KH$34))</f>
        <v>0</v>
      </c>
      <c r="BI40" s="1">
        <f>SUMPRODUCT(NOT(ISBLANK(BI$3:BI$34))*(BI$3:BI$34=$KI$3:$KI$34))</f>
        <v>0</v>
      </c>
      <c r="BJ40" s="1">
        <f>SUMPRODUCT(NOT(ISBLANK(BJ$3:BJ$34))*(BJ$3:BJ$34=$KJ$3:$KJ$34))</f>
        <v>0</v>
      </c>
      <c r="BK40" s="1">
        <f>SUMPRODUCT(NOT(ISBLANK(BK$3:BK$34))*(BK$3:BK$34=$KK$3:$KK$34))</f>
        <v>0</v>
      </c>
      <c r="BL40" s="1">
        <f>SUMPRODUCT(NOT(ISBLANK(BL$3:BL$34))*(BL$3:BL$34=$KL$3:$KL$34))</f>
        <v>0</v>
      </c>
      <c r="BM40" s="1">
        <f>SUMPRODUCT(NOT(ISBLANK(BM$3:BM$34))*(BM$3:BM$34=$KM$3:$KM$34))</f>
        <v>0</v>
      </c>
      <c r="BN40" s="1">
        <f>SUMPRODUCT(NOT(ISBLANK(BN$3:BN$34))*(BN$3:BN$34=$KN$3:$KN$34))</f>
        <v>0</v>
      </c>
      <c r="BO40" s="1">
        <f>SUMPRODUCT(NOT(ISBLANK(BO$3:BO$34))*(BO$3:BO$34=$KO$3:$KO$34))</f>
        <v>0</v>
      </c>
      <c r="BP40" s="1">
        <f>SUMPRODUCT(NOT(ISBLANK(BP$3:BP$34))*(BP$3:BP$34=$KP$3:$KP$34))</f>
        <v>0</v>
      </c>
      <c r="BQ40" s="1">
        <f>SUMPRODUCT(NOT(ISBLANK(BQ$3:BQ$34))*(BQ$3:BQ$34=$KQ$3:$KQ$34))</f>
        <v>0</v>
      </c>
      <c r="BR40" s="1"/>
      <c r="BS40" s="1">
        <f>SUMPRODUCT(NOT(ISBLANK(BS$3:BS$34))*(BS$3:BS$34=$KR$3:$KR$34))</f>
        <v>0</v>
      </c>
      <c r="BT40" s="1">
        <f>SUMPRODUCT(NOT(ISBLANK(BT$3:BT$34))*(BT$3:BT$34=$KS$3:$KS$34))</f>
        <v>0</v>
      </c>
      <c r="BU40" s="1">
        <f>SUMPRODUCT(NOT(ISBLANK(BU$3:BU$34))*(BU$3:BU$34=$KT$3:$KT$34))</f>
        <v>0</v>
      </c>
      <c r="BV40" s="1">
        <f>SUMPRODUCT(NOT(ISBLANK(BV$3:BV$34))*(BV$3:BV$34=$KD$3:$KD$34))</f>
        <v>0</v>
      </c>
      <c r="BW40" s="1">
        <f>SUMPRODUCT(NOT(ISBLANK(BW$3:BW$34))*(BW$3:BW$34=$KE$3:$KE$34))</f>
        <v>0</v>
      </c>
      <c r="BX40" s="1">
        <f>SUMPRODUCT(NOT(ISBLANK(BX$3:BX$34))*(BX$3:BX$34=$KF$3:$KF$34))</f>
        <v>0</v>
      </c>
      <c r="BY40" s="1">
        <f>SUMPRODUCT(NOT(ISBLANK(BY$3:BY$34))*(BY$3:BY$34=$KG$3:$KG$34))</f>
        <v>0</v>
      </c>
      <c r="BZ40" s="1">
        <f>SUMPRODUCT(NOT(ISBLANK(BZ$3:BZ$34))*(BZ$3:BZ$34=$KH$3:$KH$34))</f>
        <v>0</v>
      </c>
      <c r="CA40" s="1">
        <f>SUMPRODUCT(NOT(ISBLANK(CA$3:CA$34))*(CA$3:CA$34=$KI$3:$KI$34))</f>
        <v>0</v>
      </c>
      <c r="CB40" s="1">
        <f>SUMPRODUCT(NOT(ISBLANK(CB$3:CB$34))*(CB$3:CB$34=$KJ$3:$KJ$34))</f>
        <v>0</v>
      </c>
      <c r="CC40" s="1">
        <f>SUMPRODUCT(NOT(ISBLANK(CC$3:CC$34))*(CC$3:CC$34=$KK$3:$KK$34))</f>
        <v>0</v>
      </c>
      <c r="CD40" s="1">
        <f>SUMPRODUCT(NOT(ISBLANK(CD$3:CD$34))*(CD$3:CD$34=$KL$3:$KL$34))</f>
        <v>0</v>
      </c>
      <c r="CE40" s="1">
        <f>SUMPRODUCT(NOT(ISBLANK(CE$3:CE$34))*(CE$3:CE$34=$KM$3:$KM$34))</f>
        <v>0</v>
      </c>
      <c r="CF40" s="1">
        <f>SUMPRODUCT(NOT(ISBLANK(CF$3:CF$34))*(CF$3:CF$34=$KN$3:$KN$34))</f>
        <v>0</v>
      </c>
      <c r="CG40" s="1">
        <f>SUMPRODUCT(NOT(ISBLANK(CG$3:CG$34))*(CG$3:CG$34=$KO$3:$KO$34))</f>
        <v>0</v>
      </c>
      <c r="CH40" s="1">
        <f>SUMPRODUCT(NOT(ISBLANK(CH$3:CH$34))*(CH$3:CH$34=$KP$3:$KP$34))</f>
        <v>0</v>
      </c>
      <c r="CI40" s="1">
        <f>SUMPRODUCT(NOT(ISBLANK(CI$3:CI$34))*(CI$3:CI$34=$KQ$3:$KQ$34))</f>
        <v>0</v>
      </c>
      <c r="CJ40" s="1"/>
      <c r="CK40" s="1">
        <f>SUMPRODUCT(NOT(ISBLANK(CK$3:CK$34))*(CK$3:CK$34=$KR$3:$KR$34))</f>
        <v>0</v>
      </c>
      <c r="CL40" s="1">
        <f>SUMPRODUCT(NOT(ISBLANK(CL$3:CL$34))*(CL$3:CL$34=$KS$3:$KS$34))</f>
        <v>0</v>
      </c>
      <c r="CM40" s="1">
        <f>SUMPRODUCT(NOT(ISBLANK(CM$3:CM$34))*(CM$3:CM$34=$KT$3:$KT$34))</f>
        <v>0</v>
      </c>
      <c r="CN40" s="1">
        <f>SUMPRODUCT(NOT(ISBLANK(CN$3:CN$34))*(CN$3:CN$34=$KD$3:$KD$34))</f>
        <v>0</v>
      </c>
      <c r="CO40" s="1">
        <f>SUMPRODUCT(NOT(ISBLANK(CO$3:CO$34))*(CO$3:CO$34=$KE$3:$KE$34))</f>
        <v>0</v>
      </c>
      <c r="CP40" s="1">
        <f>SUMPRODUCT(NOT(ISBLANK(CP$3:CP$34))*(CP$3:CP$34=$KF$3:$KF$34))</f>
        <v>0</v>
      </c>
      <c r="CQ40" s="1">
        <f>SUMPRODUCT(NOT(ISBLANK(CQ$3:CQ$34))*(CQ$3:CQ$34=$KG$3:$KG$34))</f>
        <v>0</v>
      </c>
      <c r="CR40" s="1">
        <f>SUMPRODUCT(NOT(ISBLANK(CR$3:CR$34))*(CR$3:CR$34=$KH$3:$KH$34))</f>
        <v>0</v>
      </c>
      <c r="CS40" s="1">
        <f>SUMPRODUCT(NOT(ISBLANK(CS$3:CS$34))*(CS$3:CS$34=$KI$3:$KI$34))</f>
        <v>0</v>
      </c>
      <c r="CT40" s="1">
        <f>SUMPRODUCT(NOT(ISBLANK(CT$3:CT$34))*(CT$3:CT$34=$KJ$3:$KJ$34))</f>
        <v>0</v>
      </c>
      <c r="CU40" s="1">
        <f>SUMPRODUCT(NOT(ISBLANK(CU$3:CU$34))*(CU$3:CU$34=$KK$3:$KK$34))</f>
        <v>0</v>
      </c>
      <c r="CV40" s="1">
        <f>SUMPRODUCT(NOT(ISBLANK(CV$3:CV$34))*(CV$3:CV$34=$KL$3:$KL$34))</f>
        <v>0</v>
      </c>
      <c r="CW40" s="1">
        <f>SUMPRODUCT(NOT(ISBLANK(CW$3:CW$34))*(CW$3:CW$34=$KM$3:$KM$34))</f>
        <v>0</v>
      </c>
      <c r="CX40" s="1">
        <f>SUMPRODUCT(NOT(ISBLANK(CX$3:CX$34))*(CX$3:CX$34=$KN$3:$KN$34))</f>
        <v>0</v>
      </c>
      <c r="CY40" s="1">
        <f>SUMPRODUCT(NOT(ISBLANK(CY$3:CY$34))*(CY$3:CY$34=$KO$3:$KO$34))</f>
        <v>0</v>
      </c>
      <c r="CZ40" s="1">
        <f>SUMPRODUCT(NOT(ISBLANK(CZ$3:CZ$34))*(CZ$3:CZ$34=$KP$3:$KP$34))</f>
        <v>0</v>
      </c>
      <c r="DA40" s="1">
        <f>SUMPRODUCT(NOT(ISBLANK(DA$3:DA$34))*(DA$3:DA$34=$KQ$3:$KQ$34))</f>
        <v>0</v>
      </c>
      <c r="DB40" s="1"/>
      <c r="DC40" s="1">
        <f>SUMPRODUCT(NOT(ISBLANK(DC$3:DC$34))*(DC$3:DC$34=$KR$3:$KR$34))</f>
        <v>0</v>
      </c>
      <c r="DD40" s="1">
        <f>SUMPRODUCT(NOT(ISBLANK(DD$3:DD$34))*(DD$3:DD$34=$KS$3:$KS$34))</f>
        <v>0</v>
      </c>
      <c r="DE40" s="1">
        <f>SUMPRODUCT(NOT(ISBLANK(DE$3:DE$34))*(DE$3:DE$34=$KT$3:$KT$34))</f>
        <v>0</v>
      </c>
      <c r="DF40" s="1">
        <f>SUMPRODUCT(NOT(ISBLANK(DF$3:DF$34))*(DF$3:DF$34=$KD$3:$KD$34))</f>
        <v>0</v>
      </c>
      <c r="DG40" s="1">
        <f>SUMPRODUCT(NOT(ISBLANK(DG$3:DG$34))*(DG$3:DG$34=$KE$3:$KE$34))</f>
        <v>0</v>
      </c>
      <c r="DH40" s="1">
        <f>SUMPRODUCT(NOT(ISBLANK(DH$3:DH$34))*(DH$3:DH$34=$KF$3:$KF$34))</f>
        <v>0</v>
      </c>
      <c r="DI40" s="1">
        <f>SUMPRODUCT(NOT(ISBLANK(DI$3:DI$34))*(DI$3:DI$34=$KG$3:$KG$34))</f>
        <v>0</v>
      </c>
      <c r="DJ40" s="1">
        <f>SUMPRODUCT(NOT(ISBLANK(DJ$3:DJ$34))*(DJ$3:DJ$34=$KH$3:$KH$34))</f>
        <v>0</v>
      </c>
      <c r="DK40" s="1">
        <f>SUMPRODUCT(NOT(ISBLANK(DK$3:DK$34))*(DK$3:DK$34=$KI$3:$KI$34))</f>
        <v>0</v>
      </c>
      <c r="DL40" s="1">
        <f>SUMPRODUCT(NOT(ISBLANK(DL$3:DL$34))*(DL$3:DL$34=$KJ$3:$KJ$34))</f>
        <v>0</v>
      </c>
      <c r="DM40" s="1">
        <f>SUMPRODUCT(NOT(ISBLANK(DM$3:DM$34))*(DM$3:DM$34=$KK$3:$KK$34))</f>
        <v>0</v>
      </c>
      <c r="DN40" s="1">
        <f>SUMPRODUCT(NOT(ISBLANK(DN$3:DN$34))*(DN$3:DN$34=$KL$3:$KL$34))</f>
        <v>0</v>
      </c>
      <c r="DO40" s="1">
        <f>SUMPRODUCT(NOT(ISBLANK(DO$3:DO$34))*(DO$3:DO$34=$KM$3:$KM$34))</f>
        <v>0</v>
      </c>
      <c r="DP40" s="1">
        <f>SUMPRODUCT(NOT(ISBLANK(DP$3:DP$34))*(DP$3:DP$34=$KN$3:$KN$34))</f>
        <v>0</v>
      </c>
      <c r="DQ40" s="1">
        <f>SUMPRODUCT(NOT(ISBLANK(DQ$3:DQ$34))*(DQ$3:DQ$34=$KO$3:$KO$34))</f>
        <v>0</v>
      </c>
      <c r="DR40" s="1">
        <f>SUMPRODUCT(NOT(ISBLANK(DR$3:DR$34))*(DR$3:DR$34=$KP$3:$KP$34))</f>
        <v>0</v>
      </c>
      <c r="DS40" s="1">
        <f>SUMPRODUCT(NOT(ISBLANK(DS$3:DS$34))*(DS$3:DS$34=$KQ$3:$KQ$34))</f>
        <v>0</v>
      </c>
      <c r="DT40" s="1"/>
      <c r="DU40" s="1">
        <f>SUMPRODUCT(NOT(ISBLANK(DU$3:DU$34))*(DU$3:DU$34=$KR$3:$KR$34))</f>
        <v>0</v>
      </c>
      <c r="DV40" s="1">
        <f>SUMPRODUCT(NOT(ISBLANK(DV$3:DV$34))*(DV$3:DV$34=$KS$3:$KS$34))</f>
        <v>0</v>
      </c>
      <c r="DW40" s="1">
        <f>SUMPRODUCT(NOT(ISBLANK(DW$3:DW$34))*(DW$3:DW$34=$KT$3:$KT$34))</f>
        <v>0</v>
      </c>
      <c r="DX40" s="1">
        <f>SUMPRODUCT(NOT(ISBLANK(DX$3:DX$34))*(DX$3:DX$34=$KD$3:$KD$34))</f>
        <v>0</v>
      </c>
      <c r="DY40" s="1">
        <f>SUMPRODUCT(NOT(ISBLANK(DY$3:DY$34))*(DY$3:DY$34=$KE$3:$KE$34))</f>
        <v>0</v>
      </c>
      <c r="DZ40" s="1">
        <f>SUMPRODUCT(NOT(ISBLANK(DZ$3:DZ$34))*(DZ$3:DZ$34=$KF$3:$KF$34))</f>
        <v>0</v>
      </c>
      <c r="EA40" s="1">
        <f>SUMPRODUCT(NOT(ISBLANK(EA$3:EA$34))*(EA$3:EA$34=$KG$3:$KG$34))</f>
        <v>0</v>
      </c>
      <c r="EB40" s="1">
        <f>SUMPRODUCT(NOT(ISBLANK(EB$3:EB$34))*(EB$3:EB$34=$KH$3:$KH$34))</f>
        <v>0</v>
      </c>
      <c r="EC40" s="1">
        <f>SUMPRODUCT(NOT(ISBLANK(EC$3:EC$34))*(EC$3:EC$34=$KI$3:$KI$34))</f>
        <v>0</v>
      </c>
      <c r="ED40" s="1">
        <f>SUMPRODUCT(NOT(ISBLANK(ED$3:ED$34))*(ED$3:ED$34=$KJ$3:$KJ$34))</f>
        <v>0</v>
      </c>
      <c r="EE40" s="1">
        <f>SUMPRODUCT(NOT(ISBLANK(EE$3:EE$34))*(EE$3:EE$34=$KK$3:$KK$34))</f>
        <v>0</v>
      </c>
      <c r="EF40" s="1">
        <f>SUMPRODUCT(NOT(ISBLANK(EF$3:EF$34))*(EF$3:EF$34=$KL$3:$KL$34))</f>
        <v>0</v>
      </c>
      <c r="EG40" s="1">
        <f>SUMPRODUCT(NOT(ISBLANK(EG$3:EG$34))*(EG$3:EG$34=$KM$3:$KM$34))</f>
        <v>0</v>
      </c>
      <c r="EH40" s="1">
        <f>SUMPRODUCT(NOT(ISBLANK(EH$3:EH$34))*(EH$3:EH$34=$KN$3:$KN$34))</f>
        <v>0</v>
      </c>
      <c r="EI40" s="1">
        <f>SUMPRODUCT(NOT(ISBLANK(EI$3:EI$34))*(EI$3:EI$34=$KO$3:$KO$34))</f>
        <v>0</v>
      </c>
      <c r="EJ40" s="1">
        <f>SUMPRODUCT(NOT(ISBLANK(EJ$3:EJ$34))*(EJ$3:EJ$34=$KP$3:$KP$34))</f>
        <v>0</v>
      </c>
      <c r="EK40" s="1">
        <f>SUMPRODUCT(NOT(ISBLANK(EK$3:EK$34))*(EK$3:EK$34=$KQ$3:$KQ$34))</f>
        <v>0</v>
      </c>
      <c r="EL40" s="1"/>
      <c r="EM40" s="1">
        <f>SUMPRODUCT(NOT(ISBLANK(EM$3:EM$34))*(EM$3:EM$34=$KR$3:$KR$34))</f>
        <v>0</v>
      </c>
      <c r="EN40" s="1">
        <f>SUMPRODUCT(NOT(ISBLANK(EN$3:EN$34))*(EN$3:EN$34=$KS$3:$KS$34))</f>
        <v>0</v>
      </c>
      <c r="EO40" s="1">
        <f>SUMPRODUCT(NOT(ISBLANK(EO$3:EO$34))*(EO$3:EO$34=$KT$3:$KT$34))</f>
        <v>0</v>
      </c>
      <c r="EP40" s="1">
        <f>SUMPRODUCT(NOT(ISBLANK(EP$3:EP$34))*(EP$3:EP$34=$KD$3:$KD$34))</f>
        <v>0</v>
      </c>
      <c r="EQ40" s="1">
        <f>SUMPRODUCT(NOT(ISBLANK(EQ$3:EQ$34))*(EQ$3:EQ$34=$KE$3:$KE$34))</f>
        <v>0</v>
      </c>
      <c r="ER40" s="1">
        <f>SUMPRODUCT(NOT(ISBLANK(ER$3:ER$34))*(ER$3:ER$34=$KF$3:$KF$34))</f>
        <v>0</v>
      </c>
      <c r="ES40" s="1">
        <f>SUMPRODUCT(NOT(ISBLANK(ES$3:ES$34))*(ES$3:ES$34=$KG$3:$KG$34))</f>
        <v>0</v>
      </c>
      <c r="ET40" s="1">
        <f>SUMPRODUCT(NOT(ISBLANK(ET$3:ET$34))*(ET$3:ET$34=$KH$3:$KH$34))</f>
        <v>0</v>
      </c>
      <c r="EU40" s="1">
        <f>SUMPRODUCT(NOT(ISBLANK(EU$3:EU$34))*(EU$3:EU$34=$KI$3:$KI$34))</f>
        <v>0</v>
      </c>
      <c r="EV40" s="1">
        <f>SUMPRODUCT(NOT(ISBLANK(EV$3:EV$34))*(EV$3:EV$34=$KJ$3:$KJ$34))</f>
        <v>0</v>
      </c>
      <c r="EW40" s="1">
        <f>SUMPRODUCT(NOT(ISBLANK(EW$3:EW$34))*(EW$3:EW$34=$KK$3:$KK$34))</f>
        <v>0</v>
      </c>
      <c r="EX40" s="1">
        <f>SUMPRODUCT(NOT(ISBLANK(EX$3:EX$34))*(EX$3:EX$34=$KL$3:$KL$34))</f>
        <v>0</v>
      </c>
      <c r="EY40" s="1">
        <f>SUMPRODUCT(NOT(ISBLANK(EY$3:EY$34))*(EY$3:EY$34=$KM$3:$KM$34))</f>
        <v>0</v>
      </c>
      <c r="EZ40" s="1">
        <f>SUMPRODUCT(NOT(ISBLANK(EZ$3:EZ$34))*(EZ$3:EZ$34=$KN$3:$KN$34))</f>
        <v>0</v>
      </c>
      <c r="FA40" s="1">
        <f>SUMPRODUCT(NOT(ISBLANK(FA$3:FA$34))*(FA$3:FA$34=$KO$3:$KO$34))</f>
        <v>0</v>
      </c>
      <c r="FB40" s="1">
        <f>SUMPRODUCT(NOT(ISBLANK(FB$3:FB$34))*(FB$3:FB$34=$KP$3:$KP$34))</f>
        <v>0</v>
      </c>
      <c r="FC40" s="1">
        <f>SUMPRODUCT(NOT(ISBLANK(FC$3:FC$34))*(FC$3:FC$34=$KQ$3:$KQ$34))</f>
        <v>0</v>
      </c>
      <c r="FD40" s="1"/>
      <c r="FE40" s="1">
        <f>SUMPRODUCT(NOT(ISBLANK(FE$3:FE$34))*(FE$3:FE$34=$KR$3:$KR$34))</f>
        <v>0</v>
      </c>
      <c r="FF40" s="1">
        <f>SUMPRODUCT(NOT(ISBLANK(FF$3:FF$34))*(FF$3:FF$34=$KS$3:$KS$34))</f>
        <v>0</v>
      </c>
      <c r="FG40" s="1">
        <f>SUMPRODUCT(NOT(ISBLANK(FG$3:FG$34))*(FG$3:FG$34=$KT$3:$KT$34))</f>
        <v>0</v>
      </c>
      <c r="FH40" s="1">
        <f>SUMPRODUCT(NOT(ISBLANK(FH$3:FH$34))*(FH$3:FH$34=$KD$3:$KD$34))</f>
        <v>0</v>
      </c>
      <c r="FI40" s="1">
        <f>SUMPRODUCT(NOT(ISBLANK(FI$3:FI$34))*(FI$3:FI$34=$KE$3:$KE$34))</f>
        <v>0</v>
      </c>
      <c r="FJ40" s="1">
        <f>SUMPRODUCT(NOT(ISBLANK(FJ$3:FJ$34))*(FJ$3:FJ$34=$KF$3:$KF$34))</f>
        <v>0</v>
      </c>
      <c r="FK40" s="1">
        <f>SUMPRODUCT(NOT(ISBLANK(FK$3:FK$34))*(FK$3:FK$34=$KG$3:$KG$34))</f>
        <v>0</v>
      </c>
      <c r="FL40" s="1">
        <f>SUMPRODUCT(NOT(ISBLANK(FL$3:FL$34))*(FL$3:FL$34=$KH$3:$KH$34))</f>
        <v>0</v>
      </c>
      <c r="FM40" s="1">
        <f>SUMPRODUCT(NOT(ISBLANK(FM$3:FM$34))*(FM$3:FM$34=$KI$3:$KI$34))</f>
        <v>0</v>
      </c>
      <c r="FN40" s="1">
        <f>SUMPRODUCT(NOT(ISBLANK(FN$3:FN$34))*(FN$3:FN$34=$KJ$3:$KJ$34))</f>
        <v>0</v>
      </c>
      <c r="FO40" s="1">
        <f>SUMPRODUCT(NOT(ISBLANK(FO$3:FO$34))*(FO$3:FO$34=$KK$3:$KK$34))</f>
        <v>0</v>
      </c>
      <c r="FP40" s="1">
        <f>SUMPRODUCT(NOT(ISBLANK(FP$3:FP$34))*(FP$3:FP$34=$KL$3:$KL$34))</f>
        <v>0</v>
      </c>
      <c r="FQ40" s="1">
        <f>SUMPRODUCT(NOT(ISBLANK(FQ$3:FQ$34))*(FQ$3:FQ$34=$KM$3:$KM$34))</f>
        <v>0</v>
      </c>
      <c r="FR40" s="1">
        <f>SUMPRODUCT(NOT(ISBLANK(FR$3:FR$34))*(FR$3:FR$34=$KN$3:$KN$34))</f>
        <v>0</v>
      </c>
      <c r="FS40" s="1">
        <f>SUMPRODUCT(NOT(ISBLANK(FS$3:FS$34))*(FS$3:FS$34=$KO$3:$KO$34))</f>
        <v>0</v>
      </c>
      <c r="FT40" s="1">
        <f>SUMPRODUCT(NOT(ISBLANK(FT$3:FT$34))*(FT$3:FT$34=$KP$3:$KP$34))</f>
        <v>0</v>
      </c>
      <c r="FU40" s="1">
        <f>SUMPRODUCT(NOT(ISBLANK(FU$3:FU$34))*(FU$3:FU$34=$KQ$3:$KQ$34))</f>
        <v>0</v>
      </c>
      <c r="FV40" s="1"/>
      <c r="FW40" s="1">
        <f>SUMPRODUCT(NOT(ISBLANK(FW$3:FW$34))*(FW$3:FW$34=$KR$3:$KR$34))</f>
        <v>0</v>
      </c>
      <c r="FX40" s="1">
        <f>SUMPRODUCT(NOT(ISBLANK(FX$3:FX$34))*(FX$3:FX$34=$KS$3:$KS$34))</f>
        <v>0</v>
      </c>
      <c r="FY40" s="1">
        <f>SUMPRODUCT(NOT(ISBLANK(FY$3:FY$34))*(FY$3:FY$34=$KT$3:$KT$34))</f>
        <v>0</v>
      </c>
      <c r="FZ40" s="1">
        <f>SUMPRODUCT(NOT(ISBLANK(FZ$3:FZ$34))*(FZ$3:FZ$34=$KD$3:$KD$34))</f>
        <v>0</v>
      </c>
      <c r="GA40" s="1">
        <f>SUMPRODUCT(NOT(ISBLANK(GA$3:GA$34))*(GA$3:GA$34=$KE$3:$KE$34))</f>
        <v>0</v>
      </c>
      <c r="GB40" s="1">
        <f>SUMPRODUCT(NOT(ISBLANK(GB$3:GB$34))*(GB$3:GB$34=$KF$3:$KF$34))</f>
        <v>0</v>
      </c>
      <c r="GC40" s="1">
        <f>SUMPRODUCT(NOT(ISBLANK(GC$3:GC$34))*(GC$3:GC$34=$KG$3:$KG$34))</f>
        <v>0</v>
      </c>
      <c r="GD40" s="1">
        <f>SUMPRODUCT(NOT(ISBLANK(GD$3:GD$34))*(GD$3:GD$34=$KH$3:$KH$34))</f>
        <v>0</v>
      </c>
      <c r="GE40" s="1">
        <f>SUMPRODUCT(NOT(ISBLANK(GE$3:GE$34))*(GE$3:GE$34=$KI$3:$KI$34))</f>
        <v>0</v>
      </c>
      <c r="GF40" s="1">
        <f>SUMPRODUCT(NOT(ISBLANK(GF$3:GF$34))*(GF$3:GF$34=$KJ$3:$KJ$34))</f>
        <v>0</v>
      </c>
      <c r="GG40" s="1">
        <f>SUMPRODUCT(NOT(ISBLANK(GG$3:GG$34))*(GG$3:GG$34=$KK$3:$KK$34))</f>
        <v>0</v>
      </c>
      <c r="GH40" s="1">
        <f>SUMPRODUCT(NOT(ISBLANK(GH$3:GH$34))*(GH$3:GH$34=$KL$3:$KL$34))</f>
        <v>0</v>
      </c>
      <c r="GI40" s="1">
        <f>SUMPRODUCT(NOT(ISBLANK(GI$3:GI$34))*(GI$3:GI$34=$KM$3:$KM$34))</f>
        <v>0</v>
      </c>
      <c r="GJ40" s="1">
        <f>SUMPRODUCT(NOT(ISBLANK(GJ$3:GJ$34))*(GJ$3:GJ$34=$KN$3:$KN$34))</f>
        <v>0</v>
      </c>
      <c r="GK40" s="1">
        <f>SUMPRODUCT(NOT(ISBLANK(GK$3:GK$34))*(GK$3:GK$34=$KO$3:$KO$34))</f>
        <v>0</v>
      </c>
      <c r="GL40" s="1">
        <f>SUMPRODUCT(NOT(ISBLANK(GL$3:GL$34))*(GL$3:GL$34=$KP$3:$KP$34))</f>
        <v>0</v>
      </c>
      <c r="GM40" s="1">
        <f>SUMPRODUCT(NOT(ISBLANK(GM$3:GM$34))*(GM$3:GM$34=$KQ$3:$KQ$34))</f>
        <v>0</v>
      </c>
      <c r="GN40" s="1"/>
      <c r="GO40" s="1">
        <f>SUMPRODUCT(NOT(ISBLANK(GO$3:GO$34))*(GO$3:GO$34=$KR$3:$KR$34))</f>
        <v>0</v>
      </c>
      <c r="GP40" s="1">
        <f>SUMPRODUCT(NOT(ISBLANK(GP$3:GP$34))*(GP$3:GP$34=$KS$3:$KS$34))</f>
        <v>0</v>
      </c>
      <c r="GQ40" s="1">
        <f>SUMPRODUCT(NOT(ISBLANK(GQ$3:GQ$34))*(GQ$3:GQ$34=$KT$3:$KT$34))</f>
        <v>0</v>
      </c>
      <c r="GR40" s="1">
        <f>SUMPRODUCT(NOT(ISBLANK(GR$3:GR$34))*(GR$3:GR$34=$KD$3:$KD$34))</f>
        <v>0</v>
      </c>
      <c r="GS40" s="1">
        <f>SUMPRODUCT(NOT(ISBLANK(GS$3:GS$34))*(GS$3:GS$34=$KE$3:$KE$34))</f>
        <v>0</v>
      </c>
      <c r="GT40" s="1">
        <f>SUMPRODUCT(NOT(ISBLANK(GT$3:GT$34))*(GT$3:GT$34=$KF$3:$KF$34))</f>
        <v>0</v>
      </c>
      <c r="GU40" s="1">
        <f>SUMPRODUCT(NOT(ISBLANK(GU$3:GU$34))*(GU$3:GU$34=$KG$3:$KG$34))</f>
        <v>0</v>
      </c>
      <c r="GV40" s="1">
        <f>SUMPRODUCT(NOT(ISBLANK(GV$3:GV$34))*(GV$3:GV$34=$KH$3:$KH$34))</f>
        <v>0</v>
      </c>
      <c r="GW40" s="1">
        <f>SUMPRODUCT(NOT(ISBLANK(GW$3:GW$34))*(GW$3:GW$34=$KI$3:$KI$34))</f>
        <v>0</v>
      </c>
      <c r="GX40" s="1">
        <f>SUMPRODUCT(NOT(ISBLANK(GX$3:GX$34))*(GX$3:GX$34=$KJ$3:$KJ$34))</f>
        <v>0</v>
      </c>
      <c r="GY40" s="1">
        <f>SUMPRODUCT(NOT(ISBLANK(GY$3:GY$34))*(GY$3:GY$34=$KK$3:$KK$34))</f>
        <v>0</v>
      </c>
      <c r="GZ40" s="1">
        <f>SUMPRODUCT(NOT(ISBLANK(GZ$3:GZ$34))*(GZ$3:GZ$34=$KL$3:$KL$34))</f>
        <v>0</v>
      </c>
      <c r="HA40" s="1">
        <f>SUMPRODUCT(NOT(ISBLANK(HA$3:HA$34))*(HA$3:HA$34=$KM$3:$KM$34))</f>
        <v>0</v>
      </c>
      <c r="HB40" s="1">
        <f>SUMPRODUCT(NOT(ISBLANK(HB$3:HB$34))*(HB$3:HB$34=$KN$3:$KN$34))</f>
        <v>0</v>
      </c>
      <c r="HC40" s="1">
        <f>SUMPRODUCT(NOT(ISBLANK(HC$3:HC$34))*(HC$3:HC$34=$KO$3:$KO$34))</f>
        <v>0</v>
      </c>
      <c r="HD40" s="1">
        <f>SUMPRODUCT(NOT(ISBLANK(HD$3:HD$34))*(HD$3:HD$34=$KP$3:$KP$34))</f>
        <v>0</v>
      </c>
      <c r="HE40" s="1">
        <f>SUMPRODUCT(NOT(ISBLANK(HE$3:HE$34))*(HE$3:HE$34=$KQ$3:$KQ$34))</f>
        <v>0</v>
      </c>
      <c r="HF40" s="1"/>
      <c r="HG40" s="1">
        <f>SUMPRODUCT(NOT(ISBLANK(HG$3:HG$34))*(HG$3:HG$34=$KR$3:$KR$34))</f>
        <v>0</v>
      </c>
      <c r="HH40" s="1">
        <f>SUMPRODUCT(NOT(ISBLANK(HH$3:HH$34))*(HH$3:HH$34=$KS$3:$KS$34))</f>
        <v>0</v>
      </c>
      <c r="HI40" s="1">
        <f>SUMPRODUCT(NOT(ISBLANK(HI$3:HI$34))*(HI$3:HI$34=$KT$3:$KT$34))</f>
        <v>0</v>
      </c>
      <c r="HJ40" s="1">
        <f>SUMPRODUCT(NOT(ISBLANK(HJ$3:HJ$34))*(HJ$3:HJ$34=$KD$3:$KD$34))</f>
        <v>0</v>
      </c>
      <c r="HK40" s="1">
        <f>SUMPRODUCT(NOT(ISBLANK(HK$3:HK$34))*(HK$3:HK$34=$KE$3:$KE$34))</f>
        <v>0</v>
      </c>
      <c r="HL40" s="1">
        <f>SUMPRODUCT(NOT(ISBLANK(HL$3:HL$34))*(HL$3:HL$34=$KF$3:$KF$34))</f>
        <v>0</v>
      </c>
      <c r="HM40" s="1">
        <f>SUMPRODUCT(NOT(ISBLANK(HM$3:HM$34))*(HM$3:HM$34=$KG$3:$KG$34))</f>
        <v>0</v>
      </c>
      <c r="HN40" s="1">
        <f>SUMPRODUCT(NOT(ISBLANK(HN$3:HN$34))*(HN$3:HN$34=$KH$3:$KH$34))</f>
        <v>0</v>
      </c>
      <c r="HO40" s="1">
        <f>SUMPRODUCT(NOT(ISBLANK(HO$3:HO$34))*(HO$3:HO$34=$KI$3:$KI$34))</f>
        <v>0</v>
      </c>
      <c r="HP40" s="1">
        <f>SUMPRODUCT(NOT(ISBLANK(HP$3:HP$34))*(HP$3:HP$34=$KJ$3:$KJ$34))</f>
        <v>0</v>
      </c>
      <c r="HQ40" s="1">
        <f>SUMPRODUCT(NOT(ISBLANK(HQ$3:HQ$34))*(HQ$3:HQ$34=$KK$3:$KK$34))</f>
        <v>0</v>
      </c>
      <c r="HR40" s="1">
        <f>SUMPRODUCT(NOT(ISBLANK(HR$3:HR$34))*(HR$3:HR$34=$KL$3:$KL$34))</f>
        <v>0</v>
      </c>
      <c r="HS40" s="1">
        <f>SUMPRODUCT(NOT(ISBLANK(HS$3:HS$34))*(HS$3:HS$34=$KM$3:$KM$34))</f>
        <v>0</v>
      </c>
      <c r="HT40" s="1">
        <f>SUMPRODUCT(NOT(ISBLANK(HT$3:HT$34))*(HT$3:HT$34=$KN$3:$KN$34))</f>
        <v>0</v>
      </c>
      <c r="HU40" s="1">
        <f>SUMPRODUCT(NOT(ISBLANK(HU$3:HU$34))*(HU$3:HU$34=$KO$3:$KO$34))</f>
        <v>0</v>
      </c>
      <c r="HV40" s="1">
        <f>SUMPRODUCT(NOT(ISBLANK(HV$3:HV$34))*(HV$3:HV$34=$KP$3:$KP$34))</f>
        <v>0</v>
      </c>
      <c r="HW40" s="1">
        <f>SUMPRODUCT(NOT(ISBLANK(HW$3:HW$34))*(HW$3:HW$34=$KQ$3:$KQ$34))</f>
        <v>0</v>
      </c>
      <c r="HX40" s="1"/>
      <c r="HY40" s="1">
        <f>SUMPRODUCT(NOT(ISBLANK(HY$3:HY$34))*(HY$3:HY$34=$KR$3:$KR$34))</f>
        <v>0</v>
      </c>
      <c r="HZ40" s="1">
        <f>SUMPRODUCT(NOT(ISBLANK(HZ$3:HZ$34))*(HZ$3:HZ$34=$KS$3:$KS$34))</f>
        <v>0</v>
      </c>
      <c r="IA40" s="1">
        <f>SUMPRODUCT(NOT(ISBLANK(IA$3:IA$34))*(IA$3:IA$34=$KT$3:$KT$34))</f>
        <v>0</v>
      </c>
      <c r="IB40" s="1">
        <f>SUMPRODUCT(NOT(ISBLANK(IB$3:IB$34))*(IB$3:IB$34=$KD$3:$KD$34))</f>
        <v>0</v>
      </c>
      <c r="IC40" s="1">
        <f>SUMPRODUCT(NOT(ISBLANK(IC$3:IC$34))*(IC$3:IC$34=$KE$3:$KE$34))</f>
        <v>0</v>
      </c>
      <c r="ID40" s="1">
        <f>SUMPRODUCT(NOT(ISBLANK(ID$3:ID$34))*(ID$3:ID$34=$KF$3:$KF$34))</f>
        <v>0</v>
      </c>
      <c r="IE40" s="1">
        <f>SUMPRODUCT(NOT(ISBLANK(IE$3:IE$34))*(IE$3:IE$34=$KG$3:$KG$34))</f>
        <v>0</v>
      </c>
      <c r="IF40" s="1">
        <f>SUMPRODUCT(NOT(ISBLANK(IF$3:IF$34))*(IF$3:IF$34=$KH$3:$KH$34))</f>
        <v>0</v>
      </c>
      <c r="IG40" s="1">
        <f>SUMPRODUCT(NOT(ISBLANK(IG$3:IG$34))*(IG$3:IG$34=$KI$3:$KI$34))</f>
        <v>0</v>
      </c>
      <c r="IH40" s="1">
        <f>SUMPRODUCT(NOT(ISBLANK(IH$3:IH$34))*(IH$3:IH$34=$KJ$3:$KJ$34))</f>
        <v>0</v>
      </c>
      <c r="II40" s="1">
        <f>SUMPRODUCT(NOT(ISBLANK(II$3:II$34))*(II$3:II$34=$KK$3:$KK$34))</f>
        <v>0</v>
      </c>
      <c r="IJ40" s="1">
        <f>SUMPRODUCT(NOT(ISBLANK(IJ$3:IJ$34))*(IJ$3:IJ$34=$KL$3:$KL$34))</f>
        <v>0</v>
      </c>
      <c r="IK40" s="1">
        <f>SUMPRODUCT(NOT(ISBLANK(IK$3:IK$34))*(IK$3:IK$34=$KM$3:$KM$34))</f>
        <v>0</v>
      </c>
      <c r="IL40" s="1">
        <f>SUMPRODUCT(NOT(ISBLANK(IL$3:IL$34))*(IL$3:IL$34=$KN$3:$KN$34))</f>
        <v>0</v>
      </c>
      <c r="IM40" s="1">
        <f>SUMPRODUCT(NOT(ISBLANK(IM$3:IM$34))*(IM$3:IM$34=$KO$3:$KO$34))</f>
        <v>0</v>
      </c>
      <c r="IN40" s="1">
        <f>SUMPRODUCT(NOT(ISBLANK(IN$3:IN$34))*(IN$3:IN$34=$KP$3:$KP$34))</f>
        <v>0</v>
      </c>
      <c r="IO40" s="1">
        <f>SUMPRODUCT(NOT(ISBLANK(IO$3:IO$34))*(IO$3:IO$34=$KQ$3:$KQ$34))</f>
        <v>0</v>
      </c>
      <c r="IP40" s="1"/>
      <c r="IQ40" s="1">
        <f>SUMPRODUCT(NOT(ISBLANK(IQ$3:IQ$34))*(IQ$3:IQ$34=$KR$3:$KR$34))</f>
        <v>0</v>
      </c>
      <c r="IR40" s="1">
        <f>SUMPRODUCT(NOT(ISBLANK(IR$3:IR$34))*(IR$3:IR$34=$KS$3:$KS$34))</f>
        <v>0</v>
      </c>
      <c r="IS40" s="1">
        <f>SUMPRODUCT(NOT(ISBLANK(IS$3:IS$34))*(IS$3:IS$34=$KT$3:$KT$34))</f>
        <v>0</v>
      </c>
      <c r="IT40" s="1">
        <f>SUMPRODUCT(NOT(ISBLANK(IT$3:IT$34))*(IT$3:IT$34=$KD$3:$KD$34))</f>
        <v>0</v>
      </c>
      <c r="IU40" s="1">
        <f>SUMPRODUCT(NOT(ISBLANK(IU$3:IU$34))*(IU$3:IU$34=$KE$3:$KE$34))</f>
        <v>0</v>
      </c>
      <c r="IV40" s="1">
        <f>SUMPRODUCT(NOT(ISBLANK(IV$3:IV$34))*(IV$3:IV$34=$KF$3:$KF$34))</f>
        <v>0</v>
      </c>
      <c r="IW40" s="1">
        <f>SUMPRODUCT(NOT(ISBLANK(IW$3:IW$34))*(IW$3:IW$34=$KG$3:$KG$34))</f>
        <v>0</v>
      </c>
      <c r="IX40" s="1">
        <f>SUMPRODUCT(NOT(ISBLANK(IX$3:IX$34))*(IX$3:IX$34=$KH$3:$KH$34))</f>
        <v>0</v>
      </c>
      <c r="IY40" s="1">
        <f>SUMPRODUCT(NOT(ISBLANK(IY$3:IY$34))*(IY$3:IY$34=$KI$3:$KI$34))</f>
        <v>0</v>
      </c>
      <c r="IZ40" s="1">
        <f>SUMPRODUCT(NOT(ISBLANK(IZ$3:IZ$34))*(IZ$3:IZ$34=$KJ$3:$KJ$34))</f>
        <v>0</v>
      </c>
      <c r="JA40" s="1">
        <f>SUMPRODUCT(NOT(ISBLANK(JA$3:JA$34))*(JA$3:JA$34=$KK$3:$KK$34))</f>
        <v>0</v>
      </c>
      <c r="JB40" s="1">
        <f>SUMPRODUCT(NOT(ISBLANK(JB$3:JB$34))*(JB$3:JB$34=$KL$3:$KL$34))</f>
        <v>0</v>
      </c>
      <c r="JC40" s="1">
        <f>SUMPRODUCT(NOT(ISBLANK(JC$3:JC$34))*(JC$3:JC$34=$KM$3:$KM$34))</f>
        <v>0</v>
      </c>
      <c r="JD40" s="1">
        <f>SUMPRODUCT(NOT(ISBLANK(JD$3:JD$34))*(JD$3:JD$34=$KN$3:$KN$34))</f>
        <v>0</v>
      </c>
      <c r="JE40" s="1">
        <f>SUMPRODUCT(NOT(ISBLANK(JE$3:JE$34))*(JE$3:JE$34=$KO$3:$KO$34))</f>
        <v>0</v>
      </c>
      <c r="JF40" s="1">
        <f>SUMPRODUCT(NOT(ISBLANK(JF$3:JF$34))*(JF$3:JF$34=$KP$3:$KP$34))</f>
        <v>0</v>
      </c>
      <c r="JG40" s="1">
        <f>SUMPRODUCT(NOT(ISBLANK(JG$3:JG$34))*(JG$3:JG$34=$KQ$3:$KQ$34))</f>
        <v>0</v>
      </c>
      <c r="JH40" s="1"/>
      <c r="JI40" s="1">
        <f>SUMPRODUCT(NOT(ISBLANK(JI$3:JI$34))*(JI$3:JI$34=$KR$3:$KR$34))</f>
        <v>0</v>
      </c>
      <c r="JJ40" s="1">
        <f>SUMPRODUCT(NOT(ISBLANK(JJ$3:JJ$34))*(JJ$3:JJ$34=$KS$3:$KS$34))</f>
        <v>0</v>
      </c>
      <c r="JK40" s="1">
        <f>SUMPRODUCT(NOT(ISBLANK(JK$3:JK$34))*(JK$3:JK$34=$KT$3:$KT$34))</f>
        <v>0</v>
      </c>
      <c r="JL40" s="1">
        <f>SUMPRODUCT(NOT(ISBLANK(JL$3:JL$34))*(JL$3:JL$34=$KD$3:$KD$34))</f>
        <v>0</v>
      </c>
      <c r="JM40" s="1">
        <f>SUMPRODUCT(NOT(ISBLANK(JM$3:JM$34))*(JM$3:JM$34=$KE$3:$KE$34))</f>
        <v>0</v>
      </c>
      <c r="JN40" s="1">
        <f>SUMPRODUCT(NOT(ISBLANK(JN$3:JN$34))*(JN$3:JN$34=$KF$3:$KF$34))</f>
        <v>0</v>
      </c>
      <c r="JO40" s="1">
        <f>SUMPRODUCT(NOT(ISBLANK(JO$3:JO$34))*(JO$3:JO$34=$KG$3:$KG$34))</f>
        <v>0</v>
      </c>
      <c r="JP40" s="1">
        <f>SUMPRODUCT(NOT(ISBLANK(JP$3:JP$34))*(JP$3:JP$34=$KH$3:$KH$34))</f>
        <v>0</v>
      </c>
      <c r="JQ40" s="1">
        <f>SUMPRODUCT(NOT(ISBLANK(JQ$3:JQ$34))*(JQ$3:JQ$34=$KI$3:$KI$34))</f>
        <v>0</v>
      </c>
      <c r="JR40" s="1">
        <f>SUMPRODUCT(NOT(ISBLANK(JR$3:JR$34))*(JR$3:JR$34=$KJ$3:$KJ$34))</f>
        <v>0</v>
      </c>
      <c r="JS40" s="1">
        <f>SUMPRODUCT(NOT(ISBLANK(JS$3:JS$34))*(JS$3:JS$34=$KK$3:$KK$34))</f>
        <v>0</v>
      </c>
      <c r="JT40" s="1">
        <f>SUMPRODUCT(NOT(ISBLANK(JT$3:JT$34))*(JT$3:JT$34=$KL$3:$KL$34))</f>
        <v>0</v>
      </c>
      <c r="JU40" s="1">
        <f>SUMPRODUCT(NOT(ISBLANK(JU$3:JU$34))*(JU$3:JU$34=$KM$3:$KM$34))</f>
        <v>0</v>
      </c>
      <c r="JV40" s="1">
        <f>SUMPRODUCT(NOT(ISBLANK(JV$3:JV$34))*(JV$3:JV$34=$KN$3:$KN$34))</f>
        <v>0</v>
      </c>
      <c r="JW40" s="1">
        <f>SUMPRODUCT(NOT(ISBLANK(JW$3:JW$34))*(JW$3:JW$34=$KO$3:$KO$34))</f>
        <v>0</v>
      </c>
      <c r="JX40" s="1">
        <f>SUMPRODUCT(NOT(ISBLANK(JX$3:JX$34))*(JX$3:JX$34=$KP$3:$KP$34))</f>
        <v>0</v>
      </c>
      <c r="JY40" s="1">
        <f>SUMPRODUCT(NOT(ISBLANK(JY$3:JY$34))*(JY$3:JY$34=$KQ$3:$KQ$34))</f>
        <v>0</v>
      </c>
      <c r="JZ40" s="1"/>
      <c r="KA40" s="1">
        <f>SUMPRODUCT(NOT(ISBLANK(KA$3:KA$34))*(KA$3:KA$34=$KR$3:$KR$34))</f>
        <v>0</v>
      </c>
      <c r="KB40" s="1">
        <f>SUMPRODUCT(NOT(ISBLANK(KB$3:KB$34))*(KB$3:KB$34=$KS$3:$KS$34))</f>
        <v>0</v>
      </c>
      <c r="KC40" s="1">
        <f>SUMPRODUCT(NOT(ISBLANK(KC$3:KC$34))*(KC$3:KC$34=$KT$3:$KT$34))</f>
        <v>0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</row>
    <row r="41" spans="1:340">
      <c r="A41" s="1" t="s">
        <v>37</v>
      </c>
      <c r="B41" s="1">
        <f>SUMPRODUCT(NOT(ISBLANK(B$3:B$34))*(B$3:B$34&lt;$KU$3:$KU$34))</f>
        <v>0</v>
      </c>
      <c r="C41" s="1">
        <f>SUMPRODUCT(NOT(ISBLANK(C$3:C$34))*(C$3:C$34&lt;$KV$3:$KV$34))</f>
        <v>0</v>
      </c>
      <c r="D41" s="1">
        <f>SUMPRODUCT(NOT(ISBLANK(D$3:D$34))*(D$3:D$34&lt;$KW$3:$KW$34))</f>
        <v>0</v>
      </c>
      <c r="E41" s="1">
        <f>SUMPRODUCT(NOT(ISBLANK(E$3:E$34))*(E$3:E$34&lt;$KX$3:$KX$34))</f>
        <v>0</v>
      </c>
      <c r="F41" s="1">
        <f>SUMPRODUCT(NOT(ISBLANK(F$3:F$34))*(F$3:F$34&lt;$KY$3:$KY$34))</f>
        <v>0</v>
      </c>
      <c r="G41" s="1">
        <f>SUMPRODUCT(NOT(ISBLANK(G$3:G$34))*(G$3:G$34&lt;$KZ$3:$KZ$34))</f>
        <v>0</v>
      </c>
      <c r="H41" s="1">
        <f>SUMPRODUCT(NOT(ISBLANK(H$3:H$34))*(H$3:H$34&lt;$LA$3:$LA$34))</f>
        <v>0</v>
      </c>
      <c r="I41" s="1">
        <f>SUMPRODUCT(NOT(ISBLANK(I$3:I$34))*(I$3:I$34&lt;$LB$3:$LB$34))</f>
        <v>0</v>
      </c>
      <c r="J41" s="1">
        <f>SUMPRODUCT(NOT(ISBLANK(J$3:J$34))*(J$3:J$34&lt;$LC$3:$LC$34))</f>
        <v>0</v>
      </c>
      <c r="K41" s="1">
        <f>SUMPRODUCT(NOT(ISBLANK(K$3:K$34))*(K$3:K$34&lt;$LD$3:$LD$34))</f>
        <v>0</v>
      </c>
      <c r="L41" s="1">
        <f>SUMPRODUCT(NOT(ISBLANK(L$3:L$34))*(L$3:L$34&lt;$LE$3:$LE$34))</f>
        <v>0</v>
      </c>
      <c r="M41" s="1">
        <f>SUMPRODUCT(NOT(ISBLANK(M$3:M$34))*(M$3:M$34&lt;$LF$3:$LF$34))</f>
        <v>0</v>
      </c>
      <c r="N41" s="1">
        <f>SUMPRODUCT(NOT(ISBLANK(N$3:N$34))*(N$3:N$34&lt;$LG$3:$LG$34))</f>
        <v>0</v>
      </c>
      <c r="O41" s="1">
        <f>SUMPRODUCT(NOT(ISBLANK(O$3:O$34))*(O$3:O$34&lt;$LH$3:$LH$34))</f>
        <v>0</v>
      </c>
      <c r="P41" s="1"/>
      <c r="Q41" s="1">
        <f>SUMPRODUCT(NOT(ISBLANK(Q$3:Q$34))*(Q$3:Q$34&lt;$LI$3:$LI$34))</f>
        <v>0</v>
      </c>
      <c r="R41" s="1">
        <f>SUMPRODUCT(NOT(ISBLANK(R$3:R$34))*(R$3:R$34&lt;$LJ$3:$LJ$34))</f>
        <v>0</v>
      </c>
      <c r="S41" s="1">
        <f>SUMPRODUCT(NOT(ISBLANK(S$3:S$34))*(S$3:S$34&lt;$LK$3:$LK$34))</f>
        <v>0</v>
      </c>
      <c r="T41" s="1">
        <f>SUMPRODUCT(NOT(ISBLANK(T$3:T$34))*(T$3:T$34&lt;$KU$3:$KU$34))</f>
        <v>0</v>
      </c>
      <c r="U41" s="1">
        <f>SUMPRODUCT(NOT(ISBLANK(U$3:U$34))*(U$3:U$34&lt;$KV$3:$KV$34))</f>
        <v>0</v>
      </c>
      <c r="V41" s="1">
        <f>SUMPRODUCT(NOT(ISBLANK(V$3:V$34))*(V$3:V$34&lt;$KW$3:$KW$34))</f>
        <v>0</v>
      </c>
      <c r="W41" s="1">
        <f>SUMPRODUCT(NOT(ISBLANK(W$3:W$34))*(W$3:W$34&lt;$KX$3:$KX$34))</f>
        <v>0</v>
      </c>
      <c r="X41" s="1">
        <f>SUMPRODUCT(NOT(ISBLANK(X$3:X$34))*(X$3:X$34&lt;$KY$3:$KY$34))</f>
        <v>0</v>
      </c>
      <c r="Y41" s="1">
        <f>SUMPRODUCT(NOT(ISBLANK(Y$3:Y$34))*(Y$3:Y$34&lt;$KZ$3:$KZ$34))</f>
        <v>0</v>
      </c>
      <c r="Z41" s="1">
        <f>SUMPRODUCT(NOT(ISBLANK(Z$3:Z$34))*(Z$3:Z$34&lt;$LA$3:$LA$34))</f>
        <v>0</v>
      </c>
      <c r="AA41" s="1">
        <f>SUMPRODUCT(NOT(ISBLANK(AA$3:AA$34))*(AA$3:AA$34&lt;$LB$3:$LB$34))</f>
        <v>0</v>
      </c>
      <c r="AB41" s="1">
        <f>SUMPRODUCT(NOT(ISBLANK(AB$3:AB$34))*(AB$3:AB$34&lt;$LC$3:$LC$34))</f>
        <v>0</v>
      </c>
      <c r="AC41" s="1">
        <f>SUMPRODUCT(NOT(ISBLANK(AC$3:AC$34))*(AC$3:AC$34&lt;$LD$3:$LD$34))</f>
        <v>0</v>
      </c>
      <c r="AD41" s="1">
        <f>SUMPRODUCT(NOT(ISBLANK(AD$3:AD$34))*(AD$3:AD$34&lt;$LE$3:$LE$34))</f>
        <v>0</v>
      </c>
      <c r="AE41" s="1">
        <f>SUMPRODUCT(NOT(ISBLANK(AE$3:AE$34))*(AE$3:AE$34&lt;$LF$3:$LF$34))</f>
        <v>0</v>
      </c>
      <c r="AF41" s="1">
        <f>SUMPRODUCT(NOT(ISBLANK(AF$3:AF$34))*(AF$3:AF$34&lt;$LG$3:$LG$34))</f>
        <v>0</v>
      </c>
      <c r="AG41" s="1">
        <f>SUMPRODUCT(NOT(ISBLANK(AG$3:AG$34))*(AG$3:AG$34&lt;$LH$3:$LH$34))</f>
        <v>0</v>
      </c>
      <c r="AH41" s="1"/>
      <c r="AI41" s="1">
        <f>SUMPRODUCT(NOT(ISBLANK(AI$3:AI$34))*(AI$3:AI$34&lt;$LI$3:$LI$34))</f>
        <v>0</v>
      </c>
      <c r="AJ41" s="1">
        <f>SUMPRODUCT(NOT(ISBLANK(AJ$3:AJ$34))*(AJ$3:AJ$34&lt;$LJ$3:$LJ$34))</f>
        <v>0</v>
      </c>
      <c r="AK41" s="1">
        <f>SUMPRODUCT(NOT(ISBLANK(AK$3:AK$34))*(AK$3:AK$34&lt;$LK$3:$LK$34))</f>
        <v>0</v>
      </c>
      <c r="AL41" s="1">
        <f>SUMPRODUCT(NOT(ISBLANK(AL$3:AL$34))*(AL$3:AL$34&lt;$KU$3:$KU$34))</f>
        <v>0</v>
      </c>
      <c r="AM41" s="1">
        <f>SUMPRODUCT(NOT(ISBLANK(AM$3:AM$34))*(AM$3:AM$34&lt;$KV$3:$KV$34))</f>
        <v>0</v>
      </c>
      <c r="AN41" s="1">
        <f>SUMPRODUCT(NOT(ISBLANK(AN$3:AN$34))*(AN$3:AN$34&lt;$KW$3:$KW$34))</f>
        <v>0</v>
      </c>
      <c r="AO41" s="1">
        <f>SUMPRODUCT(NOT(ISBLANK(AO$3:AO$34))*(AO$3:AO$34&lt;$KX$3:$KX$34))</f>
        <v>0</v>
      </c>
      <c r="AP41" s="1">
        <f>SUMPRODUCT(NOT(ISBLANK(AP$3:AP$34))*(AP$3:AP$34&lt;$KY$3:$KY$34))</f>
        <v>0</v>
      </c>
      <c r="AQ41" s="1">
        <f>SUMPRODUCT(NOT(ISBLANK(AQ$3:AQ$34))*(AQ$3:AQ$34&lt;$KZ$3:$KZ$34))</f>
        <v>0</v>
      </c>
      <c r="AR41" s="1">
        <f>SUMPRODUCT(NOT(ISBLANK(AR$3:AR$34))*(AR$3:AR$34&lt;$LA$3:$LA$34))</f>
        <v>0</v>
      </c>
      <c r="AS41" s="1">
        <f>SUMPRODUCT(NOT(ISBLANK(AS$3:AS$34))*(AS$3:AS$34&lt;$LB$3:$LB$34))</f>
        <v>0</v>
      </c>
      <c r="AT41" s="1">
        <f>SUMPRODUCT(NOT(ISBLANK(AT$3:AT$34))*(AT$3:AT$34&lt;$LC$3:$LC$34))</f>
        <v>0</v>
      </c>
      <c r="AU41" s="1">
        <f>SUMPRODUCT(NOT(ISBLANK(AU$3:AU$34))*(AU$3:AU$34&lt;$LD$3:$LD$34))</f>
        <v>0</v>
      </c>
      <c r="AV41" s="1">
        <f>SUMPRODUCT(NOT(ISBLANK(AV$3:AV$34))*(AV$3:AV$34&lt;$LE$3:$LE$34))</f>
        <v>0</v>
      </c>
      <c r="AW41" s="1">
        <f>SUMPRODUCT(NOT(ISBLANK(AW$3:AW$34))*(AW$3:AW$34&lt;$LF$3:$LF$34))</f>
        <v>0</v>
      </c>
      <c r="AX41" s="1">
        <f>SUMPRODUCT(NOT(ISBLANK(AX$3:AX$34))*(AX$3:AX$34&lt;$LG$3:$LG$34))</f>
        <v>0</v>
      </c>
      <c r="AY41" s="1">
        <f>SUMPRODUCT(NOT(ISBLANK(AY$3:AY$34))*(AY$3:AY$34&lt;$LH$3:$LH$34))</f>
        <v>0</v>
      </c>
      <c r="AZ41" s="1"/>
      <c r="BA41" s="1">
        <f>SUMPRODUCT(NOT(ISBLANK(BA$3:BA$34))*(BA$3:BA$34&lt;$LI$3:$LI$34))</f>
        <v>0</v>
      </c>
      <c r="BB41" s="1">
        <f>SUMPRODUCT(NOT(ISBLANK(BB$3:BB$34))*(BB$3:BB$34&lt;$LJ$3:$LJ$34))</f>
        <v>0</v>
      </c>
      <c r="BC41" s="1">
        <f>SUMPRODUCT(NOT(ISBLANK(BC$3:BC$34))*(BC$3:BC$34&lt;$LK$3:$LK$34))</f>
        <v>0</v>
      </c>
      <c r="BD41" s="1">
        <f>SUMPRODUCT(NOT(ISBLANK(BD$3:BD$34))*(BD$3:BD$34&lt;$KU$3:$KU$34))</f>
        <v>0</v>
      </c>
      <c r="BE41" s="1">
        <f>SUMPRODUCT(NOT(ISBLANK(BE$3:BE$34))*(BE$3:BE$34&lt;$KV$3:$KV$34))</f>
        <v>0</v>
      </c>
      <c r="BF41" s="1">
        <f>SUMPRODUCT(NOT(ISBLANK(BF$3:BF$34))*(BF$3:BF$34&lt;$KW$3:$KW$34))</f>
        <v>0</v>
      </c>
      <c r="BG41" s="1">
        <f>SUMPRODUCT(NOT(ISBLANK(BG$3:BG$34))*(BG$3:BG$34&lt;$KX$3:$KX$34))</f>
        <v>0</v>
      </c>
      <c r="BH41" s="1">
        <f>SUMPRODUCT(NOT(ISBLANK(BH$3:BH$34))*(BH$3:BH$34&lt;$KY$3:$KY$34))</f>
        <v>0</v>
      </c>
      <c r="BI41" s="1">
        <f>SUMPRODUCT(NOT(ISBLANK(BI$3:BI$34))*(BI$3:BI$34&lt;$KZ$3:$KZ$34))</f>
        <v>0</v>
      </c>
      <c r="BJ41" s="1">
        <f>SUMPRODUCT(NOT(ISBLANK(BJ$3:BJ$34))*(BJ$3:BJ$34&lt;$LA$3:$LA$34))</f>
        <v>0</v>
      </c>
      <c r="BK41" s="1">
        <f>SUMPRODUCT(NOT(ISBLANK(BK$3:BK$34))*(BK$3:BK$34&lt;$LB$3:$LB$34))</f>
        <v>0</v>
      </c>
      <c r="BL41" s="1">
        <f>SUMPRODUCT(NOT(ISBLANK(BL$3:BL$34))*(BL$3:BL$34&lt;$LC$3:$LC$34))</f>
        <v>0</v>
      </c>
      <c r="BM41" s="1">
        <f>SUMPRODUCT(NOT(ISBLANK(BM$3:BM$34))*(BM$3:BM$34&lt;$LD$3:$LD$34))</f>
        <v>0</v>
      </c>
      <c r="BN41" s="1">
        <f>SUMPRODUCT(NOT(ISBLANK(BN$3:BN$34))*(BN$3:BN$34&lt;$LE$3:$LE$34))</f>
        <v>0</v>
      </c>
      <c r="BO41" s="1">
        <f>SUMPRODUCT(NOT(ISBLANK(BO$3:BO$34))*(BO$3:BO$34&lt;$LF$3:$LF$34))</f>
        <v>0</v>
      </c>
      <c r="BP41" s="1">
        <f>SUMPRODUCT(NOT(ISBLANK(BP$3:BP$34))*(BP$3:BP$34&lt;$LG$3:$LG$34))</f>
        <v>0</v>
      </c>
      <c r="BQ41" s="1">
        <f>SUMPRODUCT(NOT(ISBLANK(BQ$3:BQ$34))*(BQ$3:BQ$34&lt;$LH$3:$LH$34))</f>
        <v>0</v>
      </c>
      <c r="BR41" s="1"/>
      <c r="BS41" s="1">
        <f>SUMPRODUCT(NOT(ISBLANK(BS$3:BS$34))*(BS$3:BS$34&lt;$LI$3:$LI$34))</f>
        <v>0</v>
      </c>
      <c r="BT41" s="1">
        <f>SUMPRODUCT(NOT(ISBLANK(BT$3:BT$34))*(BT$3:BT$34&lt;$LJ$3:$LJ$34))</f>
        <v>0</v>
      </c>
      <c r="BU41" s="1">
        <f>SUMPRODUCT(NOT(ISBLANK(BU$3:BU$34))*(BU$3:BU$34&lt;$LK$3:$LK$34))</f>
        <v>0</v>
      </c>
      <c r="BV41" s="1">
        <f>SUMPRODUCT(NOT(ISBLANK(BV$3:BV$34))*(BV$3:BV$34&lt;$KU$3:$KU$34))</f>
        <v>0</v>
      </c>
      <c r="BW41" s="1">
        <f>SUMPRODUCT(NOT(ISBLANK(BW$3:BW$34))*(BW$3:BW$34&lt;$KV$3:$KV$34))</f>
        <v>0</v>
      </c>
      <c r="BX41" s="1">
        <f>SUMPRODUCT(NOT(ISBLANK(BX$3:BX$34))*(BX$3:BX$34&lt;$KW$3:$KW$34))</f>
        <v>0</v>
      </c>
      <c r="BY41" s="1">
        <f>SUMPRODUCT(NOT(ISBLANK(BY$3:BY$34))*(BY$3:BY$34&lt;$KX$3:$KX$34))</f>
        <v>0</v>
      </c>
      <c r="BZ41" s="1">
        <f>SUMPRODUCT(NOT(ISBLANK(BZ$3:BZ$34))*(BZ$3:BZ$34&lt;$KY$3:$KY$34))</f>
        <v>0</v>
      </c>
      <c r="CA41" s="1">
        <f>SUMPRODUCT(NOT(ISBLANK(CA$3:CA$34))*(CA$3:CA$34&lt;$KZ$3:$KZ$34))</f>
        <v>0</v>
      </c>
      <c r="CB41" s="1">
        <f>SUMPRODUCT(NOT(ISBLANK(CB$3:CB$34))*(CB$3:CB$34&lt;$LA$3:$LA$34))</f>
        <v>0</v>
      </c>
      <c r="CC41" s="1">
        <f>SUMPRODUCT(NOT(ISBLANK(CC$3:CC$34))*(CC$3:CC$34&lt;$LB$3:$LB$34))</f>
        <v>0</v>
      </c>
      <c r="CD41" s="1">
        <f>SUMPRODUCT(NOT(ISBLANK(CD$3:CD$34))*(CD$3:CD$34&lt;$LC$3:$LC$34))</f>
        <v>0</v>
      </c>
      <c r="CE41" s="1">
        <f>SUMPRODUCT(NOT(ISBLANK(CE$3:CE$34))*(CE$3:CE$34&lt;$LD$3:$LD$34))</f>
        <v>0</v>
      </c>
      <c r="CF41" s="1">
        <f>SUMPRODUCT(NOT(ISBLANK(CF$3:CF$34))*(CF$3:CF$34&lt;$LE$3:$LE$34))</f>
        <v>0</v>
      </c>
      <c r="CG41" s="1">
        <f>SUMPRODUCT(NOT(ISBLANK(CG$3:CG$34))*(CG$3:CG$34&lt;$LF$3:$LF$34))</f>
        <v>0</v>
      </c>
      <c r="CH41" s="1">
        <f>SUMPRODUCT(NOT(ISBLANK(CH$3:CH$34))*(CH$3:CH$34&lt;$LG$3:$LG$34))</f>
        <v>0</v>
      </c>
      <c r="CI41" s="1">
        <f>SUMPRODUCT(NOT(ISBLANK(CI$3:CI$34))*(CI$3:CI$34&lt;$LH$3:$LH$34))</f>
        <v>0</v>
      </c>
      <c r="CJ41" s="1"/>
      <c r="CK41" s="1">
        <f>SUMPRODUCT(NOT(ISBLANK(CK$3:CK$34))*(CK$3:CK$34&lt;$LI$3:$LI$34))</f>
        <v>0</v>
      </c>
      <c r="CL41" s="1">
        <f>SUMPRODUCT(NOT(ISBLANK(CL$3:CL$34))*(CL$3:CL$34&lt;$LJ$3:$LJ$34))</f>
        <v>0</v>
      </c>
      <c r="CM41" s="1">
        <f>SUMPRODUCT(NOT(ISBLANK(CM$3:CM$34))*(CM$3:CM$34&lt;$LK$3:$LK$34))</f>
        <v>0</v>
      </c>
      <c r="CN41" s="1">
        <f>SUMPRODUCT(NOT(ISBLANK(CN$3:CN$34))*(CN$3:CN$34&lt;$KU$3:$KU$34))</f>
        <v>0</v>
      </c>
      <c r="CO41" s="1">
        <f>SUMPRODUCT(NOT(ISBLANK(CO$3:CO$34))*(CO$3:CO$34&lt;$KV$3:$KV$34))</f>
        <v>0</v>
      </c>
      <c r="CP41" s="1">
        <f>SUMPRODUCT(NOT(ISBLANK(CP$3:CP$34))*(CP$3:CP$34&lt;$KW$3:$KW$34))</f>
        <v>0</v>
      </c>
      <c r="CQ41" s="1">
        <f>SUMPRODUCT(NOT(ISBLANK(CQ$3:CQ$34))*(CQ$3:CQ$34&lt;$KX$3:$KX$34))</f>
        <v>0</v>
      </c>
      <c r="CR41" s="1">
        <f>SUMPRODUCT(NOT(ISBLANK(CR$3:CR$34))*(CR$3:CR$34&lt;$KY$3:$KY$34))</f>
        <v>0</v>
      </c>
      <c r="CS41" s="1">
        <f>SUMPRODUCT(NOT(ISBLANK(CS$3:CS$34))*(CS$3:CS$34&lt;$KZ$3:$KZ$34))</f>
        <v>0</v>
      </c>
      <c r="CT41" s="1">
        <f>SUMPRODUCT(NOT(ISBLANK(CT$3:CT$34))*(CT$3:CT$34&lt;$LA$3:$LA$34))</f>
        <v>0</v>
      </c>
      <c r="CU41" s="1">
        <f>SUMPRODUCT(NOT(ISBLANK(CU$3:CU$34))*(CU$3:CU$34&lt;$LB$3:$LB$34))</f>
        <v>0</v>
      </c>
      <c r="CV41" s="1">
        <f>SUMPRODUCT(NOT(ISBLANK(CV$3:CV$34))*(CV$3:CV$34&lt;$LC$3:$LC$34))</f>
        <v>0</v>
      </c>
      <c r="CW41" s="1">
        <f>SUMPRODUCT(NOT(ISBLANK(CW$3:CW$34))*(CW$3:CW$34&lt;$LD$3:$LD$34))</f>
        <v>0</v>
      </c>
      <c r="CX41" s="1">
        <f>SUMPRODUCT(NOT(ISBLANK(CX$3:CX$34))*(CX$3:CX$34&lt;$LE$3:$LE$34))</f>
        <v>0</v>
      </c>
      <c r="CY41" s="1">
        <f>SUMPRODUCT(NOT(ISBLANK(CY$3:CY$34))*(CY$3:CY$34&lt;$LF$3:$LF$34))</f>
        <v>0</v>
      </c>
      <c r="CZ41" s="1">
        <f>SUMPRODUCT(NOT(ISBLANK(CZ$3:CZ$34))*(CZ$3:CZ$34&lt;$LG$3:$LG$34))</f>
        <v>0</v>
      </c>
      <c r="DA41" s="1">
        <f>SUMPRODUCT(NOT(ISBLANK(DA$3:DA$34))*(DA$3:DA$34&lt;$LH$3:$LH$34))</f>
        <v>0</v>
      </c>
      <c r="DB41" s="1"/>
      <c r="DC41" s="1">
        <f>SUMPRODUCT(NOT(ISBLANK(DC$3:DC$34))*(DC$3:DC$34&lt;$LI$3:$LI$34))</f>
        <v>0</v>
      </c>
      <c r="DD41" s="1">
        <f>SUMPRODUCT(NOT(ISBLANK(DD$3:DD$34))*(DD$3:DD$34&lt;$LJ$3:$LJ$34))</f>
        <v>0</v>
      </c>
      <c r="DE41" s="1">
        <f>SUMPRODUCT(NOT(ISBLANK(DE$3:DE$34))*(DE$3:DE$34&lt;$LK$3:$LK$34))</f>
        <v>0</v>
      </c>
      <c r="DF41" s="1">
        <f>SUMPRODUCT(NOT(ISBLANK(DF$3:DF$34))*(DF$3:DF$34&lt;$KU$3:$KU$34))</f>
        <v>0</v>
      </c>
      <c r="DG41" s="1">
        <f>SUMPRODUCT(NOT(ISBLANK(DG$3:DG$34))*(DG$3:DG$34&lt;$KV$3:$KV$34))</f>
        <v>0</v>
      </c>
      <c r="DH41" s="1">
        <f>SUMPRODUCT(NOT(ISBLANK(DH$3:DH$34))*(DH$3:DH$34&lt;$KW$3:$KW$34))</f>
        <v>0</v>
      </c>
      <c r="DI41" s="1">
        <f>SUMPRODUCT(NOT(ISBLANK(DI$3:DI$34))*(DI$3:DI$34&lt;$KX$3:$KX$34))</f>
        <v>0</v>
      </c>
      <c r="DJ41" s="1">
        <f>SUMPRODUCT(NOT(ISBLANK(DJ$3:DJ$34))*(DJ$3:DJ$34&lt;$KY$3:$KY$34))</f>
        <v>0</v>
      </c>
      <c r="DK41" s="1">
        <f>SUMPRODUCT(NOT(ISBLANK(DK$3:DK$34))*(DK$3:DK$34&lt;$KZ$3:$KZ$34))</f>
        <v>0</v>
      </c>
      <c r="DL41" s="1">
        <f>SUMPRODUCT(NOT(ISBLANK(DL$3:DL$34))*(DL$3:DL$34&lt;$LA$3:$LA$34))</f>
        <v>0</v>
      </c>
      <c r="DM41" s="1">
        <f>SUMPRODUCT(NOT(ISBLANK(DM$3:DM$34))*(DM$3:DM$34&lt;$LB$3:$LB$34))</f>
        <v>0</v>
      </c>
      <c r="DN41" s="1">
        <f>SUMPRODUCT(NOT(ISBLANK(DN$3:DN$34))*(DN$3:DN$34&lt;$LC$3:$LC$34))</f>
        <v>0</v>
      </c>
      <c r="DO41" s="1">
        <f>SUMPRODUCT(NOT(ISBLANK(DO$3:DO$34))*(DO$3:DO$34&lt;$LD$3:$LD$34))</f>
        <v>0</v>
      </c>
      <c r="DP41" s="1">
        <f>SUMPRODUCT(NOT(ISBLANK(DP$3:DP$34))*(DP$3:DP$34&lt;$LE$3:$LE$34))</f>
        <v>0</v>
      </c>
      <c r="DQ41" s="1">
        <f>SUMPRODUCT(NOT(ISBLANK(DQ$3:DQ$34))*(DQ$3:DQ$34&lt;$LF$3:$LF$34))</f>
        <v>0</v>
      </c>
      <c r="DR41" s="1">
        <f>SUMPRODUCT(NOT(ISBLANK(DR$3:DR$34))*(DR$3:DR$34&lt;$LG$3:$LG$34))</f>
        <v>0</v>
      </c>
      <c r="DS41" s="1">
        <f>SUMPRODUCT(NOT(ISBLANK(DS$3:DS$34))*(DS$3:DS$34&lt;$LH$3:$LH$34))</f>
        <v>0</v>
      </c>
      <c r="DT41" s="1"/>
      <c r="DU41" s="1">
        <f>SUMPRODUCT(NOT(ISBLANK(DU$3:DU$34))*(DU$3:DU$34&lt;$LI$3:$LI$34))</f>
        <v>0</v>
      </c>
      <c r="DV41" s="1">
        <f>SUMPRODUCT(NOT(ISBLANK(DV$3:DV$34))*(DV$3:DV$34&lt;$LJ$3:$LJ$34))</f>
        <v>0</v>
      </c>
      <c r="DW41" s="1">
        <f>SUMPRODUCT(NOT(ISBLANK(DW$3:DW$34))*(DW$3:DW$34&lt;$LK$3:$LK$34))</f>
        <v>0</v>
      </c>
      <c r="DX41" s="1">
        <f>SUMPRODUCT(NOT(ISBLANK(DX$3:DX$34))*(DX$3:DX$34&lt;$KU$3:$KU$34))</f>
        <v>0</v>
      </c>
      <c r="DY41" s="1">
        <f>SUMPRODUCT(NOT(ISBLANK(DY$3:DY$34))*(DY$3:DY$34&lt;$KV$3:$KV$34))</f>
        <v>0</v>
      </c>
      <c r="DZ41" s="1">
        <f>SUMPRODUCT(NOT(ISBLANK(DZ$3:DZ$34))*(DZ$3:DZ$34&lt;$KW$3:$KW$34))</f>
        <v>0</v>
      </c>
      <c r="EA41" s="1">
        <f>SUMPRODUCT(NOT(ISBLANK(EA$3:EA$34))*(EA$3:EA$34&lt;$KX$3:$KX$34))</f>
        <v>0</v>
      </c>
      <c r="EB41" s="1">
        <f>SUMPRODUCT(NOT(ISBLANK(EB$3:EB$34))*(EB$3:EB$34&lt;$KY$3:$KY$34))</f>
        <v>0</v>
      </c>
      <c r="EC41" s="1">
        <f>SUMPRODUCT(NOT(ISBLANK(EC$3:EC$34))*(EC$3:EC$34&lt;$KZ$3:$KZ$34))</f>
        <v>0</v>
      </c>
      <c r="ED41" s="1">
        <f>SUMPRODUCT(NOT(ISBLANK(ED$3:ED$34))*(ED$3:ED$34&lt;$LA$3:$LA$34))</f>
        <v>0</v>
      </c>
      <c r="EE41" s="1">
        <f>SUMPRODUCT(NOT(ISBLANK(EE$3:EE$34))*(EE$3:EE$34&lt;$LB$3:$LB$34))</f>
        <v>0</v>
      </c>
      <c r="EF41" s="1">
        <f>SUMPRODUCT(NOT(ISBLANK(EF$3:EF$34))*(EF$3:EF$34&lt;$LC$3:$LC$34))</f>
        <v>0</v>
      </c>
      <c r="EG41" s="1">
        <f>SUMPRODUCT(NOT(ISBLANK(EG$3:EG$34))*(EG$3:EG$34&lt;$LD$3:$LD$34))</f>
        <v>0</v>
      </c>
      <c r="EH41" s="1">
        <f>SUMPRODUCT(NOT(ISBLANK(EH$3:EH$34))*(EH$3:EH$34&lt;$LE$3:$LE$34))</f>
        <v>0</v>
      </c>
      <c r="EI41" s="1">
        <f>SUMPRODUCT(NOT(ISBLANK(EI$3:EI$34))*(EI$3:EI$34&lt;$LF$3:$LF$34))</f>
        <v>0</v>
      </c>
      <c r="EJ41" s="1">
        <f>SUMPRODUCT(NOT(ISBLANK(EJ$3:EJ$34))*(EJ$3:EJ$34&lt;$LG$3:$LG$34))</f>
        <v>0</v>
      </c>
      <c r="EK41" s="1">
        <f>SUMPRODUCT(NOT(ISBLANK(EK$3:EK$34))*(EK$3:EK$34&lt;$LH$3:$LH$34))</f>
        <v>0</v>
      </c>
      <c r="EL41" s="1"/>
      <c r="EM41" s="1">
        <f>SUMPRODUCT(NOT(ISBLANK(EM$3:EM$34))*(EM$3:EM$34&lt;$LI$3:$LI$34))</f>
        <v>0</v>
      </c>
      <c r="EN41" s="1">
        <f>SUMPRODUCT(NOT(ISBLANK(EN$3:EN$34))*(EN$3:EN$34&lt;$LJ$3:$LJ$34))</f>
        <v>0</v>
      </c>
      <c r="EO41" s="1">
        <f>SUMPRODUCT(NOT(ISBLANK(EO$3:EO$34))*(EO$3:EO$34&lt;$LK$3:$LK$34))</f>
        <v>0</v>
      </c>
      <c r="EP41" s="1">
        <f>SUMPRODUCT(NOT(ISBLANK(EP$3:EP$34))*(EP$3:EP$34&lt;$KU$3:$KU$34))</f>
        <v>0</v>
      </c>
      <c r="EQ41" s="1">
        <f>SUMPRODUCT(NOT(ISBLANK(EQ$3:EQ$34))*(EQ$3:EQ$34&lt;$KV$3:$KV$34))</f>
        <v>0</v>
      </c>
      <c r="ER41" s="1">
        <f>SUMPRODUCT(NOT(ISBLANK(ER$3:ER$34))*(ER$3:ER$34&lt;$KW$3:$KW$34))</f>
        <v>0</v>
      </c>
      <c r="ES41" s="1">
        <f>SUMPRODUCT(NOT(ISBLANK(ES$3:ES$34))*(ES$3:ES$34&lt;$KX$3:$KX$34))</f>
        <v>0</v>
      </c>
      <c r="ET41" s="1">
        <f>SUMPRODUCT(NOT(ISBLANK(ET$3:ET$34))*(ET$3:ET$34&lt;$KY$3:$KY$34))</f>
        <v>0</v>
      </c>
      <c r="EU41" s="1">
        <f>SUMPRODUCT(NOT(ISBLANK(EU$3:EU$34))*(EU$3:EU$34&lt;$KZ$3:$KZ$34))</f>
        <v>0</v>
      </c>
      <c r="EV41" s="1">
        <f>SUMPRODUCT(NOT(ISBLANK(EV$3:EV$34))*(EV$3:EV$34&lt;$LA$3:$LA$34))</f>
        <v>0</v>
      </c>
      <c r="EW41" s="1">
        <f>SUMPRODUCT(NOT(ISBLANK(EW$3:EW$34))*(EW$3:EW$34&lt;$LB$3:$LB$34))</f>
        <v>0</v>
      </c>
      <c r="EX41" s="1">
        <f>SUMPRODUCT(NOT(ISBLANK(EX$3:EX$34))*(EX$3:EX$34&lt;$LC$3:$LC$34))</f>
        <v>0</v>
      </c>
      <c r="EY41" s="1">
        <f>SUMPRODUCT(NOT(ISBLANK(EY$3:EY$34))*(EY$3:EY$34&lt;$LD$3:$LD$34))</f>
        <v>0</v>
      </c>
      <c r="EZ41" s="1">
        <f>SUMPRODUCT(NOT(ISBLANK(EZ$3:EZ$34))*(EZ$3:EZ$34&lt;$LE$3:$LE$34))</f>
        <v>0</v>
      </c>
      <c r="FA41" s="1">
        <f>SUMPRODUCT(NOT(ISBLANK(FA$3:FA$34))*(FA$3:FA$34&lt;$LF$3:$LF$34))</f>
        <v>0</v>
      </c>
      <c r="FB41" s="1">
        <f>SUMPRODUCT(NOT(ISBLANK(FB$3:FB$34))*(FB$3:FB$34&lt;$LG$3:$LG$34))</f>
        <v>0</v>
      </c>
      <c r="FC41" s="1">
        <f>SUMPRODUCT(NOT(ISBLANK(FC$3:FC$34))*(FC$3:FC$34&lt;$LH$3:$LH$34))</f>
        <v>0</v>
      </c>
      <c r="FD41" s="1"/>
      <c r="FE41" s="1">
        <f>SUMPRODUCT(NOT(ISBLANK(FE$3:FE$34))*(FE$3:FE$34&lt;$LI$3:$LI$34))</f>
        <v>0</v>
      </c>
      <c r="FF41" s="1">
        <f>SUMPRODUCT(NOT(ISBLANK(FF$3:FF$34))*(FF$3:FF$34&lt;$LJ$3:$LJ$34))</f>
        <v>0</v>
      </c>
      <c r="FG41" s="1">
        <f>SUMPRODUCT(NOT(ISBLANK(FG$3:FG$34))*(FG$3:FG$34&lt;$LK$3:$LK$34))</f>
        <v>0</v>
      </c>
      <c r="FH41" s="1">
        <f>SUMPRODUCT(NOT(ISBLANK(FH$3:FH$34))*(FH$3:FH$34&lt;$KU$3:$KU$34))</f>
        <v>0</v>
      </c>
      <c r="FI41" s="1">
        <f>SUMPRODUCT(NOT(ISBLANK(FI$3:FI$34))*(FI$3:FI$34&lt;$KV$3:$KV$34))</f>
        <v>0</v>
      </c>
      <c r="FJ41" s="1">
        <f>SUMPRODUCT(NOT(ISBLANK(FJ$3:FJ$34))*(FJ$3:FJ$34&lt;$KW$3:$KW$34))</f>
        <v>0</v>
      </c>
      <c r="FK41" s="1">
        <f>SUMPRODUCT(NOT(ISBLANK(FK$3:FK$34))*(FK$3:FK$34&lt;$KX$3:$KX$34))</f>
        <v>0</v>
      </c>
      <c r="FL41" s="1">
        <f>SUMPRODUCT(NOT(ISBLANK(FL$3:FL$34))*(FL$3:FL$34&lt;$KY$3:$KY$34))</f>
        <v>0</v>
      </c>
      <c r="FM41" s="1">
        <f>SUMPRODUCT(NOT(ISBLANK(FM$3:FM$34))*(FM$3:FM$34&lt;$KZ$3:$KZ$34))</f>
        <v>0</v>
      </c>
      <c r="FN41" s="1">
        <f>SUMPRODUCT(NOT(ISBLANK(FN$3:FN$34))*(FN$3:FN$34&lt;$LA$3:$LA$34))</f>
        <v>0</v>
      </c>
      <c r="FO41" s="1">
        <f>SUMPRODUCT(NOT(ISBLANK(FO$3:FO$34))*(FO$3:FO$34&lt;$LB$3:$LB$34))</f>
        <v>0</v>
      </c>
      <c r="FP41" s="1">
        <f>SUMPRODUCT(NOT(ISBLANK(FP$3:FP$34))*(FP$3:FP$34&lt;$LC$3:$LC$34))</f>
        <v>0</v>
      </c>
      <c r="FQ41" s="1">
        <f>SUMPRODUCT(NOT(ISBLANK(FQ$3:FQ$34))*(FQ$3:FQ$34&lt;$LD$3:$LD$34))</f>
        <v>0</v>
      </c>
      <c r="FR41" s="1">
        <f>SUMPRODUCT(NOT(ISBLANK(FR$3:FR$34))*(FR$3:FR$34&lt;$LE$3:$LE$34))</f>
        <v>0</v>
      </c>
      <c r="FS41" s="1">
        <f>SUMPRODUCT(NOT(ISBLANK(FS$3:FS$34))*(FS$3:FS$34&lt;$LF$3:$LF$34))</f>
        <v>0</v>
      </c>
      <c r="FT41" s="1">
        <f>SUMPRODUCT(NOT(ISBLANK(FT$3:FT$34))*(FT$3:FT$34&lt;$LG$3:$LG$34))</f>
        <v>0</v>
      </c>
      <c r="FU41" s="1">
        <f>SUMPRODUCT(NOT(ISBLANK(FU$3:FU$34))*(FU$3:FU$34&lt;$LH$3:$LH$34))</f>
        <v>0</v>
      </c>
      <c r="FV41" s="1"/>
      <c r="FW41" s="1">
        <f>SUMPRODUCT(NOT(ISBLANK(FW$3:FW$34))*(FW$3:FW$34&lt;$LI$3:$LI$34))</f>
        <v>0</v>
      </c>
      <c r="FX41" s="1">
        <f>SUMPRODUCT(NOT(ISBLANK(FX$3:FX$34))*(FX$3:FX$34&lt;$LJ$3:$LJ$34))</f>
        <v>0</v>
      </c>
      <c r="FY41" s="1">
        <f>SUMPRODUCT(NOT(ISBLANK(FY$3:FY$34))*(FY$3:FY$34&lt;$LK$3:$LK$34))</f>
        <v>0</v>
      </c>
      <c r="FZ41" s="1">
        <f>SUMPRODUCT(NOT(ISBLANK(FZ$3:FZ$34))*(FZ$3:FZ$34&lt;$KU$3:$KU$34))</f>
        <v>0</v>
      </c>
      <c r="GA41" s="1">
        <f>SUMPRODUCT(NOT(ISBLANK(GA$3:GA$34))*(GA$3:GA$34&lt;$KV$3:$KV$34))</f>
        <v>0</v>
      </c>
      <c r="GB41" s="1">
        <f>SUMPRODUCT(NOT(ISBLANK(GB$3:GB$34))*(GB$3:GB$34&lt;$KW$3:$KW$34))</f>
        <v>0</v>
      </c>
      <c r="GC41" s="1">
        <f>SUMPRODUCT(NOT(ISBLANK(GC$3:GC$34))*(GC$3:GC$34&lt;$KX$3:$KX$34))</f>
        <v>0</v>
      </c>
      <c r="GD41" s="1">
        <f>SUMPRODUCT(NOT(ISBLANK(GD$3:GD$34))*(GD$3:GD$34&lt;$KY$3:$KY$34))</f>
        <v>0</v>
      </c>
      <c r="GE41" s="1">
        <f>SUMPRODUCT(NOT(ISBLANK(GE$3:GE$34))*(GE$3:GE$34&lt;$KZ$3:$KZ$34))</f>
        <v>0</v>
      </c>
      <c r="GF41" s="1">
        <f>SUMPRODUCT(NOT(ISBLANK(GF$3:GF$34))*(GF$3:GF$34&lt;$LA$3:$LA$34))</f>
        <v>0</v>
      </c>
      <c r="GG41" s="1">
        <f>SUMPRODUCT(NOT(ISBLANK(GG$3:GG$34))*(GG$3:GG$34&lt;$LB$3:$LB$34))</f>
        <v>0</v>
      </c>
      <c r="GH41" s="1">
        <f>SUMPRODUCT(NOT(ISBLANK(GH$3:GH$34))*(GH$3:GH$34&lt;$LC$3:$LC$34))</f>
        <v>0</v>
      </c>
      <c r="GI41" s="1">
        <f>SUMPRODUCT(NOT(ISBLANK(GI$3:GI$34))*(GI$3:GI$34&lt;$LD$3:$LD$34))</f>
        <v>0</v>
      </c>
      <c r="GJ41" s="1">
        <f>SUMPRODUCT(NOT(ISBLANK(GJ$3:GJ$34))*(GJ$3:GJ$34&lt;$LE$3:$LE$34))</f>
        <v>0</v>
      </c>
      <c r="GK41" s="1">
        <f>SUMPRODUCT(NOT(ISBLANK(GK$3:GK$34))*(GK$3:GK$34&lt;$LF$3:$LF$34))</f>
        <v>0</v>
      </c>
      <c r="GL41" s="1">
        <f>SUMPRODUCT(NOT(ISBLANK(GL$3:GL$34))*(GL$3:GL$34&lt;$LG$3:$LG$34))</f>
        <v>0</v>
      </c>
      <c r="GM41" s="1">
        <f>SUMPRODUCT(NOT(ISBLANK(GM$3:GM$34))*(GM$3:GM$34&lt;$LH$3:$LH$34))</f>
        <v>0</v>
      </c>
      <c r="GN41" s="1"/>
      <c r="GO41" s="1">
        <f>SUMPRODUCT(NOT(ISBLANK(GO$3:GO$34))*(GO$3:GO$34&lt;$LI$3:$LI$34))</f>
        <v>0</v>
      </c>
      <c r="GP41" s="1">
        <f>SUMPRODUCT(NOT(ISBLANK(GP$3:GP$34))*(GP$3:GP$34&lt;$LJ$3:$LJ$34))</f>
        <v>0</v>
      </c>
      <c r="GQ41" s="1">
        <f>SUMPRODUCT(NOT(ISBLANK(GQ$3:GQ$34))*(GQ$3:GQ$34&lt;$LK$3:$LK$34))</f>
        <v>0</v>
      </c>
      <c r="GR41" s="1">
        <f>SUMPRODUCT(NOT(ISBLANK(GR$3:GR$34))*(GR$3:GR$34&lt;$KU$3:$KU$34))</f>
        <v>0</v>
      </c>
      <c r="GS41" s="1">
        <f>SUMPRODUCT(NOT(ISBLANK(GS$3:GS$34))*(GS$3:GS$34&lt;$KV$3:$KV$34))</f>
        <v>0</v>
      </c>
      <c r="GT41" s="1">
        <f>SUMPRODUCT(NOT(ISBLANK(GT$3:GT$34))*(GT$3:GT$34&lt;$KW$3:$KW$34))</f>
        <v>0</v>
      </c>
      <c r="GU41" s="1">
        <f>SUMPRODUCT(NOT(ISBLANK(GU$3:GU$34))*(GU$3:GU$34&lt;$KX$3:$KX$34))</f>
        <v>0</v>
      </c>
      <c r="GV41" s="1">
        <f>SUMPRODUCT(NOT(ISBLANK(GV$3:GV$34))*(GV$3:GV$34&lt;$KY$3:$KY$34))</f>
        <v>0</v>
      </c>
      <c r="GW41" s="1">
        <f>SUMPRODUCT(NOT(ISBLANK(GW$3:GW$34))*(GW$3:GW$34&lt;$KZ$3:$KZ$34))</f>
        <v>0</v>
      </c>
      <c r="GX41" s="1">
        <f>SUMPRODUCT(NOT(ISBLANK(GX$3:GX$34))*(GX$3:GX$34&lt;$LA$3:$LA$34))</f>
        <v>0</v>
      </c>
      <c r="GY41" s="1">
        <f>SUMPRODUCT(NOT(ISBLANK(GY$3:GY$34))*(GY$3:GY$34&lt;$LB$3:$LB$34))</f>
        <v>0</v>
      </c>
      <c r="GZ41" s="1">
        <f>SUMPRODUCT(NOT(ISBLANK(GZ$3:GZ$34))*(GZ$3:GZ$34&lt;$LC$3:$LC$34))</f>
        <v>0</v>
      </c>
      <c r="HA41" s="1">
        <f>SUMPRODUCT(NOT(ISBLANK(HA$3:HA$34))*(HA$3:HA$34&lt;$LD$3:$LD$34))</f>
        <v>0</v>
      </c>
      <c r="HB41" s="1">
        <f>SUMPRODUCT(NOT(ISBLANK(HB$3:HB$34))*(HB$3:HB$34&lt;$LE$3:$LE$34))</f>
        <v>0</v>
      </c>
      <c r="HC41" s="1">
        <f>SUMPRODUCT(NOT(ISBLANK(HC$3:HC$34))*(HC$3:HC$34&lt;$LF$3:$LF$34))</f>
        <v>0</v>
      </c>
      <c r="HD41" s="1">
        <f>SUMPRODUCT(NOT(ISBLANK(HD$3:HD$34))*(HD$3:HD$34&lt;$LG$3:$LG$34))</f>
        <v>0</v>
      </c>
      <c r="HE41" s="1">
        <f>SUMPRODUCT(NOT(ISBLANK(HE$3:HE$34))*(HE$3:HE$34&lt;$LH$3:$LH$34))</f>
        <v>0</v>
      </c>
      <c r="HF41" s="1"/>
      <c r="HG41" s="1">
        <f>SUMPRODUCT(NOT(ISBLANK(HG$3:HG$34))*(HG$3:HG$34&lt;$LI$3:$LI$34))</f>
        <v>0</v>
      </c>
      <c r="HH41" s="1">
        <f>SUMPRODUCT(NOT(ISBLANK(HH$3:HH$34))*(HH$3:HH$34&lt;$LJ$3:$LJ$34))</f>
        <v>0</v>
      </c>
      <c r="HI41" s="1">
        <f>SUMPRODUCT(NOT(ISBLANK(HI$3:HI$34))*(HI$3:HI$34&lt;$LK$3:$LK$34))</f>
        <v>0</v>
      </c>
      <c r="HJ41" s="1">
        <f>SUMPRODUCT(NOT(ISBLANK(HJ$3:HJ$34))*(HJ$3:HJ$34&lt;$KU$3:$KU$34))</f>
        <v>0</v>
      </c>
      <c r="HK41" s="1">
        <f>SUMPRODUCT(NOT(ISBLANK(HK$3:HK$34))*(HK$3:HK$34&lt;$KV$3:$KV$34))</f>
        <v>0</v>
      </c>
      <c r="HL41" s="1">
        <f>SUMPRODUCT(NOT(ISBLANK(HL$3:HL$34))*(HL$3:HL$34&lt;$KW$3:$KW$34))</f>
        <v>0</v>
      </c>
      <c r="HM41" s="1">
        <f>SUMPRODUCT(NOT(ISBLANK(HM$3:HM$34))*(HM$3:HM$34&lt;$KX$3:$KX$34))</f>
        <v>0</v>
      </c>
      <c r="HN41" s="1">
        <f>SUMPRODUCT(NOT(ISBLANK(HN$3:HN$34))*(HN$3:HN$34&lt;$KY$3:$KY$34))</f>
        <v>0</v>
      </c>
      <c r="HO41" s="1">
        <f>SUMPRODUCT(NOT(ISBLANK(HO$3:HO$34))*(HO$3:HO$34&lt;$KZ$3:$KZ$34))</f>
        <v>0</v>
      </c>
      <c r="HP41" s="1">
        <f>SUMPRODUCT(NOT(ISBLANK(HP$3:HP$34))*(HP$3:HP$34&lt;$LA$3:$LA$34))</f>
        <v>0</v>
      </c>
      <c r="HQ41" s="1">
        <f>SUMPRODUCT(NOT(ISBLANK(HQ$3:HQ$34))*(HQ$3:HQ$34&lt;$LB$3:$LB$34))</f>
        <v>0</v>
      </c>
      <c r="HR41" s="1">
        <f>SUMPRODUCT(NOT(ISBLANK(HR$3:HR$34))*(HR$3:HR$34&lt;$LC$3:$LC$34))</f>
        <v>0</v>
      </c>
      <c r="HS41" s="1">
        <f>SUMPRODUCT(NOT(ISBLANK(HS$3:HS$34))*(HS$3:HS$34&lt;$LD$3:$LD$34))</f>
        <v>0</v>
      </c>
      <c r="HT41" s="1">
        <f>SUMPRODUCT(NOT(ISBLANK(HT$3:HT$34))*(HT$3:HT$34&lt;$LE$3:$LE$34))</f>
        <v>0</v>
      </c>
      <c r="HU41" s="1">
        <f>SUMPRODUCT(NOT(ISBLANK(HU$3:HU$34))*(HU$3:HU$34&lt;$LF$3:$LF$34))</f>
        <v>0</v>
      </c>
      <c r="HV41" s="1">
        <f>SUMPRODUCT(NOT(ISBLANK(HV$3:HV$34))*(HV$3:HV$34&lt;$LG$3:$LG$34))</f>
        <v>0</v>
      </c>
      <c r="HW41" s="1">
        <f>SUMPRODUCT(NOT(ISBLANK(HW$3:HW$34))*(HW$3:HW$34&lt;$LH$3:$LH$34))</f>
        <v>0</v>
      </c>
      <c r="HX41" s="1"/>
      <c r="HY41" s="1">
        <f>SUMPRODUCT(NOT(ISBLANK(HY$3:HY$34))*(HY$3:HY$34&lt;$LI$3:$LI$34))</f>
        <v>0</v>
      </c>
      <c r="HZ41" s="1">
        <f>SUMPRODUCT(NOT(ISBLANK(HZ$3:HZ$34))*(HZ$3:HZ$34&lt;$LJ$3:$LJ$34))</f>
        <v>0</v>
      </c>
      <c r="IA41" s="1">
        <f>SUMPRODUCT(NOT(ISBLANK(IA$3:IA$34))*(IA$3:IA$34&lt;$LK$3:$LK$34))</f>
        <v>0</v>
      </c>
      <c r="IB41" s="1">
        <f>SUMPRODUCT(NOT(ISBLANK(IB$3:IB$34))*(IB$3:IB$34&lt;$KU$3:$KU$34))</f>
        <v>0</v>
      </c>
      <c r="IC41" s="1">
        <f>SUMPRODUCT(NOT(ISBLANK(IC$3:IC$34))*(IC$3:IC$34&lt;$KV$3:$KV$34))</f>
        <v>0</v>
      </c>
      <c r="ID41" s="1">
        <f>SUMPRODUCT(NOT(ISBLANK(ID$3:ID$34))*(ID$3:ID$34&lt;$KW$3:$KW$34))</f>
        <v>0</v>
      </c>
      <c r="IE41" s="1">
        <f>SUMPRODUCT(NOT(ISBLANK(IE$3:IE$34))*(IE$3:IE$34&lt;$KX$3:$KX$34))</f>
        <v>0</v>
      </c>
      <c r="IF41" s="1">
        <f>SUMPRODUCT(NOT(ISBLANK(IF$3:IF$34))*(IF$3:IF$34&lt;$KY$3:$KY$34))</f>
        <v>0</v>
      </c>
      <c r="IG41" s="1">
        <f>SUMPRODUCT(NOT(ISBLANK(IG$3:IG$34))*(IG$3:IG$34&lt;$KZ$3:$KZ$34))</f>
        <v>0</v>
      </c>
      <c r="IH41" s="1">
        <f>SUMPRODUCT(NOT(ISBLANK(IH$3:IH$34))*(IH$3:IH$34&lt;$LA$3:$LA$34))</f>
        <v>0</v>
      </c>
      <c r="II41" s="1">
        <f>SUMPRODUCT(NOT(ISBLANK(II$3:II$34))*(II$3:II$34&lt;$LB$3:$LB$34))</f>
        <v>0</v>
      </c>
      <c r="IJ41" s="1">
        <f>SUMPRODUCT(NOT(ISBLANK(IJ$3:IJ$34))*(IJ$3:IJ$34&lt;$LC$3:$LC$34))</f>
        <v>0</v>
      </c>
      <c r="IK41" s="1">
        <f>SUMPRODUCT(NOT(ISBLANK(IK$3:IK$34))*(IK$3:IK$34&lt;$LD$3:$LD$34))</f>
        <v>0</v>
      </c>
      <c r="IL41" s="1">
        <f>SUMPRODUCT(NOT(ISBLANK(IL$3:IL$34))*(IL$3:IL$34&lt;$LE$3:$LE$34))</f>
        <v>0</v>
      </c>
      <c r="IM41" s="1">
        <f>SUMPRODUCT(NOT(ISBLANK(IM$3:IM$34))*(IM$3:IM$34&lt;$LF$3:$LF$34))</f>
        <v>0</v>
      </c>
      <c r="IN41" s="1">
        <f>SUMPRODUCT(NOT(ISBLANK(IN$3:IN$34))*(IN$3:IN$34&lt;$LG$3:$LG$34))</f>
        <v>0</v>
      </c>
      <c r="IO41" s="1">
        <f>SUMPRODUCT(NOT(ISBLANK(IO$3:IO$34))*(IO$3:IO$34&lt;$LH$3:$LH$34))</f>
        <v>0</v>
      </c>
      <c r="IP41" s="1"/>
      <c r="IQ41" s="1">
        <f>SUMPRODUCT(NOT(ISBLANK(IQ$3:IQ$34))*(IQ$3:IQ$34&lt;$LI$3:$LI$34))</f>
        <v>0</v>
      </c>
      <c r="IR41" s="1">
        <f>SUMPRODUCT(NOT(ISBLANK(IR$3:IR$34))*(IR$3:IR$34&lt;$LJ$3:$LJ$34))</f>
        <v>0</v>
      </c>
      <c r="IS41" s="1">
        <f>SUMPRODUCT(NOT(ISBLANK(IS$3:IS$34))*(IS$3:IS$34&lt;$LK$3:$LK$34))</f>
        <v>0</v>
      </c>
      <c r="IT41" s="1">
        <f>SUMPRODUCT(NOT(ISBLANK(IT$3:IT$34))*(IT$3:IT$34&lt;$KU$3:$KU$34))</f>
        <v>0</v>
      </c>
      <c r="IU41" s="1">
        <f>SUMPRODUCT(NOT(ISBLANK(IU$3:IU$34))*(IU$3:IU$34&lt;$KV$3:$KV$34))</f>
        <v>0</v>
      </c>
      <c r="IV41" s="1">
        <f>SUMPRODUCT(NOT(ISBLANK(IV$3:IV$34))*(IV$3:IV$34&lt;$KW$3:$KW$34))</f>
        <v>0</v>
      </c>
      <c r="IW41" s="1">
        <f>SUMPRODUCT(NOT(ISBLANK(IW$3:IW$34))*(IW$3:IW$34&lt;$KX$3:$KX$34))</f>
        <v>0</v>
      </c>
      <c r="IX41" s="1">
        <f>SUMPRODUCT(NOT(ISBLANK(IX$3:IX$34))*(IX$3:IX$34&lt;$KY$3:$KY$34))</f>
        <v>0</v>
      </c>
      <c r="IY41" s="1">
        <f>SUMPRODUCT(NOT(ISBLANK(IY$3:IY$34))*(IY$3:IY$34&lt;$KZ$3:$KZ$34))</f>
        <v>0</v>
      </c>
      <c r="IZ41" s="1">
        <f>SUMPRODUCT(NOT(ISBLANK(IZ$3:IZ$34))*(IZ$3:IZ$34&lt;$LA$3:$LA$34))</f>
        <v>0</v>
      </c>
      <c r="JA41" s="1">
        <f>SUMPRODUCT(NOT(ISBLANK(JA$3:JA$34))*(JA$3:JA$34&lt;$LB$3:$LB$34))</f>
        <v>0</v>
      </c>
      <c r="JB41" s="1">
        <f>SUMPRODUCT(NOT(ISBLANK(JB$3:JB$34))*(JB$3:JB$34&lt;$LC$3:$LC$34))</f>
        <v>0</v>
      </c>
      <c r="JC41" s="1">
        <f>SUMPRODUCT(NOT(ISBLANK(JC$3:JC$34))*(JC$3:JC$34&lt;$LD$3:$LD$34))</f>
        <v>0</v>
      </c>
      <c r="JD41" s="1">
        <f>SUMPRODUCT(NOT(ISBLANK(JD$3:JD$34))*(JD$3:JD$34&lt;$LE$3:$LE$34))</f>
        <v>0</v>
      </c>
      <c r="JE41" s="1">
        <f>SUMPRODUCT(NOT(ISBLANK(JE$3:JE$34))*(JE$3:JE$34&lt;$LF$3:$LF$34))</f>
        <v>0</v>
      </c>
      <c r="JF41" s="1">
        <f>SUMPRODUCT(NOT(ISBLANK(JF$3:JF$34))*(JF$3:JF$34&lt;$LG$3:$LG$34))</f>
        <v>0</v>
      </c>
      <c r="JG41" s="1">
        <f>SUMPRODUCT(NOT(ISBLANK(JG$3:JG$34))*(JG$3:JG$34&lt;$LH$3:$LH$34))</f>
        <v>0</v>
      </c>
      <c r="JH41" s="1"/>
      <c r="JI41" s="1">
        <f>SUMPRODUCT(NOT(ISBLANK(JI$3:JI$34))*(JI$3:JI$34&lt;$LI$3:$LI$34))</f>
        <v>0</v>
      </c>
      <c r="JJ41" s="1">
        <f>SUMPRODUCT(NOT(ISBLANK(JJ$3:JJ$34))*(JJ$3:JJ$34&lt;$LJ$3:$LJ$34))</f>
        <v>0</v>
      </c>
      <c r="JK41" s="1">
        <f>SUMPRODUCT(NOT(ISBLANK(JK$3:JK$34))*(JK$3:JK$34&lt;$LK$3:$LK$34))</f>
        <v>0</v>
      </c>
      <c r="JL41" s="1">
        <f>SUMPRODUCT(NOT(ISBLANK(JL$3:JL$34))*(JL$3:JL$34&lt;$KU$3:$KU$34))</f>
        <v>0</v>
      </c>
      <c r="JM41" s="1">
        <f>SUMPRODUCT(NOT(ISBLANK(JM$3:JM$34))*(JM$3:JM$34&lt;$KV$3:$KV$34))</f>
        <v>0</v>
      </c>
      <c r="JN41" s="1">
        <f>SUMPRODUCT(NOT(ISBLANK(JN$3:JN$34))*(JN$3:JN$34&lt;$KW$3:$KW$34))</f>
        <v>0</v>
      </c>
      <c r="JO41" s="1">
        <f>SUMPRODUCT(NOT(ISBLANK(JO$3:JO$34))*(JO$3:JO$34&lt;$KX$3:$KX$34))</f>
        <v>0</v>
      </c>
      <c r="JP41" s="1">
        <f>SUMPRODUCT(NOT(ISBLANK(JP$3:JP$34))*(JP$3:JP$34&lt;$KY$3:$KY$34))</f>
        <v>0</v>
      </c>
      <c r="JQ41" s="1">
        <f>SUMPRODUCT(NOT(ISBLANK(JQ$3:JQ$34))*(JQ$3:JQ$34&lt;$KZ$3:$KZ$34))</f>
        <v>0</v>
      </c>
      <c r="JR41" s="1">
        <f>SUMPRODUCT(NOT(ISBLANK(JR$3:JR$34))*(JR$3:JR$34&lt;$LA$3:$LA$34))</f>
        <v>0</v>
      </c>
      <c r="JS41" s="1">
        <f>SUMPRODUCT(NOT(ISBLANK(JS$3:JS$34))*(JS$3:JS$34&lt;$LB$3:$LB$34))</f>
        <v>0</v>
      </c>
      <c r="JT41" s="1">
        <f>SUMPRODUCT(NOT(ISBLANK(JT$3:JT$34))*(JT$3:JT$34&lt;$LC$3:$LC$34))</f>
        <v>0</v>
      </c>
      <c r="JU41" s="1">
        <f>SUMPRODUCT(NOT(ISBLANK(JU$3:JU$34))*(JU$3:JU$34&lt;$LD$3:$LD$34))</f>
        <v>0</v>
      </c>
      <c r="JV41" s="1">
        <f>SUMPRODUCT(NOT(ISBLANK(JV$3:JV$34))*(JV$3:JV$34&lt;$LE$3:$LE$34))</f>
        <v>0</v>
      </c>
      <c r="JW41" s="1">
        <f>SUMPRODUCT(NOT(ISBLANK(JW$3:JW$34))*(JW$3:JW$34&lt;$LF$3:$LF$34))</f>
        <v>0</v>
      </c>
      <c r="JX41" s="1">
        <f>SUMPRODUCT(NOT(ISBLANK(JX$3:JX$34))*(JX$3:JX$34&lt;$LG$3:$LG$34))</f>
        <v>0</v>
      </c>
      <c r="JY41" s="1">
        <f>SUMPRODUCT(NOT(ISBLANK(JY$3:JY$34))*(JY$3:JY$34&lt;$LH$3:$LH$34))</f>
        <v>0</v>
      </c>
      <c r="JZ41" s="1"/>
      <c r="KA41" s="1">
        <f>SUMPRODUCT(NOT(ISBLANK(KA$3:KA$34))*(KA$3:KA$34&lt;$LI$3:$LI$34))</f>
        <v>0</v>
      </c>
      <c r="KB41" s="1">
        <f>SUMPRODUCT(NOT(ISBLANK(KB$3:KB$34))*(KB$3:KB$34&lt;$LJ$3:$LJ$34))</f>
        <v>0</v>
      </c>
      <c r="KC41" s="1">
        <f>SUMPRODUCT(NOT(ISBLANK(KC$3:KC$34))*(KC$3:KC$34&lt;$LK$3:$LK$34))</f>
        <v>0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</row>
    <row r="42" spans="1:340">
      <c r="A42" s="1" t="s">
        <v>38</v>
      </c>
      <c r="B42" s="1">
        <f>SUMPRODUCT((NOT(ISBLANK(B$3:B$34))*(B$3:B$34&gt;$KU$3:$KU$34))+ISBLANK(B$3:B$34))</f>
        <v>0</v>
      </c>
      <c r="C42" s="1">
        <f>SUMPRODUCT((NOT(ISBLANK(C$3:C$34))*(C$3:C$34&gt;$KV$3:$KV$34))+ISBLANK(C$3:C$34))</f>
        <v>0</v>
      </c>
      <c r="D42" s="1">
        <f>SUMPRODUCT((NOT(ISBLANK(D$3:D$34))*(D$3:D$34&gt;$KW$3:$KW$34))+ISBLANK(D$3:D$34))</f>
        <v>0</v>
      </c>
      <c r="E42" s="1">
        <f>SUMPRODUCT((NOT(ISBLANK(E$3:E$34))*(E$3:E$34&gt;$KX$3:$KX$34))+ISBLANK(E$3:E$34))</f>
        <v>0</v>
      </c>
      <c r="F42" s="1">
        <f>SUMPRODUCT((NOT(ISBLANK(F$3:F$34))*(F$3:F$34&gt;$KY$3:$KY$34))+ISBLANK(F$3:F$34))</f>
        <v>0</v>
      </c>
      <c r="G42" s="1">
        <f>SUMPRODUCT((NOT(ISBLANK(G$3:G$34))*(G$3:G$34&gt;$KZ$3:$KZ$34))+ISBLANK(G$3:G$34))</f>
        <v>0</v>
      </c>
      <c r="H42" s="1">
        <f>SUMPRODUCT((NOT(ISBLANK(H$3:H$34))*(H$3:H$34&gt;$LA$3:$LA$34))+ISBLANK(H$3:H$34))</f>
        <v>0</v>
      </c>
      <c r="I42" s="1">
        <f>SUMPRODUCT((NOT(ISBLANK(I$3:I$34))*(I$3:I$34&gt;$LB$3:$LB$34))+ISBLANK(I$3:I$34))</f>
        <v>0</v>
      </c>
      <c r="J42" s="1">
        <f>SUMPRODUCT((NOT(ISBLANK(J$3:J$34))*(J$3:J$34&gt;$LC$3:$LC$34))+ISBLANK(J$3:J$34))</f>
        <v>0</v>
      </c>
      <c r="K42" s="1">
        <f>SUMPRODUCT((NOT(ISBLANK(K$3:K$34))*(K$3:K$34&gt;$LD$3:$LD$34))+ISBLANK(K$3:K$34))</f>
        <v>0</v>
      </c>
      <c r="L42" s="1">
        <f>SUMPRODUCT((NOT(ISBLANK(L$3:L$34))*(L$3:L$34&gt;$LE$3:$LE$34))+ISBLANK(L$3:L$34))</f>
        <v>0</v>
      </c>
      <c r="M42" s="1">
        <f>SUMPRODUCT((NOT(ISBLANK(M$3:M$34))*(M$3:M$34&gt;$LF$3:$LF$34))+ISBLANK(M$3:M$34))</f>
        <v>0</v>
      </c>
      <c r="N42" s="1">
        <f>SUMPRODUCT((NOT(ISBLANK(N$3:N$34))*(N$3:N$34&gt;$LG$3:$LG$34))+ISBLANK(N$3:N$34))</f>
        <v>0</v>
      </c>
      <c r="O42" s="1">
        <f>SUMPRODUCT((NOT(ISBLANK(O$3:O$34))*(O$3:O$34&gt;$LH$3:$LH$34))+ISBLANK(O$3:O$34))</f>
        <v>0</v>
      </c>
      <c r="P42" s="1"/>
      <c r="Q42" s="1">
        <f>SUMPRODUCT((NOT(ISBLANK(Q$3:Q$34))*(Q$3:Q$34&gt;$LI$3:$LI$34))+ISBLANK(Q$3:Q$34))</f>
        <v>0</v>
      </c>
      <c r="R42" s="1">
        <f>SUMPRODUCT((NOT(ISBLANK(R$3:R$34))*(R$3:R$34&gt;$LJ$3:$LJ$34))+ISBLANK(R$3:R$34))</f>
        <v>0</v>
      </c>
      <c r="S42" s="1">
        <f>SUMPRODUCT((NOT(ISBLANK(S$3:S$34))*(S$3:S$34&gt;$LK$3:$LK$34))+ISBLANK(S$3:S$34))</f>
        <v>0</v>
      </c>
      <c r="T42" s="1">
        <f>SUMPRODUCT((NOT(ISBLANK(T$3:T$34))*(T$3:T$34&gt;$KU$3:$KU$34))+ISBLANK(T$3:T$34))</f>
        <v>0</v>
      </c>
      <c r="U42" s="1">
        <f>SUMPRODUCT((NOT(ISBLANK(U$3:U$34))*(U$3:U$34&gt;$KV$3:$KV$34))+ISBLANK(U$3:U$34))</f>
        <v>0</v>
      </c>
      <c r="V42" s="1">
        <f>SUMPRODUCT((NOT(ISBLANK(V$3:V$34))*(V$3:V$34&gt;$KW$3:$KW$34))+ISBLANK(V$3:V$34))</f>
        <v>0</v>
      </c>
      <c r="W42" s="1">
        <f>SUMPRODUCT((NOT(ISBLANK(W$3:W$34))*(W$3:W$34&gt;$KX$3:$KX$34))+ISBLANK(W$3:W$34))</f>
        <v>0</v>
      </c>
      <c r="X42" s="1">
        <f>SUMPRODUCT((NOT(ISBLANK(X$3:X$34))*(X$3:X$34&gt;$KY$3:$KY$34))+ISBLANK(X$3:X$34))</f>
        <v>0</v>
      </c>
      <c r="Y42" s="1">
        <f>SUMPRODUCT((NOT(ISBLANK(Y$3:Y$34))*(Y$3:Y$34&gt;$KZ$3:$KZ$34))+ISBLANK(Y$3:Y$34))</f>
        <v>0</v>
      </c>
      <c r="Z42" s="1">
        <f>SUMPRODUCT((NOT(ISBLANK(Z$3:Z$34))*(Z$3:Z$34&gt;$LA$3:$LA$34))+ISBLANK(Z$3:Z$34))</f>
        <v>0</v>
      </c>
      <c r="AA42" s="1">
        <f>SUMPRODUCT((NOT(ISBLANK(AA$3:AA$34))*(AA$3:AA$34&gt;$LB$3:$LB$34))+ISBLANK(AA$3:AA$34))</f>
        <v>0</v>
      </c>
      <c r="AB42" s="1">
        <f>SUMPRODUCT((NOT(ISBLANK(AB$3:AB$34))*(AB$3:AB$34&gt;$LC$3:$LC$34))+ISBLANK(AB$3:AB$34))</f>
        <v>0</v>
      </c>
      <c r="AC42" s="1">
        <f>SUMPRODUCT((NOT(ISBLANK(AC$3:AC$34))*(AC$3:AC$34&gt;$LD$3:$LD$34))+ISBLANK(AC$3:AC$34))</f>
        <v>0</v>
      </c>
      <c r="AD42" s="1">
        <f>SUMPRODUCT((NOT(ISBLANK(AD$3:AD$34))*(AD$3:AD$34&gt;$LE$3:$LE$34))+ISBLANK(AD$3:AD$34))</f>
        <v>0</v>
      </c>
      <c r="AE42" s="1">
        <f>SUMPRODUCT((NOT(ISBLANK(AE$3:AE$34))*(AE$3:AE$34&gt;$LF$3:$LF$34))+ISBLANK(AE$3:AE$34))</f>
        <v>0</v>
      </c>
      <c r="AF42" s="1">
        <f>SUMPRODUCT((NOT(ISBLANK(AF$3:AF$34))*(AF$3:AF$34&gt;$LG$3:$LG$34))+ISBLANK(AF$3:AF$34))</f>
        <v>0</v>
      </c>
      <c r="AG42" s="1">
        <f>SUMPRODUCT((NOT(ISBLANK(AG$3:AG$34))*(AG$3:AG$34&gt;$LH$3:$LH$34))+ISBLANK(AG$3:AG$34))</f>
        <v>0</v>
      </c>
      <c r="AH42" s="1"/>
      <c r="AI42" s="1">
        <f>SUMPRODUCT((NOT(ISBLANK(AI$3:AI$34))*(AI$3:AI$34&gt;$LI$3:$LI$34))+ISBLANK(AI$3:AI$34))</f>
        <v>0</v>
      </c>
      <c r="AJ42" s="1">
        <f>SUMPRODUCT((NOT(ISBLANK(AJ$3:AJ$34))*(AJ$3:AJ$34&gt;$LJ$3:$LJ$34))+ISBLANK(AJ$3:AJ$34))</f>
        <v>0</v>
      </c>
      <c r="AK42" s="1">
        <f>SUMPRODUCT((NOT(ISBLANK(AK$3:AK$34))*(AK$3:AK$34&gt;$LK$3:$LK$34))+ISBLANK(AK$3:AK$34))</f>
        <v>0</v>
      </c>
      <c r="AL42" s="1">
        <f>SUMPRODUCT((NOT(ISBLANK(AL$3:AL$34))*(AL$3:AL$34&gt;$KU$3:$KU$34))+ISBLANK(AL$3:AL$34))</f>
        <v>0</v>
      </c>
      <c r="AM42" s="1">
        <f>SUMPRODUCT((NOT(ISBLANK(AM$3:AM$34))*(AM$3:AM$34&gt;$KV$3:$KV$34))+ISBLANK(AM$3:AM$34))</f>
        <v>0</v>
      </c>
      <c r="AN42" s="1">
        <f>SUMPRODUCT((NOT(ISBLANK(AN$3:AN$34))*(AN$3:AN$34&gt;$KW$3:$KW$34))+ISBLANK(AN$3:AN$34))</f>
        <v>0</v>
      </c>
      <c r="AO42" s="1">
        <f>SUMPRODUCT((NOT(ISBLANK(AO$3:AO$34))*(AO$3:AO$34&gt;$KX$3:$KX$34))+ISBLANK(AO$3:AO$34))</f>
        <v>0</v>
      </c>
      <c r="AP42" s="1">
        <f>SUMPRODUCT((NOT(ISBLANK(AP$3:AP$34))*(AP$3:AP$34&gt;$KY$3:$KY$34))+ISBLANK(AP$3:AP$34))</f>
        <v>0</v>
      </c>
      <c r="AQ42" s="1">
        <f>SUMPRODUCT((NOT(ISBLANK(AQ$3:AQ$34))*(AQ$3:AQ$34&gt;$KZ$3:$KZ$34))+ISBLANK(AQ$3:AQ$34))</f>
        <v>0</v>
      </c>
      <c r="AR42" s="1">
        <f>SUMPRODUCT((NOT(ISBLANK(AR$3:AR$34))*(AR$3:AR$34&gt;$LA$3:$LA$34))+ISBLANK(AR$3:AR$34))</f>
        <v>0</v>
      </c>
      <c r="AS42" s="1">
        <f>SUMPRODUCT((NOT(ISBLANK(AS$3:AS$34))*(AS$3:AS$34&gt;$LB$3:$LB$34))+ISBLANK(AS$3:AS$34))</f>
        <v>0</v>
      </c>
      <c r="AT42" s="1">
        <f>SUMPRODUCT((NOT(ISBLANK(AT$3:AT$34))*(AT$3:AT$34&gt;$LC$3:$LC$34))+ISBLANK(AT$3:AT$34))</f>
        <v>0</v>
      </c>
      <c r="AU42" s="1">
        <f>SUMPRODUCT((NOT(ISBLANK(AU$3:AU$34))*(AU$3:AU$34&gt;$LD$3:$LD$34))+ISBLANK(AU$3:AU$34))</f>
        <v>0</v>
      </c>
      <c r="AV42" s="1">
        <f>SUMPRODUCT((NOT(ISBLANK(AV$3:AV$34))*(AV$3:AV$34&gt;$LE$3:$LE$34))+ISBLANK(AV$3:AV$34))</f>
        <v>0</v>
      </c>
      <c r="AW42" s="1">
        <f>SUMPRODUCT((NOT(ISBLANK(AW$3:AW$34))*(AW$3:AW$34&gt;$LF$3:$LF$34))+ISBLANK(AW$3:AW$34))</f>
        <v>0</v>
      </c>
      <c r="AX42" s="1">
        <f>SUMPRODUCT((NOT(ISBLANK(AX$3:AX$34))*(AX$3:AX$34&gt;$LG$3:$LG$34))+ISBLANK(AX$3:AX$34))</f>
        <v>0</v>
      </c>
      <c r="AY42" s="1">
        <f>SUMPRODUCT((NOT(ISBLANK(AY$3:AY$34))*(AY$3:AY$34&gt;$LH$3:$LH$34))+ISBLANK(AY$3:AY$34))</f>
        <v>0</v>
      </c>
      <c r="AZ42" s="1"/>
      <c r="BA42" s="1">
        <f>SUMPRODUCT((NOT(ISBLANK(BA$3:BA$34))*(BA$3:BA$34&gt;$LI$3:$LI$34))+ISBLANK(BA$3:BA$34))</f>
        <v>0</v>
      </c>
      <c r="BB42" s="1">
        <f>SUMPRODUCT((NOT(ISBLANK(BB$3:BB$34))*(BB$3:BB$34&gt;$LJ$3:$LJ$34))+ISBLANK(BB$3:BB$34))</f>
        <v>0</v>
      </c>
      <c r="BC42" s="1">
        <f>SUMPRODUCT((NOT(ISBLANK(BC$3:BC$34))*(BC$3:BC$34&gt;$LK$3:$LK$34))+ISBLANK(BC$3:BC$34))</f>
        <v>0</v>
      </c>
      <c r="BD42" s="1">
        <f>SUMPRODUCT((NOT(ISBLANK(BD$3:BD$34))*(BD$3:BD$34&gt;$KU$3:$KU$34))+ISBLANK(BD$3:BD$34))</f>
        <v>0</v>
      </c>
      <c r="BE42" s="1">
        <f>SUMPRODUCT((NOT(ISBLANK(BE$3:BE$34))*(BE$3:BE$34&gt;$KV$3:$KV$34))+ISBLANK(BE$3:BE$34))</f>
        <v>0</v>
      </c>
      <c r="BF42" s="1">
        <f>SUMPRODUCT((NOT(ISBLANK(BF$3:BF$34))*(BF$3:BF$34&gt;$KW$3:$KW$34))+ISBLANK(BF$3:BF$34))</f>
        <v>0</v>
      </c>
      <c r="BG42" s="1">
        <f>SUMPRODUCT((NOT(ISBLANK(BG$3:BG$34))*(BG$3:BG$34&gt;$KX$3:$KX$34))+ISBLANK(BG$3:BG$34))</f>
        <v>0</v>
      </c>
      <c r="BH42" s="1">
        <f>SUMPRODUCT((NOT(ISBLANK(BH$3:BH$34))*(BH$3:BH$34&gt;$KY$3:$KY$34))+ISBLANK(BH$3:BH$34))</f>
        <v>0</v>
      </c>
      <c r="BI42" s="1">
        <f>SUMPRODUCT((NOT(ISBLANK(BI$3:BI$34))*(BI$3:BI$34&gt;$KZ$3:$KZ$34))+ISBLANK(BI$3:BI$34))</f>
        <v>0</v>
      </c>
      <c r="BJ42" s="1">
        <f>SUMPRODUCT((NOT(ISBLANK(BJ$3:BJ$34))*(BJ$3:BJ$34&gt;$LA$3:$LA$34))+ISBLANK(BJ$3:BJ$34))</f>
        <v>0</v>
      </c>
      <c r="BK42" s="1">
        <f>SUMPRODUCT((NOT(ISBLANK(BK$3:BK$34))*(BK$3:BK$34&gt;$LB$3:$LB$34))+ISBLANK(BK$3:BK$34))</f>
        <v>0</v>
      </c>
      <c r="BL42" s="1">
        <f>SUMPRODUCT((NOT(ISBLANK(BL$3:BL$34))*(BL$3:BL$34&gt;$LC$3:$LC$34))+ISBLANK(BL$3:BL$34))</f>
        <v>0</v>
      </c>
      <c r="BM42" s="1">
        <f>SUMPRODUCT((NOT(ISBLANK(BM$3:BM$34))*(BM$3:BM$34&gt;$LD$3:$LD$34))+ISBLANK(BM$3:BM$34))</f>
        <v>0</v>
      </c>
      <c r="BN42" s="1">
        <f>SUMPRODUCT((NOT(ISBLANK(BN$3:BN$34))*(BN$3:BN$34&gt;$LE$3:$LE$34))+ISBLANK(BN$3:BN$34))</f>
        <v>0</v>
      </c>
      <c r="BO42" s="1">
        <f>SUMPRODUCT((NOT(ISBLANK(BO$3:BO$34))*(BO$3:BO$34&gt;$LF$3:$LF$34))+ISBLANK(BO$3:BO$34))</f>
        <v>0</v>
      </c>
      <c r="BP42" s="1">
        <f>SUMPRODUCT((NOT(ISBLANK(BP$3:BP$34))*(BP$3:BP$34&gt;$LG$3:$LG$34))+ISBLANK(BP$3:BP$34))</f>
        <v>0</v>
      </c>
      <c r="BQ42" s="1">
        <f>SUMPRODUCT((NOT(ISBLANK(BQ$3:BQ$34))*(BQ$3:BQ$34&gt;$LH$3:$LH$34))+ISBLANK(BQ$3:BQ$34))</f>
        <v>0</v>
      </c>
      <c r="BR42" s="1"/>
      <c r="BS42" s="1">
        <f>SUMPRODUCT((NOT(ISBLANK(BS$3:BS$34))*(BS$3:BS$34&gt;$LI$3:$LI$34))+ISBLANK(BS$3:BS$34))</f>
        <v>0</v>
      </c>
      <c r="BT42" s="1">
        <f>SUMPRODUCT((NOT(ISBLANK(BT$3:BT$34))*(BT$3:BT$34&gt;$LJ$3:$LJ$34))+ISBLANK(BT$3:BT$34))</f>
        <v>0</v>
      </c>
      <c r="BU42" s="1">
        <f>SUMPRODUCT((NOT(ISBLANK(BU$3:BU$34))*(BU$3:BU$34&gt;$LK$3:$LK$34))+ISBLANK(BU$3:BU$34))</f>
        <v>0</v>
      </c>
      <c r="BV42" s="1">
        <f>SUMPRODUCT((NOT(ISBLANK(BV$3:BV$34))*(BV$3:BV$34&gt;$KU$3:$KU$34))+ISBLANK(BV$3:BV$34))</f>
        <v>0</v>
      </c>
      <c r="BW42" s="1">
        <f>SUMPRODUCT((NOT(ISBLANK(BW$3:BW$34))*(BW$3:BW$34&gt;$KV$3:$KV$34))+ISBLANK(BW$3:BW$34))</f>
        <v>0</v>
      </c>
      <c r="BX42" s="1">
        <f>SUMPRODUCT((NOT(ISBLANK(BX$3:BX$34))*(BX$3:BX$34&gt;$KW$3:$KW$34))+ISBLANK(BX$3:BX$34))</f>
        <v>0</v>
      </c>
      <c r="BY42" s="1">
        <f>SUMPRODUCT((NOT(ISBLANK(BY$3:BY$34))*(BY$3:BY$34&gt;$KX$3:$KX$34))+ISBLANK(BY$3:BY$34))</f>
        <v>0</v>
      </c>
      <c r="BZ42" s="1">
        <f>SUMPRODUCT((NOT(ISBLANK(BZ$3:BZ$34))*(BZ$3:BZ$34&gt;$KY$3:$KY$34))+ISBLANK(BZ$3:BZ$34))</f>
        <v>0</v>
      </c>
      <c r="CA42" s="1">
        <f>SUMPRODUCT((NOT(ISBLANK(CA$3:CA$34))*(CA$3:CA$34&gt;$KZ$3:$KZ$34))+ISBLANK(CA$3:CA$34))</f>
        <v>0</v>
      </c>
      <c r="CB42" s="1">
        <f>SUMPRODUCT((NOT(ISBLANK(CB$3:CB$34))*(CB$3:CB$34&gt;$LA$3:$LA$34))+ISBLANK(CB$3:CB$34))</f>
        <v>0</v>
      </c>
      <c r="CC42" s="1">
        <f>SUMPRODUCT((NOT(ISBLANK(CC$3:CC$34))*(CC$3:CC$34&gt;$LB$3:$LB$34))+ISBLANK(CC$3:CC$34))</f>
        <v>0</v>
      </c>
      <c r="CD42" s="1">
        <f>SUMPRODUCT((NOT(ISBLANK(CD$3:CD$34))*(CD$3:CD$34&gt;$LC$3:$LC$34))+ISBLANK(CD$3:CD$34))</f>
        <v>0</v>
      </c>
      <c r="CE42" s="1">
        <f>SUMPRODUCT((NOT(ISBLANK(CE$3:CE$34))*(CE$3:CE$34&gt;$LD$3:$LD$34))+ISBLANK(CE$3:CE$34))</f>
        <v>0</v>
      </c>
      <c r="CF42" s="1">
        <f>SUMPRODUCT((NOT(ISBLANK(CF$3:CF$34))*(CF$3:CF$34&gt;$LE$3:$LE$34))+ISBLANK(CF$3:CF$34))</f>
        <v>0</v>
      </c>
      <c r="CG42" s="1">
        <f>SUMPRODUCT((NOT(ISBLANK(CG$3:CG$34))*(CG$3:CG$34&gt;$LF$3:$LF$34))+ISBLANK(CG$3:CG$34))</f>
        <v>0</v>
      </c>
      <c r="CH42" s="1">
        <f>SUMPRODUCT((NOT(ISBLANK(CH$3:CH$34))*(CH$3:CH$34&gt;$LG$3:$LG$34))+ISBLANK(CH$3:CH$34))</f>
        <v>0</v>
      </c>
      <c r="CI42" s="1">
        <f>SUMPRODUCT((NOT(ISBLANK(CI$3:CI$34))*(CI$3:CI$34&gt;$LH$3:$LH$34))+ISBLANK(CI$3:CI$34))</f>
        <v>0</v>
      </c>
      <c r="CJ42" s="1"/>
      <c r="CK42" s="1">
        <f>SUMPRODUCT((NOT(ISBLANK(CK$3:CK$34))*(CK$3:CK$34&gt;$LI$3:$LI$34))+ISBLANK(CK$3:CK$34))</f>
        <v>0</v>
      </c>
      <c r="CL42" s="1">
        <f>SUMPRODUCT((NOT(ISBLANK(CL$3:CL$34))*(CL$3:CL$34&gt;$LJ$3:$LJ$34))+ISBLANK(CL$3:CL$34))</f>
        <v>0</v>
      </c>
      <c r="CM42" s="1">
        <f>SUMPRODUCT((NOT(ISBLANK(CM$3:CM$34))*(CM$3:CM$34&gt;$LK$3:$LK$34))+ISBLANK(CM$3:CM$34))</f>
        <v>0</v>
      </c>
      <c r="CN42" s="1">
        <f>SUMPRODUCT((NOT(ISBLANK(CN$3:CN$34))*(CN$3:CN$34&gt;$KU$3:$KU$34))+ISBLANK(CN$3:CN$34))</f>
        <v>0</v>
      </c>
      <c r="CO42" s="1">
        <f>SUMPRODUCT((NOT(ISBLANK(CO$3:CO$34))*(CO$3:CO$34&gt;$KV$3:$KV$34))+ISBLANK(CO$3:CO$34))</f>
        <v>0</v>
      </c>
      <c r="CP42" s="1">
        <f>SUMPRODUCT((NOT(ISBLANK(CP$3:CP$34))*(CP$3:CP$34&gt;$KW$3:$KW$34))+ISBLANK(CP$3:CP$34))</f>
        <v>0</v>
      </c>
      <c r="CQ42" s="1">
        <f>SUMPRODUCT((NOT(ISBLANK(CQ$3:CQ$34))*(CQ$3:CQ$34&gt;$KX$3:$KX$34))+ISBLANK(CQ$3:CQ$34))</f>
        <v>0</v>
      </c>
      <c r="CR42" s="1">
        <f>SUMPRODUCT((NOT(ISBLANK(CR$3:CR$34))*(CR$3:CR$34&gt;$KY$3:$KY$34))+ISBLANK(CR$3:CR$34))</f>
        <v>0</v>
      </c>
      <c r="CS42" s="1">
        <f>SUMPRODUCT((NOT(ISBLANK(CS$3:CS$34))*(CS$3:CS$34&gt;$KZ$3:$KZ$34))+ISBLANK(CS$3:CS$34))</f>
        <v>0</v>
      </c>
      <c r="CT42" s="1">
        <f>SUMPRODUCT((NOT(ISBLANK(CT$3:CT$34))*(CT$3:CT$34&gt;$LA$3:$LA$34))+ISBLANK(CT$3:CT$34))</f>
        <v>0</v>
      </c>
      <c r="CU42" s="1">
        <f>SUMPRODUCT((NOT(ISBLANK(CU$3:CU$34))*(CU$3:CU$34&gt;$LB$3:$LB$34))+ISBLANK(CU$3:CU$34))</f>
        <v>0</v>
      </c>
      <c r="CV42" s="1">
        <f>SUMPRODUCT((NOT(ISBLANK(CV$3:CV$34))*(CV$3:CV$34&gt;$LC$3:$LC$34))+ISBLANK(CV$3:CV$34))</f>
        <v>0</v>
      </c>
      <c r="CW42" s="1">
        <f>SUMPRODUCT((NOT(ISBLANK(CW$3:CW$34))*(CW$3:CW$34&gt;$LD$3:$LD$34))+ISBLANK(CW$3:CW$34))</f>
        <v>0</v>
      </c>
      <c r="CX42" s="1">
        <f>SUMPRODUCT((NOT(ISBLANK(CX$3:CX$34))*(CX$3:CX$34&gt;$LE$3:$LE$34))+ISBLANK(CX$3:CX$34))</f>
        <v>0</v>
      </c>
      <c r="CY42" s="1">
        <f>SUMPRODUCT((NOT(ISBLANK(CY$3:CY$34))*(CY$3:CY$34&gt;$LF$3:$LF$34))+ISBLANK(CY$3:CY$34))</f>
        <v>0</v>
      </c>
      <c r="CZ42" s="1">
        <f>SUMPRODUCT((NOT(ISBLANK(CZ$3:CZ$34))*(CZ$3:CZ$34&gt;$LG$3:$LG$34))+ISBLANK(CZ$3:CZ$34))</f>
        <v>0</v>
      </c>
      <c r="DA42" s="1">
        <f>SUMPRODUCT((NOT(ISBLANK(DA$3:DA$34))*(DA$3:DA$34&gt;$LH$3:$LH$34))+ISBLANK(DA$3:DA$34))</f>
        <v>0</v>
      </c>
      <c r="DB42" s="1"/>
      <c r="DC42" s="1">
        <f>SUMPRODUCT((NOT(ISBLANK(DC$3:DC$34))*(DC$3:DC$34&gt;$LI$3:$LI$34))+ISBLANK(DC$3:DC$34))</f>
        <v>0</v>
      </c>
      <c r="DD42" s="1">
        <f>SUMPRODUCT((NOT(ISBLANK(DD$3:DD$34))*(DD$3:DD$34&gt;$LJ$3:$LJ$34))+ISBLANK(DD$3:DD$34))</f>
        <v>0</v>
      </c>
      <c r="DE42" s="1">
        <f>SUMPRODUCT((NOT(ISBLANK(DE$3:DE$34))*(DE$3:DE$34&gt;$LK$3:$LK$34))+ISBLANK(DE$3:DE$34))</f>
        <v>0</v>
      </c>
      <c r="DF42" s="1">
        <f>SUMPRODUCT((NOT(ISBLANK(DF$3:DF$34))*(DF$3:DF$34&gt;$KU$3:$KU$34))+ISBLANK(DF$3:DF$34))</f>
        <v>0</v>
      </c>
      <c r="DG42" s="1">
        <f>SUMPRODUCT((NOT(ISBLANK(DG$3:DG$34))*(DG$3:DG$34&gt;$KV$3:$KV$34))+ISBLANK(DG$3:DG$34))</f>
        <v>0</v>
      </c>
      <c r="DH42" s="1">
        <f>SUMPRODUCT((NOT(ISBLANK(DH$3:DH$34))*(DH$3:DH$34&gt;$KW$3:$KW$34))+ISBLANK(DH$3:DH$34))</f>
        <v>0</v>
      </c>
      <c r="DI42" s="1">
        <f>SUMPRODUCT((NOT(ISBLANK(DI$3:DI$34))*(DI$3:DI$34&gt;$KX$3:$KX$34))+ISBLANK(DI$3:DI$34))</f>
        <v>0</v>
      </c>
      <c r="DJ42" s="1">
        <f>SUMPRODUCT((NOT(ISBLANK(DJ$3:DJ$34))*(DJ$3:DJ$34&gt;$KY$3:$KY$34))+ISBLANK(DJ$3:DJ$34))</f>
        <v>0</v>
      </c>
      <c r="DK42" s="1">
        <f>SUMPRODUCT((NOT(ISBLANK(DK$3:DK$34))*(DK$3:DK$34&gt;$KZ$3:$KZ$34))+ISBLANK(DK$3:DK$34))</f>
        <v>0</v>
      </c>
      <c r="DL42" s="1">
        <f>SUMPRODUCT((NOT(ISBLANK(DL$3:DL$34))*(DL$3:DL$34&gt;$LA$3:$LA$34))+ISBLANK(DL$3:DL$34))</f>
        <v>0</v>
      </c>
      <c r="DM42" s="1">
        <f>SUMPRODUCT((NOT(ISBLANK(DM$3:DM$34))*(DM$3:DM$34&gt;$LB$3:$LB$34))+ISBLANK(DM$3:DM$34))</f>
        <v>0</v>
      </c>
      <c r="DN42" s="1">
        <f>SUMPRODUCT((NOT(ISBLANK(DN$3:DN$34))*(DN$3:DN$34&gt;$LC$3:$LC$34))+ISBLANK(DN$3:DN$34))</f>
        <v>0</v>
      </c>
      <c r="DO42" s="1">
        <f>SUMPRODUCT((NOT(ISBLANK(DO$3:DO$34))*(DO$3:DO$34&gt;$LD$3:$LD$34))+ISBLANK(DO$3:DO$34))</f>
        <v>0</v>
      </c>
      <c r="DP42" s="1">
        <f>SUMPRODUCT((NOT(ISBLANK(DP$3:DP$34))*(DP$3:DP$34&gt;$LE$3:$LE$34))+ISBLANK(DP$3:DP$34))</f>
        <v>0</v>
      </c>
      <c r="DQ42" s="1">
        <f>SUMPRODUCT((NOT(ISBLANK(DQ$3:DQ$34))*(DQ$3:DQ$34&gt;$LF$3:$LF$34))+ISBLANK(DQ$3:DQ$34))</f>
        <v>0</v>
      </c>
      <c r="DR42" s="1">
        <f>SUMPRODUCT((NOT(ISBLANK(DR$3:DR$34))*(DR$3:DR$34&gt;$LG$3:$LG$34))+ISBLANK(DR$3:DR$34))</f>
        <v>0</v>
      </c>
      <c r="DS42" s="1">
        <f>SUMPRODUCT((NOT(ISBLANK(DS$3:DS$34))*(DS$3:DS$34&gt;$LH$3:$LH$34))+ISBLANK(DS$3:DS$34))</f>
        <v>0</v>
      </c>
      <c r="DT42" s="1"/>
      <c r="DU42" s="1">
        <f>SUMPRODUCT((NOT(ISBLANK(DU$3:DU$34))*(DU$3:DU$34&gt;$LI$3:$LI$34))+ISBLANK(DU$3:DU$34))</f>
        <v>0</v>
      </c>
      <c r="DV42" s="1">
        <f>SUMPRODUCT((NOT(ISBLANK(DV$3:DV$34))*(DV$3:DV$34&gt;$LJ$3:$LJ$34))+ISBLANK(DV$3:DV$34))</f>
        <v>0</v>
      </c>
      <c r="DW42" s="1">
        <f>SUMPRODUCT((NOT(ISBLANK(DW$3:DW$34))*(DW$3:DW$34&gt;$LK$3:$LK$34))+ISBLANK(DW$3:DW$34))</f>
        <v>0</v>
      </c>
      <c r="DX42" s="1">
        <f>SUMPRODUCT((NOT(ISBLANK(DX$3:DX$34))*(DX$3:DX$34&gt;$KU$3:$KU$34))+ISBLANK(DX$3:DX$34))</f>
        <v>0</v>
      </c>
      <c r="DY42" s="1">
        <f>SUMPRODUCT((NOT(ISBLANK(DY$3:DY$34))*(DY$3:DY$34&gt;$KV$3:$KV$34))+ISBLANK(DY$3:DY$34))</f>
        <v>0</v>
      </c>
      <c r="DZ42" s="1">
        <f>SUMPRODUCT((NOT(ISBLANK(DZ$3:DZ$34))*(DZ$3:DZ$34&gt;$KW$3:$KW$34))+ISBLANK(DZ$3:DZ$34))</f>
        <v>0</v>
      </c>
      <c r="EA42" s="1">
        <f>SUMPRODUCT((NOT(ISBLANK(EA$3:EA$34))*(EA$3:EA$34&gt;$KX$3:$KX$34))+ISBLANK(EA$3:EA$34))</f>
        <v>0</v>
      </c>
      <c r="EB42" s="1">
        <f>SUMPRODUCT((NOT(ISBLANK(EB$3:EB$34))*(EB$3:EB$34&gt;$KY$3:$KY$34))+ISBLANK(EB$3:EB$34))</f>
        <v>0</v>
      </c>
      <c r="EC42" s="1">
        <f>SUMPRODUCT((NOT(ISBLANK(EC$3:EC$34))*(EC$3:EC$34&gt;$KZ$3:$KZ$34))+ISBLANK(EC$3:EC$34))</f>
        <v>0</v>
      </c>
      <c r="ED42" s="1">
        <f>SUMPRODUCT((NOT(ISBLANK(ED$3:ED$34))*(ED$3:ED$34&gt;$LA$3:$LA$34))+ISBLANK(ED$3:ED$34))</f>
        <v>0</v>
      </c>
      <c r="EE42" s="1">
        <f>SUMPRODUCT((NOT(ISBLANK(EE$3:EE$34))*(EE$3:EE$34&gt;$LB$3:$LB$34))+ISBLANK(EE$3:EE$34))</f>
        <v>0</v>
      </c>
      <c r="EF42" s="1">
        <f>SUMPRODUCT((NOT(ISBLANK(EF$3:EF$34))*(EF$3:EF$34&gt;$LC$3:$LC$34))+ISBLANK(EF$3:EF$34))</f>
        <v>0</v>
      </c>
      <c r="EG42" s="1">
        <f>SUMPRODUCT((NOT(ISBLANK(EG$3:EG$34))*(EG$3:EG$34&gt;$LD$3:$LD$34))+ISBLANK(EG$3:EG$34))</f>
        <v>0</v>
      </c>
      <c r="EH42" s="1">
        <f>SUMPRODUCT((NOT(ISBLANK(EH$3:EH$34))*(EH$3:EH$34&gt;$LE$3:$LE$34))+ISBLANK(EH$3:EH$34))</f>
        <v>0</v>
      </c>
      <c r="EI42" s="1">
        <f>SUMPRODUCT((NOT(ISBLANK(EI$3:EI$34))*(EI$3:EI$34&gt;$LF$3:$LF$34))+ISBLANK(EI$3:EI$34))</f>
        <v>0</v>
      </c>
      <c r="EJ42" s="1">
        <f>SUMPRODUCT((NOT(ISBLANK(EJ$3:EJ$34))*(EJ$3:EJ$34&gt;$LG$3:$LG$34))+ISBLANK(EJ$3:EJ$34))</f>
        <v>0</v>
      </c>
      <c r="EK42" s="1">
        <f>SUMPRODUCT((NOT(ISBLANK(EK$3:EK$34))*(EK$3:EK$34&gt;$LH$3:$LH$34))+ISBLANK(EK$3:EK$34))</f>
        <v>0</v>
      </c>
      <c r="EL42" s="1"/>
      <c r="EM42" s="1">
        <f>SUMPRODUCT((NOT(ISBLANK(EM$3:EM$34))*(EM$3:EM$34&gt;$LI$3:$LI$34))+ISBLANK(EM$3:EM$34))</f>
        <v>0</v>
      </c>
      <c r="EN42" s="1">
        <f>SUMPRODUCT((NOT(ISBLANK(EN$3:EN$34))*(EN$3:EN$34&gt;$LJ$3:$LJ$34))+ISBLANK(EN$3:EN$34))</f>
        <v>0</v>
      </c>
      <c r="EO42" s="1">
        <f>SUMPRODUCT((NOT(ISBLANK(EO$3:EO$34))*(EO$3:EO$34&gt;$LK$3:$LK$34))+ISBLANK(EO$3:EO$34))</f>
        <v>0</v>
      </c>
      <c r="EP42" s="1">
        <f>SUMPRODUCT((NOT(ISBLANK(EP$3:EP$34))*(EP$3:EP$34&gt;$KU$3:$KU$34))+ISBLANK(EP$3:EP$34))</f>
        <v>0</v>
      </c>
      <c r="EQ42" s="1">
        <f>SUMPRODUCT((NOT(ISBLANK(EQ$3:EQ$34))*(EQ$3:EQ$34&gt;$KV$3:$KV$34))+ISBLANK(EQ$3:EQ$34))</f>
        <v>0</v>
      </c>
      <c r="ER42" s="1">
        <f>SUMPRODUCT((NOT(ISBLANK(ER$3:ER$34))*(ER$3:ER$34&gt;$KW$3:$KW$34))+ISBLANK(ER$3:ER$34))</f>
        <v>0</v>
      </c>
      <c r="ES42" s="1">
        <f>SUMPRODUCT((NOT(ISBLANK(ES$3:ES$34))*(ES$3:ES$34&gt;$KX$3:$KX$34))+ISBLANK(ES$3:ES$34))</f>
        <v>0</v>
      </c>
      <c r="ET42" s="1">
        <f>SUMPRODUCT((NOT(ISBLANK(ET$3:ET$34))*(ET$3:ET$34&gt;$KY$3:$KY$34))+ISBLANK(ET$3:ET$34))</f>
        <v>0</v>
      </c>
      <c r="EU42" s="1">
        <f>SUMPRODUCT((NOT(ISBLANK(EU$3:EU$34))*(EU$3:EU$34&gt;$KZ$3:$KZ$34))+ISBLANK(EU$3:EU$34))</f>
        <v>0</v>
      </c>
      <c r="EV42" s="1">
        <f>SUMPRODUCT((NOT(ISBLANK(EV$3:EV$34))*(EV$3:EV$34&gt;$LA$3:$LA$34))+ISBLANK(EV$3:EV$34))</f>
        <v>0</v>
      </c>
      <c r="EW42" s="1">
        <f>SUMPRODUCT((NOT(ISBLANK(EW$3:EW$34))*(EW$3:EW$34&gt;$LB$3:$LB$34))+ISBLANK(EW$3:EW$34))</f>
        <v>0</v>
      </c>
      <c r="EX42" s="1">
        <f>SUMPRODUCT((NOT(ISBLANK(EX$3:EX$34))*(EX$3:EX$34&gt;$LC$3:$LC$34))+ISBLANK(EX$3:EX$34))</f>
        <v>0</v>
      </c>
      <c r="EY42" s="1">
        <f>SUMPRODUCT((NOT(ISBLANK(EY$3:EY$34))*(EY$3:EY$34&gt;$LD$3:$LD$34))+ISBLANK(EY$3:EY$34))</f>
        <v>0</v>
      </c>
      <c r="EZ42" s="1">
        <f>SUMPRODUCT((NOT(ISBLANK(EZ$3:EZ$34))*(EZ$3:EZ$34&gt;$LE$3:$LE$34))+ISBLANK(EZ$3:EZ$34))</f>
        <v>0</v>
      </c>
      <c r="FA42" s="1">
        <f>SUMPRODUCT((NOT(ISBLANK(FA$3:FA$34))*(FA$3:FA$34&gt;$LF$3:$LF$34))+ISBLANK(FA$3:FA$34))</f>
        <v>0</v>
      </c>
      <c r="FB42" s="1">
        <f>SUMPRODUCT((NOT(ISBLANK(FB$3:FB$34))*(FB$3:FB$34&gt;$LG$3:$LG$34))+ISBLANK(FB$3:FB$34))</f>
        <v>0</v>
      </c>
      <c r="FC42" s="1">
        <f>SUMPRODUCT((NOT(ISBLANK(FC$3:FC$34))*(FC$3:FC$34&gt;$LH$3:$LH$34))+ISBLANK(FC$3:FC$34))</f>
        <v>0</v>
      </c>
      <c r="FD42" s="1"/>
      <c r="FE42" s="1">
        <f>SUMPRODUCT((NOT(ISBLANK(FE$3:FE$34))*(FE$3:FE$34&gt;$LI$3:$LI$34))+ISBLANK(FE$3:FE$34))</f>
        <v>0</v>
      </c>
      <c r="FF42" s="1">
        <f>SUMPRODUCT((NOT(ISBLANK(FF$3:FF$34))*(FF$3:FF$34&gt;$LJ$3:$LJ$34))+ISBLANK(FF$3:FF$34))</f>
        <v>0</v>
      </c>
      <c r="FG42" s="1">
        <f>SUMPRODUCT((NOT(ISBLANK(FG$3:FG$34))*(FG$3:FG$34&gt;$LK$3:$LK$34))+ISBLANK(FG$3:FG$34))</f>
        <v>0</v>
      </c>
      <c r="FH42" s="1">
        <f>SUMPRODUCT((NOT(ISBLANK(FH$3:FH$34))*(FH$3:FH$34&gt;$KU$3:$KU$34))+ISBLANK(FH$3:FH$34))</f>
        <v>0</v>
      </c>
      <c r="FI42" s="1">
        <f>SUMPRODUCT((NOT(ISBLANK(FI$3:FI$34))*(FI$3:FI$34&gt;$KV$3:$KV$34))+ISBLANK(FI$3:FI$34))</f>
        <v>0</v>
      </c>
      <c r="FJ42" s="1">
        <f>SUMPRODUCT((NOT(ISBLANK(FJ$3:FJ$34))*(FJ$3:FJ$34&gt;$KW$3:$KW$34))+ISBLANK(FJ$3:FJ$34))</f>
        <v>0</v>
      </c>
      <c r="FK42" s="1">
        <f>SUMPRODUCT((NOT(ISBLANK(FK$3:FK$34))*(FK$3:FK$34&gt;$KX$3:$KX$34))+ISBLANK(FK$3:FK$34))</f>
        <v>0</v>
      </c>
      <c r="FL42" s="1">
        <f>SUMPRODUCT((NOT(ISBLANK(FL$3:FL$34))*(FL$3:FL$34&gt;$KY$3:$KY$34))+ISBLANK(FL$3:FL$34))</f>
        <v>0</v>
      </c>
      <c r="FM42" s="1">
        <f>SUMPRODUCT((NOT(ISBLANK(FM$3:FM$34))*(FM$3:FM$34&gt;$KZ$3:$KZ$34))+ISBLANK(FM$3:FM$34))</f>
        <v>0</v>
      </c>
      <c r="FN42" s="1">
        <f>SUMPRODUCT((NOT(ISBLANK(FN$3:FN$34))*(FN$3:FN$34&gt;$LA$3:$LA$34))+ISBLANK(FN$3:FN$34))</f>
        <v>0</v>
      </c>
      <c r="FO42" s="1">
        <f>SUMPRODUCT((NOT(ISBLANK(FO$3:FO$34))*(FO$3:FO$34&gt;$LB$3:$LB$34))+ISBLANK(FO$3:FO$34))</f>
        <v>0</v>
      </c>
      <c r="FP42" s="1">
        <f>SUMPRODUCT((NOT(ISBLANK(FP$3:FP$34))*(FP$3:FP$34&gt;$LC$3:$LC$34))+ISBLANK(FP$3:FP$34))</f>
        <v>0</v>
      </c>
      <c r="FQ42" s="1">
        <f>SUMPRODUCT((NOT(ISBLANK(FQ$3:FQ$34))*(FQ$3:FQ$34&gt;$LD$3:$LD$34))+ISBLANK(FQ$3:FQ$34))</f>
        <v>0</v>
      </c>
      <c r="FR42" s="1">
        <f>SUMPRODUCT((NOT(ISBLANK(FR$3:FR$34))*(FR$3:FR$34&gt;$LE$3:$LE$34))+ISBLANK(FR$3:FR$34))</f>
        <v>0</v>
      </c>
      <c r="FS42" s="1">
        <f>SUMPRODUCT((NOT(ISBLANK(FS$3:FS$34))*(FS$3:FS$34&gt;$LF$3:$LF$34))+ISBLANK(FS$3:FS$34))</f>
        <v>0</v>
      </c>
      <c r="FT42" s="1">
        <f>SUMPRODUCT((NOT(ISBLANK(FT$3:FT$34))*(FT$3:FT$34&gt;$LG$3:$LG$34))+ISBLANK(FT$3:FT$34))</f>
        <v>0</v>
      </c>
      <c r="FU42" s="1">
        <f>SUMPRODUCT((NOT(ISBLANK(FU$3:FU$34))*(FU$3:FU$34&gt;$LH$3:$LH$34))+ISBLANK(FU$3:FU$34))</f>
        <v>0</v>
      </c>
      <c r="FV42" s="1"/>
      <c r="FW42" s="1">
        <f>SUMPRODUCT((NOT(ISBLANK(FW$3:FW$34))*(FW$3:FW$34&gt;$LI$3:$LI$34))+ISBLANK(FW$3:FW$34))</f>
        <v>0</v>
      </c>
      <c r="FX42" s="1">
        <f>SUMPRODUCT((NOT(ISBLANK(FX$3:FX$34))*(FX$3:FX$34&gt;$LJ$3:$LJ$34))+ISBLANK(FX$3:FX$34))</f>
        <v>0</v>
      </c>
      <c r="FY42" s="1">
        <f>SUMPRODUCT((NOT(ISBLANK(FY$3:FY$34))*(FY$3:FY$34&gt;$LK$3:$LK$34))+ISBLANK(FY$3:FY$34))</f>
        <v>0</v>
      </c>
      <c r="FZ42" s="1">
        <f>SUMPRODUCT((NOT(ISBLANK(FZ$3:FZ$34))*(FZ$3:FZ$34&gt;$KU$3:$KU$34))+ISBLANK(FZ$3:FZ$34))</f>
        <v>0</v>
      </c>
      <c r="GA42" s="1">
        <f>SUMPRODUCT((NOT(ISBLANK(GA$3:GA$34))*(GA$3:GA$34&gt;$KV$3:$KV$34))+ISBLANK(GA$3:GA$34))</f>
        <v>0</v>
      </c>
      <c r="GB42" s="1">
        <f>SUMPRODUCT((NOT(ISBLANK(GB$3:GB$34))*(GB$3:GB$34&gt;$KW$3:$KW$34))+ISBLANK(GB$3:GB$34))</f>
        <v>0</v>
      </c>
      <c r="GC42" s="1">
        <f>SUMPRODUCT((NOT(ISBLANK(GC$3:GC$34))*(GC$3:GC$34&gt;$KX$3:$KX$34))+ISBLANK(GC$3:GC$34))</f>
        <v>0</v>
      </c>
      <c r="GD42" s="1">
        <f>SUMPRODUCT((NOT(ISBLANK(GD$3:GD$34))*(GD$3:GD$34&gt;$KY$3:$KY$34))+ISBLANK(GD$3:GD$34))</f>
        <v>0</v>
      </c>
      <c r="GE42" s="1">
        <f>SUMPRODUCT((NOT(ISBLANK(GE$3:GE$34))*(GE$3:GE$34&gt;$KZ$3:$KZ$34))+ISBLANK(GE$3:GE$34))</f>
        <v>0</v>
      </c>
      <c r="GF42" s="1">
        <f>SUMPRODUCT((NOT(ISBLANK(GF$3:GF$34))*(GF$3:GF$34&gt;$LA$3:$LA$34))+ISBLANK(GF$3:GF$34))</f>
        <v>0</v>
      </c>
      <c r="GG42" s="1">
        <f>SUMPRODUCT((NOT(ISBLANK(GG$3:GG$34))*(GG$3:GG$34&gt;$LB$3:$LB$34))+ISBLANK(GG$3:GG$34))</f>
        <v>0</v>
      </c>
      <c r="GH42" s="1">
        <f>SUMPRODUCT((NOT(ISBLANK(GH$3:GH$34))*(GH$3:GH$34&gt;$LC$3:$LC$34))+ISBLANK(GH$3:GH$34))</f>
        <v>0</v>
      </c>
      <c r="GI42" s="1">
        <f>SUMPRODUCT((NOT(ISBLANK(GI$3:GI$34))*(GI$3:GI$34&gt;$LD$3:$LD$34))+ISBLANK(GI$3:GI$34))</f>
        <v>0</v>
      </c>
      <c r="GJ42" s="1">
        <f>SUMPRODUCT((NOT(ISBLANK(GJ$3:GJ$34))*(GJ$3:GJ$34&gt;$LE$3:$LE$34))+ISBLANK(GJ$3:GJ$34))</f>
        <v>0</v>
      </c>
      <c r="GK42" s="1">
        <f>SUMPRODUCT((NOT(ISBLANK(GK$3:GK$34))*(GK$3:GK$34&gt;$LF$3:$LF$34))+ISBLANK(GK$3:GK$34))</f>
        <v>0</v>
      </c>
      <c r="GL42" s="1">
        <f>SUMPRODUCT((NOT(ISBLANK(GL$3:GL$34))*(GL$3:GL$34&gt;$LG$3:$LG$34))+ISBLANK(GL$3:GL$34))</f>
        <v>0</v>
      </c>
      <c r="GM42" s="1">
        <f>SUMPRODUCT((NOT(ISBLANK(GM$3:GM$34))*(GM$3:GM$34&gt;$LH$3:$LH$34))+ISBLANK(GM$3:GM$34))</f>
        <v>0</v>
      </c>
      <c r="GN42" s="1"/>
      <c r="GO42" s="1">
        <f>SUMPRODUCT((NOT(ISBLANK(GO$3:GO$34))*(GO$3:GO$34&gt;$LI$3:$LI$34))+ISBLANK(GO$3:GO$34))</f>
        <v>0</v>
      </c>
      <c r="GP42" s="1">
        <f>SUMPRODUCT((NOT(ISBLANK(GP$3:GP$34))*(GP$3:GP$34&gt;$LJ$3:$LJ$34))+ISBLANK(GP$3:GP$34))</f>
        <v>0</v>
      </c>
      <c r="GQ42" s="1">
        <f>SUMPRODUCT((NOT(ISBLANK(GQ$3:GQ$34))*(GQ$3:GQ$34&gt;$LK$3:$LK$34))+ISBLANK(GQ$3:GQ$34))</f>
        <v>0</v>
      </c>
      <c r="GR42" s="1">
        <f>SUMPRODUCT((NOT(ISBLANK(GR$3:GR$34))*(GR$3:GR$34&gt;$KU$3:$KU$34))+ISBLANK(GR$3:GR$34))</f>
        <v>0</v>
      </c>
      <c r="GS42" s="1">
        <f>SUMPRODUCT((NOT(ISBLANK(GS$3:GS$34))*(GS$3:GS$34&gt;$KV$3:$KV$34))+ISBLANK(GS$3:GS$34))</f>
        <v>0</v>
      </c>
      <c r="GT42" s="1">
        <f>SUMPRODUCT((NOT(ISBLANK(GT$3:GT$34))*(GT$3:GT$34&gt;$KW$3:$KW$34))+ISBLANK(GT$3:GT$34))</f>
        <v>0</v>
      </c>
      <c r="GU42" s="1">
        <f>SUMPRODUCT((NOT(ISBLANK(GU$3:GU$34))*(GU$3:GU$34&gt;$KX$3:$KX$34))+ISBLANK(GU$3:GU$34))</f>
        <v>0</v>
      </c>
      <c r="GV42" s="1">
        <f>SUMPRODUCT((NOT(ISBLANK(GV$3:GV$34))*(GV$3:GV$34&gt;$KY$3:$KY$34))+ISBLANK(GV$3:GV$34))</f>
        <v>0</v>
      </c>
      <c r="GW42" s="1">
        <f>SUMPRODUCT((NOT(ISBLANK(GW$3:GW$34))*(GW$3:GW$34&gt;$KZ$3:$KZ$34))+ISBLANK(GW$3:GW$34))</f>
        <v>0</v>
      </c>
      <c r="GX42" s="1">
        <f>SUMPRODUCT((NOT(ISBLANK(GX$3:GX$34))*(GX$3:GX$34&gt;$LA$3:$LA$34))+ISBLANK(GX$3:GX$34))</f>
        <v>0</v>
      </c>
      <c r="GY42" s="1">
        <f>SUMPRODUCT((NOT(ISBLANK(GY$3:GY$34))*(GY$3:GY$34&gt;$LB$3:$LB$34))+ISBLANK(GY$3:GY$34))</f>
        <v>0</v>
      </c>
      <c r="GZ42" s="1">
        <f>SUMPRODUCT((NOT(ISBLANK(GZ$3:GZ$34))*(GZ$3:GZ$34&gt;$LC$3:$LC$34))+ISBLANK(GZ$3:GZ$34))</f>
        <v>0</v>
      </c>
      <c r="HA42" s="1">
        <f>SUMPRODUCT((NOT(ISBLANK(HA$3:HA$34))*(HA$3:HA$34&gt;$LD$3:$LD$34))+ISBLANK(HA$3:HA$34))</f>
        <v>0</v>
      </c>
      <c r="HB42" s="1">
        <f>SUMPRODUCT((NOT(ISBLANK(HB$3:HB$34))*(HB$3:HB$34&gt;$LE$3:$LE$34))+ISBLANK(HB$3:HB$34))</f>
        <v>0</v>
      </c>
      <c r="HC42" s="1">
        <f>SUMPRODUCT((NOT(ISBLANK(HC$3:HC$34))*(HC$3:HC$34&gt;$LF$3:$LF$34))+ISBLANK(HC$3:HC$34))</f>
        <v>0</v>
      </c>
      <c r="HD42" s="1">
        <f>SUMPRODUCT((NOT(ISBLANK(HD$3:HD$34))*(HD$3:HD$34&gt;$LG$3:$LG$34))+ISBLANK(HD$3:HD$34))</f>
        <v>0</v>
      </c>
      <c r="HE42" s="1">
        <f>SUMPRODUCT((NOT(ISBLANK(HE$3:HE$34))*(HE$3:HE$34&gt;$LH$3:$LH$34))+ISBLANK(HE$3:HE$34))</f>
        <v>0</v>
      </c>
      <c r="HF42" s="1"/>
      <c r="HG42" s="1">
        <f>SUMPRODUCT((NOT(ISBLANK(HG$3:HG$34))*(HG$3:HG$34&gt;$LI$3:$LI$34))+ISBLANK(HG$3:HG$34))</f>
        <v>0</v>
      </c>
      <c r="HH42" s="1">
        <f>SUMPRODUCT((NOT(ISBLANK(HH$3:HH$34))*(HH$3:HH$34&gt;$LJ$3:$LJ$34))+ISBLANK(HH$3:HH$34))</f>
        <v>0</v>
      </c>
      <c r="HI42" s="1">
        <f>SUMPRODUCT((NOT(ISBLANK(HI$3:HI$34))*(HI$3:HI$34&gt;$LK$3:$LK$34))+ISBLANK(HI$3:HI$34))</f>
        <v>0</v>
      </c>
      <c r="HJ42" s="1">
        <f>SUMPRODUCT((NOT(ISBLANK(HJ$3:HJ$34))*(HJ$3:HJ$34&gt;$KU$3:$KU$34))+ISBLANK(HJ$3:HJ$34))</f>
        <v>0</v>
      </c>
      <c r="HK42" s="1">
        <f>SUMPRODUCT((NOT(ISBLANK(HK$3:HK$34))*(HK$3:HK$34&gt;$KV$3:$KV$34))+ISBLANK(HK$3:HK$34))</f>
        <v>0</v>
      </c>
      <c r="HL42" s="1">
        <f>SUMPRODUCT((NOT(ISBLANK(HL$3:HL$34))*(HL$3:HL$34&gt;$KW$3:$KW$34))+ISBLANK(HL$3:HL$34))</f>
        <v>0</v>
      </c>
      <c r="HM42" s="1">
        <f>SUMPRODUCT((NOT(ISBLANK(HM$3:HM$34))*(HM$3:HM$34&gt;$KX$3:$KX$34))+ISBLANK(HM$3:HM$34))</f>
        <v>0</v>
      </c>
      <c r="HN42" s="1">
        <f>SUMPRODUCT((NOT(ISBLANK(HN$3:HN$34))*(HN$3:HN$34&gt;$KY$3:$KY$34))+ISBLANK(HN$3:HN$34))</f>
        <v>0</v>
      </c>
      <c r="HO42" s="1">
        <f>SUMPRODUCT((NOT(ISBLANK(HO$3:HO$34))*(HO$3:HO$34&gt;$KZ$3:$KZ$34))+ISBLANK(HO$3:HO$34))</f>
        <v>0</v>
      </c>
      <c r="HP42" s="1">
        <f>SUMPRODUCT((NOT(ISBLANK(HP$3:HP$34))*(HP$3:HP$34&gt;$LA$3:$LA$34))+ISBLANK(HP$3:HP$34))</f>
        <v>0</v>
      </c>
      <c r="HQ42" s="1">
        <f>SUMPRODUCT((NOT(ISBLANK(HQ$3:HQ$34))*(HQ$3:HQ$34&gt;$LB$3:$LB$34))+ISBLANK(HQ$3:HQ$34))</f>
        <v>0</v>
      </c>
      <c r="HR42" s="1">
        <f>SUMPRODUCT((NOT(ISBLANK(HR$3:HR$34))*(HR$3:HR$34&gt;$LC$3:$LC$34))+ISBLANK(HR$3:HR$34))</f>
        <v>0</v>
      </c>
      <c r="HS42" s="1">
        <f>SUMPRODUCT((NOT(ISBLANK(HS$3:HS$34))*(HS$3:HS$34&gt;$LD$3:$LD$34))+ISBLANK(HS$3:HS$34))</f>
        <v>0</v>
      </c>
      <c r="HT42" s="1">
        <f>SUMPRODUCT((NOT(ISBLANK(HT$3:HT$34))*(HT$3:HT$34&gt;$LE$3:$LE$34))+ISBLANK(HT$3:HT$34))</f>
        <v>0</v>
      </c>
      <c r="HU42" s="1">
        <f>SUMPRODUCT((NOT(ISBLANK(HU$3:HU$34))*(HU$3:HU$34&gt;$LF$3:$LF$34))+ISBLANK(HU$3:HU$34))</f>
        <v>0</v>
      </c>
      <c r="HV42" s="1">
        <f>SUMPRODUCT((NOT(ISBLANK(HV$3:HV$34))*(HV$3:HV$34&gt;$LG$3:$LG$34))+ISBLANK(HV$3:HV$34))</f>
        <v>0</v>
      </c>
      <c r="HW42" s="1">
        <f>SUMPRODUCT((NOT(ISBLANK(HW$3:HW$34))*(HW$3:HW$34&gt;$LH$3:$LH$34))+ISBLANK(HW$3:HW$34))</f>
        <v>0</v>
      </c>
      <c r="HX42" s="1"/>
      <c r="HY42" s="1">
        <f>SUMPRODUCT((NOT(ISBLANK(HY$3:HY$34))*(HY$3:HY$34&gt;$LI$3:$LI$34))+ISBLANK(HY$3:HY$34))</f>
        <v>0</v>
      </c>
      <c r="HZ42" s="1">
        <f>SUMPRODUCT((NOT(ISBLANK(HZ$3:HZ$34))*(HZ$3:HZ$34&gt;$LJ$3:$LJ$34))+ISBLANK(HZ$3:HZ$34))</f>
        <v>0</v>
      </c>
      <c r="IA42" s="1">
        <f>SUMPRODUCT((NOT(ISBLANK(IA$3:IA$34))*(IA$3:IA$34&gt;$LK$3:$LK$34))+ISBLANK(IA$3:IA$34))</f>
        <v>0</v>
      </c>
      <c r="IB42" s="1">
        <f>SUMPRODUCT((NOT(ISBLANK(IB$3:IB$34))*(IB$3:IB$34&gt;$KU$3:$KU$34))+ISBLANK(IB$3:IB$34))</f>
        <v>0</v>
      </c>
      <c r="IC42" s="1">
        <f>SUMPRODUCT((NOT(ISBLANK(IC$3:IC$34))*(IC$3:IC$34&gt;$KV$3:$KV$34))+ISBLANK(IC$3:IC$34))</f>
        <v>0</v>
      </c>
      <c r="ID42" s="1">
        <f>SUMPRODUCT((NOT(ISBLANK(ID$3:ID$34))*(ID$3:ID$34&gt;$KW$3:$KW$34))+ISBLANK(ID$3:ID$34))</f>
        <v>0</v>
      </c>
      <c r="IE42" s="1">
        <f>SUMPRODUCT((NOT(ISBLANK(IE$3:IE$34))*(IE$3:IE$34&gt;$KX$3:$KX$34))+ISBLANK(IE$3:IE$34))</f>
        <v>0</v>
      </c>
      <c r="IF42" s="1">
        <f>SUMPRODUCT((NOT(ISBLANK(IF$3:IF$34))*(IF$3:IF$34&gt;$KY$3:$KY$34))+ISBLANK(IF$3:IF$34))</f>
        <v>0</v>
      </c>
      <c r="IG42" s="1">
        <f>SUMPRODUCT((NOT(ISBLANK(IG$3:IG$34))*(IG$3:IG$34&gt;$KZ$3:$KZ$34))+ISBLANK(IG$3:IG$34))</f>
        <v>0</v>
      </c>
      <c r="IH42" s="1">
        <f>SUMPRODUCT((NOT(ISBLANK(IH$3:IH$34))*(IH$3:IH$34&gt;$LA$3:$LA$34))+ISBLANK(IH$3:IH$34))</f>
        <v>0</v>
      </c>
      <c r="II42" s="1">
        <f>SUMPRODUCT((NOT(ISBLANK(II$3:II$34))*(II$3:II$34&gt;$LB$3:$LB$34))+ISBLANK(II$3:II$34))</f>
        <v>0</v>
      </c>
      <c r="IJ42" s="1">
        <f>SUMPRODUCT((NOT(ISBLANK(IJ$3:IJ$34))*(IJ$3:IJ$34&gt;$LC$3:$LC$34))+ISBLANK(IJ$3:IJ$34))</f>
        <v>0</v>
      </c>
      <c r="IK42" s="1">
        <f>SUMPRODUCT((NOT(ISBLANK(IK$3:IK$34))*(IK$3:IK$34&gt;$LD$3:$LD$34))+ISBLANK(IK$3:IK$34))</f>
        <v>0</v>
      </c>
      <c r="IL42" s="1">
        <f>SUMPRODUCT((NOT(ISBLANK(IL$3:IL$34))*(IL$3:IL$34&gt;$LE$3:$LE$34))+ISBLANK(IL$3:IL$34))</f>
        <v>0</v>
      </c>
      <c r="IM42" s="1">
        <f>SUMPRODUCT((NOT(ISBLANK(IM$3:IM$34))*(IM$3:IM$34&gt;$LF$3:$LF$34))+ISBLANK(IM$3:IM$34))</f>
        <v>0</v>
      </c>
      <c r="IN42" s="1">
        <f>SUMPRODUCT((NOT(ISBLANK(IN$3:IN$34))*(IN$3:IN$34&gt;$LG$3:$LG$34))+ISBLANK(IN$3:IN$34))</f>
        <v>0</v>
      </c>
      <c r="IO42" s="1">
        <f>SUMPRODUCT((NOT(ISBLANK(IO$3:IO$34))*(IO$3:IO$34&gt;$LH$3:$LH$34))+ISBLANK(IO$3:IO$34))</f>
        <v>0</v>
      </c>
      <c r="IP42" s="1"/>
      <c r="IQ42" s="1">
        <f>SUMPRODUCT((NOT(ISBLANK(IQ$3:IQ$34))*(IQ$3:IQ$34&gt;$LI$3:$LI$34))+ISBLANK(IQ$3:IQ$34))</f>
        <v>0</v>
      </c>
      <c r="IR42" s="1">
        <f>SUMPRODUCT((NOT(ISBLANK(IR$3:IR$34))*(IR$3:IR$34&gt;$LJ$3:$LJ$34))+ISBLANK(IR$3:IR$34))</f>
        <v>0</v>
      </c>
      <c r="IS42" s="1">
        <f>SUMPRODUCT((NOT(ISBLANK(IS$3:IS$34))*(IS$3:IS$34&gt;$LK$3:$LK$34))+ISBLANK(IS$3:IS$34))</f>
        <v>0</v>
      </c>
      <c r="IT42" s="1">
        <f>SUMPRODUCT((NOT(ISBLANK(IT$3:IT$34))*(IT$3:IT$34&gt;$KU$3:$KU$34))+ISBLANK(IT$3:IT$34))</f>
        <v>0</v>
      </c>
      <c r="IU42" s="1">
        <f>SUMPRODUCT((NOT(ISBLANK(IU$3:IU$34))*(IU$3:IU$34&gt;$KV$3:$KV$34))+ISBLANK(IU$3:IU$34))</f>
        <v>0</v>
      </c>
      <c r="IV42" s="1">
        <f>SUMPRODUCT((NOT(ISBLANK(IV$3:IV$34))*(IV$3:IV$34&gt;$KW$3:$KW$34))+ISBLANK(IV$3:IV$34))</f>
        <v>0</v>
      </c>
      <c r="IW42" s="1">
        <f>SUMPRODUCT((NOT(ISBLANK(IW$3:IW$34))*(IW$3:IW$34&gt;$KX$3:$KX$34))+ISBLANK(IW$3:IW$34))</f>
        <v>0</v>
      </c>
      <c r="IX42" s="1">
        <f>SUMPRODUCT((NOT(ISBLANK(IX$3:IX$34))*(IX$3:IX$34&gt;$KY$3:$KY$34))+ISBLANK(IX$3:IX$34))</f>
        <v>0</v>
      </c>
      <c r="IY42" s="1">
        <f>SUMPRODUCT((NOT(ISBLANK(IY$3:IY$34))*(IY$3:IY$34&gt;$KZ$3:$KZ$34))+ISBLANK(IY$3:IY$34))</f>
        <v>0</v>
      </c>
      <c r="IZ42" s="1">
        <f>SUMPRODUCT((NOT(ISBLANK(IZ$3:IZ$34))*(IZ$3:IZ$34&gt;$LA$3:$LA$34))+ISBLANK(IZ$3:IZ$34))</f>
        <v>0</v>
      </c>
      <c r="JA42" s="1">
        <f>SUMPRODUCT((NOT(ISBLANK(JA$3:JA$34))*(JA$3:JA$34&gt;$LB$3:$LB$34))+ISBLANK(JA$3:JA$34))</f>
        <v>0</v>
      </c>
      <c r="JB42" s="1">
        <f>SUMPRODUCT((NOT(ISBLANK(JB$3:JB$34))*(JB$3:JB$34&gt;$LC$3:$LC$34))+ISBLANK(JB$3:JB$34))</f>
        <v>0</v>
      </c>
      <c r="JC42" s="1">
        <f>SUMPRODUCT((NOT(ISBLANK(JC$3:JC$34))*(JC$3:JC$34&gt;$LD$3:$LD$34))+ISBLANK(JC$3:JC$34))</f>
        <v>0</v>
      </c>
      <c r="JD42" s="1">
        <f>SUMPRODUCT((NOT(ISBLANK(JD$3:JD$34))*(JD$3:JD$34&gt;$LE$3:$LE$34))+ISBLANK(JD$3:JD$34))</f>
        <v>0</v>
      </c>
      <c r="JE42" s="1">
        <f>SUMPRODUCT((NOT(ISBLANK(JE$3:JE$34))*(JE$3:JE$34&gt;$LF$3:$LF$34))+ISBLANK(JE$3:JE$34))</f>
        <v>0</v>
      </c>
      <c r="JF42" s="1">
        <f>SUMPRODUCT((NOT(ISBLANK(JF$3:JF$34))*(JF$3:JF$34&gt;$LG$3:$LG$34))+ISBLANK(JF$3:JF$34))</f>
        <v>0</v>
      </c>
      <c r="JG42" s="1">
        <f>SUMPRODUCT((NOT(ISBLANK(JG$3:JG$34))*(JG$3:JG$34&gt;$LH$3:$LH$34))+ISBLANK(JG$3:JG$34))</f>
        <v>0</v>
      </c>
      <c r="JH42" s="1"/>
      <c r="JI42" s="1">
        <f>SUMPRODUCT((NOT(ISBLANK(JI$3:JI$34))*(JI$3:JI$34&gt;$LI$3:$LI$34))+ISBLANK(JI$3:JI$34))</f>
        <v>0</v>
      </c>
      <c r="JJ42" s="1">
        <f>SUMPRODUCT((NOT(ISBLANK(JJ$3:JJ$34))*(JJ$3:JJ$34&gt;$LJ$3:$LJ$34))+ISBLANK(JJ$3:JJ$34))</f>
        <v>0</v>
      </c>
      <c r="JK42" s="1">
        <f>SUMPRODUCT((NOT(ISBLANK(JK$3:JK$34))*(JK$3:JK$34&gt;$LK$3:$LK$34))+ISBLANK(JK$3:JK$34))</f>
        <v>0</v>
      </c>
      <c r="JL42" s="1">
        <f>SUMPRODUCT((NOT(ISBLANK(JL$3:JL$34))*(JL$3:JL$34&gt;$KU$3:$KU$34))+ISBLANK(JL$3:JL$34))</f>
        <v>0</v>
      </c>
      <c r="JM42" s="1">
        <f>SUMPRODUCT((NOT(ISBLANK(JM$3:JM$34))*(JM$3:JM$34&gt;$KV$3:$KV$34))+ISBLANK(JM$3:JM$34))</f>
        <v>0</v>
      </c>
      <c r="JN42" s="1">
        <f>SUMPRODUCT((NOT(ISBLANK(JN$3:JN$34))*(JN$3:JN$34&gt;$KW$3:$KW$34))+ISBLANK(JN$3:JN$34))</f>
        <v>0</v>
      </c>
      <c r="JO42" s="1">
        <f>SUMPRODUCT((NOT(ISBLANK(JO$3:JO$34))*(JO$3:JO$34&gt;$KX$3:$KX$34))+ISBLANK(JO$3:JO$34))</f>
        <v>0</v>
      </c>
      <c r="JP42" s="1">
        <f>SUMPRODUCT((NOT(ISBLANK(JP$3:JP$34))*(JP$3:JP$34&gt;$KY$3:$KY$34))+ISBLANK(JP$3:JP$34))</f>
        <v>0</v>
      </c>
      <c r="JQ42" s="1">
        <f>SUMPRODUCT((NOT(ISBLANK(JQ$3:JQ$34))*(JQ$3:JQ$34&gt;$KZ$3:$KZ$34))+ISBLANK(JQ$3:JQ$34))</f>
        <v>0</v>
      </c>
      <c r="JR42" s="1">
        <f>SUMPRODUCT((NOT(ISBLANK(JR$3:JR$34))*(JR$3:JR$34&gt;$LA$3:$LA$34))+ISBLANK(JR$3:JR$34))</f>
        <v>0</v>
      </c>
      <c r="JS42" s="1">
        <f>SUMPRODUCT((NOT(ISBLANK(JS$3:JS$34))*(JS$3:JS$34&gt;$LB$3:$LB$34))+ISBLANK(JS$3:JS$34))</f>
        <v>0</v>
      </c>
      <c r="JT42" s="1">
        <f>SUMPRODUCT((NOT(ISBLANK(JT$3:JT$34))*(JT$3:JT$34&gt;$LC$3:$LC$34))+ISBLANK(JT$3:JT$34))</f>
        <v>0</v>
      </c>
      <c r="JU42" s="1">
        <f>SUMPRODUCT((NOT(ISBLANK(JU$3:JU$34))*(JU$3:JU$34&gt;$LD$3:$LD$34))+ISBLANK(JU$3:JU$34))</f>
        <v>0</v>
      </c>
      <c r="JV42" s="1">
        <f>SUMPRODUCT((NOT(ISBLANK(JV$3:JV$34))*(JV$3:JV$34&gt;$LE$3:$LE$34))+ISBLANK(JV$3:JV$34))</f>
        <v>0</v>
      </c>
      <c r="JW42" s="1">
        <f>SUMPRODUCT((NOT(ISBLANK(JW$3:JW$34))*(JW$3:JW$34&gt;$LF$3:$LF$34))+ISBLANK(JW$3:JW$34))</f>
        <v>0</v>
      </c>
      <c r="JX42" s="1">
        <f>SUMPRODUCT((NOT(ISBLANK(JX$3:JX$34))*(JX$3:JX$34&gt;$LG$3:$LG$34))+ISBLANK(JX$3:JX$34))</f>
        <v>0</v>
      </c>
      <c r="JY42" s="1">
        <f>SUMPRODUCT((NOT(ISBLANK(JY$3:JY$34))*(JY$3:JY$34&gt;$LH$3:$LH$34))+ISBLANK(JY$3:JY$34))</f>
        <v>0</v>
      </c>
      <c r="JZ42" s="1"/>
      <c r="KA42" s="1">
        <f>SUMPRODUCT((NOT(ISBLANK(KA$3:KA$34))*(KA$3:KA$34&gt;$LI$3:$LI$34))+ISBLANK(KA$3:KA$34))</f>
        <v>0</v>
      </c>
      <c r="KB42" s="1">
        <f>SUMPRODUCT((NOT(ISBLANK(KB$3:KB$34))*(KB$3:KB$34&gt;$LJ$3:$LJ$34))+ISBLANK(KB$3:KB$34))</f>
        <v>0</v>
      </c>
      <c r="KC42" s="1">
        <f>SUMPRODUCT((NOT(ISBLANK(KC$3:KC$34))*(KC$3:KC$34&gt;$LK$3:$LK$34))+ISBLANK(KC$3:KC$34))</f>
        <v>0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</row>
    <row r="43" spans="1:340">
      <c r="A43" s="1" t="s">
        <v>39</v>
      </c>
      <c r="B43" s="1">
        <f>SUMPRODUCT((NOT(ISBLANK(B$3:B$34))*(B$3:B$34=$LL$3:$LL$34))+ISBLANK(B$3:B$34))</f>
        <v>0</v>
      </c>
      <c r="C43" s="1">
        <f>SUMPRODUCT((NOT(ISBLANK(C$3:C$34))*(C$3:C$34=$LM$3:$LM$34))+ISBLANK(C$3:C$34))</f>
        <v>0</v>
      </c>
      <c r="D43" s="1">
        <f>SUMPRODUCT((NOT(ISBLANK(D$3:D$34))*(D$3:D$34=$LN$3:$LN$34))+ISBLANK(D$3:D$34))</f>
        <v>0</v>
      </c>
      <c r="E43" s="1">
        <f>SUMPRODUCT((NOT(ISBLANK(E$3:E$34))*(E$3:E$34=$LO$3:$LO$34))+ISBLANK(E$3:E$34))</f>
        <v>0</v>
      </c>
      <c r="F43" s="1">
        <f>SUMPRODUCT((NOT(ISBLANK(F$3:F$34))*(F$3:F$34=$LP$3:$LP$34))+ISBLANK(F$3:F$34))</f>
        <v>0</v>
      </c>
      <c r="G43" s="1">
        <f>SUMPRODUCT((NOT(ISBLANK(G$3:G$34))*(G$3:G$34=$LQ$3:$LQ$34))+ISBLANK(G$3:G$34))</f>
        <v>0</v>
      </c>
      <c r="H43" s="1">
        <f>SUMPRODUCT((NOT(ISBLANK(H$3:H$34))*(H$3:H$34=$LR$3:$LR$34))+ISBLANK(H$3:H$34))</f>
        <v>0</v>
      </c>
      <c r="I43" s="1">
        <f>SUMPRODUCT((NOT(ISBLANK(I$3:I$34))*(I$3:I$34=$LS$3:$LS$34))+ISBLANK(I$3:I$34))</f>
        <v>0</v>
      </c>
      <c r="J43" s="1">
        <f>SUMPRODUCT((NOT(ISBLANK(J$3:J$34))*(J$3:J$34=$LT$3:$LT$34))+ISBLANK(J$3:J$34))</f>
        <v>0</v>
      </c>
      <c r="K43" s="1">
        <f>SUMPRODUCT((NOT(ISBLANK(K$3:K$34))*(K$3:K$34=$LU$3:$LU$34))+ISBLANK(K$3:K$34))</f>
        <v>0</v>
      </c>
      <c r="L43" s="1">
        <f>SUMPRODUCT((NOT(ISBLANK(L$3:L$34))*(L$3:L$34=$LV$3:$LV$34))+ISBLANK(L$3:L$34))</f>
        <v>0</v>
      </c>
      <c r="M43" s="1">
        <f>SUMPRODUCT((NOT(ISBLANK(M$3:M$34))*(M$3:M$34=$LW$3:$LW$34))+ISBLANK(M$3:M$34))</f>
        <v>0</v>
      </c>
      <c r="N43" s="1">
        <f>SUMPRODUCT((NOT(ISBLANK(N$3:N$34))*(N$3:N$34=$LX$3:$LX$34))+ISBLANK(N$3:N$34))</f>
        <v>0</v>
      </c>
      <c r="O43" s="1">
        <f>SUMPRODUCT((NOT(ISBLANK(O$3:O$34))*(O$3:O$34=$LY$3:$LY$34))+ISBLANK(O$3:O$34))</f>
        <v>0</v>
      </c>
      <c r="P43" s="1"/>
      <c r="Q43" s="1">
        <f>SUMPRODUCT((NOT(ISBLANK(Q$3:Q$34))*(Q$3:Q$34=$LZ$3:$LZ$34))+ISBLANK(Q$3:Q$34))</f>
        <v>0</v>
      </c>
      <c r="R43" s="1">
        <f>SUMPRODUCT((NOT(ISBLANK(R$3:R$34))*(R$3:R$34=$MA$3:$MA$34))+ISBLANK(R$3:R$34))</f>
        <v>0</v>
      </c>
      <c r="S43" s="1">
        <f>SUMPRODUCT((NOT(ISBLANK(S$3:S$34))*(S$3:S$34=$MB$3:$MB$34))+ISBLANK(S$3:S$34))</f>
        <v>0</v>
      </c>
      <c r="T43" s="1">
        <f>SUMPRODUCT((NOT(ISBLANK(T$3:T$34))*(T$3:T$34=$LL$3:$LL$34))+ISBLANK(T$3:T$34))</f>
        <v>0</v>
      </c>
      <c r="U43" s="1">
        <f>SUMPRODUCT((NOT(ISBLANK(U$3:U$34))*(U$3:U$34=$LM$3:$LM$34))+ISBLANK(U$3:U$34))</f>
        <v>0</v>
      </c>
      <c r="V43" s="1">
        <f>SUMPRODUCT((NOT(ISBLANK(V$3:V$34))*(V$3:V$34=$LN$3:$LN$34))+ISBLANK(V$3:V$34))</f>
        <v>0</v>
      </c>
      <c r="W43" s="1">
        <f>SUMPRODUCT((NOT(ISBLANK(W$3:W$34))*(W$3:W$34=$LO$3:$LO$34))+ISBLANK(W$3:W$34))</f>
        <v>0</v>
      </c>
      <c r="X43" s="1">
        <f>SUMPRODUCT((NOT(ISBLANK(X$3:X$34))*(X$3:X$34=$LP$3:$LP$34))+ISBLANK(X$3:X$34))</f>
        <v>0</v>
      </c>
      <c r="Y43" s="1">
        <f>SUMPRODUCT((NOT(ISBLANK(Y$3:Y$34))*(Y$3:Y$34=$LQ$3:$LQ$34))+ISBLANK(Y$3:Y$34))</f>
        <v>0</v>
      </c>
      <c r="Z43" s="1">
        <f>SUMPRODUCT((NOT(ISBLANK(Z$3:Z$34))*(Z$3:Z$34=$LR$3:$LR$34))+ISBLANK(Z$3:Z$34))</f>
        <v>0</v>
      </c>
      <c r="AA43" s="1">
        <f>SUMPRODUCT((NOT(ISBLANK(AA$3:AA$34))*(AA$3:AA$34=$LS$3:$LS$34))+ISBLANK(AA$3:AA$34))</f>
        <v>0</v>
      </c>
      <c r="AB43" s="1">
        <f>SUMPRODUCT((NOT(ISBLANK(AB$3:AB$34))*(AB$3:AB$34=$LT$3:$LT$34))+ISBLANK(AB$3:AB$34))</f>
        <v>0</v>
      </c>
      <c r="AC43" s="1">
        <f>SUMPRODUCT((NOT(ISBLANK(AC$3:AC$34))*(AC$3:AC$34=$LU$3:$LU$34))+ISBLANK(AC$3:AC$34))</f>
        <v>0</v>
      </c>
      <c r="AD43" s="1">
        <f>SUMPRODUCT((NOT(ISBLANK(AD$3:AD$34))*(AD$3:AD$34=$LV$3:$LV$34))+ISBLANK(AD$3:AD$34))</f>
        <v>0</v>
      </c>
      <c r="AE43" s="1">
        <f>SUMPRODUCT((NOT(ISBLANK(AE$3:AE$34))*(AE$3:AE$34=$LW$3:$LW$34))+ISBLANK(AE$3:AE$34))</f>
        <v>0</v>
      </c>
      <c r="AF43" s="1">
        <f>SUMPRODUCT((NOT(ISBLANK(AF$3:AF$34))*(AF$3:AF$34=$LX$3:$LX$34))+ISBLANK(AF$3:AF$34))</f>
        <v>0</v>
      </c>
      <c r="AG43" s="1">
        <f>SUMPRODUCT((NOT(ISBLANK(AG$3:AG$34))*(AG$3:AG$34=$LY$3:$LY$34))+ISBLANK(AG$3:AG$34))</f>
        <v>0</v>
      </c>
      <c r="AH43" s="1"/>
      <c r="AI43" s="1">
        <f>SUMPRODUCT((NOT(ISBLANK(AI$3:AI$34))*(AI$3:AI$34=$LZ$3:$LZ$34))+ISBLANK(AI$3:AI$34))</f>
        <v>0</v>
      </c>
      <c r="AJ43" s="1">
        <f>SUMPRODUCT((NOT(ISBLANK(AJ$3:AJ$34))*(AJ$3:AJ$34=$MA$3:$MA$34))+ISBLANK(AJ$3:AJ$34))</f>
        <v>0</v>
      </c>
      <c r="AK43" s="1">
        <f>SUMPRODUCT((NOT(ISBLANK(AK$3:AK$34))*(AK$3:AK$34=$MB$3:$MB$34))+ISBLANK(AK$3:AK$34))</f>
        <v>0</v>
      </c>
      <c r="AL43" s="1">
        <f>SUMPRODUCT((NOT(ISBLANK(AL$3:AL$34))*(AL$3:AL$34=$LL$3:$LL$34))+ISBLANK(AL$3:AL$34))</f>
        <v>0</v>
      </c>
      <c r="AM43" s="1">
        <f>SUMPRODUCT((NOT(ISBLANK(AM$3:AM$34))*(AM$3:AM$34=$LM$3:$LM$34))+ISBLANK(AM$3:AM$34))</f>
        <v>0</v>
      </c>
      <c r="AN43" s="1">
        <f>SUMPRODUCT((NOT(ISBLANK(AN$3:AN$34))*(AN$3:AN$34=$LN$3:$LN$34))+ISBLANK(AN$3:AN$34))</f>
        <v>0</v>
      </c>
      <c r="AO43" s="1">
        <f>SUMPRODUCT((NOT(ISBLANK(AO$3:AO$34))*(AO$3:AO$34=$LO$3:$LO$34))+ISBLANK(AO$3:AO$34))</f>
        <v>0</v>
      </c>
      <c r="AP43" s="1">
        <f>SUMPRODUCT((NOT(ISBLANK(AP$3:AP$34))*(AP$3:AP$34=$LP$3:$LP$34))+ISBLANK(AP$3:AP$34))</f>
        <v>0</v>
      </c>
      <c r="AQ43" s="1">
        <f>SUMPRODUCT((NOT(ISBLANK(AQ$3:AQ$34))*(AQ$3:AQ$34=$LQ$3:$LQ$34))+ISBLANK(AQ$3:AQ$34))</f>
        <v>0</v>
      </c>
      <c r="AR43" s="1">
        <f>SUMPRODUCT((NOT(ISBLANK(AR$3:AR$34))*(AR$3:AR$34=$LR$3:$LR$34))+ISBLANK(AR$3:AR$34))</f>
        <v>0</v>
      </c>
      <c r="AS43" s="1">
        <f>SUMPRODUCT((NOT(ISBLANK(AS$3:AS$34))*(AS$3:AS$34=$LS$3:$LS$34))+ISBLANK(AS$3:AS$34))</f>
        <v>0</v>
      </c>
      <c r="AT43" s="1">
        <f>SUMPRODUCT((NOT(ISBLANK(AT$3:AT$34))*(AT$3:AT$34=$LT$3:$LT$34))+ISBLANK(AT$3:AT$34))</f>
        <v>0</v>
      </c>
      <c r="AU43" s="1">
        <f>SUMPRODUCT((NOT(ISBLANK(AU$3:AU$34))*(AU$3:AU$34=$LU$3:$LU$34))+ISBLANK(AU$3:AU$34))</f>
        <v>0</v>
      </c>
      <c r="AV43" s="1">
        <f>SUMPRODUCT((NOT(ISBLANK(AV$3:AV$34))*(AV$3:AV$34=$LV$3:$LV$34))+ISBLANK(AV$3:AV$34))</f>
        <v>0</v>
      </c>
      <c r="AW43" s="1">
        <f>SUMPRODUCT((NOT(ISBLANK(AW$3:AW$34))*(AW$3:AW$34=$LW$3:$LW$34))+ISBLANK(AW$3:AW$34))</f>
        <v>0</v>
      </c>
      <c r="AX43" s="1">
        <f>SUMPRODUCT((NOT(ISBLANK(AX$3:AX$34))*(AX$3:AX$34=$LX$3:$LX$34))+ISBLANK(AX$3:AX$34))</f>
        <v>0</v>
      </c>
      <c r="AY43" s="1">
        <f>SUMPRODUCT((NOT(ISBLANK(AY$3:AY$34))*(AY$3:AY$34=$LY$3:$LY$34))+ISBLANK(AY$3:AY$34))</f>
        <v>0</v>
      </c>
      <c r="AZ43" s="1"/>
      <c r="BA43" s="1">
        <f>SUMPRODUCT((NOT(ISBLANK(BA$3:BA$34))*(BA$3:BA$34=$LZ$3:$LZ$34))+ISBLANK(BA$3:BA$34))</f>
        <v>0</v>
      </c>
      <c r="BB43" s="1">
        <f>SUMPRODUCT((NOT(ISBLANK(BB$3:BB$34))*(BB$3:BB$34=$MA$3:$MA$34))+ISBLANK(BB$3:BB$34))</f>
        <v>0</v>
      </c>
      <c r="BC43" s="1">
        <f>SUMPRODUCT((NOT(ISBLANK(BC$3:BC$34))*(BC$3:BC$34=$MB$3:$MB$34))+ISBLANK(BC$3:BC$34))</f>
        <v>0</v>
      </c>
      <c r="BD43" s="1">
        <f>SUMPRODUCT((NOT(ISBLANK(BD$3:BD$34))*(BD$3:BD$34=$LL$3:$LL$34))+ISBLANK(BD$3:BD$34))</f>
        <v>0</v>
      </c>
      <c r="BE43" s="1">
        <f>SUMPRODUCT((NOT(ISBLANK(BE$3:BE$34))*(BE$3:BE$34=$LM$3:$LM$34))+ISBLANK(BE$3:BE$34))</f>
        <v>0</v>
      </c>
      <c r="BF43" s="1">
        <f>SUMPRODUCT((NOT(ISBLANK(BF$3:BF$34))*(BF$3:BF$34=$LN$3:$LN$34))+ISBLANK(BF$3:BF$34))</f>
        <v>0</v>
      </c>
      <c r="BG43" s="1">
        <f>SUMPRODUCT((NOT(ISBLANK(BG$3:BG$34))*(BG$3:BG$34=$LO$3:$LO$34))+ISBLANK(BG$3:BG$34))</f>
        <v>0</v>
      </c>
      <c r="BH43" s="1">
        <f>SUMPRODUCT((NOT(ISBLANK(BH$3:BH$34))*(BH$3:BH$34=$LP$3:$LP$34))+ISBLANK(BH$3:BH$34))</f>
        <v>0</v>
      </c>
      <c r="BI43" s="1">
        <f>SUMPRODUCT((NOT(ISBLANK(BI$3:BI$34))*(BI$3:BI$34=$LQ$3:$LQ$34))+ISBLANK(BI$3:BI$34))</f>
        <v>0</v>
      </c>
      <c r="BJ43" s="1">
        <f>SUMPRODUCT((NOT(ISBLANK(BJ$3:BJ$34))*(BJ$3:BJ$34=$LR$3:$LR$34))+ISBLANK(BJ$3:BJ$34))</f>
        <v>0</v>
      </c>
      <c r="BK43" s="1">
        <f>SUMPRODUCT((NOT(ISBLANK(BK$3:BK$34))*(BK$3:BK$34=$LS$3:$LS$34))+ISBLANK(BK$3:BK$34))</f>
        <v>0</v>
      </c>
      <c r="BL43" s="1">
        <f>SUMPRODUCT((NOT(ISBLANK(BL$3:BL$34))*(BL$3:BL$34=$LT$3:$LT$34))+ISBLANK(BL$3:BL$34))</f>
        <v>0</v>
      </c>
      <c r="BM43" s="1">
        <f>SUMPRODUCT((NOT(ISBLANK(BM$3:BM$34))*(BM$3:BM$34=$LU$3:$LU$34))+ISBLANK(BM$3:BM$34))</f>
        <v>0</v>
      </c>
      <c r="BN43" s="1">
        <f>SUMPRODUCT((NOT(ISBLANK(BN$3:BN$34))*(BN$3:BN$34=$LV$3:$LV$34))+ISBLANK(BN$3:BN$34))</f>
        <v>0</v>
      </c>
      <c r="BO43" s="1">
        <f>SUMPRODUCT((NOT(ISBLANK(BO$3:BO$34))*(BO$3:BO$34=$LW$3:$LW$34))+ISBLANK(BO$3:BO$34))</f>
        <v>0</v>
      </c>
      <c r="BP43" s="1">
        <f>SUMPRODUCT((NOT(ISBLANK(BP$3:BP$34))*(BP$3:BP$34=$LX$3:$LX$34))+ISBLANK(BP$3:BP$34))</f>
        <v>0</v>
      </c>
      <c r="BQ43" s="1">
        <f>SUMPRODUCT((NOT(ISBLANK(BQ$3:BQ$34))*(BQ$3:BQ$34=$LY$3:$LY$34))+ISBLANK(BQ$3:BQ$34))</f>
        <v>0</v>
      </c>
      <c r="BR43" s="1"/>
      <c r="BS43" s="1">
        <f>SUMPRODUCT((NOT(ISBLANK(BS$3:BS$34))*(BS$3:BS$34=$LZ$3:$LZ$34))+ISBLANK(BS$3:BS$34))</f>
        <v>0</v>
      </c>
      <c r="BT43" s="1">
        <f>SUMPRODUCT((NOT(ISBLANK(BT$3:BT$34))*(BT$3:BT$34=$MA$3:$MA$34))+ISBLANK(BT$3:BT$34))</f>
        <v>0</v>
      </c>
      <c r="BU43" s="1">
        <f>SUMPRODUCT((NOT(ISBLANK(BU$3:BU$34))*(BU$3:BU$34=$MB$3:$MB$34))+ISBLANK(BU$3:BU$34))</f>
        <v>0</v>
      </c>
      <c r="BV43" s="1">
        <f>SUMPRODUCT((NOT(ISBLANK(BV$3:BV$34))*(BV$3:BV$34=$LL$3:$LL$34))+ISBLANK(BV$3:BV$34))</f>
        <v>0</v>
      </c>
      <c r="BW43" s="1">
        <f>SUMPRODUCT((NOT(ISBLANK(BW$3:BW$34))*(BW$3:BW$34=$LM$3:$LM$34))+ISBLANK(BW$3:BW$34))</f>
        <v>0</v>
      </c>
      <c r="BX43" s="1">
        <f>SUMPRODUCT((NOT(ISBLANK(BX$3:BX$34))*(BX$3:BX$34=$LN$3:$LN$34))+ISBLANK(BX$3:BX$34))</f>
        <v>0</v>
      </c>
      <c r="BY43" s="1">
        <f>SUMPRODUCT((NOT(ISBLANK(BY$3:BY$34))*(BY$3:BY$34=$LO$3:$LO$34))+ISBLANK(BY$3:BY$34))</f>
        <v>0</v>
      </c>
      <c r="BZ43" s="1">
        <f>SUMPRODUCT((NOT(ISBLANK(BZ$3:BZ$34))*(BZ$3:BZ$34=$LP$3:$LP$34))+ISBLANK(BZ$3:BZ$34))</f>
        <v>0</v>
      </c>
      <c r="CA43" s="1">
        <f>SUMPRODUCT((NOT(ISBLANK(CA$3:CA$34))*(CA$3:CA$34=$LQ$3:$LQ$34))+ISBLANK(CA$3:CA$34))</f>
        <v>0</v>
      </c>
      <c r="CB43" s="1">
        <f>SUMPRODUCT((NOT(ISBLANK(CB$3:CB$34))*(CB$3:CB$34=$LR$3:$LR$34))+ISBLANK(CB$3:CB$34))</f>
        <v>0</v>
      </c>
      <c r="CC43" s="1">
        <f>SUMPRODUCT((NOT(ISBLANK(CC$3:CC$34))*(CC$3:CC$34=$LS$3:$LS$34))+ISBLANK(CC$3:CC$34))</f>
        <v>0</v>
      </c>
      <c r="CD43" s="1">
        <f>SUMPRODUCT((NOT(ISBLANK(CD$3:CD$34))*(CD$3:CD$34=$LT$3:$LT$34))+ISBLANK(CD$3:CD$34))</f>
        <v>0</v>
      </c>
      <c r="CE43" s="1">
        <f>SUMPRODUCT((NOT(ISBLANK(CE$3:CE$34))*(CE$3:CE$34=$LU$3:$LU$34))+ISBLANK(CE$3:CE$34))</f>
        <v>0</v>
      </c>
      <c r="CF43" s="1">
        <f>SUMPRODUCT((NOT(ISBLANK(CF$3:CF$34))*(CF$3:CF$34=$LV$3:$LV$34))+ISBLANK(CF$3:CF$34))</f>
        <v>0</v>
      </c>
      <c r="CG43" s="1">
        <f>SUMPRODUCT((NOT(ISBLANK(CG$3:CG$34))*(CG$3:CG$34=$LW$3:$LW$34))+ISBLANK(CG$3:CG$34))</f>
        <v>0</v>
      </c>
      <c r="CH43" s="1">
        <f>SUMPRODUCT((NOT(ISBLANK(CH$3:CH$34))*(CH$3:CH$34=$LX$3:$LX$34))+ISBLANK(CH$3:CH$34))</f>
        <v>0</v>
      </c>
      <c r="CI43" s="1">
        <f>SUMPRODUCT((NOT(ISBLANK(CI$3:CI$34))*(CI$3:CI$34=$LY$3:$LY$34))+ISBLANK(CI$3:CI$34))</f>
        <v>0</v>
      </c>
      <c r="CJ43" s="1"/>
      <c r="CK43" s="1">
        <f>SUMPRODUCT((NOT(ISBLANK(CK$3:CK$34))*(CK$3:CK$34=$LZ$3:$LZ$34))+ISBLANK(CK$3:CK$34))</f>
        <v>0</v>
      </c>
      <c r="CL43" s="1">
        <f>SUMPRODUCT((NOT(ISBLANK(CL$3:CL$34))*(CL$3:CL$34=$MA$3:$MA$34))+ISBLANK(CL$3:CL$34))</f>
        <v>0</v>
      </c>
      <c r="CM43" s="1">
        <f>SUMPRODUCT((NOT(ISBLANK(CM$3:CM$34))*(CM$3:CM$34=$MB$3:$MB$34))+ISBLANK(CM$3:CM$34))</f>
        <v>0</v>
      </c>
      <c r="CN43" s="1">
        <f>SUMPRODUCT((NOT(ISBLANK(CN$3:CN$34))*(CN$3:CN$34=$LL$3:$LL$34))+ISBLANK(CN$3:CN$34))</f>
        <v>0</v>
      </c>
      <c r="CO43" s="1">
        <f>SUMPRODUCT((NOT(ISBLANK(CO$3:CO$34))*(CO$3:CO$34=$LM$3:$LM$34))+ISBLANK(CO$3:CO$34))</f>
        <v>0</v>
      </c>
      <c r="CP43" s="1">
        <f>SUMPRODUCT((NOT(ISBLANK(CP$3:CP$34))*(CP$3:CP$34=$LN$3:$LN$34))+ISBLANK(CP$3:CP$34))</f>
        <v>0</v>
      </c>
      <c r="CQ43" s="1">
        <f>SUMPRODUCT((NOT(ISBLANK(CQ$3:CQ$34))*(CQ$3:CQ$34=$LO$3:$LO$34))+ISBLANK(CQ$3:CQ$34))</f>
        <v>0</v>
      </c>
      <c r="CR43" s="1">
        <f>SUMPRODUCT((NOT(ISBLANK(CR$3:CR$34))*(CR$3:CR$34=$LP$3:$LP$34))+ISBLANK(CR$3:CR$34))</f>
        <v>0</v>
      </c>
      <c r="CS43" s="1">
        <f>SUMPRODUCT((NOT(ISBLANK(CS$3:CS$34))*(CS$3:CS$34=$LQ$3:$LQ$34))+ISBLANK(CS$3:CS$34))</f>
        <v>0</v>
      </c>
      <c r="CT43" s="1">
        <f>SUMPRODUCT((NOT(ISBLANK(CT$3:CT$34))*(CT$3:CT$34=$LR$3:$LR$34))+ISBLANK(CT$3:CT$34))</f>
        <v>0</v>
      </c>
      <c r="CU43" s="1">
        <f>SUMPRODUCT((NOT(ISBLANK(CU$3:CU$34))*(CU$3:CU$34=$LS$3:$LS$34))+ISBLANK(CU$3:CU$34))</f>
        <v>0</v>
      </c>
      <c r="CV43" s="1">
        <f>SUMPRODUCT((NOT(ISBLANK(CV$3:CV$34))*(CV$3:CV$34=$LT$3:$LT$34))+ISBLANK(CV$3:CV$34))</f>
        <v>0</v>
      </c>
      <c r="CW43" s="1">
        <f>SUMPRODUCT((NOT(ISBLANK(CW$3:CW$34))*(CW$3:CW$34=$LU$3:$LU$34))+ISBLANK(CW$3:CW$34))</f>
        <v>0</v>
      </c>
      <c r="CX43" s="1">
        <f>SUMPRODUCT((NOT(ISBLANK(CX$3:CX$34))*(CX$3:CX$34=$LV$3:$LV$34))+ISBLANK(CX$3:CX$34))</f>
        <v>0</v>
      </c>
      <c r="CY43" s="1">
        <f>SUMPRODUCT((NOT(ISBLANK(CY$3:CY$34))*(CY$3:CY$34=$LW$3:$LW$34))+ISBLANK(CY$3:CY$34))</f>
        <v>0</v>
      </c>
      <c r="CZ43" s="1">
        <f>SUMPRODUCT((NOT(ISBLANK(CZ$3:CZ$34))*(CZ$3:CZ$34=$LX$3:$LX$34))+ISBLANK(CZ$3:CZ$34))</f>
        <v>0</v>
      </c>
      <c r="DA43" s="1">
        <f>SUMPRODUCT((NOT(ISBLANK(DA$3:DA$34))*(DA$3:DA$34=$LY$3:$LY$34))+ISBLANK(DA$3:DA$34))</f>
        <v>0</v>
      </c>
      <c r="DB43" s="1"/>
      <c r="DC43" s="1">
        <f>SUMPRODUCT((NOT(ISBLANK(DC$3:DC$34))*(DC$3:DC$34=$LZ$3:$LZ$34))+ISBLANK(DC$3:DC$34))</f>
        <v>0</v>
      </c>
      <c r="DD43" s="1">
        <f>SUMPRODUCT((NOT(ISBLANK(DD$3:DD$34))*(DD$3:DD$34=$MA$3:$MA$34))+ISBLANK(DD$3:DD$34))</f>
        <v>0</v>
      </c>
      <c r="DE43" s="1">
        <f>SUMPRODUCT((NOT(ISBLANK(DE$3:DE$34))*(DE$3:DE$34=$MB$3:$MB$34))+ISBLANK(DE$3:DE$34))</f>
        <v>0</v>
      </c>
      <c r="DF43" s="1">
        <f>SUMPRODUCT((NOT(ISBLANK(DF$3:DF$34))*(DF$3:DF$34=$LL$3:$LL$34))+ISBLANK(DF$3:DF$34))</f>
        <v>0</v>
      </c>
      <c r="DG43" s="1">
        <f>SUMPRODUCT((NOT(ISBLANK(DG$3:DG$34))*(DG$3:DG$34=$LM$3:$LM$34))+ISBLANK(DG$3:DG$34))</f>
        <v>0</v>
      </c>
      <c r="DH43" s="1">
        <f>SUMPRODUCT((NOT(ISBLANK(DH$3:DH$34))*(DH$3:DH$34=$LN$3:$LN$34))+ISBLANK(DH$3:DH$34))</f>
        <v>0</v>
      </c>
      <c r="DI43" s="1">
        <f>SUMPRODUCT((NOT(ISBLANK(DI$3:DI$34))*(DI$3:DI$34=$LO$3:$LO$34))+ISBLANK(DI$3:DI$34))</f>
        <v>0</v>
      </c>
      <c r="DJ43" s="1">
        <f>SUMPRODUCT((NOT(ISBLANK(DJ$3:DJ$34))*(DJ$3:DJ$34=$LP$3:$LP$34))+ISBLANK(DJ$3:DJ$34))</f>
        <v>0</v>
      </c>
      <c r="DK43" s="1">
        <f>SUMPRODUCT((NOT(ISBLANK(DK$3:DK$34))*(DK$3:DK$34=$LQ$3:$LQ$34))+ISBLANK(DK$3:DK$34))</f>
        <v>0</v>
      </c>
      <c r="DL43" s="1">
        <f>SUMPRODUCT((NOT(ISBLANK(DL$3:DL$34))*(DL$3:DL$34=$LR$3:$LR$34))+ISBLANK(DL$3:DL$34))</f>
        <v>0</v>
      </c>
      <c r="DM43" s="1">
        <f>SUMPRODUCT((NOT(ISBLANK(DM$3:DM$34))*(DM$3:DM$34=$LS$3:$LS$34))+ISBLANK(DM$3:DM$34))</f>
        <v>0</v>
      </c>
      <c r="DN43" s="1">
        <f>SUMPRODUCT((NOT(ISBLANK(DN$3:DN$34))*(DN$3:DN$34=$LT$3:$LT$34))+ISBLANK(DN$3:DN$34))</f>
        <v>0</v>
      </c>
      <c r="DO43" s="1">
        <f>SUMPRODUCT((NOT(ISBLANK(DO$3:DO$34))*(DO$3:DO$34=$LU$3:$LU$34))+ISBLANK(DO$3:DO$34))</f>
        <v>0</v>
      </c>
      <c r="DP43" s="1">
        <f>SUMPRODUCT((NOT(ISBLANK(DP$3:DP$34))*(DP$3:DP$34=$LV$3:$LV$34))+ISBLANK(DP$3:DP$34))</f>
        <v>0</v>
      </c>
      <c r="DQ43" s="1">
        <f>SUMPRODUCT((NOT(ISBLANK(DQ$3:DQ$34))*(DQ$3:DQ$34=$LW$3:$LW$34))+ISBLANK(DQ$3:DQ$34))</f>
        <v>0</v>
      </c>
      <c r="DR43" s="1">
        <f>SUMPRODUCT((NOT(ISBLANK(DR$3:DR$34))*(DR$3:DR$34=$LX$3:$LX$34))+ISBLANK(DR$3:DR$34))</f>
        <v>0</v>
      </c>
      <c r="DS43" s="1">
        <f>SUMPRODUCT((NOT(ISBLANK(DS$3:DS$34))*(DS$3:DS$34=$LY$3:$LY$34))+ISBLANK(DS$3:DS$34))</f>
        <v>0</v>
      </c>
      <c r="DT43" s="1"/>
      <c r="DU43" s="1">
        <f>SUMPRODUCT((NOT(ISBLANK(DU$3:DU$34))*(DU$3:DU$34=$LZ$3:$LZ$34))+ISBLANK(DU$3:DU$34))</f>
        <v>0</v>
      </c>
      <c r="DV43" s="1">
        <f>SUMPRODUCT((NOT(ISBLANK(DV$3:DV$34))*(DV$3:DV$34=$MA$3:$MA$34))+ISBLANK(DV$3:DV$34))</f>
        <v>0</v>
      </c>
      <c r="DW43" s="1">
        <f>SUMPRODUCT((NOT(ISBLANK(DW$3:DW$34))*(DW$3:DW$34=$MB$3:$MB$34))+ISBLANK(DW$3:DW$34))</f>
        <v>0</v>
      </c>
      <c r="DX43" s="1">
        <f>SUMPRODUCT((NOT(ISBLANK(DX$3:DX$34))*(DX$3:DX$34=$LL$3:$LL$34))+ISBLANK(DX$3:DX$34))</f>
        <v>0</v>
      </c>
      <c r="DY43" s="1">
        <f>SUMPRODUCT((NOT(ISBLANK(DY$3:DY$34))*(DY$3:DY$34=$LM$3:$LM$34))+ISBLANK(DY$3:DY$34))</f>
        <v>0</v>
      </c>
      <c r="DZ43" s="1">
        <f>SUMPRODUCT((NOT(ISBLANK(DZ$3:DZ$34))*(DZ$3:DZ$34=$LN$3:$LN$34))+ISBLANK(DZ$3:DZ$34))</f>
        <v>0</v>
      </c>
      <c r="EA43" s="1">
        <f>SUMPRODUCT((NOT(ISBLANK(EA$3:EA$34))*(EA$3:EA$34=$LO$3:$LO$34))+ISBLANK(EA$3:EA$34))</f>
        <v>0</v>
      </c>
      <c r="EB43" s="1">
        <f>SUMPRODUCT((NOT(ISBLANK(EB$3:EB$34))*(EB$3:EB$34=$LP$3:$LP$34))+ISBLANK(EB$3:EB$34))</f>
        <v>0</v>
      </c>
      <c r="EC43" s="1">
        <f>SUMPRODUCT((NOT(ISBLANK(EC$3:EC$34))*(EC$3:EC$34=$LQ$3:$LQ$34))+ISBLANK(EC$3:EC$34))</f>
        <v>0</v>
      </c>
      <c r="ED43" s="1">
        <f>SUMPRODUCT((NOT(ISBLANK(ED$3:ED$34))*(ED$3:ED$34=$LR$3:$LR$34))+ISBLANK(ED$3:ED$34))</f>
        <v>0</v>
      </c>
      <c r="EE43" s="1">
        <f>SUMPRODUCT((NOT(ISBLANK(EE$3:EE$34))*(EE$3:EE$34=$LS$3:$LS$34))+ISBLANK(EE$3:EE$34))</f>
        <v>0</v>
      </c>
      <c r="EF43" s="1">
        <f>SUMPRODUCT((NOT(ISBLANK(EF$3:EF$34))*(EF$3:EF$34=$LT$3:$LT$34))+ISBLANK(EF$3:EF$34))</f>
        <v>0</v>
      </c>
      <c r="EG43" s="1">
        <f>SUMPRODUCT((NOT(ISBLANK(EG$3:EG$34))*(EG$3:EG$34=$LU$3:$LU$34))+ISBLANK(EG$3:EG$34))</f>
        <v>0</v>
      </c>
      <c r="EH43" s="1">
        <f>SUMPRODUCT((NOT(ISBLANK(EH$3:EH$34))*(EH$3:EH$34=$LV$3:$LV$34))+ISBLANK(EH$3:EH$34))</f>
        <v>0</v>
      </c>
      <c r="EI43" s="1">
        <f>SUMPRODUCT((NOT(ISBLANK(EI$3:EI$34))*(EI$3:EI$34=$LW$3:$LW$34))+ISBLANK(EI$3:EI$34))</f>
        <v>0</v>
      </c>
      <c r="EJ43" s="1">
        <f>SUMPRODUCT((NOT(ISBLANK(EJ$3:EJ$34))*(EJ$3:EJ$34=$LX$3:$LX$34))+ISBLANK(EJ$3:EJ$34))</f>
        <v>0</v>
      </c>
      <c r="EK43" s="1">
        <f>SUMPRODUCT((NOT(ISBLANK(EK$3:EK$34))*(EK$3:EK$34=$LY$3:$LY$34))+ISBLANK(EK$3:EK$34))</f>
        <v>0</v>
      </c>
      <c r="EL43" s="1"/>
      <c r="EM43" s="1">
        <f>SUMPRODUCT((NOT(ISBLANK(EM$3:EM$34))*(EM$3:EM$34=$LZ$3:$LZ$34))+ISBLANK(EM$3:EM$34))</f>
        <v>0</v>
      </c>
      <c r="EN43" s="1">
        <f>SUMPRODUCT((NOT(ISBLANK(EN$3:EN$34))*(EN$3:EN$34=$MA$3:$MA$34))+ISBLANK(EN$3:EN$34))</f>
        <v>0</v>
      </c>
      <c r="EO43" s="1">
        <f>SUMPRODUCT((NOT(ISBLANK(EO$3:EO$34))*(EO$3:EO$34=$MB$3:$MB$34))+ISBLANK(EO$3:EO$34))</f>
        <v>0</v>
      </c>
      <c r="EP43" s="1">
        <f>SUMPRODUCT((NOT(ISBLANK(EP$3:EP$34))*(EP$3:EP$34=$LL$3:$LL$34))+ISBLANK(EP$3:EP$34))</f>
        <v>0</v>
      </c>
      <c r="EQ43" s="1">
        <f>SUMPRODUCT((NOT(ISBLANK(EQ$3:EQ$34))*(EQ$3:EQ$34=$LM$3:$LM$34))+ISBLANK(EQ$3:EQ$34))</f>
        <v>0</v>
      </c>
      <c r="ER43" s="1">
        <f>SUMPRODUCT((NOT(ISBLANK(ER$3:ER$34))*(ER$3:ER$34=$LN$3:$LN$34))+ISBLANK(ER$3:ER$34))</f>
        <v>0</v>
      </c>
      <c r="ES43" s="1">
        <f>SUMPRODUCT((NOT(ISBLANK(ES$3:ES$34))*(ES$3:ES$34=$LO$3:$LO$34))+ISBLANK(ES$3:ES$34))</f>
        <v>0</v>
      </c>
      <c r="ET43" s="1">
        <f>SUMPRODUCT((NOT(ISBLANK(ET$3:ET$34))*(ET$3:ET$34=$LP$3:$LP$34))+ISBLANK(ET$3:ET$34))</f>
        <v>0</v>
      </c>
      <c r="EU43" s="1">
        <f>SUMPRODUCT((NOT(ISBLANK(EU$3:EU$34))*(EU$3:EU$34=$LQ$3:$LQ$34))+ISBLANK(EU$3:EU$34))</f>
        <v>0</v>
      </c>
      <c r="EV43" s="1">
        <f>SUMPRODUCT((NOT(ISBLANK(EV$3:EV$34))*(EV$3:EV$34=$LR$3:$LR$34))+ISBLANK(EV$3:EV$34))</f>
        <v>0</v>
      </c>
      <c r="EW43" s="1">
        <f>SUMPRODUCT((NOT(ISBLANK(EW$3:EW$34))*(EW$3:EW$34=$LS$3:$LS$34))+ISBLANK(EW$3:EW$34))</f>
        <v>0</v>
      </c>
      <c r="EX43" s="1">
        <f>SUMPRODUCT((NOT(ISBLANK(EX$3:EX$34))*(EX$3:EX$34=$LT$3:$LT$34))+ISBLANK(EX$3:EX$34))</f>
        <v>0</v>
      </c>
      <c r="EY43" s="1">
        <f>SUMPRODUCT((NOT(ISBLANK(EY$3:EY$34))*(EY$3:EY$34=$LU$3:$LU$34))+ISBLANK(EY$3:EY$34))</f>
        <v>0</v>
      </c>
      <c r="EZ43" s="1">
        <f>SUMPRODUCT((NOT(ISBLANK(EZ$3:EZ$34))*(EZ$3:EZ$34=$LV$3:$LV$34))+ISBLANK(EZ$3:EZ$34))</f>
        <v>0</v>
      </c>
      <c r="FA43" s="1">
        <f>SUMPRODUCT((NOT(ISBLANK(FA$3:FA$34))*(FA$3:FA$34=$LW$3:$LW$34))+ISBLANK(FA$3:FA$34))</f>
        <v>0</v>
      </c>
      <c r="FB43" s="1">
        <f>SUMPRODUCT((NOT(ISBLANK(FB$3:FB$34))*(FB$3:FB$34=$LX$3:$LX$34))+ISBLANK(FB$3:FB$34))</f>
        <v>0</v>
      </c>
      <c r="FC43" s="1">
        <f>SUMPRODUCT((NOT(ISBLANK(FC$3:FC$34))*(FC$3:FC$34=$LY$3:$LY$34))+ISBLANK(FC$3:FC$34))</f>
        <v>0</v>
      </c>
      <c r="FD43" s="1"/>
      <c r="FE43" s="1">
        <f>SUMPRODUCT((NOT(ISBLANK(FE$3:FE$34))*(FE$3:FE$34=$LZ$3:$LZ$34))+ISBLANK(FE$3:FE$34))</f>
        <v>0</v>
      </c>
      <c r="FF43" s="1">
        <f>SUMPRODUCT((NOT(ISBLANK(FF$3:FF$34))*(FF$3:FF$34=$MA$3:$MA$34))+ISBLANK(FF$3:FF$34))</f>
        <v>0</v>
      </c>
      <c r="FG43" s="1">
        <f>SUMPRODUCT((NOT(ISBLANK(FG$3:FG$34))*(FG$3:FG$34=$MB$3:$MB$34))+ISBLANK(FG$3:FG$34))</f>
        <v>0</v>
      </c>
      <c r="FH43" s="1">
        <f>SUMPRODUCT((NOT(ISBLANK(FH$3:FH$34))*(FH$3:FH$34=$LL$3:$LL$34))+ISBLANK(FH$3:FH$34))</f>
        <v>0</v>
      </c>
      <c r="FI43" s="1">
        <f>SUMPRODUCT((NOT(ISBLANK(FI$3:FI$34))*(FI$3:FI$34=$LM$3:$LM$34))+ISBLANK(FI$3:FI$34))</f>
        <v>0</v>
      </c>
      <c r="FJ43" s="1">
        <f>SUMPRODUCT((NOT(ISBLANK(FJ$3:FJ$34))*(FJ$3:FJ$34=$LN$3:$LN$34))+ISBLANK(FJ$3:FJ$34))</f>
        <v>0</v>
      </c>
      <c r="FK43" s="1">
        <f>SUMPRODUCT((NOT(ISBLANK(FK$3:FK$34))*(FK$3:FK$34=$LO$3:$LO$34))+ISBLANK(FK$3:FK$34))</f>
        <v>0</v>
      </c>
      <c r="FL43" s="1">
        <f>SUMPRODUCT((NOT(ISBLANK(FL$3:FL$34))*(FL$3:FL$34=$LP$3:$LP$34))+ISBLANK(FL$3:FL$34))</f>
        <v>0</v>
      </c>
      <c r="FM43" s="1">
        <f>SUMPRODUCT((NOT(ISBLANK(FM$3:FM$34))*(FM$3:FM$34=$LQ$3:$LQ$34))+ISBLANK(FM$3:FM$34))</f>
        <v>0</v>
      </c>
      <c r="FN43" s="1">
        <f>SUMPRODUCT((NOT(ISBLANK(FN$3:FN$34))*(FN$3:FN$34=$LR$3:$LR$34))+ISBLANK(FN$3:FN$34))</f>
        <v>0</v>
      </c>
      <c r="FO43" s="1">
        <f>SUMPRODUCT((NOT(ISBLANK(FO$3:FO$34))*(FO$3:FO$34=$LS$3:$LS$34))+ISBLANK(FO$3:FO$34))</f>
        <v>0</v>
      </c>
      <c r="FP43" s="1">
        <f>SUMPRODUCT((NOT(ISBLANK(FP$3:FP$34))*(FP$3:FP$34=$LT$3:$LT$34))+ISBLANK(FP$3:FP$34))</f>
        <v>0</v>
      </c>
      <c r="FQ43" s="1">
        <f>SUMPRODUCT((NOT(ISBLANK(FQ$3:FQ$34))*(FQ$3:FQ$34=$LU$3:$LU$34))+ISBLANK(FQ$3:FQ$34))</f>
        <v>0</v>
      </c>
      <c r="FR43" s="1">
        <f>SUMPRODUCT((NOT(ISBLANK(FR$3:FR$34))*(FR$3:FR$34=$LV$3:$LV$34))+ISBLANK(FR$3:FR$34))</f>
        <v>0</v>
      </c>
      <c r="FS43" s="1">
        <f>SUMPRODUCT((NOT(ISBLANK(FS$3:FS$34))*(FS$3:FS$34=$LW$3:$LW$34))+ISBLANK(FS$3:FS$34))</f>
        <v>0</v>
      </c>
      <c r="FT43" s="1">
        <f>SUMPRODUCT((NOT(ISBLANK(FT$3:FT$34))*(FT$3:FT$34=$LX$3:$LX$34))+ISBLANK(FT$3:FT$34))</f>
        <v>0</v>
      </c>
      <c r="FU43" s="1">
        <f>SUMPRODUCT((NOT(ISBLANK(FU$3:FU$34))*(FU$3:FU$34=$LY$3:$LY$34))+ISBLANK(FU$3:FU$34))</f>
        <v>0</v>
      </c>
      <c r="FV43" s="1"/>
      <c r="FW43" s="1">
        <f>SUMPRODUCT((NOT(ISBLANK(FW$3:FW$34))*(FW$3:FW$34=$LZ$3:$LZ$34))+ISBLANK(FW$3:FW$34))</f>
        <v>0</v>
      </c>
      <c r="FX43" s="1">
        <f>SUMPRODUCT((NOT(ISBLANK(FX$3:FX$34))*(FX$3:FX$34=$MA$3:$MA$34))+ISBLANK(FX$3:FX$34))</f>
        <v>0</v>
      </c>
      <c r="FY43" s="1">
        <f>SUMPRODUCT((NOT(ISBLANK(FY$3:FY$34))*(FY$3:FY$34=$MB$3:$MB$34))+ISBLANK(FY$3:FY$34))</f>
        <v>0</v>
      </c>
      <c r="FZ43" s="1">
        <f>SUMPRODUCT((NOT(ISBLANK(FZ$3:FZ$34))*(FZ$3:FZ$34=$LL$3:$LL$34))+ISBLANK(FZ$3:FZ$34))</f>
        <v>0</v>
      </c>
      <c r="GA43" s="1">
        <f>SUMPRODUCT((NOT(ISBLANK(GA$3:GA$34))*(GA$3:GA$34=$LM$3:$LM$34))+ISBLANK(GA$3:GA$34))</f>
        <v>0</v>
      </c>
      <c r="GB43" s="1">
        <f>SUMPRODUCT((NOT(ISBLANK(GB$3:GB$34))*(GB$3:GB$34=$LN$3:$LN$34))+ISBLANK(GB$3:GB$34))</f>
        <v>0</v>
      </c>
      <c r="GC43" s="1">
        <f>SUMPRODUCT((NOT(ISBLANK(GC$3:GC$34))*(GC$3:GC$34=$LO$3:$LO$34))+ISBLANK(GC$3:GC$34))</f>
        <v>0</v>
      </c>
      <c r="GD43" s="1">
        <f>SUMPRODUCT((NOT(ISBLANK(GD$3:GD$34))*(GD$3:GD$34=$LP$3:$LP$34))+ISBLANK(GD$3:GD$34))</f>
        <v>0</v>
      </c>
      <c r="GE43" s="1">
        <f>SUMPRODUCT((NOT(ISBLANK(GE$3:GE$34))*(GE$3:GE$34=$LQ$3:$LQ$34))+ISBLANK(GE$3:GE$34))</f>
        <v>0</v>
      </c>
      <c r="GF43" s="1">
        <f>SUMPRODUCT((NOT(ISBLANK(GF$3:GF$34))*(GF$3:GF$34=$LR$3:$LR$34))+ISBLANK(GF$3:GF$34))</f>
        <v>0</v>
      </c>
      <c r="GG43" s="1">
        <f>SUMPRODUCT((NOT(ISBLANK(GG$3:GG$34))*(GG$3:GG$34=$LS$3:$LS$34))+ISBLANK(GG$3:GG$34))</f>
        <v>0</v>
      </c>
      <c r="GH43" s="1">
        <f>SUMPRODUCT((NOT(ISBLANK(GH$3:GH$34))*(GH$3:GH$34=$LT$3:$LT$34))+ISBLANK(GH$3:GH$34))</f>
        <v>0</v>
      </c>
      <c r="GI43" s="1">
        <f>SUMPRODUCT((NOT(ISBLANK(GI$3:GI$34))*(GI$3:GI$34=$LU$3:$LU$34))+ISBLANK(GI$3:GI$34))</f>
        <v>0</v>
      </c>
      <c r="GJ43" s="1">
        <f>SUMPRODUCT((NOT(ISBLANK(GJ$3:GJ$34))*(GJ$3:GJ$34=$LV$3:$LV$34))+ISBLANK(GJ$3:GJ$34))</f>
        <v>0</v>
      </c>
      <c r="GK43" s="1">
        <f>SUMPRODUCT((NOT(ISBLANK(GK$3:GK$34))*(GK$3:GK$34=$LW$3:$LW$34))+ISBLANK(GK$3:GK$34))</f>
        <v>0</v>
      </c>
      <c r="GL43" s="1">
        <f>SUMPRODUCT((NOT(ISBLANK(GL$3:GL$34))*(GL$3:GL$34=$LX$3:$LX$34))+ISBLANK(GL$3:GL$34))</f>
        <v>0</v>
      </c>
      <c r="GM43" s="1">
        <f>SUMPRODUCT((NOT(ISBLANK(GM$3:GM$34))*(GM$3:GM$34=$LY$3:$LY$34))+ISBLANK(GM$3:GM$34))</f>
        <v>0</v>
      </c>
      <c r="GN43" s="1"/>
      <c r="GO43" s="1">
        <f>SUMPRODUCT((NOT(ISBLANK(GO$3:GO$34))*(GO$3:GO$34=$LZ$3:$LZ$34))+ISBLANK(GO$3:GO$34))</f>
        <v>0</v>
      </c>
      <c r="GP43" s="1">
        <f>SUMPRODUCT((NOT(ISBLANK(GP$3:GP$34))*(GP$3:GP$34=$MA$3:$MA$34))+ISBLANK(GP$3:GP$34))</f>
        <v>0</v>
      </c>
      <c r="GQ43" s="1">
        <f>SUMPRODUCT((NOT(ISBLANK(GQ$3:GQ$34))*(GQ$3:GQ$34=$MB$3:$MB$34))+ISBLANK(GQ$3:GQ$34))</f>
        <v>0</v>
      </c>
      <c r="GR43" s="1">
        <f>SUMPRODUCT((NOT(ISBLANK(GR$3:GR$34))*(GR$3:GR$34=$LL$3:$LL$34))+ISBLANK(GR$3:GR$34))</f>
        <v>0</v>
      </c>
      <c r="GS43" s="1">
        <f>SUMPRODUCT((NOT(ISBLANK(GS$3:GS$34))*(GS$3:GS$34=$LM$3:$LM$34))+ISBLANK(GS$3:GS$34))</f>
        <v>0</v>
      </c>
      <c r="GT43" s="1">
        <f>SUMPRODUCT((NOT(ISBLANK(GT$3:GT$34))*(GT$3:GT$34=$LN$3:$LN$34))+ISBLANK(GT$3:GT$34))</f>
        <v>0</v>
      </c>
      <c r="GU43" s="1">
        <f>SUMPRODUCT((NOT(ISBLANK(GU$3:GU$34))*(GU$3:GU$34=$LO$3:$LO$34))+ISBLANK(GU$3:GU$34))</f>
        <v>0</v>
      </c>
      <c r="GV43" s="1">
        <f>SUMPRODUCT((NOT(ISBLANK(GV$3:GV$34))*(GV$3:GV$34=$LP$3:$LP$34))+ISBLANK(GV$3:GV$34))</f>
        <v>0</v>
      </c>
      <c r="GW43" s="1">
        <f>SUMPRODUCT((NOT(ISBLANK(GW$3:GW$34))*(GW$3:GW$34=$LQ$3:$LQ$34))+ISBLANK(GW$3:GW$34))</f>
        <v>0</v>
      </c>
      <c r="GX43" s="1">
        <f>SUMPRODUCT((NOT(ISBLANK(GX$3:GX$34))*(GX$3:GX$34=$LR$3:$LR$34))+ISBLANK(GX$3:GX$34))</f>
        <v>0</v>
      </c>
      <c r="GY43" s="1">
        <f>SUMPRODUCT((NOT(ISBLANK(GY$3:GY$34))*(GY$3:GY$34=$LS$3:$LS$34))+ISBLANK(GY$3:GY$34))</f>
        <v>0</v>
      </c>
      <c r="GZ43" s="1">
        <f>SUMPRODUCT((NOT(ISBLANK(GZ$3:GZ$34))*(GZ$3:GZ$34=$LT$3:$LT$34))+ISBLANK(GZ$3:GZ$34))</f>
        <v>0</v>
      </c>
      <c r="HA43" s="1">
        <f>SUMPRODUCT((NOT(ISBLANK(HA$3:HA$34))*(HA$3:HA$34=$LU$3:$LU$34))+ISBLANK(HA$3:HA$34))</f>
        <v>0</v>
      </c>
      <c r="HB43" s="1">
        <f>SUMPRODUCT((NOT(ISBLANK(HB$3:HB$34))*(HB$3:HB$34=$LV$3:$LV$34))+ISBLANK(HB$3:HB$34))</f>
        <v>0</v>
      </c>
      <c r="HC43" s="1">
        <f>SUMPRODUCT((NOT(ISBLANK(HC$3:HC$34))*(HC$3:HC$34=$LW$3:$LW$34))+ISBLANK(HC$3:HC$34))</f>
        <v>0</v>
      </c>
      <c r="HD43" s="1">
        <f>SUMPRODUCT((NOT(ISBLANK(HD$3:HD$34))*(HD$3:HD$34=$LX$3:$LX$34))+ISBLANK(HD$3:HD$34))</f>
        <v>0</v>
      </c>
      <c r="HE43" s="1">
        <f>SUMPRODUCT((NOT(ISBLANK(HE$3:HE$34))*(HE$3:HE$34=$LY$3:$LY$34))+ISBLANK(HE$3:HE$34))</f>
        <v>0</v>
      </c>
      <c r="HF43" s="1"/>
      <c r="HG43" s="1">
        <f>SUMPRODUCT((NOT(ISBLANK(HG$3:HG$34))*(HG$3:HG$34=$LZ$3:$LZ$34))+ISBLANK(HG$3:HG$34))</f>
        <v>0</v>
      </c>
      <c r="HH43" s="1">
        <f>SUMPRODUCT((NOT(ISBLANK(HH$3:HH$34))*(HH$3:HH$34=$MA$3:$MA$34))+ISBLANK(HH$3:HH$34))</f>
        <v>0</v>
      </c>
      <c r="HI43" s="1">
        <f>SUMPRODUCT((NOT(ISBLANK(HI$3:HI$34))*(HI$3:HI$34=$MB$3:$MB$34))+ISBLANK(HI$3:HI$34))</f>
        <v>0</v>
      </c>
      <c r="HJ43" s="1">
        <f>SUMPRODUCT((NOT(ISBLANK(HJ$3:HJ$34))*(HJ$3:HJ$34=$LL$3:$LL$34))+ISBLANK(HJ$3:HJ$34))</f>
        <v>0</v>
      </c>
      <c r="HK43" s="1">
        <f>SUMPRODUCT((NOT(ISBLANK(HK$3:HK$34))*(HK$3:HK$34=$LM$3:$LM$34))+ISBLANK(HK$3:HK$34))</f>
        <v>0</v>
      </c>
      <c r="HL43" s="1">
        <f>SUMPRODUCT((NOT(ISBLANK(HL$3:HL$34))*(HL$3:HL$34=$LN$3:$LN$34))+ISBLANK(HL$3:HL$34))</f>
        <v>0</v>
      </c>
      <c r="HM43" s="1">
        <f>SUMPRODUCT((NOT(ISBLANK(HM$3:HM$34))*(HM$3:HM$34=$LO$3:$LO$34))+ISBLANK(HM$3:HM$34))</f>
        <v>0</v>
      </c>
      <c r="HN43" s="1">
        <f>SUMPRODUCT((NOT(ISBLANK(HN$3:HN$34))*(HN$3:HN$34=$LP$3:$LP$34))+ISBLANK(HN$3:HN$34))</f>
        <v>0</v>
      </c>
      <c r="HO43" s="1">
        <f>SUMPRODUCT((NOT(ISBLANK(HO$3:HO$34))*(HO$3:HO$34=$LQ$3:$LQ$34))+ISBLANK(HO$3:HO$34))</f>
        <v>0</v>
      </c>
      <c r="HP43" s="1">
        <f>SUMPRODUCT((NOT(ISBLANK(HP$3:HP$34))*(HP$3:HP$34=$LR$3:$LR$34))+ISBLANK(HP$3:HP$34))</f>
        <v>0</v>
      </c>
      <c r="HQ43" s="1">
        <f>SUMPRODUCT((NOT(ISBLANK(HQ$3:HQ$34))*(HQ$3:HQ$34=$LS$3:$LS$34))+ISBLANK(HQ$3:HQ$34))</f>
        <v>0</v>
      </c>
      <c r="HR43" s="1">
        <f>SUMPRODUCT((NOT(ISBLANK(HR$3:HR$34))*(HR$3:HR$34=$LT$3:$LT$34))+ISBLANK(HR$3:HR$34))</f>
        <v>0</v>
      </c>
      <c r="HS43" s="1">
        <f>SUMPRODUCT((NOT(ISBLANK(HS$3:HS$34))*(HS$3:HS$34=$LU$3:$LU$34))+ISBLANK(HS$3:HS$34))</f>
        <v>0</v>
      </c>
      <c r="HT43" s="1">
        <f>SUMPRODUCT((NOT(ISBLANK(HT$3:HT$34))*(HT$3:HT$34=$LV$3:$LV$34))+ISBLANK(HT$3:HT$34))</f>
        <v>0</v>
      </c>
      <c r="HU43" s="1">
        <f>SUMPRODUCT((NOT(ISBLANK(HU$3:HU$34))*(HU$3:HU$34=$LW$3:$LW$34))+ISBLANK(HU$3:HU$34))</f>
        <v>0</v>
      </c>
      <c r="HV43" s="1">
        <f>SUMPRODUCT((NOT(ISBLANK(HV$3:HV$34))*(HV$3:HV$34=$LX$3:$LX$34))+ISBLANK(HV$3:HV$34))</f>
        <v>0</v>
      </c>
      <c r="HW43" s="1">
        <f>SUMPRODUCT((NOT(ISBLANK(HW$3:HW$34))*(HW$3:HW$34=$LY$3:$LY$34))+ISBLANK(HW$3:HW$34))</f>
        <v>0</v>
      </c>
      <c r="HX43" s="1"/>
      <c r="HY43" s="1">
        <f>SUMPRODUCT((NOT(ISBLANK(HY$3:HY$34))*(HY$3:HY$34=$LZ$3:$LZ$34))+ISBLANK(HY$3:HY$34))</f>
        <v>0</v>
      </c>
      <c r="HZ43" s="1">
        <f>SUMPRODUCT((NOT(ISBLANK(HZ$3:HZ$34))*(HZ$3:HZ$34=$MA$3:$MA$34))+ISBLANK(HZ$3:HZ$34))</f>
        <v>0</v>
      </c>
      <c r="IA43" s="1">
        <f>SUMPRODUCT((NOT(ISBLANK(IA$3:IA$34))*(IA$3:IA$34=$MB$3:$MB$34))+ISBLANK(IA$3:IA$34))</f>
        <v>0</v>
      </c>
      <c r="IB43" s="1">
        <f>SUMPRODUCT((NOT(ISBLANK(IB$3:IB$34))*(IB$3:IB$34=$LL$3:$LL$34))+ISBLANK(IB$3:IB$34))</f>
        <v>0</v>
      </c>
      <c r="IC43" s="1">
        <f>SUMPRODUCT((NOT(ISBLANK(IC$3:IC$34))*(IC$3:IC$34=$LM$3:$LM$34))+ISBLANK(IC$3:IC$34))</f>
        <v>0</v>
      </c>
      <c r="ID43" s="1">
        <f>SUMPRODUCT((NOT(ISBLANK(ID$3:ID$34))*(ID$3:ID$34=$LN$3:$LN$34))+ISBLANK(ID$3:ID$34))</f>
        <v>0</v>
      </c>
      <c r="IE43" s="1">
        <f>SUMPRODUCT((NOT(ISBLANK(IE$3:IE$34))*(IE$3:IE$34=$LO$3:$LO$34))+ISBLANK(IE$3:IE$34))</f>
        <v>0</v>
      </c>
      <c r="IF43" s="1">
        <f>SUMPRODUCT((NOT(ISBLANK(IF$3:IF$34))*(IF$3:IF$34=$LP$3:$LP$34))+ISBLANK(IF$3:IF$34))</f>
        <v>0</v>
      </c>
      <c r="IG43" s="1">
        <f>SUMPRODUCT((NOT(ISBLANK(IG$3:IG$34))*(IG$3:IG$34=$LQ$3:$LQ$34))+ISBLANK(IG$3:IG$34))</f>
        <v>0</v>
      </c>
      <c r="IH43" s="1">
        <f>SUMPRODUCT((NOT(ISBLANK(IH$3:IH$34))*(IH$3:IH$34=$LR$3:$LR$34))+ISBLANK(IH$3:IH$34))</f>
        <v>0</v>
      </c>
      <c r="II43" s="1">
        <f>SUMPRODUCT((NOT(ISBLANK(II$3:II$34))*(II$3:II$34=$LS$3:$LS$34))+ISBLANK(II$3:II$34))</f>
        <v>0</v>
      </c>
      <c r="IJ43" s="1">
        <f>SUMPRODUCT((NOT(ISBLANK(IJ$3:IJ$34))*(IJ$3:IJ$34=$LT$3:$LT$34))+ISBLANK(IJ$3:IJ$34))</f>
        <v>0</v>
      </c>
      <c r="IK43" s="1">
        <f>SUMPRODUCT((NOT(ISBLANK(IK$3:IK$34))*(IK$3:IK$34=$LU$3:$LU$34))+ISBLANK(IK$3:IK$34))</f>
        <v>0</v>
      </c>
      <c r="IL43" s="1">
        <f>SUMPRODUCT((NOT(ISBLANK(IL$3:IL$34))*(IL$3:IL$34=$LV$3:$LV$34))+ISBLANK(IL$3:IL$34))</f>
        <v>0</v>
      </c>
      <c r="IM43" s="1">
        <f>SUMPRODUCT((NOT(ISBLANK(IM$3:IM$34))*(IM$3:IM$34=$LW$3:$LW$34))+ISBLANK(IM$3:IM$34))</f>
        <v>0</v>
      </c>
      <c r="IN43" s="1">
        <f>SUMPRODUCT((NOT(ISBLANK(IN$3:IN$34))*(IN$3:IN$34=$LX$3:$LX$34))+ISBLANK(IN$3:IN$34))</f>
        <v>0</v>
      </c>
      <c r="IO43" s="1">
        <f>SUMPRODUCT((NOT(ISBLANK(IO$3:IO$34))*(IO$3:IO$34=$LY$3:$LY$34))+ISBLANK(IO$3:IO$34))</f>
        <v>0</v>
      </c>
      <c r="IP43" s="1"/>
      <c r="IQ43" s="1">
        <f>SUMPRODUCT((NOT(ISBLANK(IQ$3:IQ$34))*(IQ$3:IQ$34=$LZ$3:$LZ$34))+ISBLANK(IQ$3:IQ$34))</f>
        <v>0</v>
      </c>
      <c r="IR43" s="1">
        <f>SUMPRODUCT((NOT(ISBLANK(IR$3:IR$34))*(IR$3:IR$34=$MA$3:$MA$34))+ISBLANK(IR$3:IR$34))</f>
        <v>0</v>
      </c>
      <c r="IS43" s="1">
        <f>SUMPRODUCT((NOT(ISBLANK(IS$3:IS$34))*(IS$3:IS$34=$MB$3:$MB$34))+ISBLANK(IS$3:IS$34))</f>
        <v>0</v>
      </c>
      <c r="IT43" s="1">
        <f>SUMPRODUCT((NOT(ISBLANK(IT$3:IT$34))*(IT$3:IT$34=$LL$3:$LL$34))+ISBLANK(IT$3:IT$34))</f>
        <v>0</v>
      </c>
      <c r="IU43" s="1">
        <f>SUMPRODUCT((NOT(ISBLANK(IU$3:IU$34))*(IU$3:IU$34=$LM$3:$LM$34))+ISBLANK(IU$3:IU$34))</f>
        <v>0</v>
      </c>
      <c r="IV43" s="1">
        <f>SUMPRODUCT((NOT(ISBLANK(IV$3:IV$34))*(IV$3:IV$34=$LN$3:$LN$34))+ISBLANK(IV$3:IV$34))</f>
        <v>0</v>
      </c>
      <c r="IW43" s="1">
        <f>SUMPRODUCT((NOT(ISBLANK(IW$3:IW$34))*(IW$3:IW$34=$LO$3:$LO$34))+ISBLANK(IW$3:IW$34))</f>
        <v>0</v>
      </c>
      <c r="IX43" s="1">
        <f>SUMPRODUCT((NOT(ISBLANK(IX$3:IX$34))*(IX$3:IX$34=$LP$3:$LP$34))+ISBLANK(IX$3:IX$34))</f>
        <v>0</v>
      </c>
      <c r="IY43" s="1">
        <f>SUMPRODUCT((NOT(ISBLANK(IY$3:IY$34))*(IY$3:IY$34=$LQ$3:$LQ$34))+ISBLANK(IY$3:IY$34))</f>
        <v>0</v>
      </c>
      <c r="IZ43" s="1">
        <f>SUMPRODUCT((NOT(ISBLANK(IZ$3:IZ$34))*(IZ$3:IZ$34=$LR$3:$LR$34))+ISBLANK(IZ$3:IZ$34))</f>
        <v>0</v>
      </c>
      <c r="JA43" s="1">
        <f>SUMPRODUCT((NOT(ISBLANK(JA$3:JA$34))*(JA$3:JA$34=$LS$3:$LS$34))+ISBLANK(JA$3:JA$34))</f>
        <v>0</v>
      </c>
      <c r="JB43" s="1">
        <f>SUMPRODUCT((NOT(ISBLANK(JB$3:JB$34))*(JB$3:JB$34=$LT$3:$LT$34))+ISBLANK(JB$3:JB$34))</f>
        <v>0</v>
      </c>
      <c r="JC43" s="1">
        <f>SUMPRODUCT((NOT(ISBLANK(JC$3:JC$34))*(JC$3:JC$34=$LU$3:$LU$34))+ISBLANK(JC$3:JC$34))</f>
        <v>0</v>
      </c>
      <c r="JD43" s="1">
        <f>SUMPRODUCT((NOT(ISBLANK(JD$3:JD$34))*(JD$3:JD$34=$LV$3:$LV$34))+ISBLANK(JD$3:JD$34))</f>
        <v>0</v>
      </c>
      <c r="JE43" s="1">
        <f>SUMPRODUCT((NOT(ISBLANK(JE$3:JE$34))*(JE$3:JE$34=$LW$3:$LW$34))+ISBLANK(JE$3:JE$34))</f>
        <v>0</v>
      </c>
      <c r="JF43" s="1">
        <f>SUMPRODUCT((NOT(ISBLANK(JF$3:JF$34))*(JF$3:JF$34=$LX$3:$LX$34))+ISBLANK(JF$3:JF$34))</f>
        <v>0</v>
      </c>
      <c r="JG43" s="1">
        <f>SUMPRODUCT((NOT(ISBLANK(JG$3:JG$34))*(JG$3:JG$34=$LY$3:$LY$34))+ISBLANK(JG$3:JG$34))</f>
        <v>0</v>
      </c>
      <c r="JH43" s="1"/>
      <c r="JI43" s="1">
        <f>SUMPRODUCT((NOT(ISBLANK(JI$3:JI$34))*(JI$3:JI$34=$LZ$3:$LZ$34))+ISBLANK(JI$3:JI$34))</f>
        <v>0</v>
      </c>
      <c r="JJ43" s="1">
        <f>SUMPRODUCT((NOT(ISBLANK(JJ$3:JJ$34))*(JJ$3:JJ$34=$MA$3:$MA$34))+ISBLANK(JJ$3:JJ$34))</f>
        <v>0</v>
      </c>
      <c r="JK43" s="1">
        <f>SUMPRODUCT((NOT(ISBLANK(JK$3:JK$34))*(JK$3:JK$34=$MB$3:$MB$34))+ISBLANK(JK$3:JK$34))</f>
        <v>0</v>
      </c>
      <c r="JL43" s="1">
        <f>SUMPRODUCT((NOT(ISBLANK(JL$3:JL$34))*(JL$3:JL$34=$LL$3:$LL$34))+ISBLANK(JL$3:JL$34))</f>
        <v>0</v>
      </c>
      <c r="JM43" s="1">
        <f>SUMPRODUCT((NOT(ISBLANK(JM$3:JM$34))*(JM$3:JM$34=$LM$3:$LM$34))+ISBLANK(JM$3:JM$34))</f>
        <v>0</v>
      </c>
      <c r="JN43" s="1">
        <f>SUMPRODUCT((NOT(ISBLANK(JN$3:JN$34))*(JN$3:JN$34=$LN$3:$LN$34))+ISBLANK(JN$3:JN$34))</f>
        <v>0</v>
      </c>
      <c r="JO43" s="1">
        <f>SUMPRODUCT((NOT(ISBLANK(JO$3:JO$34))*(JO$3:JO$34=$LO$3:$LO$34))+ISBLANK(JO$3:JO$34))</f>
        <v>0</v>
      </c>
      <c r="JP43" s="1">
        <f>SUMPRODUCT((NOT(ISBLANK(JP$3:JP$34))*(JP$3:JP$34=$LP$3:$LP$34))+ISBLANK(JP$3:JP$34))</f>
        <v>0</v>
      </c>
      <c r="JQ43" s="1">
        <f>SUMPRODUCT((NOT(ISBLANK(JQ$3:JQ$34))*(JQ$3:JQ$34=$LQ$3:$LQ$34))+ISBLANK(JQ$3:JQ$34))</f>
        <v>0</v>
      </c>
      <c r="JR43" s="1">
        <f>SUMPRODUCT((NOT(ISBLANK(JR$3:JR$34))*(JR$3:JR$34=$LR$3:$LR$34))+ISBLANK(JR$3:JR$34))</f>
        <v>0</v>
      </c>
      <c r="JS43" s="1">
        <f>SUMPRODUCT((NOT(ISBLANK(JS$3:JS$34))*(JS$3:JS$34=$LS$3:$LS$34))+ISBLANK(JS$3:JS$34))</f>
        <v>0</v>
      </c>
      <c r="JT43" s="1">
        <f>SUMPRODUCT((NOT(ISBLANK(JT$3:JT$34))*(JT$3:JT$34=$LT$3:$LT$34))+ISBLANK(JT$3:JT$34))</f>
        <v>0</v>
      </c>
      <c r="JU43" s="1">
        <f>SUMPRODUCT((NOT(ISBLANK(JU$3:JU$34))*(JU$3:JU$34=$LU$3:$LU$34))+ISBLANK(JU$3:JU$34))</f>
        <v>0</v>
      </c>
      <c r="JV43" s="1">
        <f>SUMPRODUCT((NOT(ISBLANK(JV$3:JV$34))*(JV$3:JV$34=$LV$3:$LV$34))+ISBLANK(JV$3:JV$34))</f>
        <v>0</v>
      </c>
      <c r="JW43" s="1">
        <f>SUMPRODUCT((NOT(ISBLANK(JW$3:JW$34))*(JW$3:JW$34=$LW$3:$LW$34))+ISBLANK(JW$3:JW$34))</f>
        <v>0</v>
      </c>
      <c r="JX43" s="1">
        <f>SUMPRODUCT((NOT(ISBLANK(JX$3:JX$34))*(JX$3:JX$34=$LX$3:$LX$34))+ISBLANK(JX$3:JX$34))</f>
        <v>0</v>
      </c>
      <c r="JY43" s="1">
        <f>SUMPRODUCT((NOT(ISBLANK(JY$3:JY$34))*(JY$3:JY$34=$LY$3:$LY$34))+ISBLANK(JY$3:JY$34))</f>
        <v>0</v>
      </c>
      <c r="JZ43" s="1"/>
      <c r="KA43" s="1">
        <f>SUMPRODUCT((NOT(ISBLANK(KA$3:KA$34))*(KA$3:KA$34=$LZ$3:$LZ$34))+ISBLANK(KA$3:KA$34))</f>
        <v>0</v>
      </c>
      <c r="KB43" s="1">
        <f>SUMPRODUCT((NOT(ISBLANK(KB$3:KB$34))*(KB$3:KB$34=$MA$3:$MA$34))+ISBLANK(KB$3:KB$34))</f>
        <v>0</v>
      </c>
      <c r="KC43" s="1">
        <f>SUMPRODUCT((NOT(ISBLANK(KC$3:KC$34))*(KC$3:KC$34=$MB$3:$MB$34))+ISBLANK(KC$3:KC$34))</f>
        <v>0</v>
      </c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B4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340" width="11.42578125" customWidth="1"/>
  </cols>
  <sheetData>
    <row r="1" spans="1:340">
      <c r="A1" s="1" t="s">
        <v>79</v>
      </c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2" t="s">
        <v>77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 cm="1">
        <f t="array" ref="AF3">_xlfn.SWITCH($A$2,"average", AVERAGE(Instances!AF3:Instances!AF3),"median", MEDIAN(Instances!AF3:Instances!AF3),"min", MIN(Instances!AF3:Instances!AF3),"max", MAX(Instances!AF3:Instances!AF3),"diff", MAX(Instances!AF3:Instances!AF3)-MIN(Instances!AF3:Instances!AF3))</f>
        <v>0</v>
      </c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 cm="1">
        <f t="array" ref="O4">_xlfn.SWITCH($A$2,"average", AVERAGE(Instances!O4:Instances!O4),"median", MEDIAN(Instances!O4:Instances!O4),"min", MIN(Instances!O4:Instances!O4),"max", MAX(Instances!O4:Instances!O4),"diff", MAX(Instances!O4:Instances!O4)-MIN(Instances!O4:Instances!O4))</f>
        <v>0</v>
      </c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 cm="1">
        <f t="array" ref="S4">_xlfn.SWITCH($A$2,"average", AVERAGE(Instances!S4:Instances!S4),"median", MEDIAN(Instances!S4:Instances!S4),"min", MIN(Instances!S4:Instances!S4),"max", MAX(Instances!S4:Instances!S4),"diff", MAX(Instances!S4:Instances!S4)-MIN(Instances!S4:Instances!S4))</f>
        <v>0</v>
      </c>
      <c r="T4" s="1" cm="1">
        <f t="array" ref="T4">_xlfn.SWITCH($A$2,"average", AVERAGE(Instances!T4:Instances!T4),"median", MEDIAN(Instances!T4:Instances!T4),"min", MIN(Instances!T4:Instances!T4),"max", MAX(Instances!T4:Instances!T4),"diff", MAX(Instances!T4:Instances!T4)-MIN(Instances!T4:Instances!T4))</f>
        <v>0</v>
      </c>
      <c r="U4" s="1" cm="1">
        <f t="array" ref="U4">_xlfn.SWITCH($A$2,"average", AVERAGE(Instances!U4:Instances!U4),"median", MEDIAN(Instances!U4:Instances!U4),"min", MIN(Instances!U4:Instances!U4),"max", MAX(Instances!U4:Instances!U4),"diff", MAX(Instances!U4:Instances!U4)-MIN(Instances!U4:Instances!U4))</f>
        <v>0</v>
      </c>
      <c r="V4" s="1" cm="1">
        <f t="array" ref="V4">_xlfn.SWITCH($A$2,"average", AVERAGE(Instances!V4:Instances!V4),"median", MEDIAN(Instances!V4:Instances!V4),"min", MIN(Instances!V4:Instances!V4),"max", MAX(Instances!V4:Instances!V4),"diff", MAX(Instances!V4:Instances!V4)-MIN(Instances!V4:Instances!V4))</f>
        <v>0</v>
      </c>
      <c r="W4" s="1" cm="1">
        <f t="array" ref="W4">_xlfn.SWITCH($A$2,"average", AVERAGE(Instances!W4:Instances!W4),"median", MEDIAN(Instances!W4:Instances!W4),"min", MIN(Instances!W4:Instances!W4),"max", MAX(Instances!W4:Instances!W4),"diff", MAX(Instances!W4:Instances!W4)-MIN(Instances!W4:Instances!W4))</f>
        <v>0</v>
      </c>
      <c r="X4" s="1" cm="1">
        <f t="array" ref="X4">_xlfn.SWITCH($A$2,"average", AVERAGE(Instances!X4:Instances!X4),"median", MEDIAN(Instances!X4:Instances!X4),"min", MIN(Instances!X4:Instances!X4),"max", MAX(Instances!X4:Instances!X4),"diff", MAX(Instances!X4:Instances!X4)-MIN(Instances!X4:Instances!X4))</f>
        <v>0</v>
      </c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 cm="1">
        <f t="array" ref="Z4">_xlfn.SWITCH($A$2,"average", AVERAGE(Instances!Z4:Instances!Z4),"median", MEDIAN(Instances!Z4:Instances!Z4),"min", MIN(Instances!Z4:Instances!Z4),"max", MAX(Instances!Z4:Instances!Z4),"diff", MAX(Instances!Z4:Instances!Z4)-MIN(Instances!Z4:Instances!Z4))</f>
        <v>0</v>
      </c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 cm="1">
        <f t="array" ref="AC4">_xlfn.SWITCH($A$2,"average", AVERAGE(Instances!AC4:Instances!AC4),"median", MEDIAN(Instances!AC4:Instances!AC4),"min", MIN(Instances!AC4:Instances!AC4),"max", MAX(Instances!AC4:Instances!AC4),"diff", MAX(Instances!AC4:Instances!AC4)-MIN(Instances!AC4:Instances!AC4))</f>
        <v>0</v>
      </c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 cm="1">
        <f t="array" ref="AE4">_xlfn.SWITCH($A$2,"average", AVERAGE(Instances!AE4:Instances!AE4),"median", MEDIAN(Instances!AE4:Instances!AE4),"min", MIN(Instances!AE4:Instances!AE4),"max", MAX(Instances!AE4:Instances!AE4),"diff", MAX(Instances!AE4:Instances!AE4)-MIN(Instances!AE4:Instances!AE4))</f>
        <v>0</v>
      </c>
      <c r="AF4" s="1" cm="1">
        <f t="array" ref="AF4">_xlfn.SWITCH($A$2,"average", AVERAGE(Instances!AF4:Instances!AF4),"median", MEDIAN(Instances!AF4:Instances!AF4),"min", MIN(Instances!AF4:Instances!AF4),"max", MAX(Instances!AF4:Instances!AF4),"diff", MAX(Instances!AF4:Instances!AF4)-MIN(Instances!AF4:Instances!AF4))</f>
        <v>0</v>
      </c>
      <c r="AG4" s="1" cm="1">
        <f t="array" ref="AG4">_xlfn.SWITCH($A$2,"average", AVERAGE(Instances!AG4:Instances!AG4),"median", MEDIAN(Instances!AG4:Instances!AG4),"min", MIN(Instances!AG4:Instances!AG4),"max", MAX(Instances!AG4:Instances!AG4),"diff", MAX(Instances!AG4:Instances!AG4)-MIN(Instances!AG4:Instances!AG4))</f>
        <v>0</v>
      </c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 cm="1">
        <f t="array" ref="AK4">_xlfn.SWITCH($A$2,"average", AVERAGE(Instances!AK4:Instances!AK4),"median", MEDIAN(Instances!AK4:Instances!AK4),"min", MIN(Instances!AK4:Instances!AK4),"max", MAX(Instances!AK4:Instances!AK4),"diff", MAX(Instances!AK4:Instances!AK4)-MIN(Instances!AK4:Instances!AK4))</f>
        <v>0</v>
      </c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 cm="1">
        <f t="array" ref="O5">_xlfn.SWITCH($A$2,"average", AVERAGE(Instances!O5:Instances!O5),"median", MEDIAN(Instances!O5:Instances!O5),"min", MIN(Instances!O5:Instances!O5),"max", MAX(Instances!O5:Instances!O5),"diff", MAX(Instances!O5:Instances!O5)-MIN(Instances!O5:Instances!O5))</f>
        <v>0</v>
      </c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 cm="1">
        <f t="array" ref="S5">_xlfn.SWITCH($A$2,"average", AVERAGE(Instances!S5:Instances!S5),"median", MEDIAN(Instances!S5:Instances!S5),"min", MIN(Instances!S5:Instances!S5),"max", MAX(Instances!S5:Instances!S5),"diff", MAX(Instances!S5:Instances!S5)-MIN(Instances!S5:Instances!S5))</f>
        <v>0</v>
      </c>
      <c r="T5" s="1" cm="1">
        <f t="array" ref="T5">_xlfn.SWITCH($A$2,"average", AVERAGE(Instances!T5:Instances!T5),"median", MEDIAN(Instances!T5:Instances!T5),"min", MIN(Instances!T5:Instances!T5),"max", MAX(Instances!T5:Instances!T5),"diff", MAX(Instances!T5:Instances!T5)-MIN(Instances!T5:Instances!T5))</f>
        <v>0</v>
      </c>
      <c r="U5" s="1" cm="1">
        <f t="array" ref="U5">_xlfn.SWITCH($A$2,"average", AVERAGE(Instances!U5:Instances!U5),"median", MEDIAN(Instances!U5:Instances!U5),"min", MIN(Instances!U5:Instances!U5),"max", MAX(Instances!U5:Instances!U5),"diff", MAX(Instances!U5:Instances!U5)-MIN(Instances!U5:Instances!U5))</f>
        <v>0</v>
      </c>
      <c r="V5" s="1" cm="1">
        <f t="array" ref="V5">_xlfn.SWITCH($A$2,"average", AVERAGE(Instances!V5:Instances!V5),"median", MEDIAN(Instances!V5:Instances!V5),"min", MIN(Instances!V5:Instances!V5),"max", MAX(Instances!V5:Instances!V5),"diff", MAX(Instances!V5:Instances!V5)-MIN(Instances!V5:Instances!V5))</f>
        <v>0</v>
      </c>
      <c r="W5" s="1" cm="1">
        <f t="array" ref="W5">_xlfn.SWITCH($A$2,"average", AVERAGE(Instances!W5:Instances!W5),"median", MEDIAN(Instances!W5:Instances!W5),"min", MIN(Instances!W5:Instances!W5),"max", MAX(Instances!W5:Instances!W5),"diff", MAX(Instances!W5:Instances!W5)-MIN(Instances!W5:Instances!W5))</f>
        <v>0</v>
      </c>
      <c r="X5" s="1" cm="1">
        <f t="array" ref="X5">_xlfn.SWITCH($A$2,"average", AVERAGE(Instances!X5:Instances!X5),"median", MEDIAN(Instances!X5:Instances!X5),"min", MIN(Instances!X5:Instances!X5),"max", MAX(Instances!X5:Instances!X5),"diff", MAX(Instances!X5:Instances!X5)-MIN(Instances!X5:Instances!X5))</f>
        <v>0</v>
      </c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 cm="1">
        <f t="array" ref="Z5">_xlfn.SWITCH($A$2,"average", AVERAGE(Instances!Z5:Instances!Z5),"median", MEDIAN(Instances!Z5:Instances!Z5),"min", MIN(Instances!Z5:Instances!Z5),"max", MAX(Instances!Z5:Instances!Z5),"diff", MAX(Instances!Z5:Instances!Z5)-MIN(Instances!Z5:Instances!Z5))</f>
        <v>0</v>
      </c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 cm="1">
        <f t="array" ref="AC5">_xlfn.SWITCH($A$2,"average", AVERAGE(Instances!AC5:Instances!AC5),"median", MEDIAN(Instances!AC5:Instances!AC5),"min", MIN(Instances!AC5:Instances!AC5),"max", MAX(Instances!AC5:Instances!AC5),"diff", MAX(Instances!AC5:Instances!AC5)-MIN(Instances!AC5:Instances!AC5))</f>
        <v>0</v>
      </c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 cm="1">
        <f t="array" ref="AE5">_xlfn.SWITCH($A$2,"average", AVERAGE(Instances!AE5:Instances!AE5),"median", MEDIAN(Instances!AE5:Instances!AE5),"min", MIN(Instances!AE5:Instances!AE5),"max", MAX(Instances!AE5:Instances!AE5),"diff", MAX(Instances!AE5:Instances!AE5)-MIN(Instances!AE5:Instances!AE5))</f>
        <v>0</v>
      </c>
      <c r="AF5" s="1" cm="1">
        <f t="array" ref="AF5">_xlfn.SWITCH($A$2,"average", AVERAGE(Instances!AF5:Instances!AF5),"median", MEDIAN(Instances!AF5:Instances!AF5),"min", MIN(Instances!AF5:Instances!AF5),"max", MAX(Instances!AF5:Instances!AF5),"diff", MAX(Instances!AF5:Instances!AF5)-MIN(Instances!AF5:Instances!AF5))</f>
        <v>0</v>
      </c>
      <c r="AG5" s="1" cm="1">
        <f t="array" ref="AG5">_xlfn.SWITCH($A$2,"average", AVERAGE(Instances!AG5:Instances!AG5),"median", MEDIAN(Instances!AG5:Instances!AG5),"min", MIN(Instances!AG5:Instances!AG5),"max", MAX(Instances!AG5:Instances!AG5),"diff", MAX(Instances!AG5:Instances!AG5)-MIN(Instances!AG5:Instances!AG5))</f>
        <v>0</v>
      </c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 cm="1">
        <f t="array" ref="AK5">_xlfn.SWITCH($A$2,"average", AVERAGE(Instances!AK5:Instances!AK5),"median", MEDIAN(Instances!AK5:Instances!AK5),"min", MIN(Instances!AK5:Instances!AK5),"max", MAX(Instances!AK5:Instances!AK5),"diff", MAX(Instances!AK5:Instances!AK5)-MIN(Instances!AK5:Instances!AK5))</f>
        <v>0</v>
      </c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 cm="1">
        <f t="array" ref="O6">_xlfn.SWITCH($A$2,"average", AVERAGE(Instances!O6:Instances!O6),"median", MEDIAN(Instances!O6:Instances!O6),"min", MIN(Instances!O6:Instances!O6),"max", MAX(Instances!O6:Instances!O6),"diff", MAX(Instances!O6:Instances!O6)-MIN(Instances!O6:Instances!O6))</f>
        <v>0</v>
      </c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 cm="1">
        <f t="array" ref="S6">_xlfn.SWITCH($A$2,"average", AVERAGE(Instances!S6:Instances!S6),"median", MEDIAN(Instances!S6:Instances!S6),"min", MIN(Instances!S6:Instances!S6),"max", MAX(Instances!S6:Instances!S6),"diff", MAX(Instances!S6:Instances!S6)-MIN(Instances!S6:Instances!S6))</f>
        <v>0</v>
      </c>
      <c r="T6" s="1" cm="1">
        <f t="array" ref="T6">_xlfn.SWITCH($A$2,"average", AVERAGE(Instances!T6:Instances!T6),"median", MEDIAN(Instances!T6:Instances!T6),"min", MIN(Instances!T6:Instances!T6),"max", MAX(Instances!T6:Instances!T6),"diff", MAX(Instances!T6:Instances!T6)-MIN(Instances!T6:Instances!T6))</f>
        <v>0</v>
      </c>
      <c r="U6" s="1" cm="1">
        <f t="array" ref="U6">_xlfn.SWITCH($A$2,"average", AVERAGE(Instances!U6:Instances!U6),"median", MEDIAN(Instances!U6:Instances!U6),"min", MIN(Instances!U6:Instances!U6),"max", MAX(Instances!U6:Instances!U6),"diff", MAX(Instances!U6:Instances!U6)-MIN(Instances!U6:Instances!U6))</f>
        <v>0</v>
      </c>
      <c r="V6" s="1" cm="1">
        <f t="array" ref="V6">_xlfn.SWITCH($A$2,"average", AVERAGE(Instances!V6:Instances!V6),"median", MEDIAN(Instances!V6:Instances!V6),"min", MIN(Instances!V6:Instances!V6),"max", MAX(Instances!V6:Instances!V6),"diff", MAX(Instances!V6:Instances!V6)-MIN(Instances!V6:Instances!V6))</f>
        <v>0</v>
      </c>
      <c r="W6" s="1" cm="1">
        <f t="array" ref="W6">_xlfn.SWITCH($A$2,"average", AVERAGE(Instances!W6:Instances!W6),"median", MEDIAN(Instances!W6:Instances!W6),"min", MIN(Instances!W6:Instances!W6),"max", MAX(Instances!W6:Instances!W6),"diff", MAX(Instances!W6:Instances!W6)-MIN(Instances!W6:Instances!W6))</f>
        <v>0</v>
      </c>
      <c r="X6" s="1" cm="1">
        <f t="array" ref="X6">_xlfn.SWITCH($A$2,"average", AVERAGE(Instances!X6:Instances!X6),"median", MEDIAN(Instances!X6:Instances!X6),"min", MIN(Instances!X6:Instances!X6),"max", MAX(Instances!X6:Instances!X6),"diff", MAX(Instances!X6:Instances!X6)-MIN(Instances!X6:Instances!X6))</f>
        <v>0</v>
      </c>
      <c r="Y6" s="1" cm="1">
        <f t="array" ref="Y6">_xlfn.SWITCH($A$2,"average", AVERAGE(Instances!Y6:Instances!Y6),"median", MEDIAN(Instances!Y6:Instances!Y6),"min", MIN(Instances!Y6:Instances!Y6),"max", MAX(Instances!Y6:Instances!Y6),"diff", MAX(Instances!Y6:Instances!Y6)-MIN(Instances!Y6:Instances!Y6))</f>
        <v>0</v>
      </c>
      <c r="Z6" s="1" cm="1">
        <f t="array" ref="Z6">_xlfn.SWITCH($A$2,"average", AVERAGE(Instances!Z6:Instances!Z6),"median", MEDIAN(Instances!Z6:Instances!Z6),"min", MIN(Instances!Z6:Instances!Z6),"max", MAX(Instances!Z6:Instances!Z6),"diff", MAX(Instances!Z6:Instances!Z6)-MIN(Instances!Z6:Instances!Z6))</f>
        <v>0</v>
      </c>
      <c r="AA6" s="1" cm="1">
        <f t="array" ref="AA6">_xlfn.SWITCH($A$2,"average", AVERAGE(Instances!AA6:Instances!AA6),"median", MEDIAN(Instances!AA6:Instances!AA6),"min", MIN(Instances!AA6:Instances!AA6),"max", MAX(Instances!AA6:Instances!AA6),"diff", MAX(Instances!AA6:Instances!AA6)-MIN(Instances!AA6:Instances!AA6))</f>
        <v>0</v>
      </c>
      <c r="AB6" s="1" cm="1">
        <f t="array" ref="AB6">_xlfn.SWITCH($A$2,"average", AVERAGE(Instances!AB6:Instances!AB6),"median", MEDIAN(Instances!AB6:Instances!AB6),"min", MIN(Instances!AB6:Instances!AB6),"max", MAX(Instances!AB6:Instances!AB6),"diff", MAX(Instances!AB6:Instances!AB6)-MIN(Instances!AB6:Instances!AB6))</f>
        <v>0</v>
      </c>
      <c r="AC6" s="1" cm="1">
        <f t="array" ref="AC6">_xlfn.SWITCH($A$2,"average", AVERAGE(Instances!AC6:Instances!AC6),"median", MEDIAN(Instances!AC6:Instances!AC6),"min", MIN(Instances!AC6:Instances!AC6),"max", MAX(Instances!AC6:Instances!AC6),"diff", MAX(Instances!AC6:Instances!AC6)-MIN(Instances!AC6:Instances!AC6))</f>
        <v>0</v>
      </c>
      <c r="AD6" s="1" cm="1">
        <f t="array" ref="AD6">_xlfn.SWITCH($A$2,"average", AVERAGE(Instances!AD6:Instances!AD6),"median", MEDIAN(Instances!AD6:Instances!AD6),"min", MIN(Instances!AD6:Instances!AD6),"max", MAX(Instances!AD6:Instances!AD6),"diff", MAX(Instances!AD6:Instances!AD6)-MIN(Instances!AD6:Instances!AD6))</f>
        <v>0</v>
      </c>
      <c r="AE6" s="1" cm="1">
        <f t="array" ref="AE6">_xlfn.SWITCH($A$2,"average", AVERAGE(Instances!AE6:Instances!AE6),"median", MEDIAN(Instances!AE6:Instances!AE6),"min", MIN(Instances!AE6:Instances!AE6),"max", MAX(Instances!AE6:Instances!AE6),"diff", MAX(Instances!AE6:Instances!AE6)-MIN(Instances!AE6:Instances!AE6))</f>
        <v>0</v>
      </c>
      <c r="AF6" s="1" cm="1">
        <f t="array" ref="AF6">_xlfn.SWITCH($A$2,"average", AVERAGE(Instances!AF6:Instances!AF6),"median", MEDIAN(Instances!AF6:Instances!AF6),"min", MIN(Instances!AF6:Instances!AF6),"max", MAX(Instances!AF6:Instances!AF6),"diff", MAX(Instances!AF6:Instances!AF6)-MIN(Instances!AF6:Instances!AF6))</f>
        <v>0</v>
      </c>
      <c r="AG6" s="1" cm="1">
        <f t="array" ref="AG6">_xlfn.SWITCH($A$2,"average", AVERAGE(Instances!AG6:Instances!AG6),"median", MEDIAN(Instances!AG6:Instances!AG6),"min", MIN(Instances!AG6:Instances!AG6),"max", MAX(Instances!AG6:Instances!AG6),"diff", MAX(Instances!AG6:Instances!AG6)-MIN(Instances!AG6:Instances!AG6))</f>
        <v>0</v>
      </c>
      <c r="AH6" s="1"/>
      <c r="AI6" s="1" cm="1">
        <f t="array" ref="AI6">_xlfn.SWITCH($A$2,"average", AVERAGE(Instances!AI6:Instances!AI6),"median", MEDIAN(Instances!AI6:Instances!AI6),"min", MIN(Instances!AI6:Instances!AI6),"max", MAX(Instances!AI6:Instances!AI6),"diff", MAX(Instances!AI6:Instances!AI6)-MIN(Instances!AI6:Instances!AI6))</f>
        <v>0</v>
      </c>
      <c r="AJ6" s="1" cm="1">
        <f t="array" ref="AJ6">_xlfn.SWITCH($A$2,"average", AVERAGE(Instances!AJ6:Instances!AJ6),"median", MEDIAN(Instances!AJ6:Instances!AJ6),"min", MIN(Instances!AJ6:Instances!AJ6),"max", MAX(Instances!AJ6:Instances!AJ6),"diff", MAX(Instances!AJ6:Instances!AJ6)-MIN(Instances!AJ6:Instances!AJ6))</f>
        <v>0</v>
      </c>
      <c r="AK6" s="1" cm="1">
        <f t="array" ref="AK6">_xlfn.SWITCH($A$2,"average", AVERAGE(Instances!AK6:Instances!AK6),"median", MEDIAN(Instances!AK6:Instances!AK6),"min", MIN(Instances!AK6:Instances!AK6),"max", MAX(Instances!AK6:Instances!AK6),"diff", MAX(Instances!AK6:Instances!AK6)-MIN(Instances!AK6:Instances!AK6))</f>
        <v>0</v>
      </c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 cm="1">
        <f t="array" ref="CN6">_xlfn.SWITCH($A$2,"average", AVERAGE(Instances!CN6:Instances!CN6),"median", MEDIAN(Instances!CN6:Instances!CN6),"min", MIN(Instances!CN6:Instances!CN6),"max", MAX(Instances!CN6:Instances!CN6),"diff", MAX(Instances!CN6:Instances!CN6)-MIN(Instances!CN6:Instances!CN6))</f>
        <v>0</v>
      </c>
      <c r="CO6" s="1" cm="1">
        <f t="array" ref="CO6">_xlfn.SWITCH($A$2,"average", AVERAGE(Instances!CO6:Instances!CO6),"median", MEDIAN(Instances!CO6:Instances!CO6),"min", MIN(Instances!CO6:Instances!CO6),"max", MAX(Instances!CO6:Instances!CO6),"diff", MAX(Instances!CO6:Instances!CO6)-MIN(Instances!CO6:Instances!CO6))</f>
        <v>0</v>
      </c>
      <c r="CP6" s="1" cm="1">
        <f t="array" ref="CP6">_xlfn.SWITCH($A$2,"average", AVERAGE(Instances!CP6:Instances!CP6),"median", MEDIAN(Instances!CP6:Instances!CP6),"min", MIN(Instances!CP6:Instances!CP6),"max", MAX(Instances!CP6:Instances!CP6),"diff", MAX(Instances!CP6:Instances!CP6)-MIN(Instances!CP6:Instances!CP6))</f>
        <v>0</v>
      </c>
      <c r="CQ6" s="1" cm="1">
        <f t="array" ref="CQ6">_xlfn.SWITCH($A$2,"average", AVERAGE(Instances!CQ6:Instances!CQ6),"median", MEDIAN(Instances!CQ6:Instances!CQ6),"min", MIN(Instances!CQ6:Instances!CQ6),"max", MAX(Instances!CQ6:Instances!CQ6),"diff", MAX(Instances!CQ6:Instances!CQ6)-MIN(Instances!CQ6:Instances!CQ6))</f>
        <v>0</v>
      </c>
      <c r="CR6" s="1" cm="1">
        <f t="array" ref="CR6">_xlfn.SWITCH($A$2,"average", AVERAGE(Instances!CR6:Instances!CR6),"median", MEDIAN(Instances!CR6:Instances!CR6),"min", MIN(Instances!CR6:Instances!CR6),"max", MAX(Instances!CR6:Instances!CR6),"diff", MAX(Instances!CR6:Instances!CR6)-MIN(Instances!CR6:Instances!CR6))</f>
        <v>0</v>
      </c>
      <c r="CS6" s="1" cm="1">
        <f t="array" ref="CS6">_xlfn.SWITCH($A$2,"average", AVERAGE(Instances!CS6:Instances!CS6),"median", MEDIAN(Instances!CS6:Instances!CS6),"min", MIN(Instances!CS6:Instances!CS6),"max", MAX(Instances!CS6:Instances!CS6),"diff", MAX(Instances!CS6:Instances!CS6)-MIN(Instances!CS6:Instances!CS6))</f>
        <v>0</v>
      </c>
      <c r="CT6" s="1" cm="1">
        <f t="array" ref="CT6">_xlfn.SWITCH($A$2,"average", AVERAGE(Instances!CT6:Instances!CT6),"median", MEDIAN(Instances!CT6:Instances!CT6),"min", MIN(Instances!CT6:Instances!CT6),"max", MAX(Instances!CT6:Instances!CT6),"diff", MAX(Instances!CT6:Instances!CT6)-MIN(Instances!CT6:Instances!CT6))</f>
        <v>0</v>
      </c>
      <c r="CU6" s="1" cm="1">
        <f t="array" ref="CU6">_xlfn.SWITCH($A$2,"average", AVERAGE(Instances!CU6:Instances!CU6),"median", MEDIAN(Instances!CU6:Instances!CU6),"min", MIN(Instances!CU6:Instances!CU6),"max", MAX(Instances!CU6:Instances!CU6),"diff", MAX(Instances!CU6:Instances!CU6)-MIN(Instances!CU6:Instances!CU6))</f>
        <v>0</v>
      </c>
      <c r="CV6" s="1" cm="1">
        <f t="array" ref="CV6">_xlfn.SWITCH($A$2,"average", AVERAGE(Instances!CV6:Instances!CV6),"median", MEDIAN(Instances!CV6:Instances!CV6),"min", MIN(Instances!CV6:Instances!CV6),"max", MAX(Instances!CV6:Instances!CV6),"diff", MAX(Instances!CV6:Instances!CV6)-MIN(Instances!CV6:Instances!CV6))</f>
        <v>0</v>
      </c>
      <c r="CW6" s="1" cm="1">
        <f t="array" ref="CW6">_xlfn.SWITCH($A$2,"average", AVERAGE(Instances!CW6:Instances!CW6),"median", MEDIAN(Instances!CW6:Instances!CW6),"min", MIN(Instances!CW6:Instances!CW6),"max", MAX(Instances!CW6:Instances!CW6),"diff", MAX(Instances!CW6:Instances!CW6)-MIN(Instances!CW6:Instances!CW6))</f>
        <v>0</v>
      </c>
      <c r="CX6" s="1" cm="1">
        <f t="array" ref="CX6">_xlfn.SWITCH($A$2,"average", AVERAGE(Instances!CX6:Instances!CX6),"median", MEDIAN(Instances!CX6:Instances!CX6),"min", MIN(Instances!CX6:Instances!CX6),"max", MAX(Instances!CX6:Instances!CX6),"diff", MAX(Instances!CX6:Instances!CX6)-MIN(Instances!CX6:Instances!CX6))</f>
        <v>0</v>
      </c>
      <c r="CY6" s="1" cm="1">
        <f t="array" ref="CY6">_xlfn.SWITCH($A$2,"average", AVERAGE(Instances!CY6:Instances!CY6),"median", MEDIAN(Instances!CY6:Instances!CY6),"min", MIN(Instances!CY6:Instances!CY6),"max", MAX(Instances!CY6:Instances!CY6),"diff", MAX(Instances!CY6:Instances!CY6)-MIN(Instances!CY6:Instances!CY6))</f>
        <v>0</v>
      </c>
      <c r="CZ6" s="1" cm="1">
        <f t="array" ref="CZ6">_xlfn.SWITCH($A$2,"average", AVERAGE(Instances!CZ6:Instances!CZ6),"median", MEDIAN(Instances!CZ6:Instances!CZ6),"min", MIN(Instances!CZ6:Instances!CZ6),"max", MAX(Instances!CZ6:Instances!CZ6),"diff", MAX(Instances!CZ6:Instances!CZ6)-MIN(Instances!CZ6:Instances!CZ6))</f>
        <v>0</v>
      </c>
      <c r="DA6" s="1" cm="1">
        <f t="array" ref="DA6">_xlfn.SWITCH($A$2,"average", AVERAGE(Instances!DA6:Instances!DA6),"median", MEDIAN(Instances!DA6:Instances!DA6),"min", MIN(Instances!DA6:Instances!DA6),"max", MAX(Instances!DA6:Instances!DA6),"diff", MAX(Instances!DA6:Instances!DA6)-MIN(Instances!DA6:Instances!DA6))</f>
        <v>0</v>
      </c>
      <c r="DB6" s="1"/>
      <c r="DC6" s="1" cm="1">
        <f t="array" ref="DC6">_xlfn.SWITCH($A$2,"average", AVERAGE(Instances!DC6:Instances!DC6),"median", MEDIAN(Instances!DC6:Instances!DC6),"min", MIN(Instances!DC6:Instances!DC6),"max", MAX(Instances!DC6:Instances!DC6),"diff", MAX(Instances!DC6:Instances!DC6)-MIN(Instances!DC6:Instances!DC6))</f>
        <v>0</v>
      </c>
      <c r="DD6" s="1" cm="1">
        <f t="array" ref="DD6">_xlfn.SWITCH($A$2,"average", AVERAGE(Instances!DD6:Instances!DD6),"median", MEDIAN(Instances!DD6:Instances!DD6),"min", MIN(Instances!DD6:Instances!DD6),"max", MAX(Instances!DD6:Instances!DD6),"diff", MAX(Instances!DD6:Instances!DD6)-MIN(Instances!DD6:Instances!DD6))</f>
        <v>0</v>
      </c>
      <c r="DE6" s="1" cm="1">
        <f t="array" ref="DE6">_xlfn.SWITCH($A$2,"average", AVERAGE(Instances!DE6:Instances!DE6),"median", MEDIAN(Instances!DE6:Instances!DE6),"min", MIN(Instances!DE6:Instances!DE6),"max", MAX(Instances!DE6:Instances!DE6),"diff", MAX(Instances!DE6:Instances!DE6)-MIN(Instances!DE6:Instances!DE6))</f>
        <v>0</v>
      </c>
      <c r="DF6" s="1" cm="1">
        <f t="array" ref="DF6">_xlfn.SWITCH($A$2,"average", AVERAGE(Instances!DF6:Instances!DF6),"median", MEDIAN(Instances!DF6:Instances!DF6),"min", MIN(Instances!DF6:Instances!DF6),"max", MAX(Instances!DF6:Instances!DF6),"diff", MAX(Instances!DF6:Instances!DF6)-MIN(Instances!DF6:Instances!DF6))</f>
        <v>0</v>
      </c>
      <c r="DG6" s="1" cm="1">
        <f t="array" ref="DG6">_xlfn.SWITCH($A$2,"average", AVERAGE(Instances!DG6:Instances!DG6),"median", MEDIAN(Instances!DG6:Instances!DG6),"min", MIN(Instances!DG6:Instances!DG6),"max", MAX(Instances!DG6:Instances!DG6),"diff", MAX(Instances!DG6:Instances!DG6)-MIN(Instances!DG6:Instances!DG6))</f>
        <v>0</v>
      </c>
      <c r="DH6" s="1" cm="1">
        <f t="array" ref="DH6">_xlfn.SWITCH($A$2,"average", AVERAGE(Instances!DH6:Instances!DH6),"median", MEDIAN(Instances!DH6:Instances!DH6),"min", MIN(Instances!DH6:Instances!DH6),"max", MAX(Instances!DH6:Instances!DH6),"diff", MAX(Instances!DH6:Instances!DH6)-MIN(Instances!DH6:Instances!DH6))</f>
        <v>0</v>
      </c>
      <c r="DI6" s="1" cm="1">
        <f t="array" ref="DI6">_xlfn.SWITCH($A$2,"average", AVERAGE(Instances!DI6:Instances!DI6),"median", MEDIAN(Instances!DI6:Instances!DI6),"min", MIN(Instances!DI6:Instances!DI6),"max", MAX(Instances!DI6:Instances!DI6),"diff", MAX(Instances!DI6:Instances!DI6)-MIN(Instances!DI6:Instances!DI6))</f>
        <v>0</v>
      </c>
      <c r="DJ6" s="1" cm="1">
        <f t="array" ref="DJ6">_xlfn.SWITCH($A$2,"average", AVERAGE(Instances!DJ6:Instances!DJ6),"median", MEDIAN(Instances!DJ6:Instances!DJ6),"min", MIN(Instances!DJ6:Instances!DJ6),"max", MAX(Instances!DJ6:Instances!DJ6),"diff", MAX(Instances!DJ6:Instances!DJ6)-MIN(Instances!DJ6:Instances!DJ6))</f>
        <v>0</v>
      </c>
      <c r="DK6" s="1" cm="1">
        <f t="array" ref="DK6">_xlfn.SWITCH($A$2,"average", AVERAGE(Instances!DK6:Instances!DK6),"median", MEDIAN(Instances!DK6:Instances!DK6),"min", MIN(Instances!DK6:Instances!DK6),"max", MAX(Instances!DK6:Instances!DK6),"diff", MAX(Instances!DK6:Instances!DK6)-MIN(Instances!DK6:Instances!DK6))</f>
        <v>0</v>
      </c>
      <c r="DL6" s="1" cm="1">
        <f t="array" ref="DL6">_xlfn.SWITCH($A$2,"average", AVERAGE(Instances!DL6:Instances!DL6),"median", MEDIAN(Instances!DL6:Instances!DL6),"min", MIN(Instances!DL6:Instances!DL6),"max", MAX(Instances!DL6:Instances!DL6),"diff", MAX(Instances!DL6:Instances!DL6)-MIN(Instances!DL6:Instances!DL6))</f>
        <v>0</v>
      </c>
      <c r="DM6" s="1" cm="1">
        <f t="array" ref="DM6">_xlfn.SWITCH($A$2,"average", AVERAGE(Instances!DM6:Instances!DM6),"median", MEDIAN(Instances!DM6:Instances!DM6),"min", MIN(Instances!DM6:Instances!DM6),"max", MAX(Instances!DM6:Instances!DM6),"diff", MAX(Instances!DM6:Instances!DM6)-MIN(Instances!DM6:Instances!DM6))</f>
        <v>0</v>
      </c>
      <c r="DN6" s="1" cm="1">
        <f t="array" ref="DN6">_xlfn.SWITCH($A$2,"average", AVERAGE(Instances!DN6:Instances!DN6),"median", MEDIAN(Instances!DN6:Instances!DN6),"min", MIN(Instances!DN6:Instances!DN6),"max", MAX(Instances!DN6:Instances!DN6),"diff", MAX(Instances!DN6:Instances!DN6)-MIN(Instances!DN6:Instances!DN6))</f>
        <v>0</v>
      </c>
      <c r="DO6" s="1" cm="1">
        <f t="array" ref="DO6">_xlfn.SWITCH($A$2,"average", AVERAGE(Instances!DO6:Instances!DO6),"median", MEDIAN(Instances!DO6:Instances!DO6),"min", MIN(Instances!DO6:Instances!DO6),"max", MAX(Instances!DO6:Instances!DO6),"diff", MAX(Instances!DO6:Instances!DO6)-MIN(Instances!DO6:Instances!DO6))</f>
        <v>0</v>
      </c>
      <c r="DP6" s="1" cm="1">
        <f t="array" ref="DP6">_xlfn.SWITCH($A$2,"average", AVERAGE(Instances!DP6:Instances!DP6),"median", MEDIAN(Instances!DP6:Instances!DP6),"min", MIN(Instances!DP6:Instances!DP6),"max", MAX(Instances!DP6:Instances!DP6),"diff", MAX(Instances!DP6:Instances!DP6)-MIN(Instances!DP6:Instances!DP6))</f>
        <v>0</v>
      </c>
      <c r="DQ6" s="1" cm="1">
        <f t="array" ref="DQ6">_xlfn.SWITCH($A$2,"average", AVERAGE(Instances!DQ6:Instances!DQ6),"median", MEDIAN(Instances!DQ6:Instances!DQ6),"min", MIN(Instances!DQ6:Instances!DQ6),"max", MAX(Instances!DQ6:Instances!DQ6),"diff", MAX(Instances!DQ6:Instances!DQ6)-MIN(Instances!DQ6:Instances!DQ6))</f>
        <v>0</v>
      </c>
      <c r="DR6" s="1" cm="1">
        <f t="array" ref="DR6">_xlfn.SWITCH($A$2,"average", AVERAGE(Instances!DR6:Instances!DR6),"median", MEDIAN(Instances!DR6:Instances!DR6),"min", MIN(Instances!DR6:Instances!DR6),"max", MAX(Instances!DR6:Instances!DR6),"diff", MAX(Instances!DR6:Instances!DR6)-MIN(Instances!DR6:Instances!DR6))</f>
        <v>0</v>
      </c>
      <c r="DS6" s="1" cm="1">
        <f t="array" ref="DS6">_xlfn.SWITCH($A$2,"average", AVERAGE(Instances!DS6:Instances!DS6),"median", MEDIAN(Instances!DS6:Instances!DS6),"min", MIN(Instances!DS6:Instances!DS6),"max", MAX(Instances!DS6:Instances!DS6),"diff", MAX(Instances!DS6:Instances!DS6)-MIN(Instances!DS6:Instances!DS6))</f>
        <v>0</v>
      </c>
      <c r="DT6" s="1"/>
      <c r="DU6" s="1" cm="1">
        <f t="array" ref="DU6">_xlfn.SWITCH($A$2,"average", AVERAGE(Instances!DU6:Instances!DU6),"median", MEDIAN(Instances!DU6:Instances!DU6),"min", MIN(Instances!DU6:Instances!DU6),"max", MAX(Instances!DU6:Instances!DU6),"diff", MAX(Instances!DU6:Instances!DU6)-MIN(Instances!DU6:Instances!DU6))</f>
        <v>0</v>
      </c>
      <c r="DV6" s="1" cm="1">
        <f t="array" ref="DV6">_xlfn.SWITCH($A$2,"average", AVERAGE(Instances!DV6:Instances!DV6),"median", MEDIAN(Instances!DV6:Instances!DV6),"min", MIN(Instances!DV6:Instances!DV6),"max", MAX(Instances!DV6:Instances!DV6),"diff", MAX(Instances!DV6:Instances!DV6)-MIN(Instances!DV6:Instances!DV6))</f>
        <v>0</v>
      </c>
      <c r="DW6" s="1" cm="1">
        <f t="array" ref="DW6">_xlfn.SWITCH($A$2,"average", AVERAGE(Instances!DW6:Instances!DW6),"median", MEDIAN(Instances!DW6:Instances!DW6),"min", MIN(Instances!DW6:Instances!DW6),"max", MAX(Instances!DW6:Instances!DW6),"diff", MAX(Instances!DW6:Instances!DW6)-MIN(Instances!DW6:Instances!DW6))</f>
        <v>0</v>
      </c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 cm="1">
        <f t="array" ref="FH6">_xlfn.SWITCH($A$2,"average", AVERAGE(Instances!FH6:Instances!FH6),"median", MEDIAN(Instances!FH6:Instances!FH6),"min", MIN(Instances!FH6:Instances!FH6),"max", MAX(Instances!FH6:Instances!FH6),"diff", MAX(Instances!FH6:Instances!FH6)-MIN(Instances!FH6:Instances!FH6))</f>
        <v>0</v>
      </c>
      <c r="FI6" s="1" cm="1">
        <f t="array" ref="FI6">_xlfn.SWITCH($A$2,"average", AVERAGE(Instances!FI6:Instances!FI6),"median", MEDIAN(Instances!FI6:Instances!FI6),"min", MIN(Instances!FI6:Instances!FI6),"max", MAX(Instances!FI6:Instances!FI6),"diff", MAX(Instances!FI6:Instances!FI6)-MIN(Instances!FI6:Instances!FI6))</f>
        <v>0</v>
      </c>
      <c r="FJ6" s="1" cm="1">
        <f t="array" ref="FJ6">_xlfn.SWITCH($A$2,"average", AVERAGE(Instances!FJ6:Instances!FJ6),"median", MEDIAN(Instances!FJ6:Instances!FJ6),"min", MIN(Instances!FJ6:Instances!FJ6),"max", MAX(Instances!FJ6:Instances!FJ6),"diff", MAX(Instances!FJ6:Instances!FJ6)-MIN(Instances!FJ6:Instances!FJ6))</f>
        <v>0</v>
      </c>
      <c r="FK6" s="1" cm="1">
        <f t="array" ref="FK6">_xlfn.SWITCH($A$2,"average", AVERAGE(Instances!FK6:Instances!FK6),"median", MEDIAN(Instances!FK6:Instances!FK6),"min", MIN(Instances!FK6:Instances!FK6),"max", MAX(Instances!FK6:Instances!FK6),"diff", MAX(Instances!FK6:Instances!FK6)-MIN(Instances!FK6:Instances!FK6))</f>
        <v>0</v>
      </c>
      <c r="FL6" s="1" cm="1">
        <f t="array" ref="FL6">_xlfn.SWITCH($A$2,"average", AVERAGE(Instances!FL6:Instances!FL6),"median", MEDIAN(Instances!FL6:Instances!FL6),"min", MIN(Instances!FL6:Instances!FL6),"max", MAX(Instances!FL6:Instances!FL6),"diff", MAX(Instances!FL6:Instances!FL6)-MIN(Instances!FL6:Instances!FL6))</f>
        <v>0</v>
      </c>
      <c r="FM6" s="1" cm="1">
        <f t="array" ref="FM6">_xlfn.SWITCH($A$2,"average", AVERAGE(Instances!FM6:Instances!FM6),"median", MEDIAN(Instances!FM6:Instances!FM6),"min", MIN(Instances!FM6:Instances!FM6),"max", MAX(Instances!FM6:Instances!FM6),"diff", MAX(Instances!FM6:Instances!FM6)-MIN(Instances!FM6:Instances!FM6))</f>
        <v>0</v>
      </c>
      <c r="FN6" s="1" cm="1">
        <f t="array" ref="FN6">_xlfn.SWITCH($A$2,"average", AVERAGE(Instances!FN6:Instances!FN6),"median", MEDIAN(Instances!FN6:Instances!FN6),"min", MIN(Instances!FN6:Instances!FN6),"max", MAX(Instances!FN6:Instances!FN6),"diff", MAX(Instances!FN6:Instances!FN6)-MIN(Instances!FN6:Instances!FN6))</f>
        <v>0</v>
      </c>
      <c r="FO6" s="1" cm="1">
        <f t="array" ref="FO6">_xlfn.SWITCH($A$2,"average", AVERAGE(Instances!FO6:Instances!FO6),"median", MEDIAN(Instances!FO6:Instances!FO6),"min", MIN(Instances!FO6:Instances!FO6),"max", MAX(Instances!FO6:Instances!FO6),"diff", MAX(Instances!FO6:Instances!FO6)-MIN(Instances!FO6:Instances!FO6))</f>
        <v>0</v>
      </c>
      <c r="FP6" s="1" cm="1">
        <f t="array" ref="FP6">_xlfn.SWITCH($A$2,"average", AVERAGE(Instances!FP6:Instances!FP6),"median", MEDIAN(Instances!FP6:Instances!FP6),"min", MIN(Instances!FP6:Instances!FP6),"max", MAX(Instances!FP6:Instances!FP6),"diff", MAX(Instances!FP6:Instances!FP6)-MIN(Instances!FP6:Instances!FP6))</f>
        <v>0</v>
      </c>
      <c r="FQ6" s="1" cm="1">
        <f t="array" ref="FQ6">_xlfn.SWITCH($A$2,"average", AVERAGE(Instances!FQ6:Instances!FQ6),"median", MEDIAN(Instances!FQ6:Instances!FQ6),"min", MIN(Instances!FQ6:Instances!FQ6),"max", MAX(Instances!FQ6:Instances!FQ6),"diff", MAX(Instances!FQ6:Instances!FQ6)-MIN(Instances!FQ6:Instances!FQ6))</f>
        <v>0</v>
      </c>
      <c r="FR6" s="1" cm="1">
        <f t="array" ref="FR6">_xlfn.SWITCH($A$2,"average", AVERAGE(Instances!FR6:Instances!FR6),"median", MEDIAN(Instances!FR6:Instances!FR6),"min", MIN(Instances!FR6:Instances!FR6),"max", MAX(Instances!FR6:Instances!FR6),"diff", MAX(Instances!FR6:Instances!FR6)-MIN(Instances!FR6:Instances!FR6))</f>
        <v>0</v>
      </c>
      <c r="FS6" s="1" cm="1">
        <f t="array" ref="FS6">_xlfn.SWITCH($A$2,"average", AVERAGE(Instances!FS6:Instances!FS6),"median", MEDIAN(Instances!FS6:Instances!FS6),"min", MIN(Instances!FS6:Instances!FS6),"max", MAX(Instances!FS6:Instances!FS6),"diff", MAX(Instances!FS6:Instances!FS6)-MIN(Instances!FS6:Instances!FS6))</f>
        <v>0</v>
      </c>
      <c r="FT6" s="1" cm="1">
        <f t="array" ref="FT6">_xlfn.SWITCH($A$2,"average", AVERAGE(Instances!FT6:Instances!FT6),"median", MEDIAN(Instances!FT6:Instances!FT6),"min", MIN(Instances!FT6:Instances!FT6),"max", MAX(Instances!FT6:Instances!FT6),"diff", MAX(Instances!FT6:Instances!FT6)-MIN(Instances!FT6:Instances!FT6))</f>
        <v>0</v>
      </c>
      <c r="FU6" s="1" cm="1">
        <f t="array" ref="FU6">_xlfn.SWITCH($A$2,"average", AVERAGE(Instances!FU6:Instances!FU6),"median", MEDIAN(Instances!FU6:Instances!FU6),"min", MIN(Instances!FU6:Instances!FU6),"max", MAX(Instances!FU6:Instances!FU6),"diff", MAX(Instances!FU6:Instances!FU6)-MIN(Instances!FU6:Instances!FU6))</f>
        <v>0</v>
      </c>
      <c r="FV6" s="1"/>
      <c r="FW6" s="1" cm="1">
        <f t="array" ref="FW6">_xlfn.SWITCH($A$2,"average", AVERAGE(Instances!FW6:Instances!FW6),"median", MEDIAN(Instances!FW6:Instances!FW6),"min", MIN(Instances!FW6:Instances!FW6),"max", MAX(Instances!FW6:Instances!FW6),"diff", MAX(Instances!FW6:Instances!FW6)-MIN(Instances!FW6:Instances!FW6))</f>
        <v>0</v>
      </c>
      <c r="FX6" s="1" cm="1">
        <f t="array" ref="FX6">_xlfn.SWITCH($A$2,"average", AVERAGE(Instances!FX6:Instances!FX6),"median", MEDIAN(Instances!FX6:Instances!FX6),"min", MIN(Instances!FX6:Instances!FX6),"max", MAX(Instances!FX6:Instances!FX6),"diff", MAX(Instances!FX6:Instances!FX6)-MIN(Instances!FX6:Instances!FX6))</f>
        <v>0</v>
      </c>
      <c r="FY6" s="1" cm="1">
        <f t="array" ref="FY6">_xlfn.SWITCH($A$2,"average", AVERAGE(Instances!FY6:Instances!FY6),"median", MEDIAN(Instances!FY6:Instances!FY6),"min", MIN(Instances!FY6:Instances!FY6),"max", MAX(Instances!FY6:Instances!FY6),"diff", MAX(Instances!FY6:Instances!FY6)-MIN(Instances!FY6:Instances!FY6))</f>
        <v>0</v>
      </c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 cm="1">
        <f t="array" ref="IB6">_xlfn.SWITCH($A$2,"average", AVERAGE(Instances!IB6:Instances!IB6),"median", MEDIAN(Instances!IB6:Instances!IB6),"min", MIN(Instances!IB6:Instances!IB6),"max", MAX(Instances!IB6:Instances!IB6),"diff", MAX(Instances!IB6:Instances!IB6)-MIN(Instances!IB6:Instances!IB6))</f>
        <v>0</v>
      </c>
      <c r="IC6" s="1" cm="1">
        <f t="array" ref="IC6">_xlfn.SWITCH($A$2,"average", AVERAGE(Instances!IC6:Instances!IC6),"median", MEDIAN(Instances!IC6:Instances!IC6),"min", MIN(Instances!IC6:Instances!IC6),"max", MAX(Instances!IC6:Instances!IC6),"diff", MAX(Instances!IC6:Instances!IC6)-MIN(Instances!IC6:Instances!IC6))</f>
        <v>0</v>
      </c>
      <c r="ID6" s="1" cm="1">
        <f t="array" ref="ID6">_xlfn.SWITCH($A$2,"average", AVERAGE(Instances!ID6:Instances!ID6),"median", MEDIAN(Instances!ID6:Instances!ID6),"min", MIN(Instances!ID6:Instances!ID6),"max", MAX(Instances!ID6:Instances!ID6),"diff", MAX(Instances!ID6:Instances!ID6)-MIN(Instances!ID6:Instances!ID6))</f>
        <v>0</v>
      </c>
      <c r="IE6" s="1" cm="1">
        <f t="array" ref="IE6">_xlfn.SWITCH($A$2,"average", AVERAGE(Instances!IE6:Instances!IE6),"median", MEDIAN(Instances!IE6:Instances!IE6),"min", MIN(Instances!IE6:Instances!IE6),"max", MAX(Instances!IE6:Instances!IE6),"diff", MAX(Instances!IE6:Instances!IE6)-MIN(Instances!IE6:Instances!IE6))</f>
        <v>0</v>
      </c>
      <c r="IF6" s="1" cm="1">
        <f t="array" ref="IF6">_xlfn.SWITCH($A$2,"average", AVERAGE(Instances!IF6:Instances!IF6),"median", MEDIAN(Instances!IF6:Instances!IF6),"min", MIN(Instances!IF6:Instances!IF6),"max", MAX(Instances!IF6:Instances!IF6),"diff", MAX(Instances!IF6:Instances!IF6)-MIN(Instances!IF6:Instances!IF6))</f>
        <v>0</v>
      </c>
      <c r="IG6" s="1" cm="1">
        <f t="array" ref="IG6">_xlfn.SWITCH($A$2,"average", AVERAGE(Instances!IG6:Instances!IG6),"median", MEDIAN(Instances!IG6:Instances!IG6),"min", MIN(Instances!IG6:Instances!IG6),"max", MAX(Instances!IG6:Instances!IG6),"diff", MAX(Instances!IG6:Instances!IG6)-MIN(Instances!IG6:Instances!IG6))</f>
        <v>0</v>
      </c>
      <c r="IH6" s="1" cm="1">
        <f t="array" ref="IH6">_xlfn.SWITCH($A$2,"average", AVERAGE(Instances!IH6:Instances!IH6),"median", MEDIAN(Instances!IH6:Instances!IH6),"min", MIN(Instances!IH6:Instances!IH6),"max", MAX(Instances!IH6:Instances!IH6),"diff", MAX(Instances!IH6:Instances!IH6)-MIN(Instances!IH6:Instances!IH6))</f>
        <v>0</v>
      </c>
      <c r="II6" s="1" cm="1">
        <f t="array" ref="II6">_xlfn.SWITCH($A$2,"average", AVERAGE(Instances!II6:Instances!II6),"median", MEDIAN(Instances!II6:Instances!II6),"min", MIN(Instances!II6:Instances!II6),"max", MAX(Instances!II6:Instances!II6),"diff", MAX(Instances!II6:Instances!II6)-MIN(Instances!II6:Instances!II6))</f>
        <v>0</v>
      </c>
      <c r="IJ6" s="1" cm="1">
        <f t="array" ref="IJ6">_xlfn.SWITCH($A$2,"average", AVERAGE(Instances!IJ6:Instances!IJ6),"median", MEDIAN(Instances!IJ6:Instances!IJ6),"min", MIN(Instances!IJ6:Instances!IJ6),"max", MAX(Instances!IJ6:Instances!IJ6),"diff", MAX(Instances!IJ6:Instances!IJ6)-MIN(Instances!IJ6:Instances!IJ6))</f>
        <v>0</v>
      </c>
      <c r="IK6" s="1" cm="1">
        <f t="array" ref="IK6">_xlfn.SWITCH($A$2,"average", AVERAGE(Instances!IK6:Instances!IK6),"median", MEDIAN(Instances!IK6:Instances!IK6),"min", MIN(Instances!IK6:Instances!IK6),"max", MAX(Instances!IK6:Instances!IK6),"diff", MAX(Instances!IK6:Instances!IK6)-MIN(Instances!IK6:Instances!IK6))</f>
        <v>0</v>
      </c>
      <c r="IL6" s="1" cm="1">
        <f t="array" ref="IL6">_xlfn.SWITCH($A$2,"average", AVERAGE(Instances!IL6:Instances!IL6),"median", MEDIAN(Instances!IL6:Instances!IL6),"min", MIN(Instances!IL6:Instances!IL6),"max", MAX(Instances!IL6:Instances!IL6),"diff", MAX(Instances!IL6:Instances!IL6)-MIN(Instances!IL6:Instances!IL6))</f>
        <v>0</v>
      </c>
      <c r="IM6" s="1" cm="1">
        <f t="array" ref="IM6">_xlfn.SWITCH($A$2,"average", AVERAGE(Instances!IM6:Instances!IM6),"median", MEDIAN(Instances!IM6:Instances!IM6),"min", MIN(Instances!IM6:Instances!IM6),"max", MAX(Instances!IM6:Instances!IM6),"diff", MAX(Instances!IM6:Instances!IM6)-MIN(Instances!IM6:Instances!IM6))</f>
        <v>0</v>
      </c>
      <c r="IN6" s="1" cm="1">
        <f t="array" ref="IN6">_xlfn.SWITCH($A$2,"average", AVERAGE(Instances!IN6:Instances!IN6),"median", MEDIAN(Instances!IN6:Instances!IN6),"min", MIN(Instances!IN6:Instances!IN6),"max", MAX(Instances!IN6:Instances!IN6),"diff", MAX(Instances!IN6:Instances!IN6)-MIN(Instances!IN6:Instances!IN6))</f>
        <v>0</v>
      </c>
      <c r="IO6" s="1" cm="1">
        <f t="array" ref="IO6">_xlfn.SWITCH($A$2,"average", AVERAGE(Instances!IO6:Instances!IO6),"median", MEDIAN(Instances!IO6:Instances!IO6),"min", MIN(Instances!IO6:Instances!IO6),"max", MAX(Instances!IO6:Instances!IO6),"diff", MAX(Instances!IO6:Instances!IO6)-MIN(Instances!IO6:Instances!IO6))</f>
        <v>0</v>
      </c>
      <c r="IP6" s="1"/>
      <c r="IQ6" s="1" cm="1">
        <f t="array" ref="IQ6">_xlfn.SWITCH($A$2,"average", AVERAGE(Instances!IQ6:Instances!IQ6),"median", MEDIAN(Instances!IQ6:Instances!IQ6),"min", MIN(Instances!IQ6:Instances!IQ6),"max", MAX(Instances!IQ6:Instances!IQ6),"diff", MAX(Instances!IQ6:Instances!IQ6)-MIN(Instances!IQ6:Instances!IQ6))</f>
        <v>0</v>
      </c>
      <c r="IR6" s="1" cm="1">
        <f t="array" ref="IR6">_xlfn.SWITCH($A$2,"average", AVERAGE(Instances!IR6:Instances!IR6),"median", MEDIAN(Instances!IR6:Instances!IR6),"min", MIN(Instances!IR6:Instances!IR6),"max", MAX(Instances!IR6:Instances!IR6),"diff", MAX(Instances!IR6:Instances!IR6)-MIN(Instances!IR6:Instances!IR6))</f>
        <v>0</v>
      </c>
      <c r="IS6" s="1" cm="1">
        <f t="array" ref="IS6">_xlfn.SWITCH($A$2,"average", AVERAGE(Instances!IS6:Instances!IS6),"median", MEDIAN(Instances!IS6:Instances!IS6),"min", MIN(Instances!IS6:Instances!IS6),"max", MAX(Instances!IS6:Instances!IS6),"diff", MAX(Instances!IS6:Instances!IS6)-MIN(Instances!IS6:Instances!IS6))</f>
        <v>0</v>
      </c>
      <c r="IT6" s="1" cm="1">
        <f t="array" ref="IT6">_xlfn.SWITCH($A$2,"average", AVERAGE(Instances!IT6:Instances!IT6),"median", MEDIAN(Instances!IT6:Instances!IT6),"min", MIN(Instances!IT6:Instances!IT6),"max", MAX(Instances!IT6:Instances!IT6),"diff", MAX(Instances!IT6:Instances!IT6)-MIN(Instances!IT6:Instances!IT6))</f>
        <v>0</v>
      </c>
      <c r="IU6" s="1" cm="1">
        <f t="array" ref="IU6">_xlfn.SWITCH($A$2,"average", AVERAGE(Instances!IU6:Instances!IU6),"median", MEDIAN(Instances!IU6:Instances!IU6),"min", MIN(Instances!IU6:Instances!IU6),"max", MAX(Instances!IU6:Instances!IU6),"diff", MAX(Instances!IU6:Instances!IU6)-MIN(Instances!IU6:Instances!IU6))</f>
        <v>0</v>
      </c>
      <c r="IV6" s="1" cm="1">
        <f t="array" ref="IV6">_xlfn.SWITCH($A$2,"average", AVERAGE(Instances!IV6:Instances!IV6),"median", MEDIAN(Instances!IV6:Instances!IV6),"min", MIN(Instances!IV6:Instances!IV6),"max", MAX(Instances!IV6:Instances!IV6),"diff", MAX(Instances!IV6:Instances!IV6)-MIN(Instances!IV6:Instances!IV6))</f>
        <v>0</v>
      </c>
      <c r="IW6" s="1" cm="1">
        <f t="array" ref="IW6">_xlfn.SWITCH($A$2,"average", AVERAGE(Instances!IW6:Instances!IW6),"median", MEDIAN(Instances!IW6:Instances!IW6),"min", MIN(Instances!IW6:Instances!IW6),"max", MAX(Instances!IW6:Instances!IW6),"diff", MAX(Instances!IW6:Instances!IW6)-MIN(Instances!IW6:Instances!IW6))</f>
        <v>0</v>
      </c>
      <c r="IX6" s="1" cm="1">
        <f t="array" ref="IX6">_xlfn.SWITCH($A$2,"average", AVERAGE(Instances!IX6:Instances!IX6),"median", MEDIAN(Instances!IX6:Instances!IX6),"min", MIN(Instances!IX6:Instances!IX6),"max", MAX(Instances!IX6:Instances!IX6),"diff", MAX(Instances!IX6:Instances!IX6)-MIN(Instances!IX6:Instances!IX6))</f>
        <v>0</v>
      </c>
      <c r="IY6" s="1" cm="1">
        <f t="array" ref="IY6">_xlfn.SWITCH($A$2,"average", AVERAGE(Instances!IY6:Instances!IY6),"median", MEDIAN(Instances!IY6:Instances!IY6),"min", MIN(Instances!IY6:Instances!IY6),"max", MAX(Instances!IY6:Instances!IY6),"diff", MAX(Instances!IY6:Instances!IY6)-MIN(Instances!IY6:Instances!IY6))</f>
        <v>0</v>
      </c>
      <c r="IZ6" s="1" cm="1">
        <f t="array" ref="IZ6">_xlfn.SWITCH($A$2,"average", AVERAGE(Instances!IZ6:Instances!IZ6),"median", MEDIAN(Instances!IZ6:Instances!IZ6),"min", MIN(Instances!IZ6:Instances!IZ6),"max", MAX(Instances!IZ6:Instances!IZ6),"diff", MAX(Instances!IZ6:Instances!IZ6)-MIN(Instances!IZ6:Instances!IZ6))</f>
        <v>0</v>
      </c>
      <c r="JA6" s="1" cm="1">
        <f t="array" ref="JA6">_xlfn.SWITCH($A$2,"average", AVERAGE(Instances!JA6:Instances!JA6),"median", MEDIAN(Instances!JA6:Instances!JA6),"min", MIN(Instances!JA6:Instances!JA6),"max", MAX(Instances!JA6:Instances!JA6),"diff", MAX(Instances!JA6:Instances!JA6)-MIN(Instances!JA6:Instances!JA6))</f>
        <v>0</v>
      </c>
      <c r="JB6" s="1" cm="1">
        <f t="array" ref="JB6">_xlfn.SWITCH($A$2,"average", AVERAGE(Instances!JB6:Instances!JB6),"median", MEDIAN(Instances!JB6:Instances!JB6),"min", MIN(Instances!JB6:Instances!JB6),"max", MAX(Instances!JB6:Instances!JB6),"diff", MAX(Instances!JB6:Instances!JB6)-MIN(Instances!JB6:Instances!JB6))</f>
        <v>0</v>
      </c>
      <c r="JC6" s="1" cm="1">
        <f t="array" ref="JC6">_xlfn.SWITCH($A$2,"average", AVERAGE(Instances!JC6:Instances!JC6),"median", MEDIAN(Instances!JC6:Instances!JC6),"min", MIN(Instances!JC6:Instances!JC6),"max", MAX(Instances!JC6:Instances!JC6),"diff", MAX(Instances!JC6:Instances!JC6)-MIN(Instances!JC6:Instances!JC6))</f>
        <v>0</v>
      </c>
      <c r="JD6" s="1" cm="1">
        <f t="array" ref="JD6">_xlfn.SWITCH($A$2,"average", AVERAGE(Instances!JD6:Instances!JD6),"median", MEDIAN(Instances!JD6:Instances!JD6),"min", MIN(Instances!JD6:Instances!JD6),"max", MAX(Instances!JD6:Instances!JD6),"diff", MAX(Instances!JD6:Instances!JD6)-MIN(Instances!JD6:Instances!JD6))</f>
        <v>0</v>
      </c>
      <c r="JE6" s="1" cm="1">
        <f t="array" ref="JE6">_xlfn.SWITCH($A$2,"average", AVERAGE(Instances!JE6:Instances!JE6),"median", MEDIAN(Instances!JE6:Instances!JE6),"min", MIN(Instances!JE6:Instances!JE6),"max", MAX(Instances!JE6:Instances!JE6),"diff", MAX(Instances!JE6:Instances!JE6)-MIN(Instances!JE6:Instances!JE6))</f>
        <v>0</v>
      </c>
      <c r="JF6" s="1" cm="1">
        <f t="array" ref="JF6">_xlfn.SWITCH($A$2,"average", AVERAGE(Instances!JF6:Instances!JF6),"median", MEDIAN(Instances!JF6:Instances!JF6),"min", MIN(Instances!JF6:Instances!JF6),"max", MAX(Instances!JF6:Instances!JF6),"diff", MAX(Instances!JF6:Instances!JF6)-MIN(Instances!JF6:Instances!JF6))</f>
        <v>0</v>
      </c>
      <c r="JG6" s="1" cm="1">
        <f t="array" ref="JG6">_xlfn.SWITCH($A$2,"average", AVERAGE(Instances!JG6:Instances!JG6),"median", MEDIAN(Instances!JG6:Instances!JG6),"min", MIN(Instances!JG6:Instances!JG6),"max", MAX(Instances!JG6:Instances!JG6),"diff", MAX(Instances!JG6:Instances!JG6)-MIN(Instances!JG6:Instances!JG6))</f>
        <v>0</v>
      </c>
      <c r="JH6" s="1"/>
      <c r="JI6" s="1" cm="1">
        <f t="array" ref="JI6">_xlfn.SWITCH($A$2,"average", AVERAGE(Instances!JI6:Instances!JI6),"median", MEDIAN(Instances!JI6:Instances!JI6),"min", MIN(Instances!JI6:Instances!JI6),"max", MAX(Instances!JI6:Instances!JI6),"diff", MAX(Instances!JI6:Instances!JI6)-MIN(Instances!JI6:Instances!JI6))</f>
        <v>0</v>
      </c>
      <c r="JJ6" s="1" cm="1">
        <f t="array" ref="JJ6">_xlfn.SWITCH($A$2,"average", AVERAGE(Instances!JJ6:Instances!JJ6),"median", MEDIAN(Instances!JJ6:Instances!JJ6),"min", MIN(Instances!JJ6:Instances!JJ6),"max", MAX(Instances!JJ6:Instances!JJ6),"diff", MAX(Instances!JJ6:Instances!JJ6)-MIN(Instances!JJ6:Instances!JJ6))</f>
        <v>0</v>
      </c>
      <c r="JK6" s="1" cm="1">
        <f t="array" ref="JK6">_xlfn.SWITCH($A$2,"average", AVERAGE(Instances!JK6:Instances!JK6),"median", MEDIAN(Instances!JK6:Instances!JK6),"min", MIN(Instances!JK6:Instances!JK6),"max", MAX(Instances!JK6:Instances!JK6),"diff", MAX(Instances!JK6:Instances!JK6)-MIN(Instances!JK6:Instances!JK6))</f>
        <v>0</v>
      </c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 cm="1">
        <f t="array" ref="O7">_xlfn.SWITCH($A$2,"average", AVERAGE(Instances!O7:Instances!O7),"median", MEDIAN(Instances!O7:Instances!O7),"min", MIN(Instances!O7:Instances!O7),"max", MAX(Instances!O7:Instances!O7),"diff", MAX(Instances!O7:Instances!O7)-MIN(Instances!O7:Instances!O7))</f>
        <v>0</v>
      </c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 cm="1">
        <f t="array" ref="S7">_xlfn.SWITCH($A$2,"average", AVERAGE(Instances!S7:Instances!S7),"median", MEDIAN(Instances!S7:Instances!S7),"min", MIN(Instances!S7:Instances!S7),"max", MAX(Instances!S7:Instances!S7),"diff", MAX(Instances!S7:Instances!S7)-MIN(Instances!S7:Instances!S7))</f>
        <v>0</v>
      </c>
      <c r="T7" s="1" cm="1">
        <f t="array" ref="T7">_xlfn.SWITCH($A$2,"average", AVERAGE(Instances!T7:Instances!T7),"median", MEDIAN(Instances!T7:Instances!T7),"min", MIN(Instances!T7:Instances!T7),"max", MAX(Instances!T7:Instances!T7),"diff", MAX(Instances!T7:Instances!T7)-MIN(Instances!T7:Instances!T7))</f>
        <v>0</v>
      </c>
      <c r="U7" s="1" cm="1">
        <f t="array" ref="U7">_xlfn.SWITCH($A$2,"average", AVERAGE(Instances!U7:Instances!U7),"median", MEDIAN(Instances!U7:Instances!U7),"min", MIN(Instances!U7:Instances!U7),"max", MAX(Instances!U7:Instances!U7),"diff", MAX(Instances!U7:Instances!U7)-MIN(Instances!U7:Instances!U7))</f>
        <v>0</v>
      </c>
      <c r="V7" s="1" cm="1">
        <f t="array" ref="V7">_xlfn.SWITCH($A$2,"average", AVERAGE(Instances!V7:Instances!V7),"median", MEDIAN(Instances!V7:Instances!V7),"min", MIN(Instances!V7:Instances!V7),"max", MAX(Instances!V7:Instances!V7),"diff", MAX(Instances!V7:Instances!V7)-MIN(Instances!V7:Instances!V7))</f>
        <v>0</v>
      </c>
      <c r="W7" s="1" cm="1">
        <f t="array" ref="W7">_xlfn.SWITCH($A$2,"average", AVERAGE(Instances!W7:Instances!W7),"median", MEDIAN(Instances!W7:Instances!W7),"min", MIN(Instances!W7:Instances!W7),"max", MAX(Instances!W7:Instances!W7),"diff", MAX(Instances!W7:Instances!W7)-MIN(Instances!W7:Instances!W7))</f>
        <v>0</v>
      </c>
      <c r="X7" s="1" cm="1">
        <f t="array" ref="X7">_xlfn.SWITCH($A$2,"average", AVERAGE(Instances!X7:Instances!X7),"median", MEDIAN(Instances!X7:Instances!X7),"min", MIN(Instances!X7:Instances!X7),"max", MAX(Instances!X7:Instances!X7),"diff", MAX(Instances!X7:Instances!X7)-MIN(Instances!X7:Instances!X7))</f>
        <v>0</v>
      </c>
      <c r="Y7" s="1" cm="1">
        <f t="array" ref="Y7">_xlfn.SWITCH($A$2,"average", AVERAGE(Instances!Y7:Instances!Y7),"median", MEDIAN(Instances!Y7:Instances!Y7),"min", MIN(Instances!Y7:Instances!Y7),"max", MAX(Instances!Y7:Instances!Y7),"diff", MAX(Instances!Y7:Instances!Y7)-MIN(Instances!Y7:Instances!Y7))</f>
        <v>0</v>
      </c>
      <c r="Z7" s="1" cm="1">
        <f t="array" ref="Z7">_xlfn.SWITCH($A$2,"average", AVERAGE(Instances!Z7:Instances!Z7),"median", MEDIAN(Instances!Z7:Instances!Z7),"min", MIN(Instances!Z7:Instances!Z7),"max", MAX(Instances!Z7:Instances!Z7),"diff", MAX(Instances!Z7:Instances!Z7)-MIN(Instances!Z7:Instances!Z7))</f>
        <v>0</v>
      </c>
      <c r="AA7" s="1" cm="1">
        <f t="array" ref="AA7">_xlfn.SWITCH($A$2,"average", AVERAGE(Instances!AA7:Instances!AA7),"median", MEDIAN(Instances!AA7:Instances!AA7),"min", MIN(Instances!AA7:Instances!AA7),"max", MAX(Instances!AA7:Instances!AA7),"diff", MAX(Instances!AA7:Instances!AA7)-MIN(Instances!AA7:Instances!AA7))</f>
        <v>0</v>
      </c>
      <c r="AB7" s="1" cm="1">
        <f t="array" ref="AB7">_xlfn.SWITCH($A$2,"average", AVERAGE(Instances!AB7:Instances!AB7),"median", MEDIAN(Instances!AB7:Instances!AB7),"min", MIN(Instances!AB7:Instances!AB7),"max", MAX(Instances!AB7:Instances!AB7),"diff", MAX(Instances!AB7:Instances!AB7)-MIN(Instances!AB7:Instances!AB7))</f>
        <v>0</v>
      </c>
      <c r="AC7" s="1" cm="1">
        <f t="array" ref="AC7">_xlfn.SWITCH($A$2,"average", AVERAGE(Instances!AC7:Instances!AC7),"median", MEDIAN(Instances!AC7:Instances!AC7),"min", MIN(Instances!AC7:Instances!AC7),"max", MAX(Instances!AC7:Instances!AC7),"diff", MAX(Instances!AC7:Instances!AC7)-MIN(Instances!AC7:Instances!AC7))</f>
        <v>0</v>
      </c>
      <c r="AD7" s="1" cm="1">
        <f t="array" ref="AD7">_xlfn.SWITCH($A$2,"average", AVERAGE(Instances!AD7:Instances!AD7),"median", MEDIAN(Instances!AD7:Instances!AD7),"min", MIN(Instances!AD7:Instances!AD7),"max", MAX(Instances!AD7:Instances!AD7),"diff", MAX(Instances!AD7:Instances!AD7)-MIN(Instances!AD7:Instances!AD7))</f>
        <v>0</v>
      </c>
      <c r="AE7" s="1" cm="1">
        <f t="array" ref="AE7">_xlfn.SWITCH($A$2,"average", AVERAGE(Instances!AE7:Instances!AE7),"median", MEDIAN(Instances!AE7:Instances!AE7),"min", MIN(Instances!AE7:Instances!AE7),"max", MAX(Instances!AE7:Instances!AE7),"diff", MAX(Instances!AE7:Instances!AE7)-MIN(Instances!AE7:Instances!AE7))</f>
        <v>0</v>
      </c>
      <c r="AF7" s="1" cm="1">
        <f t="array" ref="AF7">_xlfn.SWITCH($A$2,"average", AVERAGE(Instances!AF7:Instances!AF7),"median", MEDIAN(Instances!AF7:Instances!AF7),"min", MIN(Instances!AF7:Instances!AF7),"max", MAX(Instances!AF7:Instances!AF7),"diff", MAX(Instances!AF7:Instances!AF7)-MIN(Instances!AF7:Instances!AF7))</f>
        <v>0</v>
      </c>
      <c r="AG7" s="1" cm="1">
        <f t="array" ref="AG7">_xlfn.SWITCH($A$2,"average", AVERAGE(Instances!AG7:Instances!AG7),"median", MEDIAN(Instances!AG7:Instances!AG7),"min", MIN(Instances!AG7:Instances!AG7),"max", MAX(Instances!AG7:Instances!AG7),"diff", MAX(Instances!AG7:Instances!AG7)-MIN(Instances!AG7:Instances!AG7))</f>
        <v>0</v>
      </c>
      <c r="AH7" s="1"/>
      <c r="AI7" s="1" cm="1">
        <f t="array" ref="AI7">_xlfn.SWITCH($A$2,"average", AVERAGE(Instances!AI7:Instances!AI7),"median", MEDIAN(Instances!AI7:Instances!AI7),"min", MIN(Instances!AI7:Instances!AI7),"max", MAX(Instances!AI7:Instances!AI7),"diff", MAX(Instances!AI7:Instances!AI7)-MIN(Instances!AI7:Instances!AI7))</f>
        <v>0</v>
      </c>
      <c r="AJ7" s="1" cm="1">
        <f t="array" ref="AJ7">_xlfn.SWITCH($A$2,"average", AVERAGE(Instances!AJ7:Instances!AJ7),"median", MEDIAN(Instances!AJ7:Instances!AJ7),"min", MIN(Instances!AJ7:Instances!AJ7),"max", MAX(Instances!AJ7:Instances!AJ7),"diff", MAX(Instances!AJ7:Instances!AJ7)-MIN(Instances!AJ7:Instances!AJ7))</f>
        <v>0</v>
      </c>
      <c r="AK7" s="1" cm="1">
        <f t="array" ref="AK7">_xlfn.SWITCH($A$2,"average", AVERAGE(Instances!AK7:Instances!AK7),"median", MEDIAN(Instances!AK7:Instances!AK7),"min", MIN(Instances!AK7:Instances!AK7),"max", MAX(Instances!AK7:Instances!AK7),"diff", MAX(Instances!AK7:Instances!AK7)-MIN(Instances!AK7:Instances!AK7))</f>
        <v>0</v>
      </c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 cm="1">
        <f t="array" ref="CN7">_xlfn.SWITCH($A$2,"average", AVERAGE(Instances!CN7:Instances!CN7),"median", MEDIAN(Instances!CN7:Instances!CN7),"min", MIN(Instances!CN7:Instances!CN7),"max", MAX(Instances!CN7:Instances!CN7),"diff", MAX(Instances!CN7:Instances!CN7)-MIN(Instances!CN7:Instances!CN7))</f>
        <v>0</v>
      </c>
      <c r="CO7" s="1" cm="1">
        <f t="array" ref="CO7">_xlfn.SWITCH($A$2,"average", AVERAGE(Instances!CO7:Instances!CO7),"median", MEDIAN(Instances!CO7:Instances!CO7),"min", MIN(Instances!CO7:Instances!CO7),"max", MAX(Instances!CO7:Instances!CO7),"diff", MAX(Instances!CO7:Instances!CO7)-MIN(Instances!CO7:Instances!CO7))</f>
        <v>0</v>
      </c>
      <c r="CP7" s="1" cm="1">
        <f t="array" ref="CP7">_xlfn.SWITCH($A$2,"average", AVERAGE(Instances!CP7:Instances!CP7),"median", MEDIAN(Instances!CP7:Instances!CP7),"min", MIN(Instances!CP7:Instances!CP7),"max", MAX(Instances!CP7:Instances!CP7),"diff", MAX(Instances!CP7:Instances!CP7)-MIN(Instances!CP7:Instances!CP7))</f>
        <v>0</v>
      </c>
      <c r="CQ7" s="1" cm="1">
        <f t="array" ref="CQ7">_xlfn.SWITCH($A$2,"average", AVERAGE(Instances!CQ7:Instances!CQ7),"median", MEDIAN(Instances!CQ7:Instances!CQ7),"min", MIN(Instances!CQ7:Instances!CQ7),"max", MAX(Instances!CQ7:Instances!CQ7),"diff", MAX(Instances!CQ7:Instances!CQ7)-MIN(Instances!CQ7:Instances!CQ7))</f>
        <v>0</v>
      </c>
      <c r="CR7" s="1" cm="1">
        <f t="array" ref="CR7">_xlfn.SWITCH($A$2,"average", AVERAGE(Instances!CR7:Instances!CR7),"median", MEDIAN(Instances!CR7:Instances!CR7),"min", MIN(Instances!CR7:Instances!CR7),"max", MAX(Instances!CR7:Instances!CR7),"diff", MAX(Instances!CR7:Instances!CR7)-MIN(Instances!CR7:Instances!CR7))</f>
        <v>0</v>
      </c>
      <c r="CS7" s="1" cm="1">
        <f t="array" ref="CS7">_xlfn.SWITCH($A$2,"average", AVERAGE(Instances!CS7:Instances!CS7),"median", MEDIAN(Instances!CS7:Instances!CS7),"min", MIN(Instances!CS7:Instances!CS7),"max", MAX(Instances!CS7:Instances!CS7),"diff", MAX(Instances!CS7:Instances!CS7)-MIN(Instances!CS7:Instances!CS7))</f>
        <v>0</v>
      </c>
      <c r="CT7" s="1" cm="1">
        <f t="array" ref="CT7">_xlfn.SWITCH($A$2,"average", AVERAGE(Instances!CT7:Instances!CT7),"median", MEDIAN(Instances!CT7:Instances!CT7),"min", MIN(Instances!CT7:Instances!CT7),"max", MAX(Instances!CT7:Instances!CT7),"diff", MAX(Instances!CT7:Instances!CT7)-MIN(Instances!CT7:Instances!CT7))</f>
        <v>0</v>
      </c>
      <c r="CU7" s="1" cm="1">
        <f t="array" ref="CU7">_xlfn.SWITCH($A$2,"average", AVERAGE(Instances!CU7:Instances!CU7),"median", MEDIAN(Instances!CU7:Instances!CU7),"min", MIN(Instances!CU7:Instances!CU7),"max", MAX(Instances!CU7:Instances!CU7),"diff", MAX(Instances!CU7:Instances!CU7)-MIN(Instances!CU7:Instances!CU7))</f>
        <v>0</v>
      </c>
      <c r="CV7" s="1" cm="1">
        <f t="array" ref="CV7">_xlfn.SWITCH($A$2,"average", AVERAGE(Instances!CV7:Instances!CV7),"median", MEDIAN(Instances!CV7:Instances!CV7),"min", MIN(Instances!CV7:Instances!CV7),"max", MAX(Instances!CV7:Instances!CV7),"diff", MAX(Instances!CV7:Instances!CV7)-MIN(Instances!CV7:Instances!CV7))</f>
        <v>0</v>
      </c>
      <c r="CW7" s="1" cm="1">
        <f t="array" ref="CW7">_xlfn.SWITCH($A$2,"average", AVERAGE(Instances!CW7:Instances!CW7),"median", MEDIAN(Instances!CW7:Instances!CW7),"min", MIN(Instances!CW7:Instances!CW7),"max", MAX(Instances!CW7:Instances!CW7),"diff", MAX(Instances!CW7:Instances!CW7)-MIN(Instances!CW7:Instances!CW7))</f>
        <v>0</v>
      </c>
      <c r="CX7" s="1" cm="1">
        <f t="array" ref="CX7">_xlfn.SWITCH($A$2,"average", AVERAGE(Instances!CX7:Instances!CX7),"median", MEDIAN(Instances!CX7:Instances!CX7),"min", MIN(Instances!CX7:Instances!CX7),"max", MAX(Instances!CX7:Instances!CX7),"diff", MAX(Instances!CX7:Instances!CX7)-MIN(Instances!CX7:Instances!CX7))</f>
        <v>0</v>
      </c>
      <c r="CY7" s="1" cm="1">
        <f t="array" ref="CY7">_xlfn.SWITCH($A$2,"average", AVERAGE(Instances!CY7:Instances!CY7),"median", MEDIAN(Instances!CY7:Instances!CY7),"min", MIN(Instances!CY7:Instances!CY7),"max", MAX(Instances!CY7:Instances!CY7),"diff", MAX(Instances!CY7:Instances!CY7)-MIN(Instances!CY7:Instances!CY7))</f>
        <v>0</v>
      </c>
      <c r="CZ7" s="1" cm="1">
        <f t="array" ref="CZ7">_xlfn.SWITCH($A$2,"average", AVERAGE(Instances!CZ7:Instances!CZ7),"median", MEDIAN(Instances!CZ7:Instances!CZ7),"min", MIN(Instances!CZ7:Instances!CZ7),"max", MAX(Instances!CZ7:Instances!CZ7),"diff", MAX(Instances!CZ7:Instances!CZ7)-MIN(Instances!CZ7:Instances!CZ7))</f>
        <v>0</v>
      </c>
      <c r="DA7" s="1" cm="1">
        <f t="array" ref="DA7">_xlfn.SWITCH($A$2,"average", AVERAGE(Instances!DA7:Instances!DA7),"median", MEDIAN(Instances!DA7:Instances!DA7),"min", MIN(Instances!DA7:Instances!DA7),"max", MAX(Instances!DA7:Instances!DA7),"diff", MAX(Instances!DA7:Instances!DA7)-MIN(Instances!DA7:Instances!DA7))</f>
        <v>0</v>
      </c>
      <c r="DB7" s="1"/>
      <c r="DC7" s="1" cm="1">
        <f t="array" ref="DC7">_xlfn.SWITCH($A$2,"average", AVERAGE(Instances!DC7:Instances!DC7),"median", MEDIAN(Instances!DC7:Instances!DC7),"min", MIN(Instances!DC7:Instances!DC7),"max", MAX(Instances!DC7:Instances!DC7),"diff", MAX(Instances!DC7:Instances!DC7)-MIN(Instances!DC7:Instances!DC7))</f>
        <v>0</v>
      </c>
      <c r="DD7" s="1" cm="1">
        <f t="array" ref="DD7">_xlfn.SWITCH($A$2,"average", AVERAGE(Instances!DD7:Instances!DD7),"median", MEDIAN(Instances!DD7:Instances!DD7),"min", MIN(Instances!DD7:Instances!DD7),"max", MAX(Instances!DD7:Instances!DD7),"diff", MAX(Instances!DD7:Instances!DD7)-MIN(Instances!DD7:Instances!DD7))</f>
        <v>0</v>
      </c>
      <c r="DE7" s="1" cm="1">
        <f t="array" ref="DE7">_xlfn.SWITCH($A$2,"average", AVERAGE(Instances!DE7:Instances!DE7),"median", MEDIAN(Instances!DE7:Instances!DE7),"min", MIN(Instances!DE7:Instances!DE7),"max", MAX(Instances!DE7:Instances!DE7),"diff", MAX(Instances!DE7:Instances!DE7)-MIN(Instances!DE7:Instances!DE7))</f>
        <v>0</v>
      </c>
      <c r="DF7" s="1" cm="1">
        <f t="array" ref="DF7">_xlfn.SWITCH($A$2,"average", AVERAGE(Instances!DF7:Instances!DF7),"median", MEDIAN(Instances!DF7:Instances!DF7),"min", MIN(Instances!DF7:Instances!DF7),"max", MAX(Instances!DF7:Instances!DF7),"diff", MAX(Instances!DF7:Instances!DF7)-MIN(Instances!DF7:Instances!DF7))</f>
        <v>0</v>
      </c>
      <c r="DG7" s="1" cm="1">
        <f t="array" ref="DG7">_xlfn.SWITCH($A$2,"average", AVERAGE(Instances!DG7:Instances!DG7),"median", MEDIAN(Instances!DG7:Instances!DG7),"min", MIN(Instances!DG7:Instances!DG7),"max", MAX(Instances!DG7:Instances!DG7),"diff", MAX(Instances!DG7:Instances!DG7)-MIN(Instances!DG7:Instances!DG7))</f>
        <v>0</v>
      </c>
      <c r="DH7" s="1" cm="1">
        <f t="array" ref="DH7">_xlfn.SWITCH($A$2,"average", AVERAGE(Instances!DH7:Instances!DH7),"median", MEDIAN(Instances!DH7:Instances!DH7),"min", MIN(Instances!DH7:Instances!DH7),"max", MAX(Instances!DH7:Instances!DH7),"diff", MAX(Instances!DH7:Instances!DH7)-MIN(Instances!DH7:Instances!DH7))</f>
        <v>0</v>
      </c>
      <c r="DI7" s="1" cm="1">
        <f t="array" ref="DI7">_xlfn.SWITCH($A$2,"average", AVERAGE(Instances!DI7:Instances!DI7),"median", MEDIAN(Instances!DI7:Instances!DI7),"min", MIN(Instances!DI7:Instances!DI7),"max", MAX(Instances!DI7:Instances!DI7),"diff", MAX(Instances!DI7:Instances!DI7)-MIN(Instances!DI7:Instances!DI7))</f>
        <v>0</v>
      </c>
      <c r="DJ7" s="1" cm="1">
        <f t="array" ref="DJ7">_xlfn.SWITCH($A$2,"average", AVERAGE(Instances!DJ7:Instances!DJ7),"median", MEDIAN(Instances!DJ7:Instances!DJ7),"min", MIN(Instances!DJ7:Instances!DJ7),"max", MAX(Instances!DJ7:Instances!DJ7),"diff", MAX(Instances!DJ7:Instances!DJ7)-MIN(Instances!DJ7:Instances!DJ7))</f>
        <v>0</v>
      </c>
      <c r="DK7" s="1" cm="1">
        <f t="array" ref="DK7">_xlfn.SWITCH($A$2,"average", AVERAGE(Instances!DK7:Instances!DK7),"median", MEDIAN(Instances!DK7:Instances!DK7),"min", MIN(Instances!DK7:Instances!DK7),"max", MAX(Instances!DK7:Instances!DK7),"diff", MAX(Instances!DK7:Instances!DK7)-MIN(Instances!DK7:Instances!DK7))</f>
        <v>0</v>
      </c>
      <c r="DL7" s="1" cm="1">
        <f t="array" ref="DL7">_xlfn.SWITCH($A$2,"average", AVERAGE(Instances!DL7:Instances!DL7),"median", MEDIAN(Instances!DL7:Instances!DL7),"min", MIN(Instances!DL7:Instances!DL7),"max", MAX(Instances!DL7:Instances!DL7),"diff", MAX(Instances!DL7:Instances!DL7)-MIN(Instances!DL7:Instances!DL7))</f>
        <v>0</v>
      </c>
      <c r="DM7" s="1" cm="1">
        <f t="array" ref="DM7">_xlfn.SWITCH($A$2,"average", AVERAGE(Instances!DM7:Instances!DM7),"median", MEDIAN(Instances!DM7:Instances!DM7),"min", MIN(Instances!DM7:Instances!DM7),"max", MAX(Instances!DM7:Instances!DM7),"diff", MAX(Instances!DM7:Instances!DM7)-MIN(Instances!DM7:Instances!DM7))</f>
        <v>0</v>
      </c>
      <c r="DN7" s="1" cm="1">
        <f t="array" ref="DN7">_xlfn.SWITCH($A$2,"average", AVERAGE(Instances!DN7:Instances!DN7),"median", MEDIAN(Instances!DN7:Instances!DN7),"min", MIN(Instances!DN7:Instances!DN7),"max", MAX(Instances!DN7:Instances!DN7),"diff", MAX(Instances!DN7:Instances!DN7)-MIN(Instances!DN7:Instances!DN7))</f>
        <v>0</v>
      </c>
      <c r="DO7" s="1" cm="1">
        <f t="array" ref="DO7">_xlfn.SWITCH($A$2,"average", AVERAGE(Instances!DO7:Instances!DO7),"median", MEDIAN(Instances!DO7:Instances!DO7),"min", MIN(Instances!DO7:Instances!DO7),"max", MAX(Instances!DO7:Instances!DO7),"diff", MAX(Instances!DO7:Instances!DO7)-MIN(Instances!DO7:Instances!DO7))</f>
        <v>0</v>
      </c>
      <c r="DP7" s="1" cm="1">
        <f t="array" ref="DP7">_xlfn.SWITCH($A$2,"average", AVERAGE(Instances!DP7:Instances!DP7),"median", MEDIAN(Instances!DP7:Instances!DP7),"min", MIN(Instances!DP7:Instances!DP7),"max", MAX(Instances!DP7:Instances!DP7),"diff", MAX(Instances!DP7:Instances!DP7)-MIN(Instances!DP7:Instances!DP7))</f>
        <v>0</v>
      </c>
      <c r="DQ7" s="1" cm="1">
        <f t="array" ref="DQ7">_xlfn.SWITCH($A$2,"average", AVERAGE(Instances!DQ7:Instances!DQ7),"median", MEDIAN(Instances!DQ7:Instances!DQ7),"min", MIN(Instances!DQ7:Instances!DQ7),"max", MAX(Instances!DQ7:Instances!DQ7),"diff", MAX(Instances!DQ7:Instances!DQ7)-MIN(Instances!DQ7:Instances!DQ7))</f>
        <v>0</v>
      </c>
      <c r="DR7" s="1" cm="1">
        <f t="array" ref="DR7">_xlfn.SWITCH($A$2,"average", AVERAGE(Instances!DR7:Instances!DR7),"median", MEDIAN(Instances!DR7:Instances!DR7),"min", MIN(Instances!DR7:Instances!DR7),"max", MAX(Instances!DR7:Instances!DR7),"diff", MAX(Instances!DR7:Instances!DR7)-MIN(Instances!DR7:Instances!DR7))</f>
        <v>0</v>
      </c>
      <c r="DS7" s="1" cm="1">
        <f t="array" ref="DS7">_xlfn.SWITCH($A$2,"average", AVERAGE(Instances!DS7:Instances!DS7),"median", MEDIAN(Instances!DS7:Instances!DS7),"min", MIN(Instances!DS7:Instances!DS7),"max", MAX(Instances!DS7:Instances!DS7),"diff", MAX(Instances!DS7:Instances!DS7)-MIN(Instances!DS7:Instances!DS7))</f>
        <v>0</v>
      </c>
      <c r="DT7" s="1"/>
      <c r="DU7" s="1" cm="1">
        <f t="array" ref="DU7">_xlfn.SWITCH($A$2,"average", AVERAGE(Instances!DU7:Instances!DU7),"median", MEDIAN(Instances!DU7:Instances!DU7),"min", MIN(Instances!DU7:Instances!DU7),"max", MAX(Instances!DU7:Instances!DU7),"diff", MAX(Instances!DU7:Instances!DU7)-MIN(Instances!DU7:Instances!DU7))</f>
        <v>0</v>
      </c>
      <c r="DV7" s="1" cm="1">
        <f t="array" ref="DV7">_xlfn.SWITCH($A$2,"average", AVERAGE(Instances!DV7:Instances!DV7),"median", MEDIAN(Instances!DV7:Instances!DV7),"min", MIN(Instances!DV7:Instances!DV7),"max", MAX(Instances!DV7:Instances!DV7),"diff", MAX(Instances!DV7:Instances!DV7)-MIN(Instances!DV7:Instances!DV7))</f>
        <v>0</v>
      </c>
      <c r="DW7" s="1" cm="1">
        <f t="array" ref="DW7">_xlfn.SWITCH($A$2,"average", AVERAGE(Instances!DW7:Instances!DW7),"median", MEDIAN(Instances!DW7:Instances!DW7),"min", MIN(Instances!DW7:Instances!DW7),"max", MAX(Instances!DW7:Instances!DW7),"diff", MAX(Instances!DW7:Instances!DW7)-MIN(Instances!DW7:Instances!DW7))</f>
        <v>0</v>
      </c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 cm="1">
        <f t="array" ref="FH7">_xlfn.SWITCH($A$2,"average", AVERAGE(Instances!FH7:Instances!FH7),"median", MEDIAN(Instances!FH7:Instances!FH7),"min", MIN(Instances!FH7:Instances!FH7),"max", MAX(Instances!FH7:Instances!FH7),"diff", MAX(Instances!FH7:Instances!FH7)-MIN(Instances!FH7:Instances!FH7))</f>
        <v>0</v>
      </c>
      <c r="FI7" s="1" cm="1">
        <f t="array" ref="FI7">_xlfn.SWITCH($A$2,"average", AVERAGE(Instances!FI7:Instances!FI7),"median", MEDIAN(Instances!FI7:Instances!FI7),"min", MIN(Instances!FI7:Instances!FI7),"max", MAX(Instances!FI7:Instances!FI7),"diff", MAX(Instances!FI7:Instances!FI7)-MIN(Instances!FI7:Instances!FI7))</f>
        <v>0</v>
      </c>
      <c r="FJ7" s="1" cm="1">
        <f t="array" ref="FJ7">_xlfn.SWITCH($A$2,"average", AVERAGE(Instances!FJ7:Instances!FJ7),"median", MEDIAN(Instances!FJ7:Instances!FJ7),"min", MIN(Instances!FJ7:Instances!FJ7),"max", MAX(Instances!FJ7:Instances!FJ7),"diff", MAX(Instances!FJ7:Instances!FJ7)-MIN(Instances!FJ7:Instances!FJ7))</f>
        <v>0</v>
      </c>
      <c r="FK7" s="1" cm="1">
        <f t="array" ref="FK7">_xlfn.SWITCH($A$2,"average", AVERAGE(Instances!FK7:Instances!FK7),"median", MEDIAN(Instances!FK7:Instances!FK7),"min", MIN(Instances!FK7:Instances!FK7),"max", MAX(Instances!FK7:Instances!FK7),"diff", MAX(Instances!FK7:Instances!FK7)-MIN(Instances!FK7:Instances!FK7))</f>
        <v>0</v>
      </c>
      <c r="FL7" s="1" cm="1">
        <f t="array" ref="FL7">_xlfn.SWITCH($A$2,"average", AVERAGE(Instances!FL7:Instances!FL7),"median", MEDIAN(Instances!FL7:Instances!FL7),"min", MIN(Instances!FL7:Instances!FL7),"max", MAX(Instances!FL7:Instances!FL7),"diff", MAX(Instances!FL7:Instances!FL7)-MIN(Instances!FL7:Instances!FL7))</f>
        <v>0</v>
      </c>
      <c r="FM7" s="1" cm="1">
        <f t="array" ref="FM7">_xlfn.SWITCH($A$2,"average", AVERAGE(Instances!FM7:Instances!FM7),"median", MEDIAN(Instances!FM7:Instances!FM7),"min", MIN(Instances!FM7:Instances!FM7),"max", MAX(Instances!FM7:Instances!FM7),"diff", MAX(Instances!FM7:Instances!FM7)-MIN(Instances!FM7:Instances!FM7))</f>
        <v>0</v>
      </c>
      <c r="FN7" s="1" cm="1">
        <f t="array" ref="FN7">_xlfn.SWITCH($A$2,"average", AVERAGE(Instances!FN7:Instances!FN7),"median", MEDIAN(Instances!FN7:Instances!FN7),"min", MIN(Instances!FN7:Instances!FN7),"max", MAX(Instances!FN7:Instances!FN7),"diff", MAX(Instances!FN7:Instances!FN7)-MIN(Instances!FN7:Instances!FN7))</f>
        <v>0</v>
      </c>
      <c r="FO7" s="1" cm="1">
        <f t="array" ref="FO7">_xlfn.SWITCH($A$2,"average", AVERAGE(Instances!FO7:Instances!FO7),"median", MEDIAN(Instances!FO7:Instances!FO7),"min", MIN(Instances!FO7:Instances!FO7),"max", MAX(Instances!FO7:Instances!FO7),"diff", MAX(Instances!FO7:Instances!FO7)-MIN(Instances!FO7:Instances!FO7))</f>
        <v>0</v>
      </c>
      <c r="FP7" s="1" cm="1">
        <f t="array" ref="FP7">_xlfn.SWITCH($A$2,"average", AVERAGE(Instances!FP7:Instances!FP7),"median", MEDIAN(Instances!FP7:Instances!FP7),"min", MIN(Instances!FP7:Instances!FP7),"max", MAX(Instances!FP7:Instances!FP7),"diff", MAX(Instances!FP7:Instances!FP7)-MIN(Instances!FP7:Instances!FP7))</f>
        <v>0</v>
      </c>
      <c r="FQ7" s="1" cm="1">
        <f t="array" ref="FQ7">_xlfn.SWITCH($A$2,"average", AVERAGE(Instances!FQ7:Instances!FQ7),"median", MEDIAN(Instances!FQ7:Instances!FQ7),"min", MIN(Instances!FQ7:Instances!FQ7),"max", MAX(Instances!FQ7:Instances!FQ7),"diff", MAX(Instances!FQ7:Instances!FQ7)-MIN(Instances!FQ7:Instances!FQ7))</f>
        <v>0</v>
      </c>
      <c r="FR7" s="1" cm="1">
        <f t="array" ref="FR7">_xlfn.SWITCH($A$2,"average", AVERAGE(Instances!FR7:Instances!FR7),"median", MEDIAN(Instances!FR7:Instances!FR7),"min", MIN(Instances!FR7:Instances!FR7),"max", MAX(Instances!FR7:Instances!FR7),"diff", MAX(Instances!FR7:Instances!FR7)-MIN(Instances!FR7:Instances!FR7))</f>
        <v>0</v>
      </c>
      <c r="FS7" s="1" cm="1">
        <f t="array" ref="FS7">_xlfn.SWITCH($A$2,"average", AVERAGE(Instances!FS7:Instances!FS7),"median", MEDIAN(Instances!FS7:Instances!FS7),"min", MIN(Instances!FS7:Instances!FS7),"max", MAX(Instances!FS7:Instances!FS7),"diff", MAX(Instances!FS7:Instances!FS7)-MIN(Instances!FS7:Instances!FS7))</f>
        <v>0</v>
      </c>
      <c r="FT7" s="1" cm="1">
        <f t="array" ref="FT7">_xlfn.SWITCH($A$2,"average", AVERAGE(Instances!FT7:Instances!FT7),"median", MEDIAN(Instances!FT7:Instances!FT7),"min", MIN(Instances!FT7:Instances!FT7),"max", MAX(Instances!FT7:Instances!FT7),"diff", MAX(Instances!FT7:Instances!FT7)-MIN(Instances!FT7:Instances!FT7))</f>
        <v>0</v>
      </c>
      <c r="FU7" s="1" cm="1">
        <f t="array" ref="FU7">_xlfn.SWITCH($A$2,"average", AVERAGE(Instances!FU7:Instances!FU7),"median", MEDIAN(Instances!FU7:Instances!FU7),"min", MIN(Instances!FU7:Instances!FU7),"max", MAX(Instances!FU7:Instances!FU7),"diff", MAX(Instances!FU7:Instances!FU7)-MIN(Instances!FU7:Instances!FU7))</f>
        <v>0</v>
      </c>
      <c r="FV7" s="1"/>
      <c r="FW7" s="1" cm="1">
        <f t="array" ref="FW7">_xlfn.SWITCH($A$2,"average", AVERAGE(Instances!FW7:Instances!FW7),"median", MEDIAN(Instances!FW7:Instances!FW7),"min", MIN(Instances!FW7:Instances!FW7),"max", MAX(Instances!FW7:Instances!FW7),"diff", MAX(Instances!FW7:Instances!FW7)-MIN(Instances!FW7:Instances!FW7))</f>
        <v>0</v>
      </c>
      <c r="FX7" s="1" cm="1">
        <f t="array" ref="FX7">_xlfn.SWITCH($A$2,"average", AVERAGE(Instances!FX7:Instances!FX7),"median", MEDIAN(Instances!FX7:Instances!FX7),"min", MIN(Instances!FX7:Instances!FX7),"max", MAX(Instances!FX7:Instances!FX7),"diff", MAX(Instances!FX7:Instances!FX7)-MIN(Instances!FX7:Instances!FX7))</f>
        <v>0</v>
      </c>
      <c r="FY7" s="1" cm="1">
        <f t="array" ref="FY7">_xlfn.SWITCH($A$2,"average", AVERAGE(Instances!FY7:Instances!FY7),"median", MEDIAN(Instances!FY7:Instances!FY7),"min", MIN(Instances!FY7:Instances!FY7),"max", MAX(Instances!FY7:Instances!FY7),"diff", MAX(Instances!FY7:Instances!FY7)-MIN(Instances!FY7:Instances!FY7))</f>
        <v>0</v>
      </c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 cm="1">
        <f t="array" ref="IB7">_xlfn.SWITCH($A$2,"average", AVERAGE(Instances!IB7:Instances!IB7),"median", MEDIAN(Instances!IB7:Instances!IB7),"min", MIN(Instances!IB7:Instances!IB7),"max", MAX(Instances!IB7:Instances!IB7),"diff", MAX(Instances!IB7:Instances!IB7)-MIN(Instances!IB7:Instances!IB7))</f>
        <v>0</v>
      </c>
      <c r="IC7" s="1" cm="1">
        <f t="array" ref="IC7">_xlfn.SWITCH($A$2,"average", AVERAGE(Instances!IC7:Instances!IC7),"median", MEDIAN(Instances!IC7:Instances!IC7),"min", MIN(Instances!IC7:Instances!IC7),"max", MAX(Instances!IC7:Instances!IC7),"diff", MAX(Instances!IC7:Instances!IC7)-MIN(Instances!IC7:Instances!IC7))</f>
        <v>0</v>
      </c>
      <c r="ID7" s="1" cm="1">
        <f t="array" ref="ID7">_xlfn.SWITCH($A$2,"average", AVERAGE(Instances!ID7:Instances!ID7),"median", MEDIAN(Instances!ID7:Instances!ID7),"min", MIN(Instances!ID7:Instances!ID7),"max", MAX(Instances!ID7:Instances!ID7),"diff", MAX(Instances!ID7:Instances!ID7)-MIN(Instances!ID7:Instances!ID7))</f>
        <v>0</v>
      </c>
      <c r="IE7" s="1" cm="1">
        <f t="array" ref="IE7">_xlfn.SWITCH($A$2,"average", AVERAGE(Instances!IE7:Instances!IE7),"median", MEDIAN(Instances!IE7:Instances!IE7),"min", MIN(Instances!IE7:Instances!IE7),"max", MAX(Instances!IE7:Instances!IE7),"diff", MAX(Instances!IE7:Instances!IE7)-MIN(Instances!IE7:Instances!IE7))</f>
        <v>0</v>
      </c>
      <c r="IF7" s="1" cm="1">
        <f t="array" ref="IF7">_xlfn.SWITCH($A$2,"average", AVERAGE(Instances!IF7:Instances!IF7),"median", MEDIAN(Instances!IF7:Instances!IF7),"min", MIN(Instances!IF7:Instances!IF7),"max", MAX(Instances!IF7:Instances!IF7),"diff", MAX(Instances!IF7:Instances!IF7)-MIN(Instances!IF7:Instances!IF7))</f>
        <v>0</v>
      </c>
      <c r="IG7" s="1" cm="1">
        <f t="array" ref="IG7">_xlfn.SWITCH($A$2,"average", AVERAGE(Instances!IG7:Instances!IG7),"median", MEDIAN(Instances!IG7:Instances!IG7),"min", MIN(Instances!IG7:Instances!IG7),"max", MAX(Instances!IG7:Instances!IG7),"diff", MAX(Instances!IG7:Instances!IG7)-MIN(Instances!IG7:Instances!IG7))</f>
        <v>0</v>
      </c>
      <c r="IH7" s="1" cm="1">
        <f t="array" ref="IH7">_xlfn.SWITCH($A$2,"average", AVERAGE(Instances!IH7:Instances!IH7),"median", MEDIAN(Instances!IH7:Instances!IH7),"min", MIN(Instances!IH7:Instances!IH7),"max", MAX(Instances!IH7:Instances!IH7),"diff", MAX(Instances!IH7:Instances!IH7)-MIN(Instances!IH7:Instances!IH7))</f>
        <v>0</v>
      </c>
      <c r="II7" s="1" cm="1">
        <f t="array" ref="II7">_xlfn.SWITCH($A$2,"average", AVERAGE(Instances!II7:Instances!II7),"median", MEDIAN(Instances!II7:Instances!II7),"min", MIN(Instances!II7:Instances!II7),"max", MAX(Instances!II7:Instances!II7),"diff", MAX(Instances!II7:Instances!II7)-MIN(Instances!II7:Instances!II7))</f>
        <v>0</v>
      </c>
      <c r="IJ7" s="1" cm="1">
        <f t="array" ref="IJ7">_xlfn.SWITCH($A$2,"average", AVERAGE(Instances!IJ7:Instances!IJ7),"median", MEDIAN(Instances!IJ7:Instances!IJ7),"min", MIN(Instances!IJ7:Instances!IJ7),"max", MAX(Instances!IJ7:Instances!IJ7),"diff", MAX(Instances!IJ7:Instances!IJ7)-MIN(Instances!IJ7:Instances!IJ7))</f>
        <v>0</v>
      </c>
      <c r="IK7" s="1" cm="1">
        <f t="array" ref="IK7">_xlfn.SWITCH($A$2,"average", AVERAGE(Instances!IK7:Instances!IK7),"median", MEDIAN(Instances!IK7:Instances!IK7),"min", MIN(Instances!IK7:Instances!IK7),"max", MAX(Instances!IK7:Instances!IK7),"diff", MAX(Instances!IK7:Instances!IK7)-MIN(Instances!IK7:Instances!IK7))</f>
        <v>0</v>
      </c>
      <c r="IL7" s="1" cm="1">
        <f t="array" ref="IL7">_xlfn.SWITCH($A$2,"average", AVERAGE(Instances!IL7:Instances!IL7),"median", MEDIAN(Instances!IL7:Instances!IL7),"min", MIN(Instances!IL7:Instances!IL7),"max", MAX(Instances!IL7:Instances!IL7),"diff", MAX(Instances!IL7:Instances!IL7)-MIN(Instances!IL7:Instances!IL7))</f>
        <v>0</v>
      </c>
      <c r="IM7" s="1" cm="1">
        <f t="array" ref="IM7">_xlfn.SWITCH($A$2,"average", AVERAGE(Instances!IM7:Instances!IM7),"median", MEDIAN(Instances!IM7:Instances!IM7),"min", MIN(Instances!IM7:Instances!IM7),"max", MAX(Instances!IM7:Instances!IM7),"diff", MAX(Instances!IM7:Instances!IM7)-MIN(Instances!IM7:Instances!IM7))</f>
        <v>0</v>
      </c>
      <c r="IN7" s="1" cm="1">
        <f t="array" ref="IN7">_xlfn.SWITCH($A$2,"average", AVERAGE(Instances!IN7:Instances!IN7),"median", MEDIAN(Instances!IN7:Instances!IN7),"min", MIN(Instances!IN7:Instances!IN7),"max", MAX(Instances!IN7:Instances!IN7),"diff", MAX(Instances!IN7:Instances!IN7)-MIN(Instances!IN7:Instances!IN7))</f>
        <v>0</v>
      </c>
      <c r="IO7" s="1" cm="1">
        <f t="array" ref="IO7">_xlfn.SWITCH($A$2,"average", AVERAGE(Instances!IO7:Instances!IO7),"median", MEDIAN(Instances!IO7:Instances!IO7),"min", MIN(Instances!IO7:Instances!IO7),"max", MAX(Instances!IO7:Instances!IO7),"diff", MAX(Instances!IO7:Instances!IO7)-MIN(Instances!IO7:Instances!IO7))</f>
        <v>0</v>
      </c>
      <c r="IP7" s="1"/>
      <c r="IQ7" s="1" cm="1">
        <f t="array" ref="IQ7">_xlfn.SWITCH($A$2,"average", AVERAGE(Instances!IQ7:Instances!IQ7),"median", MEDIAN(Instances!IQ7:Instances!IQ7),"min", MIN(Instances!IQ7:Instances!IQ7),"max", MAX(Instances!IQ7:Instances!IQ7),"diff", MAX(Instances!IQ7:Instances!IQ7)-MIN(Instances!IQ7:Instances!IQ7))</f>
        <v>0</v>
      </c>
      <c r="IR7" s="1" cm="1">
        <f t="array" ref="IR7">_xlfn.SWITCH($A$2,"average", AVERAGE(Instances!IR7:Instances!IR7),"median", MEDIAN(Instances!IR7:Instances!IR7),"min", MIN(Instances!IR7:Instances!IR7),"max", MAX(Instances!IR7:Instances!IR7),"diff", MAX(Instances!IR7:Instances!IR7)-MIN(Instances!IR7:Instances!IR7))</f>
        <v>0</v>
      </c>
      <c r="IS7" s="1" cm="1">
        <f t="array" ref="IS7">_xlfn.SWITCH($A$2,"average", AVERAGE(Instances!IS7:Instances!IS7),"median", MEDIAN(Instances!IS7:Instances!IS7),"min", MIN(Instances!IS7:Instances!IS7),"max", MAX(Instances!IS7:Instances!IS7),"diff", MAX(Instances!IS7:Instances!IS7)-MIN(Instances!IS7:Instances!IS7))</f>
        <v>0</v>
      </c>
      <c r="IT7" s="1" cm="1">
        <f t="array" ref="IT7">_xlfn.SWITCH($A$2,"average", AVERAGE(Instances!IT7:Instances!IT7),"median", MEDIAN(Instances!IT7:Instances!IT7),"min", MIN(Instances!IT7:Instances!IT7),"max", MAX(Instances!IT7:Instances!IT7),"diff", MAX(Instances!IT7:Instances!IT7)-MIN(Instances!IT7:Instances!IT7))</f>
        <v>0</v>
      </c>
      <c r="IU7" s="1" cm="1">
        <f t="array" ref="IU7">_xlfn.SWITCH($A$2,"average", AVERAGE(Instances!IU7:Instances!IU7),"median", MEDIAN(Instances!IU7:Instances!IU7),"min", MIN(Instances!IU7:Instances!IU7),"max", MAX(Instances!IU7:Instances!IU7),"diff", MAX(Instances!IU7:Instances!IU7)-MIN(Instances!IU7:Instances!IU7))</f>
        <v>0</v>
      </c>
      <c r="IV7" s="1" cm="1">
        <f t="array" ref="IV7">_xlfn.SWITCH($A$2,"average", AVERAGE(Instances!IV7:Instances!IV7),"median", MEDIAN(Instances!IV7:Instances!IV7),"min", MIN(Instances!IV7:Instances!IV7),"max", MAX(Instances!IV7:Instances!IV7),"diff", MAX(Instances!IV7:Instances!IV7)-MIN(Instances!IV7:Instances!IV7))</f>
        <v>0</v>
      </c>
      <c r="IW7" s="1" cm="1">
        <f t="array" ref="IW7">_xlfn.SWITCH($A$2,"average", AVERAGE(Instances!IW7:Instances!IW7),"median", MEDIAN(Instances!IW7:Instances!IW7),"min", MIN(Instances!IW7:Instances!IW7),"max", MAX(Instances!IW7:Instances!IW7),"diff", MAX(Instances!IW7:Instances!IW7)-MIN(Instances!IW7:Instances!IW7))</f>
        <v>0</v>
      </c>
      <c r="IX7" s="1" cm="1">
        <f t="array" ref="IX7">_xlfn.SWITCH($A$2,"average", AVERAGE(Instances!IX7:Instances!IX7),"median", MEDIAN(Instances!IX7:Instances!IX7),"min", MIN(Instances!IX7:Instances!IX7),"max", MAX(Instances!IX7:Instances!IX7),"diff", MAX(Instances!IX7:Instances!IX7)-MIN(Instances!IX7:Instances!IX7))</f>
        <v>0</v>
      </c>
      <c r="IY7" s="1" cm="1">
        <f t="array" ref="IY7">_xlfn.SWITCH($A$2,"average", AVERAGE(Instances!IY7:Instances!IY7),"median", MEDIAN(Instances!IY7:Instances!IY7),"min", MIN(Instances!IY7:Instances!IY7),"max", MAX(Instances!IY7:Instances!IY7),"diff", MAX(Instances!IY7:Instances!IY7)-MIN(Instances!IY7:Instances!IY7))</f>
        <v>0</v>
      </c>
      <c r="IZ7" s="1" cm="1">
        <f t="array" ref="IZ7">_xlfn.SWITCH($A$2,"average", AVERAGE(Instances!IZ7:Instances!IZ7),"median", MEDIAN(Instances!IZ7:Instances!IZ7),"min", MIN(Instances!IZ7:Instances!IZ7),"max", MAX(Instances!IZ7:Instances!IZ7),"diff", MAX(Instances!IZ7:Instances!IZ7)-MIN(Instances!IZ7:Instances!IZ7))</f>
        <v>0</v>
      </c>
      <c r="JA7" s="1" cm="1">
        <f t="array" ref="JA7">_xlfn.SWITCH($A$2,"average", AVERAGE(Instances!JA7:Instances!JA7),"median", MEDIAN(Instances!JA7:Instances!JA7),"min", MIN(Instances!JA7:Instances!JA7),"max", MAX(Instances!JA7:Instances!JA7),"diff", MAX(Instances!JA7:Instances!JA7)-MIN(Instances!JA7:Instances!JA7))</f>
        <v>0</v>
      </c>
      <c r="JB7" s="1" cm="1">
        <f t="array" ref="JB7">_xlfn.SWITCH($A$2,"average", AVERAGE(Instances!JB7:Instances!JB7),"median", MEDIAN(Instances!JB7:Instances!JB7),"min", MIN(Instances!JB7:Instances!JB7),"max", MAX(Instances!JB7:Instances!JB7),"diff", MAX(Instances!JB7:Instances!JB7)-MIN(Instances!JB7:Instances!JB7))</f>
        <v>0</v>
      </c>
      <c r="JC7" s="1" cm="1">
        <f t="array" ref="JC7">_xlfn.SWITCH($A$2,"average", AVERAGE(Instances!JC7:Instances!JC7),"median", MEDIAN(Instances!JC7:Instances!JC7),"min", MIN(Instances!JC7:Instances!JC7),"max", MAX(Instances!JC7:Instances!JC7),"diff", MAX(Instances!JC7:Instances!JC7)-MIN(Instances!JC7:Instances!JC7))</f>
        <v>0</v>
      </c>
      <c r="JD7" s="1" cm="1">
        <f t="array" ref="JD7">_xlfn.SWITCH($A$2,"average", AVERAGE(Instances!JD7:Instances!JD7),"median", MEDIAN(Instances!JD7:Instances!JD7),"min", MIN(Instances!JD7:Instances!JD7),"max", MAX(Instances!JD7:Instances!JD7),"diff", MAX(Instances!JD7:Instances!JD7)-MIN(Instances!JD7:Instances!JD7))</f>
        <v>0</v>
      </c>
      <c r="JE7" s="1" cm="1">
        <f t="array" ref="JE7">_xlfn.SWITCH($A$2,"average", AVERAGE(Instances!JE7:Instances!JE7),"median", MEDIAN(Instances!JE7:Instances!JE7),"min", MIN(Instances!JE7:Instances!JE7),"max", MAX(Instances!JE7:Instances!JE7),"diff", MAX(Instances!JE7:Instances!JE7)-MIN(Instances!JE7:Instances!JE7))</f>
        <v>0</v>
      </c>
      <c r="JF7" s="1" cm="1">
        <f t="array" ref="JF7">_xlfn.SWITCH($A$2,"average", AVERAGE(Instances!JF7:Instances!JF7),"median", MEDIAN(Instances!JF7:Instances!JF7),"min", MIN(Instances!JF7:Instances!JF7),"max", MAX(Instances!JF7:Instances!JF7),"diff", MAX(Instances!JF7:Instances!JF7)-MIN(Instances!JF7:Instances!JF7))</f>
        <v>0</v>
      </c>
      <c r="JG7" s="1" cm="1">
        <f t="array" ref="JG7">_xlfn.SWITCH($A$2,"average", AVERAGE(Instances!JG7:Instances!JG7),"median", MEDIAN(Instances!JG7:Instances!JG7),"min", MIN(Instances!JG7:Instances!JG7),"max", MAX(Instances!JG7:Instances!JG7),"diff", MAX(Instances!JG7:Instances!JG7)-MIN(Instances!JG7:Instances!JG7))</f>
        <v>0</v>
      </c>
      <c r="JH7" s="1"/>
      <c r="JI7" s="1" cm="1">
        <f t="array" ref="JI7">_xlfn.SWITCH($A$2,"average", AVERAGE(Instances!JI7:Instances!JI7),"median", MEDIAN(Instances!JI7:Instances!JI7),"min", MIN(Instances!JI7:Instances!JI7),"max", MAX(Instances!JI7:Instances!JI7),"diff", MAX(Instances!JI7:Instances!JI7)-MIN(Instances!JI7:Instances!JI7))</f>
        <v>0</v>
      </c>
      <c r="JJ7" s="1" cm="1">
        <f t="array" ref="JJ7">_xlfn.SWITCH($A$2,"average", AVERAGE(Instances!JJ7:Instances!JJ7),"median", MEDIAN(Instances!JJ7:Instances!JJ7),"min", MIN(Instances!JJ7:Instances!JJ7),"max", MAX(Instances!JJ7:Instances!JJ7),"diff", MAX(Instances!JJ7:Instances!JJ7)-MIN(Instances!JJ7:Instances!JJ7))</f>
        <v>0</v>
      </c>
      <c r="JK7" s="1" cm="1">
        <f t="array" ref="JK7">_xlfn.SWITCH($A$2,"average", AVERAGE(Instances!JK7:Instances!JK7),"median", MEDIAN(Instances!JK7:Instances!JK7),"min", MIN(Instances!JK7:Instances!JK7),"max", MAX(Instances!JK7:Instances!JK7),"diff", MAX(Instances!JK7:Instances!JK7)-MIN(Instances!JK7:Instances!JK7))</f>
        <v>0</v>
      </c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 cm="1">
        <f t="array" ref="O8">_xlfn.SWITCH($A$2,"average", AVERAGE(Instances!O8:Instances!O8),"median", MEDIAN(Instances!O8:Instances!O8),"min", MIN(Instances!O8:Instances!O8),"max", MAX(Instances!O8:Instances!O8),"diff", MAX(Instances!O8:Instances!O8)-MIN(Instances!O8:Instances!O8))</f>
        <v>0</v>
      </c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 cm="1">
        <f t="array" ref="S8">_xlfn.SWITCH($A$2,"average", AVERAGE(Instances!S8:Instances!S8),"median", MEDIAN(Instances!S8:Instances!S8),"min", MIN(Instances!S8:Instances!S8),"max", MAX(Instances!S8:Instances!S8),"diff", MAX(Instances!S8:Instances!S8)-MIN(Instances!S8:Instances!S8))</f>
        <v>0</v>
      </c>
      <c r="T8" s="1" cm="1">
        <f t="array" ref="T8">_xlfn.SWITCH($A$2,"average", AVERAGE(Instances!T8:Instances!T8),"median", MEDIAN(Instances!T8:Instances!T8),"min", MIN(Instances!T8:Instances!T8),"max", MAX(Instances!T8:Instances!T8),"diff", MAX(Instances!T8:Instances!T8)-MIN(Instances!T8:Instances!T8))</f>
        <v>0</v>
      </c>
      <c r="U8" s="1" cm="1">
        <f t="array" ref="U8">_xlfn.SWITCH($A$2,"average", AVERAGE(Instances!U8:Instances!U8),"median", MEDIAN(Instances!U8:Instances!U8),"min", MIN(Instances!U8:Instances!U8),"max", MAX(Instances!U8:Instances!U8),"diff", MAX(Instances!U8:Instances!U8)-MIN(Instances!U8:Instances!U8))</f>
        <v>0</v>
      </c>
      <c r="V8" s="1" cm="1">
        <f t="array" ref="V8">_xlfn.SWITCH($A$2,"average", AVERAGE(Instances!V8:Instances!V8),"median", MEDIAN(Instances!V8:Instances!V8),"min", MIN(Instances!V8:Instances!V8),"max", MAX(Instances!V8:Instances!V8),"diff", MAX(Instances!V8:Instances!V8)-MIN(Instances!V8:Instances!V8))</f>
        <v>0</v>
      </c>
      <c r="W8" s="1" cm="1">
        <f t="array" ref="W8">_xlfn.SWITCH($A$2,"average", AVERAGE(Instances!W8:Instances!W8),"median", MEDIAN(Instances!W8:Instances!W8),"min", MIN(Instances!W8:Instances!W8),"max", MAX(Instances!W8:Instances!W8),"diff", MAX(Instances!W8:Instances!W8)-MIN(Instances!W8:Instances!W8))</f>
        <v>0</v>
      </c>
      <c r="X8" s="1" cm="1">
        <f t="array" ref="X8">_xlfn.SWITCH($A$2,"average", AVERAGE(Instances!X8:Instances!X8),"median", MEDIAN(Instances!X8:Instances!X8),"min", MIN(Instances!X8:Instances!X8),"max", MAX(Instances!X8:Instances!X8),"diff", MAX(Instances!X8:Instances!X8)-MIN(Instances!X8:Instances!X8))</f>
        <v>0</v>
      </c>
      <c r="Y8" s="1" cm="1">
        <f t="array" ref="Y8">_xlfn.SWITCH($A$2,"average", AVERAGE(Instances!Y8:Instances!Y8),"median", MEDIAN(Instances!Y8:Instances!Y8),"min", MIN(Instances!Y8:Instances!Y8),"max", MAX(Instances!Y8:Instances!Y8),"diff", MAX(Instances!Y8:Instances!Y8)-MIN(Instances!Y8:Instances!Y8))</f>
        <v>0</v>
      </c>
      <c r="Z8" s="1" cm="1">
        <f t="array" ref="Z8">_xlfn.SWITCH($A$2,"average", AVERAGE(Instances!Z8:Instances!Z8),"median", MEDIAN(Instances!Z8:Instances!Z8),"min", MIN(Instances!Z8:Instances!Z8),"max", MAX(Instances!Z8:Instances!Z8),"diff", MAX(Instances!Z8:Instances!Z8)-MIN(Instances!Z8:Instances!Z8))</f>
        <v>0</v>
      </c>
      <c r="AA8" s="1" cm="1">
        <f t="array" ref="AA8">_xlfn.SWITCH($A$2,"average", AVERAGE(Instances!AA8:Instances!AA8),"median", MEDIAN(Instances!AA8:Instances!AA8),"min", MIN(Instances!AA8:Instances!AA8),"max", MAX(Instances!AA8:Instances!AA8),"diff", MAX(Instances!AA8:Instances!AA8)-MIN(Instances!AA8:Instances!AA8))</f>
        <v>0</v>
      </c>
      <c r="AB8" s="1" cm="1">
        <f t="array" ref="AB8">_xlfn.SWITCH($A$2,"average", AVERAGE(Instances!AB8:Instances!AB8),"median", MEDIAN(Instances!AB8:Instances!AB8),"min", MIN(Instances!AB8:Instances!AB8),"max", MAX(Instances!AB8:Instances!AB8),"diff", MAX(Instances!AB8:Instances!AB8)-MIN(Instances!AB8:Instances!AB8))</f>
        <v>0</v>
      </c>
      <c r="AC8" s="1" cm="1">
        <f t="array" ref="AC8">_xlfn.SWITCH($A$2,"average", AVERAGE(Instances!AC8:Instances!AC8),"median", MEDIAN(Instances!AC8:Instances!AC8),"min", MIN(Instances!AC8:Instances!AC8),"max", MAX(Instances!AC8:Instances!AC8),"diff", MAX(Instances!AC8:Instances!AC8)-MIN(Instances!AC8:Instances!AC8))</f>
        <v>0</v>
      </c>
      <c r="AD8" s="1" cm="1">
        <f t="array" ref="AD8">_xlfn.SWITCH($A$2,"average", AVERAGE(Instances!AD8:Instances!AD8),"median", MEDIAN(Instances!AD8:Instances!AD8),"min", MIN(Instances!AD8:Instances!AD8),"max", MAX(Instances!AD8:Instances!AD8),"diff", MAX(Instances!AD8:Instances!AD8)-MIN(Instances!AD8:Instances!AD8))</f>
        <v>0</v>
      </c>
      <c r="AE8" s="1" cm="1">
        <f t="array" ref="AE8">_xlfn.SWITCH($A$2,"average", AVERAGE(Instances!AE8:Instances!AE8),"median", MEDIAN(Instances!AE8:Instances!AE8),"min", MIN(Instances!AE8:Instances!AE8),"max", MAX(Instances!AE8:Instances!AE8),"diff", MAX(Instances!AE8:Instances!AE8)-MIN(Instances!AE8:Instances!AE8))</f>
        <v>0</v>
      </c>
      <c r="AF8" s="1" cm="1">
        <f t="array" ref="AF8">_xlfn.SWITCH($A$2,"average", AVERAGE(Instances!AF8:Instances!AF8),"median", MEDIAN(Instances!AF8:Instances!AF8),"min", MIN(Instances!AF8:Instances!AF8),"max", MAX(Instances!AF8:Instances!AF8),"diff", MAX(Instances!AF8:Instances!AF8)-MIN(Instances!AF8:Instances!AF8))</f>
        <v>0</v>
      </c>
      <c r="AG8" s="1" cm="1">
        <f t="array" ref="AG8">_xlfn.SWITCH($A$2,"average", AVERAGE(Instances!AG8:Instances!AG8),"median", MEDIAN(Instances!AG8:Instances!AG8),"min", MIN(Instances!AG8:Instances!AG8),"max", MAX(Instances!AG8:Instances!AG8),"diff", MAX(Instances!AG8:Instances!AG8)-MIN(Instances!AG8:Instances!AG8))</f>
        <v>0</v>
      </c>
      <c r="AH8" s="1"/>
      <c r="AI8" s="1" cm="1">
        <f t="array" ref="AI8">_xlfn.SWITCH($A$2,"average", AVERAGE(Instances!AI8:Instances!AI8),"median", MEDIAN(Instances!AI8:Instances!AI8),"min", MIN(Instances!AI8:Instances!AI8),"max", MAX(Instances!AI8:Instances!AI8),"diff", MAX(Instances!AI8:Instances!AI8)-MIN(Instances!AI8:Instances!AI8))</f>
        <v>0</v>
      </c>
      <c r="AJ8" s="1" cm="1">
        <f t="array" ref="AJ8">_xlfn.SWITCH($A$2,"average", AVERAGE(Instances!AJ8:Instances!AJ8),"median", MEDIAN(Instances!AJ8:Instances!AJ8),"min", MIN(Instances!AJ8:Instances!AJ8),"max", MAX(Instances!AJ8:Instances!AJ8),"diff", MAX(Instances!AJ8:Instances!AJ8)-MIN(Instances!AJ8:Instances!AJ8))</f>
        <v>0</v>
      </c>
      <c r="AK8" s="1" cm="1">
        <f t="array" ref="AK8">_xlfn.SWITCH($A$2,"average", AVERAGE(Instances!AK8:Instances!AK8),"median", MEDIAN(Instances!AK8:Instances!AK8),"min", MIN(Instances!AK8:Instances!AK8),"max", MAX(Instances!AK8:Instances!AK8),"diff", MAX(Instances!AK8:Instances!AK8)-MIN(Instances!AK8:Instances!AK8))</f>
        <v>0</v>
      </c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 cm="1">
        <f t="array" ref="CN8">_xlfn.SWITCH($A$2,"average", AVERAGE(Instances!CN8:Instances!CN8),"median", MEDIAN(Instances!CN8:Instances!CN8),"min", MIN(Instances!CN8:Instances!CN8),"max", MAX(Instances!CN8:Instances!CN8),"diff", MAX(Instances!CN8:Instances!CN8)-MIN(Instances!CN8:Instances!CN8))</f>
        <v>0</v>
      </c>
      <c r="CO8" s="1" cm="1">
        <f t="array" ref="CO8">_xlfn.SWITCH($A$2,"average", AVERAGE(Instances!CO8:Instances!CO8),"median", MEDIAN(Instances!CO8:Instances!CO8),"min", MIN(Instances!CO8:Instances!CO8),"max", MAX(Instances!CO8:Instances!CO8),"diff", MAX(Instances!CO8:Instances!CO8)-MIN(Instances!CO8:Instances!CO8))</f>
        <v>0</v>
      </c>
      <c r="CP8" s="1" cm="1">
        <f t="array" ref="CP8">_xlfn.SWITCH($A$2,"average", AVERAGE(Instances!CP8:Instances!CP8),"median", MEDIAN(Instances!CP8:Instances!CP8),"min", MIN(Instances!CP8:Instances!CP8),"max", MAX(Instances!CP8:Instances!CP8),"diff", MAX(Instances!CP8:Instances!CP8)-MIN(Instances!CP8:Instances!CP8))</f>
        <v>0</v>
      </c>
      <c r="CQ8" s="1" cm="1">
        <f t="array" ref="CQ8">_xlfn.SWITCH($A$2,"average", AVERAGE(Instances!CQ8:Instances!CQ8),"median", MEDIAN(Instances!CQ8:Instances!CQ8),"min", MIN(Instances!CQ8:Instances!CQ8),"max", MAX(Instances!CQ8:Instances!CQ8),"diff", MAX(Instances!CQ8:Instances!CQ8)-MIN(Instances!CQ8:Instances!CQ8))</f>
        <v>0</v>
      </c>
      <c r="CR8" s="1" cm="1">
        <f t="array" ref="CR8">_xlfn.SWITCH($A$2,"average", AVERAGE(Instances!CR8:Instances!CR8),"median", MEDIAN(Instances!CR8:Instances!CR8),"min", MIN(Instances!CR8:Instances!CR8),"max", MAX(Instances!CR8:Instances!CR8),"diff", MAX(Instances!CR8:Instances!CR8)-MIN(Instances!CR8:Instances!CR8))</f>
        <v>0</v>
      </c>
      <c r="CS8" s="1" cm="1">
        <f t="array" ref="CS8">_xlfn.SWITCH($A$2,"average", AVERAGE(Instances!CS8:Instances!CS8),"median", MEDIAN(Instances!CS8:Instances!CS8),"min", MIN(Instances!CS8:Instances!CS8),"max", MAX(Instances!CS8:Instances!CS8),"diff", MAX(Instances!CS8:Instances!CS8)-MIN(Instances!CS8:Instances!CS8))</f>
        <v>0</v>
      </c>
      <c r="CT8" s="1" cm="1">
        <f t="array" ref="CT8">_xlfn.SWITCH($A$2,"average", AVERAGE(Instances!CT8:Instances!CT8),"median", MEDIAN(Instances!CT8:Instances!CT8),"min", MIN(Instances!CT8:Instances!CT8),"max", MAX(Instances!CT8:Instances!CT8),"diff", MAX(Instances!CT8:Instances!CT8)-MIN(Instances!CT8:Instances!CT8))</f>
        <v>0</v>
      </c>
      <c r="CU8" s="1" cm="1">
        <f t="array" ref="CU8">_xlfn.SWITCH($A$2,"average", AVERAGE(Instances!CU8:Instances!CU8),"median", MEDIAN(Instances!CU8:Instances!CU8),"min", MIN(Instances!CU8:Instances!CU8),"max", MAX(Instances!CU8:Instances!CU8),"diff", MAX(Instances!CU8:Instances!CU8)-MIN(Instances!CU8:Instances!CU8))</f>
        <v>0</v>
      </c>
      <c r="CV8" s="1" cm="1">
        <f t="array" ref="CV8">_xlfn.SWITCH($A$2,"average", AVERAGE(Instances!CV8:Instances!CV8),"median", MEDIAN(Instances!CV8:Instances!CV8),"min", MIN(Instances!CV8:Instances!CV8),"max", MAX(Instances!CV8:Instances!CV8),"diff", MAX(Instances!CV8:Instances!CV8)-MIN(Instances!CV8:Instances!CV8))</f>
        <v>0</v>
      </c>
      <c r="CW8" s="1" cm="1">
        <f t="array" ref="CW8">_xlfn.SWITCH($A$2,"average", AVERAGE(Instances!CW8:Instances!CW8),"median", MEDIAN(Instances!CW8:Instances!CW8),"min", MIN(Instances!CW8:Instances!CW8),"max", MAX(Instances!CW8:Instances!CW8),"diff", MAX(Instances!CW8:Instances!CW8)-MIN(Instances!CW8:Instances!CW8))</f>
        <v>0</v>
      </c>
      <c r="CX8" s="1" cm="1">
        <f t="array" ref="CX8">_xlfn.SWITCH($A$2,"average", AVERAGE(Instances!CX8:Instances!CX8),"median", MEDIAN(Instances!CX8:Instances!CX8),"min", MIN(Instances!CX8:Instances!CX8),"max", MAX(Instances!CX8:Instances!CX8),"diff", MAX(Instances!CX8:Instances!CX8)-MIN(Instances!CX8:Instances!CX8))</f>
        <v>0</v>
      </c>
      <c r="CY8" s="1" cm="1">
        <f t="array" ref="CY8">_xlfn.SWITCH($A$2,"average", AVERAGE(Instances!CY8:Instances!CY8),"median", MEDIAN(Instances!CY8:Instances!CY8),"min", MIN(Instances!CY8:Instances!CY8),"max", MAX(Instances!CY8:Instances!CY8),"diff", MAX(Instances!CY8:Instances!CY8)-MIN(Instances!CY8:Instances!CY8))</f>
        <v>0</v>
      </c>
      <c r="CZ8" s="1" cm="1">
        <f t="array" ref="CZ8">_xlfn.SWITCH($A$2,"average", AVERAGE(Instances!CZ8:Instances!CZ8),"median", MEDIAN(Instances!CZ8:Instances!CZ8),"min", MIN(Instances!CZ8:Instances!CZ8),"max", MAX(Instances!CZ8:Instances!CZ8),"diff", MAX(Instances!CZ8:Instances!CZ8)-MIN(Instances!CZ8:Instances!CZ8))</f>
        <v>0</v>
      </c>
      <c r="DA8" s="1" cm="1">
        <f t="array" ref="DA8">_xlfn.SWITCH($A$2,"average", AVERAGE(Instances!DA8:Instances!DA8),"median", MEDIAN(Instances!DA8:Instances!DA8),"min", MIN(Instances!DA8:Instances!DA8),"max", MAX(Instances!DA8:Instances!DA8),"diff", MAX(Instances!DA8:Instances!DA8)-MIN(Instances!DA8:Instances!DA8))</f>
        <v>0</v>
      </c>
      <c r="DB8" s="1"/>
      <c r="DC8" s="1" cm="1">
        <f t="array" ref="DC8">_xlfn.SWITCH($A$2,"average", AVERAGE(Instances!DC8:Instances!DC8),"median", MEDIAN(Instances!DC8:Instances!DC8),"min", MIN(Instances!DC8:Instances!DC8),"max", MAX(Instances!DC8:Instances!DC8),"diff", MAX(Instances!DC8:Instances!DC8)-MIN(Instances!DC8:Instances!DC8))</f>
        <v>0</v>
      </c>
      <c r="DD8" s="1" cm="1">
        <f t="array" ref="DD8">_xlfn.SWITCH($A$2,"average", AVERAGE(Instances!DD8:Instances!DD8),"median", MEDIAN(Instances!DD8:Instances!DD8),"min", MIN(Instances!DD8:Instances!DD8),"max", MAX(Instances!DD8:Instances!DD8),"diff", MAX(Instances!DD8:Instances!DD8)-MIN(Instances!DD8:Instances!DD8))</f>
        <v>0</v>
      </c>
      <c r="DE8" s="1" cm="1">
        <f t="array" ref="DE8">_xlfn.SWITCH($A$2,"average", AVERAGE(Instances!DE8:Instances!DE8),"median", MEDIAN(Instances!DE8:Instances!DE8),"min", MIN(Instances!DE8:Instances!DE8),"max", MAX(Instances!DE8:Instances!DE8),"diff", MAX(Instances!DE8:Instances!DE8)-MIN(Instances!DE8:Instances!DE8))</f>
        <v>0</v>
      </c>
      <c r="DF8" s="1" cm="1">
        <f t="array" ref="DF8">_xlfn.SWITCH($A$2,"average", AVERAGE(Instances!DF8:Instances!DF8),"median", MEDIAN(Instances!DF8:Instances!DF8),"min", MIN(Instances!DF8:Instances!DF8),"max", MAX(Instances!DF8:Instances!DF8),"diff", MAX(Instances!DF8:Instances!DF8)-MIN(Instances!DF8:Instances!DF8))</f>
        <v>0</v>
      </c>
      <c r="DG8" s="1" cm="1">
        <f t="array" ref="DG8">_xlfn.SWITCH($A$2,"average", AVERAGE(Instances!DG8:Instances!DG8),"median", MEDIAN(Instances!DG8:Instances!DG8),"min", MIN(Instances!DG8:Instances!DG8),"max", MAX(Instances!DG8:Instances!DG8),"diff", MAX(Instances!DG8:Instances!DG8)-MIN(Instances!DG8:Instances!DG8))</f>
        <v>0</v>
      </c>
      <c r="DH8" s="1" cm="1">
        <f t="array" ref="DH8">_xlfn.SWITCH($A$2,"average", AVERAGE(Instances!DH8:Instances!DH8),"median", MEDIAN(Instances!DH8:Instances!DH8),"min", MIN(Instances!DH8:Instances!DH8),"max", MAX(Instances!DH8:Instances!DH8),"diff", MAX(Instances!DH8:Instances!DH8)-MIN(Instances!DH8:Instances!DH8))</f>
        <v>0</v>
      </c>
      <c r="DI8" s="1" cm="1">
        <f t="array" ref="DI8">_xlfn.SWITCH($A$2,"average", AVERAGE(Instances!DI8:Instances!DI8),"median", MEDIAN(Instances!DI8:Instances!DI8),"min", MIN(Instances!DI8:Instances!DI8),"max", MAX(Instances!DI8:Instances!DI8),"diff", MAX(Instances!DI8:Instances!DI8)-MIN(Instances!DI8:Instances!DI8))</f>
        <v>0</v>
      </c>
      <c r="DJ8" s="1" cm="1">
        <f t="array" ref="DJ8">_xlfn.SWITCH($A$2,"average", AVERAGE(Instances!DJ8:Instances!DJ8),"median", MEDIAN(Instances!DJ8:Instances!DJ8),"min", MIN(Instances!DJ8:Instances!DJ8),"max", MAX(Instances!DJ8:Instances!DJ8),"diff", MAX(Instances!DJ8:Instances!DJ8)-MIN(Instances!DJ8:Instances!DJ8))</f>
        <v>0</v>
      </c>
      <c r="DK8" s="1" cm="1">
        <f t="array" ref="DK8">_xlfn.SWITCH($A$2,"average", AVERAGE(Instances!DK8:Instances!DK8),"median", MEDIAN(Instances!DK8:Instances!DK8),"min", MIN(Instances!DK8:Instances!DK8),"max", MAX(Instances!DK8:Instances!DK8),"diff", MAX(Instances!DK8:Instances!DK8)-MIN(Instances!DK8:Instances!DK8))</f>
        <v>0</v>
      </c>
      <c r="DL8" s="1" cm="1">
        <f t="array" ref="DL8">_xlfn.SWITCH($A$2,"average", AVERAGE(Instances!DL8:Instances!DL8),"median", MEDIAN(Instances!DL8:Instances!DL8),"min", MIN(Instances!DL8:Instances!DL8),"max", MAX(Instances!DL8:Instances!DL8),"diff", MAX(Instances!DL8:Instances!DL8)-MIN(Instances!DL8:Instances!DL8))</f>
        <v>0</v>
      </c>
      <c r="DM8" s="1" cm="1">
        <f t="array" ref="DM8">_xlfn.SWITCH($A$2,"average", AVERAGE(Instances!DM8:Instances!DM8),"median", MEDIAN(Instances!DM8:Instances!DM8),"min", MIN(Instances!DM8:Instances!DM8),"max", MAX(Instances!DM8:Instances!DM8),"diff", MAX(Instances!DM8:Instances!DM8)-MIN(Instances!DM8:Instances!DM8))</f>
        <v>0</v>
      </c>
      <c r="DN8" s="1" cm="1">
        <f t="array" ref="DN8">_xlfn.SWITCH($A$2,"average", AVERAGE(Instances!DN8:Instances!DN8),"median", MEDIAN(Instances!DN8:Instances!DN8),"min", MIN(Instances!DN8:Instances!DN8),"max", MAX(Instances!DN8:Instances!DN8),"diff", MAX(Instances!DN8:Instances!DN8)-MIN(Instances!DN8:Instances!DN8))</f>
        <v>0</v>
      </c>
      <c r="DO8" s="1" cm="1">
        <f t="array" ref="DO8">_xlfn.SWITCH($A$2,"average", AVERAGE(Instances!DO8:Instances!DO8),"median", MEDIAN(Instances!DO8:Instances!DO8),"min", MIN(Instances!DO8:Instances!DO8),"max", MAX(Instances!DO8:Instances!DO8),"diff", MAX(Instances!DO8:Instances!DO8)-MIN(Instances!DO8:Instances!DO8))</f>
        <v>0</v>
      </c>
      <c r="DP8" s="1" cm="1">
        <f t="array" ref="DP8">_xlfn.SWITCH($A$2,"average", AVERAGE(Instances!DP8:Instances!DP8),"median", MEDIAN(Instances!DP8:Instances!DP8),"min", MIN(Instances!DP8:Instances!DP8),"max", MAX(Instances!DP8:Instances!DP8),"diff", MAX(Instances!DP8:Instances!DP8)-MIN(Instances!DP8:Instances!DP8))</f>
        <v>0</v>
      </c>
      <c r="DQ8" s="1" cm="1">
        <f t="array" ref="DQ8">_xlfn.SWITCH($A$2,"average", AVERAGE(Instances!DQ8:Instances!DQ8),"median", MEDIAN(Instances!DQ8:Instances!DQ8),"min", MIN(Instances!DQ8:Instances!DQ8),"max", MAX(Instances!DQ8:Instances!DQ8),"diff", MAX(Instances!DQ8:Instances!DQ8)-MIN(Instances!DQ8:Instances!DQ8))</f>
        <v>0</v>
      </c>
      <c r="DR8" s="1" cm="1">
        <f t="array" ref="DR8">_xlfn.SWITCH($A$2,"average", AVERAGE(Instances!DR8:Instances!DR8),"median", MEDIAN(Instances!DR8:Instances!DR8),"min", MIN(Instances!DR8:Instances!DR8),"max", MAX(Instances!DR8:Instances!DR8),"diff", MAX(Instances!DR8:Instances!DR8)-MIN(Instances!DR8:Instances!DR8))</f>
        <v>0</v>
      </c>
      <c r="DS8" s="1" cm="1">
        <f t="array" ref="DS8">_xlfn.SWITCH($A$2,"average", AVERAGE(Instances!DS8:Instances!DS8),"median", MEDIAN(Instances!DS8:Instances!DS8),"min", MIN(Instances!DS8:Instances!DS8),"max", MAX(Instances!DS8:Instances!DS8),"diff", MAX(Instances!DS8:Instances!DS8)-MIN(Instances!DS8:Instances!DS8))</f>
        <v>0</v>
      </c>
      <c r="DT8" s="1"/>
      <c r="DU8" s="1" cm="1">
        <f t="array" ref="DU8">_xlfn.SWITCH($A$2,"average", AVERAGE(Instances!DU8:Instances!DU8),"median", MEDIAN(Instances!DU8:Instances!DU8),"min", MIN(Instances!DU8:Instances!DU8),"max", MAX(Instances!DU8:Instances!DU8),"diff", MAX(Instances!DU8:Instances!DU8)-MIN(Instances!DU8:Instances!DU8))</f>
        <v>0</v>
      </c>
      <c r="DV8" s="1" cm="1">
        <f t="array" ref="DV8">_xlfn.SWITCH($A$2,"average", AVERAGE(Instances!DV8:Instances!DV8),"median", MEDIAN(Instances!DV8:Instances!DV8),"min", MIN(Instances!DV8:Instances!DV8),"max", MAX(Instances!DV8:Instances!DV8),"diff", MAX(Instances!DV8:Instances!DV8)-MIN(Instances!DV8:Instances!DV8))</f>
        <v>0</v>
      </c>
      <c r="DW8" s="1" cm="1">
        <f t="array" ref="DW8">_xlfn.SWITCH($A$2,"average", AVERAGE(Instances!DW8:Instances!DW8),"median", MEDIAN(Instances!DW8:Instances!DW8),"min", MIN(Instances!DW8:Instances!DW8),"max", MAX(Instances!DW8:Instances!DW8),"diff", MAX(Instances!DW8:Instances!DW8)-MIN(Instances!DW8:Instances!DW8))</f>
        <v>0</v>
      </c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 cm="1">
        <f t="array" ref="FH8">_xlfn.SWITCH($A$2,"average", AVERAGE(Instances!FH8:Instances!FH8),"median", MEDIAN(Instances!FH8:Instances!FH8),"min", MIN(Instances!FH8:Instances!FH8),"max", MAX(Instances!FH8:Instances!FH8),"diff", MAX(Instances!FH8:Instances!FH8)-MIN(Instances!FH8:Instances!FH8))</f>
        <v>0</v>
      </c>
      <c r="FI8" s="1" cm="1">
        <f t="array" ref="FI8">_xlfn.SWITCH($A$2,"average", AVERAGE(Instances!FI8:Instances!FI8),"median", MEDIAN(Instances!FI8:Instances!FI8),"min", MIN(Instances!FI8:Instances!FI8),"max", MAX(Instances!FI8:Instances!FI8),"diff", MAX(Instances!FI8:Instances!FI8)-MIN(Instances!FI8:Instances!FI8))</f>
        <v>0</v>
      </c>
      <c r="FJ8" s="1" cm="1">
        <f t="array" ref="FJ8">_xlfn.SWITCH($A$2,"average", AVERAGE(Instances!FJ8:Instances!FJ8),"median", MEDIAN(Instances!FJ8:Instances!FJ8),"min", MIN(Instances!FJ8:Instances!FJ8),"max", MAX(Instances!FJ8:Instances!FJ8),"diff", MAX(Instances!FJ8:Instances!FJ8)-MIN(Instances!FJ8:Instances!FJ8))</f>
        <v>0</v>
      </c>
      <c r="FK8" s="1" cm="1">
        <f t="array" ref="FK8">_xlfn.SWITCH($A$2,"average", AVERAGE(Instances!FK8:Instances!FK8),"median", MEDIAN(Instances!FK8:Instances!FK8),"min", MIN(Instances!FK8:Instances!FK8),"max", MAX(Instances!FK8:Instances!FK8),"diff", MAX(Instances!FK8:Instances!FK8)-MIN(Instances!FK8:Instances!FK8))</f>
        <v>0</v>
      </c>
      <c r="FL8" s="1" cm="1">
        <f t="array" ref="FL8">_xlfn.SWITCH($A$2,"average", AVERAGE(Instances!FL8:Instances!FL8),"median", MEDIAN(Instances!FL8:Instances!FL8),"min", MIN(Instances!FL8:Instances!FL8),"max", MAX(Instances!FL8:Instances!FL8),"diff", MAX(Instances!FL8:Instances!FL8)-MIN(Instances!FL8:Instances!FL8))</f>
        <v>0</v>
      </c>
      <c r="FM8" s="1" cm="1">
        <f t="array" ref="FM8">_xlfn.SWITCH($A$2,"average", AVERAGE(Instances!FM8:Instances!FM8),"median", MEDIAN(Instances!FM8:Instances!FM8),"min", MIN(Instances!FM8:Instances!FM8),"max", MAX(Instances!FM8:Instances!FM8),"diff", MAX(Instances!FM8:Instances!FM8)-MIN(Instances!FM8:Instances!FM8))</f>
        <v>0</v>
      </c>
      <c r="FN8" s="1" cm="1">
        <f t="array" ref="FN8">_xlfn.SWITCH($A$2,"average", AVERAGE(Instances!FN8:Instances!FN8),"median", MEDIAN(Instances!FN8:Instances!FN8),"min", MIN(Instances!FN8:Instances!FN8),"max", MAX(Instances!FN8:Instances!FN8),"diff", MAX(Instances!FN8:Instances!FN8)-MIN(Instances!FN8:Instances!FN8))</f>
        <v>0</v>
      </c>
      <c r="FO8" s="1" cm="1">
        <f t="array" ref="FO8">_xlfn.SWITCH($A$2,"average", AVERAGE(Instances!FO8:Instances!FO8),"median", MEDIAN(Instances!FO8:Instances!FO8),"min", MIN(Instances!FO8:Instances!FO8),"max", MAX(Instances!FO8:Instances!FO8),"diff", MAX(Instances!FO8:Instances!FO8)-MIN(Instances!FO8:Instances!FO8))</f>
        <v>0</v>
      </c>
      <c r="FP8" s="1" cm="1">
        <f t="array" ref="FP8">_xlfn.SWITCH($A$2,"average", AVERAGE(Instances!FP8:Instances!FP8),"median", MEDIAN(Instances!FP8:Instances!FP8),"min", MIN(Instances!FP8:Instances!FP8),"max", MAX(Instances!FP8:Instances!FP8),"diff", MAX(Instances!FP8:Instances!FP8)-MIN(Instances!FP8:Instances!FP8))</f>
        <v>0</v>
      </c>
      <c r="FQ8" s="1" cm="1">
        <f t="array" ref="FQ8">_xlfn.SWITCH($A$2,"average", AVERAGE(Instances!FQ8:Instances!FQ8),"median", MEDIAN(Instances!FQ8:Instances!FQ8),"min", MIN(Instances!FQ8:Instances!FQ8),"max", MAX(Instances!FQ8:Instances!FQ8),"diff", MAX(Instances!FQ8:Instances!FQ8)-MIN(Instances!FQ8:Instances!FQ8))</f>
        <v>0</v>
      </c>
      <c r="FR8" s="1" cm="1">
        <f t="array" ref="FR8">_xlfn.SWITCH($A$2,"average", AVERAGE(Instances!FR8:Instances!FR8),"median", MEDIAN(Instances!FR8:Instances!FR8),"min", MIN(Instances!FR8:Instances!FR8),"max", MAX(Instances!FR8:Instances!FR8),"diff", MAX(Instances!FR8:Instances!FR8)-MIN(Instances!FR8:Instances!FR8))</f>
        <v>0</v>
      </c>
      <c r="FS8" s="1" cm="1">
        <f t="array" ref="FS8">_xlfn.SWITCH($A$2,"average", AVERAGE(Instances!FS8:Instances!FS8),"median", MEDIAN(Instances!FS8:Instances!FS8),"min", MIN(Instances!FS8:Instances!FS8),"max", MAX(Instances!FS8:Instances!FS8),"diff", MAX(Instances!FS8:Instances!FS8)-MIN(Instances!FS8:Instances!FS8))</f>
        <v>0</v>
      </c>
      <c r="FT8" s="1" cm="1">
        <f t="array" ref="FT8">_xlfn.SWITCH($A$2,"average", AVERAGE(Instances!FT8:Instances!FT8),"median", MEDIAN(Instances!FT8:Instances!FT8),"min", MIN(Instances!FT8:Instances!FT8),"max", MAX(Instances!FT8:Instances!FT8),"diff", MAX(Instances!FT8:Instances!FT8)-MIN(Instances!FT8:Instances!FT8))</f>
        <v>0</v>
      </c>
      <c r="FU8" s="1" cm="1">
        <f t="array" ref="FU8">_xlfn.SWITCH($A$2,"average", AVERAGE(Instances!FU8:Instances!FU8),"median", MEDIAN(Instances!FU8:Instances!FU8),"min", MIN(Instances!FU8:Instances!FU8),"max", MAX(Instances!FU8:Instances!FU8),"diff", MAX(Instances!FU8:Instances!FU8)-MIN(Instances!FU8:Instances!FU8))</f>
        <v>0</v>
      </c>
      <c r="FV8" s="1"/>
      <c r="FW8" s="1" cm="1">
        <f t="array" ref="FW8">_xlfn.SWITCH($A$2,"average", AVERAGE(Instances!FW8:Instances!FW8),"median", MEDIAN(Instances!FW8:Instances!FW8),"min", MIN(Instances!FW8:Instances!FW8),"max", MAX(Instances!FW8:Instances!FW8),"diff", MAX(Instances!FW8:Instances!FW8)-MIN(Instances!FW8:Instances!FW8))</f>
        <v>0</v>
      </c>
      <c r="FX8" s="1" cm="1">
        <f t="array" ref="FX8">_xlfn.SWITCH($A$2,"average", AVERAGE(Instances!FX8:Instances!FX8),"median", MEDIAN(Instances!FX8:Instances!FX8),"min", MIN(Instances!FX8:Instances!FX8),"max", MAX(Instances!FX8:Instances!FX8),"diff", MAX(Instances!FX8:Instances!FX8)-MIN(Instances!FX8:Instances!FX8))</f>
        <v>0</v>
      </c>
      <c r="FY8" s="1" cm="1">
        <f t="array" ref="FY8">_xlfn.SWITCH($A$2,"average", AVERAGE(Instances!FY8:Instances!FY8),"median", MEDIAN(Instances!FY8:Instances!FY8),"min", MIN(Instances!FY8:Instances!FY8),"max", MAX(Instances!FY8:Instances!FY8),"diff", MAX(Instances!FY8:Instances!FY8)-MIN(Instances!FY8:Instances!FY8))</f>
        <v>0</v>
      </c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 cm="1">
        <f t="array" ref="IB8">_xlfn.SWITCH($A$2,"average", AVERAGE(Instances!IB8:Instances!IB8),"median", MEDIAN(Instances!IB8:Instances!IB8),"min", MIN(Instances!IB8:Instances!IB8),"max", MAX(Instances!IB8:Instances!IB8),"diff", MAX(Instances!IB8:Instances!IB8)-MIN(Instances!IB8:Instances!IB8))</f>
        <v>0</v>
      </c>
      <c r="IC8" s="1" cm="1">
        <f t="array" ref="IC8">_xlfn.SWITCH($A$2,"average", AVERAGE(Instances!IC8:Instances!IC8),"median", MEDIAN(Instances!IC8:Instances!IC8),"min", MIN(Instances!IC8:Instances!IC8),"max", MAX(Instances!IC8:Instances!IC8),"diff", MAX(Instances!IC8:Instances!IC8)-MIN(Instances!IC8:Instances!IC8))</f>
        <v>0</v>
      </c>
      <c r="ID8" s="1" cm="1">
        <f t="array" ref="ID8">_xlfn.SWITCH($A$2,"average", AVERAGE(Instances!ID8:Instances!ID8),"median", MEDIAN(Instances!ID8:Instances!ID8),"min", MIN(Instances!ID8:Instances!ID8),"max", MAX(Instances!ID8:Instances!ID8),"diff", MAX(Instances!ID8:Instances!ID8)-MIN(Instances!ID8:Instances!ID8))</f>
        <v>0</v>
      </c>
      <c r="IE8" s="1" cm="1">
        <f t="array" ref="IE8">_xlfn.SWITCH($A$2,"average", AVERAGE(Instances!IE8:Instances!IE8),"median", MEDIAN(Instances!IE8:Instances!IE8),"min", MIN(Instances!IE8:Instances!IE8),"max", MAX(Instances!IE8:Instances!IE8),"diff", MAX(Instances!IE8:Instances!IE8)-MIN(Instances!IE8:Instances!IE8))</f>
        <v>0</v>
      </c>
      <c r="IF8" s="1" cm="1">
        <f t="array" ref="IF8">_xlfn.SWITCH($A$2,"average", AVERAGE(Instances!IF8:Instances!IF8),"median", MEDIAN(Instances!IF8:Instances!IF8),"min", MIN(Instances!IF8:Instances!IF8),"max", MAX(Instances!IF8:Instances!IF8),"diff", MAX(Instances!IF8:Instances!IF8)-MIN(Instances!IF8:Instances!IF8))</f>
        <v>0</v>
      </c>
      <c r="IG8" s="1" cm="1">
        <f t="array" ref="IG8">_xlfn.SWITCH($A$2,"average", AVERAGE(Instances!IG8:Instances!IG8),"median", MEDIAN(Instances!IG8:Instances!IG8),"min", MIN(Instances!IG8:Instances!IG8),"max", MAX(Instances!IG8:Instances!IG8),"diff", MAX(Instances!IG8:Instances!IG8)-MIN(Instances!IG8:Instances!IG8))</f>
        <v>0</v>
      </c>
      <c r="IH8" s="1" cm="1">
        <f t="array" ref="IH8">_xlfn.SWITCH($A$2,"average", AVERAGE(Instances!IH8:Instances!IH8),"median", MEDIAN(Instances!IH8:Instances!IH8),"min", MIN(Instances!IH8:Instances!IH8),"max", MAX(Instances!IH8:Instances!IH8),"diff", MAX(Instances!IH8:Instances!IH8)-MIN(Instances!IH8:Instances!IH8))</f>
        <v>0</v>
      </c>
      <c r="II8" s="1" cm="1">
        <f t="array" ref="II8">_xlfn.SWITCH($A$2,"average", AVERAGE(Instances!II8:Instances!II8),"median", MEDIAN(Instances!II8:Instances!II8),"min", MIN(Instances!II8:Instances!II8),"max", MAX(Instances!II8:Instances!II8),"diff", MAX(Instances!II8:Instances!II8)-MIN(Instances!II8:Instances!II8))</f>
        <v>0</v>
      </c>
      <c r="IJ8" s="1" cm="1">
        <f t="array" ref="IJ8">_xlfn.SWITCH($A$2,"average", AVERAGE(Instances!IJ8:Instances!IJ8),"median", MEDIAN(Instances!IJ8:Instances!IJ8),"min", MIN(Instances!IJ8:Instances!IJ8),"max", MAX(Instances!IJ8:Instances!IJ8),"diff", MAX(Instances!IJ8:Instances!IJ8)-MIN(Instances!IJ8:Instances!IJ8))</f>
        <v>0</v>
      </c>
      <c r="IK8" s="1" cm="1">
        <f t="array" ref="IK8">_xlfn.SWITCH($A$2,"average", AVERAGE(Instances!IK8:Instances!IK8),"median", MEDIAN(Instances!IK8:Instances!IK8),"min", MIN(Instances!IK8:Instances!IK8),"max", MAX(Instances!IK8:Instances!IK8),"diff", MAX(Instances!IK8:Instances!IK8)-MIN(Instances!IK8:Instances!IK8))</f>
        <v>0</v>
      </c>
      <c r="IL8" s="1" cm="1">
        <f t="array" ref="IL8">_xlfn.SWITCH($A$2,"average", AVERAGE(Instances!IL8:Instances!IL8),"median", MEDIAN(Instances!IL8:Instances!IL8),"min", MIN(Instances!IL8:Instances!IL8),"max", MAX(Instances!IL8:Instances!IL8),"diff", MAX(Instances!IL8:Instances!IL8)-MIN(Instances!IL8:Instances!IL8))</f>
        <v>0</v>
      </c>
      <c r="IM8" s="1" cm="1">
        <f t="array" ref="IM8">_xlfn.SWITCH($A$2,"average", AVERAGE(Instances!IM8:Instances!IM8),"median", MEDIAN(Instances!IM8:Instances!IM8),"min", MIN(Instances!IM8:Instances!IM8),"max", MAX(Instances!IM8:Instances!IM8),"diff", MAX(Instances!IM8:Instances!IM8)-MIN(Instances!IM8:Instances!IM8))</f>
        <v>0</v>
      </c>
      <c r="IN8" s="1" cm="1">
        <f t="array" ref="IN8">_xlfn.SWITCH($A$2,"average", AVERAGE(Instances!IN8:Instances!IN8),"median", MEDIAN(Instances!IN8:Instances!IN8),"min", MIN(Instances!IN8:Instances!IN8),"max", MAX(Instances!IN8:Instances!IN8),"diff", MAX(Instances!IN8:Instances!IN8)-MIN(Instances!IN8:Instances!IN8))</f>
        <v>0</v>
      </c>
      <c r="IO8" s="1" cm="1">
        <f t="array" ref="IO8">_xlfn.SWITCH($A$2,"average", AVERAGE(Instances!IO8:Instances!IO8),"median", MEDIAN(Instances!IO8:Instances!IO8),"min", MIN(Instances!IO8:Instances!IO8),"max", MAX(Instances!IO8:Instances!IO8),"diff", MAX(Instances!IO8:Instances!IO8)-MIN(Instances!IO8:Instances!IO8))</f>
        <v>0</v>
      </c>
      <c r="IP8" s="1"/>
      <c r="IQ8" s="1" cm="1">
        <f t="array" ref="IQ8">_xlfn.SWITCH($A$2,"average", AVERAGE(Instances!IQ8:Instances!IQ8),"median", MEDIAN(Instances!IQ8:Instances!IQ8),"min", MIN(Instances!IQ8:Instances!IQ8),"max", MAX(Instances!IQ8:Instances!IQ8),"diff", MAX(Instances!IQ8:Instances!IQ8)-MIN(Instances!IQ8:Instances!IQ8))</f>
        <v>0</v>
      </c>
      <c r="IR8" s="1" cm="1">
        <f t="array" ref="IR8">_xlfn.SWITCH($A$2,"average", AVERAGE(Instances!IR8:Instances!IR8),"median", MEDIAN(Instances!IR8:Instances!IR8),"min", MIN(Instances!IR8:Instances!IR8),"max", MAX(Instances!IR8:Instances!IR8),"diff", MAX(Instances!IR8:Instances!IR8)-MIN(Instances!IR8:Instances!IR8))</f>
        <v>0</v>
      </c>
      <c r="IS8" s="1" cm="1">
        <f t="array" ref="IS8">_xlfn.SWITCH($A$2,"average", AVERAGE(Instances!IS8:Instances!IS8),"median", MEDIAN(Instances!IS8:Instances!IS8),"min", MIN(Instances!IS8:Instances!IS8),"max", MAX(Instances!IS8:Instances!IS8),"diff", MAX(Instances!IS8:Instances!IS8)-MIN(Instances!IS8:Instances!IS8))</f>
        <v>0</v>
      </c>
      <c r="IT8" s="1" cm="1">
        <f t="array" ref="IT8">_xlfn.SWITCH($A$2,"average", AVERAGE(Instances!IT8:Instances!IT8),"median", MEDIAN(Instances!IT8:Instances!IT8),"min", MIN(Instances!IT8:Instances!IT8),"max", MAX(Instances!IT8:Instances!IT8),"diff", MAX(Instances!IT8:Instances!IT8)-MIN(Instances!IT8:Instances!IT8))</f>
        <v>0</v>
      </c>
      <c r="IU8" s="1" cm="1">
        <f t="array" ref="IU8">_xlfn.SWITCH($A$2,"average", AVERAGE(Instances!IU8:Instances!IU8),"median", MEDIAN(Instances!IU8:Instances!IU8),"min", MIN(Instances!IU8:Instances!IU8),"max", MAX(Instances!IU8:Instances!IU8),"diff", MAX(Instances!IU8:Instances!IU8)-MIN(Instances!IU8:Instances!IU8))</f>
        <v>0</v>
      </c>
      <c r="IV8" s="1" cm="1">
        <f t="array" ref="IV8">_xlfn.SWITCH($A$2,"average", AVERAGE(Instances!IV8:Instances!IV8),"median", MEDIAN(Instances!IV8:Instances!IV8),"min", MIN(Instances!IV8:Instances!IV8),"max", MAX(Instances!IV8:Instances!IV8),"diff", MAX(Instances!IV8:Instances!IV8)-MIN(Instances!IV8:Instances!IV8))</f>
        <v>0</v>
      </c>
      <c r="IW8" s="1" cm="1">
        <f t="array" ref="IW8">_xlfn.SWITCH($A$2,"average", AVERAGE(Instances!IW8:Instances!IW8),"median", MEDIAN(Instances!IW8:Instances!IW8),"min", MIN(Instances!IW8:Instances!IW8),"max", MAX(Instances!IW8:Instances!IW8),"diff", MAX(Instances!IW8:Instances!IW8)-MIN(Instances!IW8:Instances!IW8))</f>
        <v>0</v>
      </c>
      <c r="IX8" s="1" cm="1">
        <f t="array" ref="IX8">_xlfn.SWITCH($A$2,"average", AVERAGE(Instances!IX8:Instances!IX8),"median", MEDIAN(Instances!IX8:Instances!IX8),"min", MIN(Instances!IX8:Instances!IX8),"max", MAX(Instances!IX8:Instances!IX8),"diff", MAX(Instances!IX8:Instances!IX8)-MIN(Instances!IX8:Instances!IX8))</f>
        <v>0</v>
      </c>
      <c r="IY8" s="1" cm="1">
        <f t="array" ref="IY8">_xlfn.SWITCH($A$2,"average", AVERAGE(Instances!IY8:Instances!IY8),"median", MEDIAN(Instances!IY8:Instances!IY8),"min", MIN(Instances!IY8:Instances!IY8),"max", MAX(Instances!IY8:Instances!IY8),"diff", MAX(Instances!IY8:Instances!IY8)-MIN(Instances!IY8:Instances!IY8))</f>
        <v>0</v>
      </c>
      <c r="IZ8" s="1" cm="1">
        <f t="array" ref="IZ8">_xlfn.SWITCH($A$2,"average", AVERAGE(Instances!IZ8:Instances!IZ8),"median", MEDIAN(Instances!IZ8:Instances!IZ8),"min", MIN(Instances!IZ8:Instances!IZ8),"max", MAX(Instances!IZ8:Instances!IZ8),"diff", MAX(Instances!IZ8:Instances!IZ8)-MIN(Instances!IZ8:Instances!IZ8))</f>
        <v>0</v>
      </c>
      <c r="JA8" s="1" cm="1">
        <f t="array" ref="JA8">_xlfn.SWITCH($A$2,"average", AVERAGE(Instances!JA8:Instances!JA8),"median", MEDIAN(Instances!JA8:Instances!JA8),"min", MIN(Instances!JA8:Instances!JA8),"max", MAX(Instances!JA8:Instances!JA8),"diff", MAX(Instances!JA8:Instances!JA8)-MIN(Instances!JA8:Instances!JA8))</f>
        <v>0</v>
      </c>
      <c r="JB8" s="1" cm="1">
        <f t="array" ref="JB8">_xlfn.SWITCH($A$2,"average", AVERAGE(Instances!JB8:Instances!JB8),"median", MEDIAN(Instances!JB8:Instances!JB8),"min", MIN(Instances!JB8:Instances!JB8),"max", MAX(Instances!JB8:Instances!JB8),"diff", MAX(Instances!JB8:Instances!JB8)-MIN(Instances!JB8:Instances!JB8))</f>
        <v>0</v>
      </c>
      <c r="JC8" s="1" cm="1">
        <f t="array" ref="JC8">_xlfn.SWITCH($A$2,"average", AVERAGE(Instances!JC8:Instances!JC8),"median", MEDIAN(Instances!JC8:Instances!JC8),"min", MIN(Instances!JC8:Instances!JC8),"max", MAX(Instances!JC8:Instances!JC8),"diff", MAX(Instances!JC8:Instances!JC8)-MIN(Instances!JC8:Instances!JC8))</f>
        <v>0</v>
      </c>
      <c r="JD8" s="1" cm="1">
        <f t="array" ref="JD8">_xlfn.SWITCH($A$2,"average", AVERAGE(Instances!JD8:Instances!JD8),"median", MEDIAN(Instances!JD8:Instances!JD8),"min", MIN(Instances!JD8:Instances!JD8),"max", MAX(Instances!JD8:Instances!JD8),"diff", MAX(Instances!JD8:Instances!JD8)-MIN(Instances!JD8:Instances!JD8))</f>
        <v>0</v>
      </c>
      <c r="JE8" s="1" cm="1">
        <f t="array" ref="JE8">_xlfn.SWITCH($A$2,"average", AVERAGE(Instances!JE8:Instances!JE8),"median", MEDIAN(Instances!JE8:Instances!JE8),"min", MIN(Instances!JE8:Instances!JE8),"max", MAX(Instances!JE8:Instances!JE8),"diff", MAX(Instances!JE8:Instances!JE8)-MIN(Instances!JE8:Instances!JE8))</f>
        <v>0</v>
      </c>
      <c r="JF8" s="1" cm="1">
        <f t="array" ref="JF8">_xlfn.SWITCH($A$2,"average", AVERAGE(Instances!JF8:Instances!JF8),"median", MEDIAN(Instances!JF8:Instances!JF8),"min", MIN(Instances!JF8:Instances!JF8),"max", MAX(Instances!JF8:Instances!JF8),"diff", MAX(Instances!JF8:Instances!JF8)-MIN(Instances!JF8:Instances!JF8))</f>
        <v>0</v>
      </c>
      <c r="JG8" s="1" cm="1">
        <f t="array" ref="JG8">_xlfn.SWITCH($A$2,"average", AVERAGE(Instances!JG8:Instances!JG8),"median", MEDIAN(Instances!JG8:Instances!JG8),"min", MIN(Instances!JG8:Instances!JG8),"max", MAX(Instances!JG8:Instances!JG8),"diff", MAX(Instances!JG8:Instances!JG8)-MIN(Instances!JG8:Instances!JG8))</f>
        <v>0</v>
      </c>
      <c r="JH8" s="1"/>
      <c r="JI8" s="1" cm="1">
        <f t="array" ref="JI8">_xlfn.SWITCH($A$2,"average", AVERAGE(Instances!JI8:Instances!JI8),"median", MEDIAN(Instances!JI8:Instances!JI8),"min", MIN(Instances!JI8:Instances!JI8),"max", MAX(Instances!JI8:Instances!JI8),"diff", MAX(Instances!JI8:Instances!JI8)-MIN(Instances!JI8:Instances!JI8))</f>
        <v>0</v>
      </c>
      <c r="JJ8" s="1" cm="1">
        <f t="array" ref="JJ8">_xlfn.SWITCH($A$2,"average", AVERAGE(Instances!JJ8:Instances!JJ8),"median", MEDIAN(Instances!JJ8:Instances!JJ8),"min", MIN(Instances!JJ8:Instances!JJ8),"max", MAX(Instances!JJ8:Instances!JJ8),"diff", MAX(Instances!JJ8:Instances!JJ8)-MIN(Instances!JJ8:Instances!JJ8))</f>
        <v>0</v>
      </c>
      <c r="JK8" s="1" cm="1">
        <f t="array" ref="JK8">_xlfn.SWITCH($A$2,"average", AVERAGE(Instances!JK8:Instances!JK8),"median", MEDIAN(Instances!JK8:Instances!JK8),"min", MIN(Instances!JK8:Instances!JK8),"max", MAX(Instances!JK8:Instances!JK8),"diff", MAX(Instances!JK8:Instances!JK8)-MIN(Instances!JK8:Instances!JK8))</f>
        <v>0</v>
      </c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 cm="1">
        <f t="array" ref="O9">_xlfn.SWITCH($A$2,"average", AVERAGE(Instances!O9:Instances!O9),"median", MEDIAN(Instances!O9:Instances!O9),"min", MIN(Instances!O9:Instances!O9),"max", MAX(Instances!O9:Instances!O9),"diff", MAX(Instances!O9:Instances!O9)-MIN(Instances!O9:Instances!O9))</f>
        <v>0</v>
      </c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 cm="1">
        <f t="array" ref="S9">_xlfn.SWITCH($A$2,"average", AVERAGE(Instances!S9:Instances!S9),"median", MEDIAN(Instances!S9:Instances!S9),"min", MIN(Instances!S9:Instances!S9),"max", MAX(Instances!S9:Instances!S9),"diff", MAX(Instances!S9:Instances!S9)-MIN(Instances!S9:Instances!S9))</f>
        <v>0</v>
      </c>
      <c r="T9" s="1" cm="1">
        <f t="array" ref="T9">_xlfn.SWITCH($A$2,"average", AVERAGE(Instances!T9:Instances!T9),"median", MEDIAN(Instances!T9:Instances!T9),"min", MIN(Instances!T9:Instances!T9),"max", MAX(Instances!T9:Instances!T9),"diff", MAX(Instances!T9:Instances!T9)-MIN(Instances!T9:Instances!T9))</f>
        <v>0</v>
      </c>
      <c r="U9" s="1" cm="1">
        <f t="array" ref="U9">_xlfn.SWITCH($A$2,"average", AVERAGE(Instances!U9:Instances!U9),"median", MEDIAN(Instances!U9:Instances!U9),"min", MIN(Instances!U9:Instances!U9),"max", MAX(Instances!U9:Instances!U9),"diff", MAX(Instances!U9:Instances!U9)-MIN(Instances!U9:Instances!U9))</f>
        <v>0</v>
      </c>
      <c r="V9" s="1" cm="1">
        <f t="array" ref="V9">_xlfn.SWITCH($A$2,"average", AVERAGE(Instances!V9:Instances!V9),"median", MEDIAN(Instances!V9:Instances!V9),"min", MIN(Instances!V9:Instances!V9),"max", MAX(Instances!V9:Instances!V9),"diff", MAX(Instances!V9:Instances!V9)-MIN(Instances!V9:Instances!V9))</f>
        <v>0</v>
      </c>
      <c r="W9" s="1" cm="1">
        <f t="array" ref="W9">_xlfn.SWITCH($A$2,"average", AVERAGE(Instances!W9:Instances!W9),"median", MEDIAN(Instances!W9:Instances!W9),"min", MIN(Instances!W9:Instances!W9),"max", MAX(Instances!W9:Instances!W9),"diff", MAX(Instances!W9:Instances!W9)-MIN(Instances!W9:Instances!W9))</f>
        <v>0</v>
      </c>
      <c r="X9" s="1" cm="1">
        <f t="array" ref="X9">_xlfn.SWITCH($A$2,"average", AVERAGE(Instances!X9:Instances!X9),"median", MEDIAN(Instances!X9:Instances!X9),"min", MIN(Instances!X9:Instances!X9),"max", MAX(Instances!X9:Instances!X9),"diff", MAX(Instances!X9:Instances!X9)-MIN(Instances!X9:Instances!X9))</f>
        <v>0</v>
      </c>
      <c r="Y9" s="1" cm="1">
        <f t="array" ref="Y9">_xlfn.SWITCH($A$2,"average", AVERAGE(Instances!Y9:Instances!Y9),"median", MEDIAN(Instances!Y9:Instances!Y9),"min", MIN(Instances!Y9:Instances!Y9),"max", MAX(Instances!Y9:Instances!Y9),"diff", MAX(Instances!Y9:Instances!Y9)-MIN(Instances!Y9:Instances!Y9))</f>
        <v>0</v>
      </c>
      <c r="Z9" s="1" cm="1">
        <f t="array" ref="Z9">_xlfn.SWITCH($A$2,"average", AVERAGE(Instances!Z9:Instances!Z9),"median", MEDIAN(Instances!Z9:Instances!Z9),"min", MIN(Instances!Z9:Instances!Z9),"max", MAX(Instances!Z9:Instances!Z9),"diff", MAX(Instances!Z9:Instances!Z9)-MIN(Instances!Z9:Instances!Z9))</f>
        <v>0</v>
      </c>
      <c r="AA9" s="1" cm="1">
        <f t="array" ref="AA9">_xlfn.SWITCH($A$2,"average", AVERAGE(Instances!AA9:Instances!AA9),"median", MEDIAN(Instances!AA9:Instances!AA9),"min", MIN(Instances!AA9:Instances!AA9),"max", MAX(Instances!AA9:Instances!AA9),"diff", MAX(Instances!AA9:Instances!AA9)-MIN(Instances!AA9:Instances!AA9))</f>
        <v>0</v>
      </c>
      <c r="AB9" s="1" cm="1">
        <f t="array" ref="AB9">_xlfn.SWITCH($A$2,"average", AVERAGE(Instances!AB9:Instances!AB9),"median", MEDIAN(Instances!AB9:Instances!AB9),"min", MIN(Instances!AB9:Instances!AB9),"max", MAX(Instances!AB9:Instances!AB9),"diff", MAX(Instances!AB9:Instances!AB9)-MIN(Instances!AB9:Instances!AB9))</f>
        <v>0</v>
      </c>
      <c r="AC9" s="1" cm="1">
        <f t="array" ref="AC9">_xlfn.SWITCH($A$2,"average", AVERAGE(Instances!AC9:Instances!AC9),"median", MEDIAN(Instances!AC9:Instances!AC9),"min", MIN(Instances!AC9:Instances!AC9),"max", MAX(Instances!AC9:Instances!AC9),"diff", MAX(Instances!AC9:Instances!AC9)-MIN(Instances!AC9:Instances!AC9))</f>
        <v>0</v>
      </c>
      <c r="AD9" s="1" cm="1">
        <f t="array" ref="AD9">_xlfn.SWITCH($A$2,"average", AVERAGE(Instances!AD9:Instances!AD9),"median", MEDIAN(Instances!AD9:Instances!AD9),"min", MIN(Instances!AD9:Instances!AD9),"max", MAX(Instances!AD9:Instances!AD9),"diff", MAX(Instances!AD9:Instances!AD9)-MIN(Instances!AD9:Instances!AD9))</f>
        <v>0</v>
      </c>
      <c r="AE9" s="1" cm="1">
        <f t="array" ref="AE9">_xlfn.SWITCH($A$2,"average", AVERAGE(Instances!AE9:Instances!AE9),"median", MEDIAN(Instances!AE9:Instances!AE9),"min", MIN(Instances!AE9:Instances!AE9),"max", MAX(Instances!AE9:Instances!AE9),"diff", MAX(Instances!AE9:Instances!AE9)-MIN(Instances!AE9:Instances!AE9))</f>
        <v>0</v>
      </c>
      <c r="AF9" s="1" cm="1">
        <f t="array" ref="AF9">_xlfn.SWITCH($A$2,"average", AVERAGE(Instances!AF9:Instances!AF9),"median", MEDIAN(Instances!AF9:Instances!AF9),"min", MIN(Instances!AF9:Instances!AF9),"max", MAX(Instances!AF9:Instances!AF9),"diff", MAX(Instances!AF9:Instances!AF9)-MIN(Instances!AF9:Instances!AF9))</f>
        <v>0</v>
      </c>
      <c r="AG9" s="1" cm="1">
        <f t="array" ref="AG9">_xlfn.SWITCH($A$2,"average", AVERAGE(Instances!AG9:Instances!AG9),"median", MEDIAN(Instances!AG9:Instances!AG9),"min", MIN(Instances!AG9:Instances!AG9),"max", MAX(Instances!AG9:Instances!AG9),"diff", MAX(Instances!AG9:Instances!AG9)-MIN(Instances!AG9:Instances!AG9))</f>
        <v>0</v>
      </c>
      <c r="AH9" s="1"/>
      <c r="AI9" s="1" cm="1">
        <f t="array" ref="AI9">_xlfn.SWITCH($A$2,"average", AVERAGE(Instances!AI9:Instances!AI9),"median", MEDIAN(Instances!AI9:Instances!AI9),"min", MIN(Instances!AI9:Instances!AI9),"max", MAX(Instances!AI9:Instances!AI9),"diff", MAX(Instances!AI9:Instances!AI9)-MIN(Instances!AI9:Instances!AI9))</f>
        <v>0</v>
      </c>
      <c r="AJ9" s="1" cm="1">
        <f t="array" ref="AJ9">_xlfn.SWITCH($A$2,"average", AVERAGE(Instances!AJ9:Instances!AJ9),"median", MEDIAN(Instances!AJ9:Instances!AJ9),"min", MIN(Instances!AJ9:Instances!AJ9),"max", MAX(Instances!AJ9:Instances!AJ9),"diff", MAX(Instances!AJ9:Instances!AJ9)-MIN(Instances!AJ9:Instances!AJ9))</f>
        <v>0</v>
      </c>
      <c r="AK9" s="1" cm="1">
        <f t="array" ref="AK9">_xlfn.SWITCH($A$2,"average", AVERAGE(Instances!AK9:Instances!AK9),"median", MEDIAN(Instances!AK9:Instances!AK9),"min", MIN(Instances!AK9:Instances!AK9),"max", MAX(Instances!AK9:Instances!AK9),"diff", MAX(Instances!AK9:Instances!AK9)-MIN(Instances!AK9:Instances!AK9))</f>
        <v>0</v>
      </c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 cm="1">
        <f t="array" ref="CN9">_xlfn.SWITCH($A$2,"average", AVERAGE(Instances!CN9:Instances!CN9),"median", MEDIAN(Instances!CN9:Instances!CN9),"min", MIN(Instances!CN9:Instances!CN9),"max", MAX(Instances!CN9:Instances!CN9),"diff", MAX(Instances!CN9:Instances!CN9)-MIN(Instances!CN9:Instances!CN9))</f>
        <v>0</v>
      </c>
      <c r="CO9" s="1" cm="1">
        <f t="array" ref="CO9">_xlfn.SWITCH($A$2,"average", AVERAGE(Instances!CO9:Instances!CO9),"median", MEDIAN(Instances!CO9:Instances!CO9),"min", MIN(Instances!CO9:Instances!CO9),"max", MAX(Instances!CO9:Instances!CO9),"diff", MAX(Instances!CO9:Instances!CO9)-MIN(Instances!CO9:Instances!CO9))</f>
        <v>0</v>
      </c>
      <c r="CP9" s="1" cm="1">
        <f t="array" ref="CP9">_xlfn.SWITCH($A$2,"average", AVERAGE(Instances!CP9:Instances!CP9),"median", MEDIAN(Instances!CP9:Instances!CP9),"min", MIN(Instances!CP9:Instances!CP9),"max", MAX(Instances!CP9:Instances!CP9),"diff", MAX(Instances!CP9:Instances!CP9)-MIN(Instances!CP9:Instances!CP9))</f>
        <v>0</v>
      </c>
      <c r="CQ9" s="1" cm="1">
        <f t="array" ref="CQ9">_xlfn.SWITCH($A$2,"average", AVERAGE(Instances!CQ9:Instances!CQ9),"median", MEDIAN(Instances!CQ9:Instances!CQ9),"min", MIN(Instances!CQ9:Instances!CQ9),"max", MAX(Instances!CQ9:Instances!CQ9),"diff", MAX(Instances!CQ9:Instances!CQ9)-MIN(Instances!CQ9:Instances!CQ9))</f>
        <v>0</v>
      </c>
      <c r="CR9" s="1" cm="1">
        <f t="array" ref="CR9">_xlfn.SWITCH($A$2,"average", AVERAGE(Instances!CR9:Instances!CR9),"median", MEDIAN(Instances!CR9:Instances!CR9),"min", MIN(Instances!CR9:Instances!CR9),"max", MAX(Instances!CR9:Instances!CR9),"diff", MAX(Instances!CR9:Instances!CR9)-MIN(Instances!CR9:Instances!CR9))</f>
        <v>0</v>
      </c>
      <c r="CS9" s="1" cm="1">
        <f t="array" ref="CS9">_xlfn.SWITCH($A$2,"average", AVERAGE(Instances!CS9:Instances!CS9),"median", MEDIAN(Instances!CS9:Instances!CS9),"min", MIN(Instances!CS9:Instances!CS9),"max", MAX(Instances!CS9:Instances!CS9),"diff", MAX(Instances!CS9:Instances!CS9)-MIN(Instances!CS9:Instances!CS9))</f>
        <v>0</v>
      </c>
      <c r="CT9" s="1" cm="1">
        <f t="array" ref="CT9">_xlfn.SWITCH($A$2,"average", AVERAGE(Instances!CT9:Instances!CT9),"median", MEDIAN(Instances!CT9:Instances!CT9),"min", MIN(Instances!CT9:Instances!CT9),"max", MAX(Instances!CT9:Instances!CT9),"diff", MAX(Instances!CT9:Instances!CT9)-MIN(Instances!CT9:Instances!CT9))</f>
        <v>0</v>
      </c>
      <c r="CU9" s="1" cm="1">
        <f t="array" ref="CU9">_xlfn.SWITCH($A$2,"average", AVERAGE(Instances!CU9:Instances!CU9),"median", MEDIAN(Instances!CU9:Instances!CU9),"min", MIN(Instances!CU9:Instances!CU9),"max", MAX(Instances!CU9:Instances!CU9),"diff", MAX(Instances!CU9:Instances!CU9)-MIN(Instances!CU9:Instances!CU9))</f>
        <v>0</v>
      </c>
      <c r="CV9" s="1" cm="1">
        <f t="array" ref="CV9">_xlfn.SWITCH($A$2,"average", AVERAGE(Instances!CV9:Instances!CV9),"median", MEDIAN(Instances!CV9:Instances!CV9),"min", MIN(Instances!CV9:Instances!CV9),"max", MAX(Instances!CV9:Instances!CV9),"diff", MAX(Instances!CV9:Instances!CV9)-MIN(Instances!CV9:Instances!CV9))</f>
        <v>0</v>
      </c>
      <c r="CW9" s="1" cm="1">
        <f t="array" ref="CW9">_xlfn.SWITCH($A$2,"average", AVERAGE(Instances!CW9:Instances!CW9),"median", MEDIAN(Instances!CW9:Instances!CW9),"min", MIN(Instances!CW9:Instances!CW9),"max", MAX(Instances!CW9:Instances!CW9),"diff", MAX(Instances!CW9:Instances!CW9)-MIN(Instances!CW9:Instances!CW9))</f>
        <v>0</v>
      </c>
      <c r="CX9" s="1" cm="1">
        <f t="array" ref="CX9">_xlfn.SWITCH($A$2,"average", AVERAGE(Instances!CX9:Instances!CX9),"median", MEDIAN(Instances!CX9:Instances!CX9),"min", MIN(Instances!CX9:Instances!CX9),"max", MAX(Instances!CX9:Instances!CX9),"diff", MAX(Instances!CX9:Instances!CX9)-MIN(Instances!CX9:Instances!CX9))</f>
        <v>0</v>
      </c>
      <c r="CY9" s="1" cm="1">
        <f t="array" ref="CY9">_xlfn.SWITCH($A$2,"average", AVERAGE(Instances!CY9:Instances!CY9),"median", MEDIAN(Instances!CY9:Instances!CY9),"min", MIN(Instances!CY9:Instances!CY9),"max", MAX(Instances!CY9:Instances!CY9),"diff", MAX(Instances!CY9:Instances!CY9)-MIN(Instances!CY9:Instances!CY9))</f>
        <v>0</v>
      </c>
      <c r="CZ9" s="1" cm="1">
        <f t="array" ref="CZ9">_xlfn.SWITCH($A$2,"average", AVERAGE(Instances!CZ9:Instances!CZ9),"median", MEDIAN(Instances!CZ9:Instances!CZ9),"min", MIN(Instances!CZ9:Instances!CZ9),"max", MAX(Instances!CZ9:Instances!CZ9),"diff", MAX(Instances!CZ9:Instances!CZ9)-MIN(Instances!CZ9:Instances!CZ9))</f>
        <v>0</v>
      </c>
      <c r="DA9" s="1" cm="1">
        <f t="array" ref="DA9">_xlfn.SWITCH($A$2,"average", AVERAGE(Instances!DA9:Instances!DA9),"median", MEDIAN(Instances!DA9:Instances!DA9),"min", MIN(Instances!DA9:Instances!DA9),"max", MAX(Instances!DA9:Instances!DA9),"diff", MAX(Instances!DA9:Instances!DA9)-MIN(Instances!DA9:Instances!DA9))</f>
        <v>0</v>
      </c>
      <c r="DB9" s="1"/>
      <c r="DC9" s="1" cm="1">
        <f t="array" ref="DC9">_xlfn.SWITCH($A$2,"average", AVERAGE(Instances!DC9:Instances!DC9),"median", MEDIAN(Instances!DC9:Instances!DC9),"min", MIN(Instances!DC9:Instances!DC9),"max", MAX(Instances!DC9:Instances!DC9),"diff", MAX(Instances!DC9:Instances!DC9)-MIN(Instances!DC9:Instances!DC9))</f>
        <v>0</v>
      </c>
      <c r="DD9" s="1" cm="1">
        <f t="array" ref="DD9">_xlfn.SWITCH($A$2,"average", AVERAGE(Instances!DD9:Instances!DD9),"median", MEDIAN(Instances!DD9:Instances!DD9),"min", MIN(Instances!DD9:Instances!DD9),"max", MAX(Instances!DD9:Instances!DD9),"diff", MAX(Instances!DD9:Instances!DD9)-MIN(Instances!DD9:Instances!DD9))</f>
        <v>0</v>
      </c>
      <c r="DE9" s="1" cm="1">
        <f t="array" ref="DE9">_xlfn.SWITCH($A$2,"average", AVERAGE(Instances!DE9:Instances!DE9),"median", MEDIAN(Instances!DE9:Instances!DE9),"min", MIN(Instances!DE9:Instances!DE9),"max", MAX(Instances!DE9:Instances!DE9),"diff", MAX(Instances!DE9:Instances!DE9)-MIN(Instances!DE9:Instances!DE9))</f>
        <v>0</v>
      </c>
      <c r="DF9" s="1" cm="1">
        <f t="array" ref="DF9">_xlfn.SWITCH($A$2,"average", AVERAGE(Instances!DF9:Instances!DF9),"median", MEDIAN(Instances!DF9:Instances!DF9),"min", MIN(Instances!DF9:Instances!DF9),"max", MAX(Instances!DF9:Instances!DF9),"diff", MAX(Instances!DF9:Instances!DF9)-MIN(Instances!DF9:Instances!DF9))</f>
        <v>0</v>
      </c>
      <c r="DG9" s="1" cm="1">
        <f t="array" ref="DG9">_xlfn.SWITCH($A$2,"average", AVERAGE(Instances!DG9:Instances!DG9),"median", MEDIAN(Instances!DG9:Instances!DG9),"min", MIN(Instances!DG9:Instances!DG9),"max", MAX(Instances!DG9:Instances!DG9),"diff", MAX(Instances!DG9:Instances!DG9)-MIN(Instances!DG9:Instances!DG9))</f>
        <v>0</v>
      </c>
      <c r="DH9" s="1" cm="1">
        <f t="array" ref="DH9">_xlfn.SWITCH($A$2,"average", AVERAGE(Instances!DH9:Instances!DH9),"median", MEDIAN(Instances!DH9:Instances!DH9),"min", MIN(Instances!DH9:Instances!DH9),"max", MAX(Instances!DH9:Instances!DH9),"diff", MAX(Instances!DH9:Instances!DH9)-MIN(Instances!DH9:Instances!DH9))</f>
        <v>0</v>
      </c>
      <c r="DI9" s="1" cm="1">
        <f t="array" ref="DI9">_xlfn.SWITCH($A$2,"average", AVERAGE(Instances!DI9:Instances!DI9),"median", MEDIAN(Instances!DI9:Instances!DI9),"min", MIN(Instances!DI9:Instances!DI9),"max", MAX(Instances!DI9:Instances!DI9),"diff", MAX(Instances!DI9:Instances!DI9)-MIN(Instances!DI9:Instances!DI9))</f>
        <v>0</v>
      </c>
      <c r="DJ9" s="1" cm="1">
        <f t="array" ref="DJ9">_xlfn.SWITCH($A$2,"average", AVERAGE(Instances!DJ9:Instances!DJ9),"median", MEDIAN(Instances!DJ9:Instances!DJ9),"min", MIN(Instances!DJ9:Instances!DJ9),"max", MAX(Instances!DJ9:Instances!DJ9),"diff", MAX(Instances!DJ9:Instances!DJ9)-MIN(Instances!DJ9:Instances!DJ9))</f>
        <v>0</v>
      </c>
      <c r="DK9" s="1" cm="1">
        <f t="array" ref="DK9">_xlfn.SWITCH($A$2,"average", AVERAGE(Instances!DK9:Instances!DK9),"median", MEDIAN(Instances!DK9:Instances!DK9),"min", MIN(Instances!DK9:Instances!DK9),"max", MAX(Instances!DK9:Instances!DK9),"diff", MAX(Instances!DK9:Instances!DK9)-MIN(Instances!DK9:Instances!DK9))</f>
        <v>0</v>
      </c>
      <c r="DL9" s="1" cm="1">
        <f t="array" ref="DL9">_xlfn.SWITCH($A$2,"average", AVERAGE(Instances!DL9:Instances!DL9),"median", MEDIAN(Instances!DL9:Instances!DL9),"min", MIN(Instances!DL9:Instances!DL9),"max", MAX(Instances!DL9:Instances!DL9),"diff", MAX(Instances!DL9:Instances!DL9)-MIN(Instances!DL9:Instances!DL9))</f>
        <v>0</v>
      </c>
      <c r="DM9" s="1" cm="1">
        <f t="array" ref="DM9">_xlfn.SWITCH($A$2,"average", AVERAGE(Instances!DM9:Instances!DM9),"median", MEDIAN(Instances!DM9:Instances!DM9),"min", MIN(Instances!DM9:Instances!DM9),"max", MAX(Instances!DM9:Instances!DM9),"diff", MAX(Instances!DM9:Instances!DM9)-MIN(Instances!DM9:Instances!DM9))</f>
        <v>0</v>
      </c>
      <c r="DN9" s="1" cm="1">
        <f t="array" ref="DN9">_xlfn.SWITCH($A$2,"average", AVERAGE(Instances!DN9:Instances!DN9),"median", MEDIAN(Instances!DN9:Instances!DN9),"min", MIN(Instances!DN9:Instances!DN9),"max", MAX(Instances!DN9:Instances!DN9),"diff", MAX(Instances!DN9:Instances!DN9)-MIN(Instances!DN9:Instances!DN9))</f>
        <v>0</v>
      </c>
      <c r="DO9" s="1" cm="1">
        <f t="array" ref="DO9">_xlfn.SWITCH($A$2,"average", AVERAGE(Instances!DO9:Instances!DO9),"median", MEDIAN(Instances!DO9:Instances!DO9),"min", MIN(Instances!DO9:Instances!DO9),"max", MAX(Instances!DO9:Instances!DO9),"diff", MAX(Instances!DO9:Instances!DO9)-MIN(Instances!DO9:Instances!DO9))</f>
        <v>0</v>
      </c>
      <c r="DP9" s="1" cm="1">
        <f t="array" ref="DP9">_xlfn.SWITCH($A$2,"average", AVERAGE(Instances!DP9:Instances!DP9),"median", MEDIAN(Instances!DP9:Instances!DP9),"min", MIN(Instances!DP9:Instances!DP9),"max", MAX(Instances!DP9:Instances!DP9),"diff", MAX(Instances!DP9:Instances!DP9)-MIN(Instances!DP9:Instances!DP9))</f>
        <v>0</v>
      </c>
      <c r="DQ9" s="1" cm="1">
        <f t="array" ref="DQ9">_xlfn.SWITCH($A$2,"average", AVERAGE(Instances!DQ9:Instances!DQ9),"median", MEDIAN(Instances!DQ9:Instances!DQ9),"min", MIN(Instances!DQ9:Instances!DQ9),"max", MAX(Instances!DQ9:Instances!DQ9),"diff", MAX(Instances!DQ9:Instances!DQ9)-MIN(Instances!DQ9:Instances!DQ9))</f>
        <v>0</v>
      </c>
      <c r="DR9" s="1" cm="1">
        <f t="array" ref="DR9">_xlfn.SWITCH($A$2,"average", AVERAGE(Instances!DR9:Instances!DR9),"median", MEDIAN(Instances!DR9:Instances!DR9),"min", MIN(Instances!DR9:Instances!DR9),"max", MAX(Instances!DR9:Instances!DR9),"diff", MAX(Instances!DR9:Instances!DR9)-MIN(Instances!DR9:Instances!DR9))</f>
        <v>0</v>
      </c>
      <c r="DS9" s="1" cm="1">
        <f t="array" ref="DS9">_xlfn.SWITCH($A$2,"average", AVERAGE(Instances!DS9:Instances!DS9),"median", MEDIAN(Instances!DS9:Instances!DS9),"min", MIN(Instances!DS9:Instances!DS9),"max", MAX(Instances!DS9:Instances!DS9),"diff", MAX(Instances!DS9:Instances!DS9)-MIN(Instances!DS9:Instances!DS9))</f>
        <v>0</v>
      </c>
      <c r="DT9" s="1"/>
      <c r="DU9" s="1" cm="1">
        <f t="array" ref="DU9">_xlfn.SWITCH($A$2,"average", AVERAGE(Instances!DU9:Instances!DU9),"median", MEDIAN(Instances!DU9:Instances!DU9),"min", MIN(Instances!DU9:Instances!DU9),"max", MAX(Instances!DU9:Instances!DU9),"diff", MAX(Instances!DU9:Instances!DU9)-MIN(Instances!DU9:Instances!DU9))</f>
        <v>0</v>
      </c>
      <c r="DV9" s="1" cm="1">
        <f t="array" ref="DV9">_xlfn.SWITCH($A$2,"average", AVERAGE(Instances!DV9:Instances!DV9),"median", MEDIAN(Instances!DV9:Instances!DV9),"min", MIN(Instances!DV9:Instances!DV9),"max", MAX(Instances!DV9:Instances!DV9),"diff", MAX(Instances!DV9:Instances!DV9)-MIN(Instances!DV9:Instances!DV9))</f>
        <v>0</v>
      </c>
      <c r="DW9" s="1" cm="1">
        <f t="array" ref="DW9">_xlfn.SWITCH($A$2,"average", AVERAGE(Instances!DW9:Instances!DW9),"median", MEDIAN(Instances!DW9:Instances!DW9),"min", MIN(Instances!DW9:Instances!DW9),"max", MAX(Instances!DW9:Instances!DW9),"diff", MAX(Instances!DW9:Instances!DW9)-MIN(Instances!DW9:Instances!DW9))</f>
        <v>0</v>
      </c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 cm="1">
        <f t="array" ref="FH9">_xlfn.SWITCH($A$2,"average", AVERAGE(Instances!FH9:Instances!FH9),"median", MEDIAN(Instances!FH9:Instances!FH9),"min", MIN(Instances!FH9:Instances!FH9),"max", MAX(Instances!FH9:Instances!FH9),"diff", MAX(Instances!FH9:Instances!FH9)-MIN(Instances!FH9:Instances!FH9))</f>
        <v>0</v>
      </c>
      <c r="FI9" s="1" cm="1">
        <f t="array" ref="FI9">_xlfn.SWITCH($A$2,"average", AVERAGE(Instances!FI9:Instances!FI9),"median", MEDIAN(Instances!FI9:Instances!FI9),"min", MIN(Instances!FI9:Instances!FI9),"max", MAX(Instances!FI9:Instances!FI9),"diff", MAX(Instances!FI9:Instances!FI9)-MIN(Instances!FI9:Instances!FI9))</f>
        <v>0</v>
      </c>
      <c r="FJ9" s="1" cm="1">
        <f t="array" ref="FJ9">_xlfn.SWITCH($A$2,"average", AVERAGE(Instances!FJ9:Instances!FJ9),"median", MEDIAN(Instances!FJ9:Instances!FJ9),"min", MIN(Instances!FJ9:Instances!FJ9),"max", MAX(Instances!FJ9:Instances!FJ9),"diff", MAX(Instances!FJ9:Instances!FJ9)-MIN(Instances!FJ9:Instances!FJ9))</f>
        <v>0</v>
      </c>
      <c r="FK9" s="1" cm="1">
        <f t="array" ref="FK9">_xlfn.SWITCH($A$2,"average", AVERAGE(Instances!FK9:Instances!FK9),"median", MEDIAN(Instances!FK9:Instances!FK9),"min", MIN(Instances!FK9:Instances!FK9),"max", MAX(Instances!FK9:Instances!FK9),"diff", MAX(Instances!FK9:Instances!FK9)-MIN(Instances!FK9:Instances!FK9))</f>
        <v>0</v>
      </c>
      <c r="FL9" s="1" cm="1">
        <f t="array" ref="FL9">_xlfn.SWITCH($A$2,"average", AVERAGE(Instances!FL9:Instances!FL9),"median", MEDIAN(Instances!FL9:Instances!FL9),"min", MIN(Instances!FL9:Instances!FL9),"max", MAX(Instances!FL9:Instances!FL9),"diff", MAX(Instances!FL9:Instances!FL9)-MIN(Instances!FL9:Instances!FL9))</f>
        <v>0</v>
      </c>
      <c r="FM9" s="1" cm="1">
        <f t="array" ref="FM9">_xlfn.SWITCH($A$2,"average", AVERAGE(Instances!FM9:Instances!FM9),"median", MEDIAN(Instances!FM9:Instances!FM9),"min", MIN(Instances!FM9:Instances!FM9),"max", MAX(Instances!FM9:Instances!FM9),"diff", MAX(Instances!FM9:Instances!FM9)-MIN(Instances!FM9:Instances!FM9))</f>
        <v>0</v>
      </c>
      <c r="FN9" s="1" cm="1">
        <f t="array" ref="FN9">_xlfn.SWITCH($A$2,"average", AVERAGE(Instances!FN9:Instances!FN9),"median", MEDIAN(Instances!FN9:Instances!FN9),"min", MIN(Instances!FN9:Instances!FN9),"max", MAX(Instances!FN9:Instances!FN9),"diff", MAX(Instances!FN9:Instances!FN9)-MIN(Instances!FN9:Instances!FN9))</f>
        <v>0</v>
      </c>
      <c r="FO9" s="1" cm="1">
        <f t="array" ref="FO9">_xlfn.SWITCH($A$2,"average", AVERAGE(Instances!FO9:Instances!FO9),"median", MEDIAN(Instances!FO9:Instances!FO9),"min", MIN(Instances!FO9:Instances!FO9),"max", MAX(Instances!FO9:Instances!FO9),"diff", MAX(Instances!FO9:Instances!FO9)-MIN(Instances!FO9:Instances!FO9))</f>
        <v>0</v>
      </c>
      <c r="FP9" s="1" cm="1">
        <f t="array" ref="FP9">_xlfn.SWITCH($A$2,"average", AVERAGE(Instances!FP9:Instances!FP9),"median", MEDIAN(Instances!FP9:Instances!FP9),"min", MIN(Instances!FP9:Instances!FP9),"max", MAX(Instances!FP9:Instances!FP9),"diff", MAX(Instances!FP9:Instances!FP9)-MIN(Instances!FP9:Instances!FP9))</f>
        <v>0</v>
      </c>
      <c r="FQ9" s="1" cm="1">
        <f t="array" ref="FQ9">_xlfn.SWITCH($A$2,"average", AVERAGE(Instances!FQ9:Instances!FQ9),"median", MEDIAN(Instances!FQ9:Instances!FQ9),"min", MIN(Instances!FQ9:Instances!FQ9),"max", MAX(Instances!FQ9:Instances!FQ9),"diff", MAX(Instances!FQ9:Instances!FQ9)-MIN(Instances!FQ9:Instances!FQ9))</f>
        <v>0</v>
      </c>
      <c r="FR9" s="1" cm="1">
        <f t="array" ref="FR9">_xlfn.SWITCH($A$2,"average", AVERAGE(Instances!FR9:Instances!FR9),"median", MEDIAN(Instances!FR9:Instances!FR9),"min", MIN(Instances!FR9:Instances!FR9),"max", MAX(Instances!FR9:Instances!FR9),"diff", MAX(Instances!FR9:Instances!FR9)-MIN(Instances!FR9:Instances!FR9))</f>
        <v>0</v>
      </c>
      <c r="FS9" s="1" cm="1">
        <f t="array" ref="FS9">_xlfn.SWITCH($A$2,"average", AVERAGE(Instances!FS9:Instances!FS9),"median", MEDIAN(Instances!FS9:Instances!FS9),"min", MIN(Instances!FS9:Instances!FS9),"max", MAX(Instances!FS9:Instances!FS9),"diff", MAX(Instances!FS9:Instances!FS9)-MIN(Instances!FS9:Instances!FS9))</f>
        <v>0</v>
      </c>
      <c r="FT9" s="1" cm="1">
        <f t="array" ref="FT9">_xlfn.SWITCH($A$2,"average", AVERAGE(Instances!FT9:Instances!FT9),"median", MEDIAN(Instances!FT9:Instances!FT9),"min", MIN(Instances!FT9:Instances!FT9),"max", MAX(Instances!FT9:Instances!FT9),"diff", MAX(Instances!FT9:Instances!FT9)-MIN(Instances!FT9:Instances!FT9))</f>
        <v>0</v>
      </c>
      <c r="FU9" s="1" cm="1">
        <f t="array" ref="FU9">_xlfn.SWITCH($A$2,"average", AVERAGE(Instances!FU9:Instances!FU9),"median", MEDIAN(Instances!FU9:Instances!FU9),"min", MIN(Instances!FU9:Instances!FU9),"max", MAX(Instances!FU9:Instances!FU9),"diff", MAX(Instances!FU9:Instances!FU9)-MIN(Instances!FU9:Instances!FU9))</f>
        <v>0</v>
      </c>
      <c r="FV9" s="1"/>
      <c r="FW9" s="1" cm="1">
        <f t="array" ref="FW9">_xlfn.SWITCH($A$2,"average", AVERAGE(Instances!FW9:Instances!FW9),"median", MEDIAN(Instances!FW9:Instances!FW9),"min", MIN(Instances!FW9:Instances!FW9),"max", MAX(Instances!FW9:Instances!FW9),"diff", MAX(Instances!FW9:Instances!FW9)-MIN(Instances!FW9:Instances!FW9))</f>
        <v>0</v>
      </c>
      <c r="FX9" s="1" cm="1">
        <f t="array" ref="FX9">_xlfn.SWITCH($A$2,"average", AVERAGE(Instances!FX9:Instances!FX9),"median", MEDIAN(Instances!FX9:Instances!FX9),"min", MIN(Instances!FX9:Instances!FX9),"max", MAX(Instances!FX9:Instances!FX9),"diff", MAX(Instances!FX9:Instances!FX9)-MIN(Instances!FX9:Instances!FX9))</f>
        <v>0</v>
      </c>
      <c r="FY9" s="1" cm="1">
        <f t="array" ref="FY9">_xlfn.SWITCH($A$2,"average", AVERAGE(Instances!FY9:Instances!FY9),"median", MEDIAN(Instances!FY9:Instances!FY9),"min", MIN(Instances!FY9:Instances!FY9),"max", MAX(Instances!FY9:Instances!FY9),"diff", MAX(Instances!FY9:Instances!FY9)-MIN(Instances!FY9:Instances!FY9))</f>
        <v>0</v>
      </c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 cm="1">
        <f t="array" ref="IB9">_xlfn.SWITCH($A$2,"average", AVERAGE(Instances!IB9:Instances!IB9),"median", MEDIAN(Instances!IB9:Instances!IB9),"min", MIN(Instances!IB9:Instances!IB9),"max", MAX(Instances!IB9:Instances!IB9),"diff", MAX(Instances!IB9:Instances!IB9)-MIN(Instances!IB9:Instances!IB9))</f>
        <v>0</v>
      </c>
      <c r="IC9" s="1" cm="1">
        <f t="array" ref="IC9">_xlfn.SWITCH($A$2,"average", AVERAGE(Instances!IC9:Instances!IC9),"median", MEDIAN(Instances!IC9:Instances!IC9),"min", MIN(Instances!IC9:Instances!IC9),"max", MAX(Instances!IC9:Instances!IC9),"diff", MAX(Instances!IC9:Instances!IC9)-MIN(Instances!IC9:Instances!IC9))</f>
        <v>0</v>
      </c>
      <c r="ID9" s="1" cm="1">
        <f t="array" ref="ID9">_xlfn.SWITCH($A$2,"average", AVERAGE(Instances!ID9:Instances!ID9),"median", MEDIAN(Instances!ID9:Instances!ID9),"min", MIN(Instances!ID9:Instances!ID9),"max", MAX(Instances!ID9:Instances!ID9),"diff", MAX(Instances!ID9:Instances!ID9)-MIN(Instances!ID9:Instances!ID9))</f>
        <v>0</v>
      </c>
      <c r="IE9" s="1" cm="1">
        <f t="array" ref="IE9">_xlfn.SWITCH($A$2,"average", AVERAGE(Instances!IE9:Instances!IE9),"median", MEDIAN(Instances!IE9:Instances!IE9),"min", MIN(Instances!IE9:Instances!IE9),"max", MAX(Instances!IE9:Instances!IE9),"diff", MAX(Instances!IE9:Instances!IE9)-MIN(Instances!IE9:Instances!IE9))</f>
        <v>0</v>
      </c>
      <c r="IF9" s="1" cm="1">
        <f t="array" ref="IF9">_xlfn.SWITCH($A$2,"average", AVERAGE(Instances!IF9:Instances!IF9),"median", MEDIAN(Instances!IF9:Instances!IF9),"min", MIN(Instances!IF9:Instances!IF9),"max", MAX(Instances!IF9:Instances!IF9),"diff", MAX(Instances!IF9:Instances!IF9)-MIN(Instances!IF9:Instances!IF9))</f>
        <v>0</v>
      </c>
      <c r="IG9" s="1" cm="1">
        <f t="array" ref="IG9">_xlfn.SWITCH($A$2,"average", AVERAGE(Instances!IG9:Instances!IG9),"median", MEDIAN(Instances!IG9:Instances!IG9),"min", MIN(Instances!IG9:Instances!IG9),"max", MAX(Instances!IG9:Instances!IG9),"diff", MAX(Instances!IG9:Instances!IG9)-MIN(Instances!IG9:Instances!IG9))</f>
        <v>0</v>
      </c>
      <c r="IH9" s="1" cm="1">
        <f t="array" ref="IH9">_xlfn.SWITCH($A$2,"average", AVERAGE(Instances!IH9:Instances!IH9),"median", MEDIAN(Instances!IH9:Instances!IH9),"min", MIN(Instances!IH9:Instances!IH9),"max", MAX(Instances!IH9:Instances!IH9),"diff", MAX(Instances!IH9:Instances!IH9)-MIN(Instances!IH9:Instances!IH9))</f>
        <v>0</v>
      </c>
      <c r="II9" s="1" cm="1">
        <f t="array" ref="II9">_xlfn.SWITCH($A$2,"average", AVERAGE(Instances!II9:Instances!II9),"median", MEDIAN(Instances!II9:Instances!II9),"min", MIN(Instances!II9:Instances!II9),"max", MAX(Instances!II9:Instances!II9),"diff", MAX(Instances!II9:Instances!II9)-MIN(Instances!II9:Instances!II9))</f>
        <v>0</v>
      </c>
      <c r="IJ9" s="1" cm="1">
        <f t="array" ref="IJ9">_xlfn.SWITCH($A$2,"average", AVERAGE(Instances!IJ9:Instances!IJ9),"median", MEDIAN(Instances!IJ9:Instances!IJ9),"min", MIN(Instances!IJ9:Instances!IJ9),"max", MAX(Instances!IJ9:Instances!IJ9),"diff", MAX(Instances!IJ9:Instances!IJ9)-MIN(Instances!IJ9:Instances!IJ9))</f>
        <v>0</v>
      </c>
      <c r="IK9" s="1" cm="1">
        <f t="array" ref="IK9">_xlfn.SWITCH($A$2,"average", AVERAGE(Instances!IK9:Instances!IK9),"median", MEDIAN(Instances!IK9:Instances!IK9),"min", MIN(Instances!IK9:Instances!IK9),"max", MAX(Instances!IK9:Instances!IK9),"diff", MAX(Instances!IK9:Instances!IK9)-MIN(Instances!IK9:Instances!IK9))</f>
        <v>0</v>
      </c>
      <c r="IL9" s="1" cm="1">
        <f t="array" ref="IL9">_xlfn.SWITCH($A$2,"average", AVERAGE(Instances!IL9:Instances!IL9),"median", MEDIAN(Instances!IL9:Instances!IL9),"min", MIN(Instances!IL9:Instances!IL9),"max", MAX(Instances!IL9:Instances!IL9),"diff", MAX(Instances!IL9:Instances!IL9)-MIN(Instances!IL9:Instances!IL9))</f>
        <v>0</v>
      </c>
      <c r="IM9" s="1" cm="1">
        <f t="array" ref="IM9">_xlfn.SWITCH($A$2,"average", AVERAGE(Instances!IM9:Instances!IM9),"median", MEDIAN(Instances!IM9:Instances!IM9),"min", MIN(Instances!IM9:Instances!IM9),"max", MAX(Instances!IM9:Instances!IM9),"diff", MAX(Instances!IM9:Instances!IM9)-MIN(Instances!IM9:Instances!IM9))</f>
        <v>0</v>
      </c>
      <c r="IN9" s="1" cm="1">
        <f t="array" ref="IN9">_xlfn.SWITCH($A$2,"average", AVERAGE(Instances!IN9:Instances!IN9),"median", MEDIAN(Instances!IN9:Instances!IN9),"min", MIN(Instances!IN9:Instances!IN9),"max", MAX(Instances!IN9:Instances!IN9),"diff", MAX(Instances!IN9:Instances!IN9)-MIN(Instances!IN9:Instances!IN9))</f>
        <v>0</v>
      </c>
      <c r="IO9" s="1" cm="1">
        <f t="array" ref="IO9">_xlfn.SWITCH($A$2,"average", AVERAGE(Instances!IO9:Instances!IO9),"median", MEDIAN(Instances!IO9:Instances!IO9),"min", MIN(Instances!IO9:Instances!IO9),"max", MAX(Instances!IO9:Instances!IO9),"diff", MAX(Instances!IO9:Instances!IO9)-MIN(Instances!IO9:Instances!IO9))</f>
        <v>0</v>
      </c>
      <c r="IP9" s="1"/>
      <c r="IQ9" s="1" cm="1">
        <f t="array" ref="IQ9">_xlfn.SWITCH($A$2,"average", AVERAGE(Instances!IQ9:Instances!IQ9),"median", MEDIAN(Instances!IQ9:Instances!IQ9),"min", MIN(Instances!IQ9:Instances!IQ9),"max", MAX(Instances!IQ9:Instances!IQ9),"diff", MAX(Instances!IQ9:Instances!IQ9)-MIN(Instances!IQ9:Instances!IQ9))</f>
        <v>0</v>
      </c>
      <c r="IR9" s="1" cm="1">
        <f t="array" ref="IR9">_xlfn.SWITCH($A$2,"average", AVERAGE(Instances!IR9:Instances!IR9),"median", MEDIAN(Instances!IR9:Instances!IR9),"min", MIN(Instances!IR9:Instances!IR9),"max", MAX(Instances!IR9:Instances!IR9),"diff", MAX(Instances!IR9:Instances!IR9)-MIN(Instances!IR9:Instances!IR9))</f>
        <v>0</v>
      </c>
      <c r="IS9" s="1" cm="1">
        <f t="array" ref="IS9">_xlfn.SWITCH($A$2,"average", AVERAGE(Instances!IS9:Instances!IS9),"median", MEDIAN(Instances!IS9:Instances!IS9),"min", MIN(Instances!IS9:Instances!IS9),"max", MAX(Instances!IS9:Instances!IS9),"diff", MAX(Instances!IS9:Instances!IS9)-MIN(Instances!IS9:Instances!IS9))</f>
        <v>0</v>
      </c>
      <c r="IT9" s="1" cm="1">
        <f t="array" ref="IT9">_xlfn.SWITCH($A$2,"average", AVERAGE(Instances!IT9:Instances!IT9),"median", MEDIAN(Instances!IT9:Instances!IT9),"min", MIN(Instances!IT9:Instances!IT9),"max", MAX(Instances!IT9:Instances!IT9),"diff", MAX(Instances!IT9:Instances!IT9)-MIN(Instances!IT9:Instances!IT9))</f>
        <v>0</v>
      </c>
      <c r="IU9" s="1" cm="1">
        <f t="array" ref="IU9">_xlfn.SWITCH($A$2,"average", AVERAGE(Instances!IU9:Instances!IU9),"median", MEDIAN(Instances!IU9:Instances!IU9),"min", MIN(Instances!IU9:Instances!IU9),"max", MAX(Instances!IU9:Instances!IU9),"diff", MAX(Instances!IU9:Instances!IU9)-MIN(Instances!IU9:Instances!IU9))</f>
        <v>0</v>
      </c>
      <c r="IV9" s="1" cm="1">
        <f t="array" ref="IV9">_xlfn.SWITCH($A$2,"average", AVERAGE(Instances!IV9:Instances!IV9),"median", MEDIAN(Instances!IV9:Instances!IV9),"min", MIN(Instances!IV9:Instances!IV9),"max", MAX(Instances!IV9:Instances!IV9),"diff", MAX(Instances!IV9:Instances!IV9)-MIN(Instances!IV9:Instances!IV9))</f>
        <v>0</v>
      </c>
      <c r="IW9" s="1" cm="1">
        <f t="array" ref="IW9">_xlfn.SWITCH($A$2,"average", AVERAGE(Instances!IW9:Instances!IW9),"median", MEDIAN(Instances!IW9:Instances!IW9),"min", MIN(Instances!IW9:Instances!IW9),"max", MAX(Instances!IW9:Instances!IW9),"diff", MAX(Instances!IW9:Instances!IW9)-MIN(Instances!IW9:Instances!IW9))</f>
        <v>0</v>
      </c>
      <c r="IX9" s="1" cm="1">
        <f t="array" ref="IX9">_xlfn.SWITCH($A$2,"average", AVERAGE(Instances!IX9:Instances!IX9),"median", MEDIAN(Instances!IX9:Instances!IX9),"min", MIN(Instances!IX9:Instances!IX9),"max", MAX(Instances!IX9:Instances!IX9),"diff", MAX(Instances!IX9:Instances!IX9)-MIN(Instances!IX9:Instances!IX9))</f>
        <v>0</v>
      </c>
      <c r="IY9" s="1" cm="1">
        <f t="array" ref="IY9">_xlfn.SWITCH($A$2,"average", AVERAGE(Instances!IY9:Instances!IY9),"median", MEDIAN(Instances!IY9:Instances!IY9),"min", MIN(Instances!IY9:Instances!IY9),"max", MAX(Instances!IY9:Instances!IY9),"diff", MAX(Instances!IY9:Instances!IY9)-MIN(Instances!IY9:Instances!IY9))</f>
        <v>0</v>
      </c>
      <c r="IZ9" s="1" cm="1">
        <f t="array" ref="IZ9">_xlfn.SWITCH($A$2,"average", AVERAGE(Instances!IZ9:Instances!IZ9),"median", MEDIAN(Instances!IZ9:Instances!IZ9),"min", MIN(Instances!IZ9:Instances!IZ9),"max", MAX(Instances!IZ9:Instances!IZ9),"diff", MAX(Instances!IZ9:Instances!IZ9)-MIN(Instances!IZ9:Instances!IZ9))</f>
        <v>0</v>
      </c>
      <c r="JA9" s="1" cm="1">
        <f t="array" ref="JA9">_xlfn.SWITCH($A$2,"average", AVERAGE(Instances!JA9:Instances!JA9),"median", MEDIAN(Instances!JA9:Instances!JA9),"min", MIN(Instances!JA9:Instances!JA9),"max", MAX(Instances!JA9:Instances!JA9),"diff", MAX(Instances!JA9:Instances!JA9)-MIN(Instances!JA9:Instances!JA9))</f>
        <v>0</v>
      </c>
      <c r="JB9" s="1" cm="1">
        <f t="array" ref="JB9">_xlfn.SWITCH($A$2,"average", AVERAGE(Instances!JB9:Instances!JB9),"median", MEDIAN(Instances!JB9:Instances!JB9),"min", MIN(Instances!JB9:Instances!JB9),"max", MAX(Instances!JB9:Instances!JB9),"diff", MAX(Instances!JB9:Instances!JB9)-MIN(Instances!JB9:Instances!JB9))</f>
        <v>0</v>
      </c>
      <c r="JC9" s="1" cm="1">
        <f t="array" ref="JC9">_xlfn.SWITCH($A$2,"average", AVERAGE(Instances!JC9:Instances!JC9),"median", MEDIAN(Instances!JC9:Instances!JC9),"min", MIN(Instances!JC9:Instances!JC9),"max", MAX(Instances!JC9:Instances!JC9),"diff", MAX(Instances!JC9:Instances!JC9)-MIN(Instances!JC9:Instances!JC9))</f>
        <v>0</v>
      </c>
      <c r="JD9" s="1" cm="1">
        <f t="array" ref="JD9">_xlfn.SWITCH($A$2,"average", AVERAGE(Instances!JD9:Instances!JD9),"median", MEDIAN(Instances!JD9:Instances!JD9),"min", MIN(Instances!JD9:Instances!JD9),"max", MAX(Instances!JD9:Instances!JD9),"diff", MAX(Instances!JD9:Instances!JD9)-MIN(Instances!JD9:Instances!JD9))</f>
        <v>0</v>
      </c>
      <c r="JE9" s="1" cm="1">
        <f t="array" ref="JE9">_xlfn.SWITCH($A$2,"average", AVERAGE(Instances!JE9:Instances!JE9),"median", MEDIAN(Instances!JE9:Instances!JE9),"min", MIN(Instances!JE9:Instances!JE9),"max", MAX(Instances!JE9:Instances!JE9),"diff", MAX(Instances!JE9:Instances!JE9)-MIN(Instances!JE9:Instances!JE9))</f>
        <v>0</v>
      </c>
      <c r="JF9" s="1" cm="1">
        <f t="array" ref="JF9">_xlfn.SWITCH($A$2,"average", AVERAGE(Instances!JF9:Instances!JF9),"median", MEDIAN(Instances!JF9:Instances!JF9),"min", MIN(Instances!JF9:Instances!JF9),"max", MAX(Instances!JF9:Instances!JF9),"diff", MAX(Instances!JF9:Instances!JF9)-MIN(Instances!JF9:Instances!JF9))</f>
        <v>0</v>
      </c>
      <c r="JG9" s="1" cm="1">
        <f t="array" ref="JG9">_xlfn.SWITCH($A$2,"average", AVERAGE(Instances!JG9:Instances!JG9),"median", MEDIAN(Instances!JG9:Instances!JG9),"min", MIN(Instances!JG9:Instances!JG9),"max", MAX(Instances!JG9:Instances!JG9),"diff", MAX(Instances!JG9:Instances!JG9)-MIN(Instances!JG9:Instances!JG9))</f>
        <v>0</v>
      </c>
      <c r="JH9" s="1"/>
      <c r="JI9" s="1" cm="1">
        <f t="array" ref="JI9">_xlfn.SWITCH($A$2,"average", AVERAGE(Instances!JI9:Instances!JI9),"median", MEDIAN(Instances!JI9:Instances!JI9),"min", MIN(Instances!JI9:Instances!JI9),"max", MAX(Instances!JI9:Instances!JI9),"diff", MAX(Instances!JI9:Instances!JI9)-MIN(Instances!JI9:Instances!JI9))</f>
        <v>0</v>
      </c>
      <c r="JJ9" s="1" cm="1">
        <f t="array" ref="JJ9">_xlfn.SWITCH($A$2,"average", AVERAGE(Instances!JJ9:Instances!JJ9),"median", MEDIAN(Instances!JJ9:Instances!JJ9),"min", MIN(Instances!JJ9:Instances!JJ9),"max", MAX(Instances!JJ9:Instances!JJ9),"diff", MAX(Instances!JJ9:Instances!JJ9)-MIN(Instances!JJ9:Instances!JJ9))</f>
        <v>0</v>
      </c>
      <c r="JK9" s="1" cm="1">
        <f t="array" ref="JK9">_xlfn.SWITCH($A$2,"average", AVERAGE(Instances!JK9:Instances!JK9),"median", MEDIAN(Instances!JK9:Instances!JK9),"min", MIN(Instances!JK9:Instances!JK9),"max", MAX(Instances!JK9:Instances!JK9),"diff", MAX(Instances!JK9:Instances!JK9)-MIN(Instances!JK9:Instances!JK9))</f>
        <v>0</v>
      </c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 cm="1">
        <f t="array" ref="O10">_xlfn.SWITCH($A$2,"average", AVERAGE(Instances!O10:Instances!O10),"median", MEDIAN(Instances!O10:Instances!O10),"min", MIN(Instances!O10:Instances!O10),"max", MAX(Instances!O10:Instances!O10),"diff", MAX(Instances!O10:Instances!O10)-MIN(Instances!O10:Instances!O10))</f>
        <v>0</v>
      </c>
      <c r="P10" s="1"/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 cm="1">
        <f t="array" ref="S10">_xlfn.SWITCH($A$2,"average", AVERAGE(Instances!S10:Instances!S10),"median", MEDIAN(Instances!S10:Instances!S10),"min", MIN(Instances!S10:Instances!S10),"max", MAX(Instances!S10:Instances!S10),"diff", MAX(Instances!S10:Instances!S10)-MIN(Instances!S10:Instances!S10))</f>
        <v>0</v>
      </c>
      <c r="T10" s="1" cm="1">
        <f t="array" ref="T10">_xlfn.SWITCH($A$2,"average", AVERAGE(Instances!T10:Instances!T10),"median", MEDIAN(Instances!T10:Instances!T10),"min", MIN(Instances!T10:Instances!T10),"max", MAX(Instances!T10:Instances!T10),"diff", MAX(Instances!T10:Instances!T10)-MIN(Instances!T10:Instances!T10))</f>
        <v>0</v>
      </c>
      <c r="U10" s="1" cm="1">
        <f t="array" ref="U10">_xlfn.SWITCH($A$2,"average", AVERAGE(Instances!U10:Instances!U10),"median", MEDIAN(Instances!U10:Instances!U10),"min", MIN(Instances!U10:Instances!U10),"max", MAX(Instances!U10:Instances!U10),"diff", MAX(Instances!U10:Instances!U10)-MIN(Instances!U10:Instances!U10))</f>
        <v>0</v>
      </c>
      <c r="V10" s="1" cm="1">
        <f t="array" ref="V10">_xlfn.SWITCH($A$2,"average", AVERAGE(Instances!V10:Instances!V10),"median", MEDIAN(Instances!V10:Instances!V10),"min", MIN(Instances!V10:Instances!V10),"max", MAX(Instances!V10:Instances!V10),"diff", MAX(Instances!V10:Instances!V10)-MIN(Instances!V10:Instances!V10))</f>
        <v>0</v>
      </c>
      <c r="W10" s="1" cm="1">
        <f t="array" ref="W10">_xlfn.SWITCH($A$2,"average", AVERAGE(Instances!W10:Instances!W10),"median", MEDIAN(Instances!W10:Instances!W10),"min", MIN(Instances!W10:Instances!W10),"max", MAX(Instances!W10:Instances!W10),"diff", MAX(Instances!W10:Instances!W10)-MIN(Instances!W10:Instances!W10))</f>
        <v>0</v>
      </c>
      <c r="X10" s="1" cm="1">
        <f t="array" ref="X10">_xlfn.SWITCH($A$2,"average", AVERAGE(Instances!X10:Instances!X10),"median", MEDIAN(Instances!X10:Instances!X10),"min", MIN(Instances!X10:Instances!X10),"max", MAX(Instances!X10:Instances!X10),"diff", MAX(Instances!X10:Instances!X10)-MIN(Instances!X10:Instances!X10))</f>
        <v>0</v>
      </c>
      <c r="Y10" s="1" cm="1">
        <f t="array" ref="Y10">_xlfn.SWITCH($A$2,"average", AVERAGE(Instances!Y10:Instances!Y10),"median", MEDIAN(Instances!Y10:Instances!Y10),"min", MIN(Instances!Y10:Instances!Y10),"max", MAX(Instances!Y10:Instances!Y10),"diff", MAX(Instances!Y10:Instances!Y10)-MIN(Instances!Y10:Instances!Y10))</f>
        <v>0</v>
      </c>
      <c r="Z10" s="1" cm="1">
        <f t="array" ref="Z10">_xlfn.SWITCH($A$2,"average", AVERAGE(Instances!Z10:Instances!Z10),"median", MEDIAN(Instances!Z10:Instances!Z10),"min", MIN(Instances!Z10:Instances!Z10),"max", MAX(Instances!Z10:Instances!Z10),"diff", MAX(Instances!Z10:Instances!Z10)-MIN(Instances!Z10:Instances!Z10))</f>
        <v>0</v>
      </c>
      <c r="AA10" s="1" cm="1">
        <f t="array" ref="AA10">_xlfn.SWITCH($A$2,"average", AVERAGE(Instances!AA10:Instances!AA10),"median", MEDIAN(Instances!AA10:Instances!AA10),"min", MIN(Instances!AA10:Instances!AA10),"max", MAX(Instances!AA10:Instances!AA10),"diff", MAX(Instances!AA10:Instances!AA10)-MIN(Instances!AA10:Instances!AA10))</f>
        <v>0</v>
      </c>
      <c r="AB10" s="1" cm="1">
        <f t="array" ref="AB10">_xlfn.SWITCH($A$2,"average", AVERAGE(Instances!AB10:Instances!AB10),"median", MEDIAN(Instances!AB10:Instances!AB10),"min", MIN(Instances!AB10:Instances!AB10),"max", MAX(Instances!AB10:Instances!AB10),"diff", MAX(Instances!AB10:Instances!AB10)-MIN(Instances!AB10:Instances!AB10))</f>
        <v>0</v>
      </c>
      <c r="AC10" s="1" cm="1">
        <f t="array" ref="AC10">_xlfn.SWITCH($A$2,"average", AVERAGE(Instances!AC10:Instances!AC10),"median", MEDIAN(Instances!AC10:Instances!AC10),"min", MIN(Instances!AC10:Instances!AC10),"max", MAX(Instances!AC10:Instances!AC10),"diff", MAX(Instances!AC10:Instances!AC10)-MIN(Instances!AC10:Instances!AC10))</f>
        <v>0</v>
      </c>
      <c r="AD10" s="1" cm="1">
        <f t="array" ref="AD10">_xlfn.SWITCH($A$2,"average", AVERAGE(Instances!AD10:Instances!AD10),"median", MEDIAN(Instances!AD10:Instances!AD10),"min", MIN(Instances!AD10:Instances!AD10),"max", MAX(Instances!AD10:Instances!AD10),"diff", MAX(Instances!AD10:Instances!AD10)-MIN(Instances!AD10:Instances!AD10))</f>
        <v>0</v>
      </c>
      <c r="AE10" s="1" cm="1">
        <f t="array" ref="AE10">_xlfn.SWITCH($A$2,"average", AVERAGE(Instances!AE10:Instances!AE10),"median", MEDIAN(Instances!AE10:Instances!AE10),"min", MIN(Instances!AE10:Instances!AE10),"max", MAX(Instances!AE10:Instances!AE10),"diff", MAX(Instances!AE10:Instances!AE10)-MIN(Instances!AE10:Instances!AE10))</f>
        <v>0</v>
      </c>
      <c r="AF10" s="1" cm="1">
        <f t="array" ref="AF10">_xlfn.SWITCH($A$2,"average", AVERAGE(Instances!AF10:Instances!AF10),"median", MEDIAN(Instances!AF10:Instances!AF10),"min", MIN(Instances!AF10:Instances!AF10),"max", MAX(Instances!AF10:Instances!AF10),"diff", MAX(Instances!AF10:Instances!AF10)-MIN(Instances!AF10:Instances!AF10))</f>
        <v>0</v>
      </c>
      <c r="AG10" s="1" cm="1">
        <f t="array" ref="AG10">_xlfn.SWITCH($A$2,"average", AVERAGE(Instances!AG10:Instances!AG10),"median", MEDIAN(Instances!AG10:Instances!AG10),"min", MIN(Instances!AG10:Instances!AG10),"max", MAX(Instances!AG10:Instances!AG10),"diff", MAX(Instances!AG10:Instances!AG10)-MIN(Instances!AG10:Instances!AG10))</f>
        <v>0</v>
      </c>
      <c r="AH10" s="1"/>
      <c r="AI10" s="1" cm="1">
        <f t="array" ref="AI10">_xlfn.SWITCH($A$2,"average", AVERAGE(Instances!AI10:Instances!AI10),"median", MEDIAN(Instances!AI10:Instances!AI10),"min", MIN(Instances!AI10:Instances!AI10),"max", MAX(Instances!AI10:Instances!AI10),"diff", MAX(Instances!AI10:Instances!AI10)-MIN(Instances!AI10:Instances!AI10))</f>
        <v>0</v>
      </c>
      <c r="AJ10" s="1" cm="1">
        <f t="array" ref="AJ10">_xlfn.SWITCH($A$2,"average", AVERAGE(Instances!AJ10:Instances!AJ10),"median", MEDIAN(Instances!AJ10:Instances!AJ10),"min", MIN(Instances!AJ10:Instances!AJ10),"max", MAX(Instances!AJ10:Instances!AJ10),"diff", MAX(Instances!AJ10:Instances!AJ10)-MIN(Instances!AJ10:Instances!AJ10))</f>
        <v>0</v>
      </c>
      <c r="AK10" s="1" cm="1">
        <f t="array" ref="AK10">_xlfn.SWITCH($A$2,"average", AVERAGE(Instances!AK10:Instances!AK10),"median", MEDIAN(Instances!AK10:Instances!AK10),"min", MIN(Instances!AK10:Instances!AK10),"max", MAX(Instances!AK10:Instances!AK10),"diff", MAX(Instances!AK10:Instances!AK10)-MIN(Instances!AK10:Instances!AK10))</f>
        <v>0</v>
      </c>
      <c r="AL10" s="1" cm="1">
        <f t="array" ref="AL10">_xlfn.SWITCH($A$2,"average", AVERAGE(Instances!AL10:Instances!AL10),"median", MEDIAN(Instances!AL10:Instances!AL10),"min", MIN(Instances!AL10:Instances!AL10),"max", MAX(Instances!AL10:Instances!AL10),"diff", MAX(Instances!AL10:Instances!AL10)-MIN(Instances!AL10:Instances!AL10))</f>
        <v>0</v>
      </c>
      <c r="AM10" s="1" cm="1">
        <f t="array" ref="AM10">_xlfn.SWITCH($A$2,"average", AVERAGE(Instances!AM10:Instances!AM10),"median", MEDIAN(Instances!AM10:Instances!AM10),"min", MIN(Instances!AM10:Instances!AM10),"max", MAX(Instances!AM10:Instances!AM10),"diff", MAX(Instances!AM10:Instances!AM10)-MIN(Instances!AM10:Instances!AM10))</f>
        <v>0</v>
      </c>
      <c r="AN10" s="1" cm="1">
        <f t="array" ref="AN10">_xlfn.SWITCH($A$2,"average", AVERAGE(Instances!AN10:Instances!AN10),"median", MEDIAN(Instances!AN10:Instances!AN10),"min", MIN(Instances!AN10:Instances!AN10),"max", MAX(Instances!AN10:Instances!AN10),"diff", MAX(Instances!AN10:Instances!AN10)-MIN(Instances!AN10:Instances!AN10))</f>
        <v>0</v>
      </c>
      <c r="AO10" s="1" cm="1">
        <f t="array" ref="AO10">_xlfn.SWITCH($A$2,"average", AVERAGE(Instances!AO10:Instances!AO10),"median", MEDIAN(Instances!AO10:Instances!AO10),"min", MIN(Instances!AO10:Instances!AO10),"max", MAX(Instances!AO10:Instances!AO10),"diff", MAX(Instances!AO10:Instances!AO10)-MIN(Instances!AO10:Instances!AO10))</f>
        <v>0</v>
      </c>
      <c r="AP10" s="1" cm="1">
        <f t="array" ref="AP10">_xlfn.SWITCH($A$2,"average", AVERAGE(Instances!AP10:Instances!AP10),"median", MEDIAN(Instances!AP10:Instances!AP10),"min", MIN(Instances!AP10:Instances!AP10),"max", MAX(Instances!AP10:Instances!AP10),"diff", MAX(Instances!AP10:Instances!AP10)-MIN(Instances!AP10:Instances!AP10))</f>
        <v>0</v>
      </c>
      <c r="AQ10" s="1" cm="1">
        <f t="array" ref="AQ10">_xlfn.SWITCH($A$2,"average", AVERAGE(Instances!AQ10:Instances!AQ10),"median", MEDIAN(Instances!AQ10:Instances!AQ10),"min", MIN(Instances!AQ10:Instances!AQ10),"max", MAX(Instances!AQ10:Instances!AQ10),"diff", MAX(Instances!AQ10:Instances!AQ10)-MIN(Instances!AQ10:Instances!AQ10))</f>
        <v>0</v>
      </c>
      <c r="AR10" s="1" cm="1">
        <f t="array" ref="AR10">_xlfn.SWITCH($A$2,"average", AVERAGE(Instances!AR10:Instances!AR10),"median", MEDIAN(Instances!AR10:Instances!AR10),"min", MIN(Instances!AR10:Instances!AR10),"max", MAX(Instances!AR10:Instances!AR10),"diff", MAX(Instances!AR10:Instances!AR10)-MIN(Instances!AR10:Instances!AR10))</f>
        <v>0</v>
      </c>
      <c r="AS10" s="1" cm="1">
        <f t="array" ref="AS10">_xlfn.SWITCH($A$2,"average", AVERAGE(Instances!AS10:Instances!AS10),"median", MEDIAN(Instances!AS10:Instances!AS10),"min", MIN(Instances!AS10:Instances!AS10),"max", MAX(Instances!AS10:Instances!AS10),"diff", MAX(Instances!AS10:Instances!AS10)-MIN(Instances!AS10:Instances!AS10))</f>
        <v>0</v>
      </c>
      <c r="AT10" s="1" cm="1">
        <f t="array" ref="AT10">_xlfn.SWITCH($A$2,"average", AVERAGE(Instances!AT10:Instances!AT10),"median", MEDIAN(Instances!AT10:Instances!AT10),"min", MIN(Instances!AT10:Instances!AT10),"max", MAX(Instances!AT10:Instances!AT10),"diff", MAX(Instances!AT10:Instances!AT10)-MIN(Instances!AT10:Instances!AT10))</f>
        <v>0</v>
      </c>
      <c r="AU10" s="1" cm="1">
        <f t="array" ref="AU10">_xlfn.SWITCH($A$2,"average", AVERAGE(Instances!AU10:Instances!AU10),"median", MEDIAN(Instances!AU10:Instances!AU10),"min", MIN(Instances!AU10:Instances!AU10),"max", MAX(Instances!AU10:Instances!AU10),"diff", MAX(Instances!AU10:Instances!AU10)-MIN(Instances!AU10:Instances!AU10))</f>
        <v>0</v>
      </c>
      <c r="AV10" s="1" cm="1">
        <f t="array" ref="AV10">_xlfn.SWITCH($A$2,"average", AVERAGE(Instances!AV10:Instances!AV10),"median", MEDIAN(Instances!AV10:Instances!AV10),"min", MIN(Instances!AV10:Instances!AV10),"max", MAX(Instances!AV10:Instances!AV10),"diff", MAX(Instances!AV10:Instances!AV10)-MIN(Instances!AV10:Instances!AV10))</f>
        <v>0</v>
      </c>
      <c r="AW10" s="1" cm="1">
        <f t="array" ref="AW10">_xlfn.SWITCH($A$2,"average", AVERAGE(Instances!AW10:Instances!AW10),"median", MEDIAN(Instances!AW10:Instances!AW10),"min", MIN(Instances!AW10:Instances!AW10),"max", MAX(Instances!AW10:Instances!AW10),"diff", MAX(Instances!AW10:Instances!AW10)-MIN(Instances!AW10:Instances!AW10))</f>
        <v>0</v>
      </c>
      <c r="AX10" s="1" cm="1">
        <f t="array" ref="AX10">_xlfn.SWITCH($A$2,"average", AVERAGE(Instances!AX10:Instances!AX10),"median", MEDIAN(Instances!AX10:Instances!AX10),"min", MIN(Instances!AX10:Instances!AX10),"max", MAX(Instances!AX10:Instances!AX10),"diff", MAX(Instances!AX10:Instances!AX10)-MIN(Instances!AX10:Instances!AX10))</f>
        <v>0</v>
      </c>
      <c r="AY10" s="1" cm="1">
        <f t="array" ref="AY10">_xlfn.SWITCH($A$2,"average", AVERAGE(Instances!AY10:Instances!AY10),"median", MEDIAN(Instances!AY10:Instances!AY10),"min", MIN(Instances!AY10:Instances!AY10),"max", MAX(Instances!AY10:Instances!AY10),"diff", MAX(Instances!AY10:Instances!AY10)-MIN(Instances!AY10:Instances!AY10))</f>
        <v>0</v>
      </c>
      <c r="AZ10" s="1"/>
      <c r="BA10" s="1" cm="1">
        <f t="array" ref="BA10">_xlfn.SWITCH($A$2,"average", AVERAGE(Instances!BA10:Instances!BA10),"median", MEDIAN(Instances!BA10:Instances!BA10),"min", MIN(Instances!BA10:Instances!BA10),"max", MAX(Instances!BA10:Instances!BA10),"diff", MAX(Instances!BA10:Instances!BA10)-MIN(Instances!BA10:Instances!BA10))</f>
        <v>0</v>
      </c>
      <c r="BB10" s="1" cm="1">
        <f t="array" ref="BB10">_xlfn.SWITCH($A$2,"average", AVERAGE(Instances!BB10:Instances!BB10),"median", MEDIAN(Instances!BB10:Instances!BB10),"min", MIN(Instances!BB10:Instances!BB10),"max", MAX(Instances!BB10:Instances!BB10),"diff", MAX(Instances!BB10:Instances!BB10)-MIN(Instances!BB10:Instances!BB10))</f>
        <v>0</v>
      </c>
      <c r="BC10" s="1" cm="1">
        <f t="array" ref="BC10">_xlfn.SWITCH($A$2,"average", AVERAGE(Instances!BC10:Instances!BC10),"median", MEDIAN(Instances!BC10:Instances!BC10),"min", MIN(Instances!BC10:Instances!BC10),"max", MAX(Instances!BC10:Instances!BC10),"diff", MAX(Instances!BC10:Instances!BC10)-MIN(Instances!BC10:Instances!BC10))</f>
        <v>0</v>
      </c>
      <c r="BD10" s="1" cm="1">
        <f t="array" ref="BD10">_xlfn.SWITCH($A$2,"average", AVERAGE(Instances!BD10:Instances!BD10),"median", MEDIAN(Instances!BD10:Instances!BD10),"min", MIN(Instances!BD10:Instances!BD10),"max", MAX(Instances!BD10:Instances!BD10),"diff", MAX(Instances!BD10:Instances!BD10)-MIN(Instances!BD10:Instances!BD10))</f>
        <v>0</v>
      </c>
      <c r="BE10" s="1" cm="1">
        <f t="array" ref="BE10">_xlfn.SWITCH($A$2,"average", AVERAGE(Instances!BE10:Instances!BE10),"median", MEDIAN(Instances!BE10:Instances!BE10),"min", MIN(Instances!BE10:Instances!BE10),"max", MAX(Instances!BE10:Instances!BE10),"diff", MAX(Instances!BE10:Instances!BE10)-MIN(Instances!BE10:Instances!BE10))</f>
        <v>0</v>
      </c>
      <c r="BF10" s="1" cm="1">
        <f t="array" ref="BF10">_xlfn.SWITCH($A$2,"average", AVERAGE(Instances!BF10:Instances!BF10),"median", MEDIAN(Instances!BF10:Instances!BF10),"min", MIN(Instances!BF10:Instances!BF10),"max", MAX(Instances!BF10:Instances!BF10),"diff", MAX(Instances!BF10:Instances!BF10)-MIN(Instances!BF10:Instances!BF10))</f>
        <v>0</v>
      </c>
      <c r="BG10" s="1" cm="1">
        <f t="array" ref="BG10">_xlfn.SWITCH($A$2,"average", AVERAGE(Instances!BG10:Instances!BG10),"median", MEDIAN(Instances!BG10:Instances!BG10),"min", MIN(Instances!BG10:Instances!BG10),"max", MAX(Instances!BG10:Instances!BG10),"diff", MAX(Instances!BG10:Instances!BG10)-MIN(Instances!BG10:Instances!BG10))</f>
        <v>0</v>
      </c>
      <c r="BH10" s="1" cm="1">
        <f t="array" ref="BH10">_xlfn.SWITCH($A$2,"average", AVERAGE(Instances!BH10:Instances!BH10),"median", MEDIAN(Instances!BH10:Instances!BH10),"min", MIN(Instances!BH10:Instances!BH10),"max", MAX(Instances!BH10:Instances!BH10),"diff", MAX(Instances!BH10:Instances!BH10)-MIN(Instances!BH10:Instances!BH10))</f>
        <v>0</v>
      </c>
      <c r="BI10" s="1" cm="1">
        <f t="array" ref="BI10">_xlfn.SWITCH($A$2,"average", AVERAGE(Instances!BI10:Instances!BI10),"median", MEDIAN(Instances!BI10:Instances!BI10),"min", MIN(Instances!BI10:Instances!BI10),"max", MAX(Instances!BI10:Instances!BI10),"diff", MAX(Instances!BI10:Instances!BI10)-MIN(Instances!BI10:Instances!BI10))</f>
        <v>0</v>
      </c>
      <c r="BJ10" s="1" cm="1">
        <f t="array" ref="BJ10">_xlfn.SWITCH($A$2,"average", AVERAGE(Instances!BJ10:Instances!BJ10),"median", MEDIAN(Instances!BJ10:Instances!BJ10),"min", MIN(Instances!BJ10:Instances!BJ10),"max", MAX(Instances!BJ10:Instances!BJ10),"diff", MAX(Instances!BJ10:Instances!BJ10)-MIN(Instances!BJ10:Instances!BJ10))</f>
        <v>0</v>
      </c>
      <c r="BK10" s="1" cm="1">
        <f t="array" ref="BK10">_xlfn.SWITCH($A$2,"average", AVERAGE(Instances!BK10:Instances!BK10),"median", MEDIAN(Instances!BK10:Instances!BK10),"min", MIN(Instances!BK10:Instances!BK10),"max", MAX(Instances!BK10:Instances!BK10),"diff", MAX(Instances!BK10:Instances!BK10)-MIN(Instances!BK10:Instances!BK10))</f>
        <v>0</v>
      </c>
      <c r="BL10" s="1" cm="1">
        <f t="array" ref="BL10">_xlfn.SWITCH($A$2,"average", AVERAGE(Instances!BL10:Instances!BL10),"median", MEDIAN(Instances!BL10:Instances!BL10),"min", MIN(Instances!BL10:Instances!BL10),"max", MAX(Instances!BL10:Instances!BL10),"diff", MAX(Instances!BL10:Instances!BL10)-MIN(Instances!BL10:Instances!BL10))</f>
        <v>0</v>
      </c>
      <c r="BM10" s="1" cm="1">
        <f t="array" ref="BM10">_xlfn.SWITCH($A$2,"average", AVERAGE(Instances!BM10:Instances!BM10),"median", MEDIAN(Instances!BM10:Instances!BM10),"min", MIN(Instances!BM10:Instances!BM10),"max", MAX(Instances!BM10:Instances!BM10),"diff", MAX(Instances!BM10:Instances!BM10)-MIN(Instances!BM10:Instances!BM10))</f>
        <v>0</v>
      </c>
      <c r="BN10" s="1" cm="1">
        <f t="array" ref="BN10">_xlfn.SWITCH($A$2,"average", AVERAGE(Instances!BN10:Instances!BN10),"median", MEDIAN(Instances!BN10:Instances!BN10),"min", MIN(Instances!BN10:Instances!BN10),"max", MAX(Instances!BN10:Instances!BN10),"diff", MAX(Instances!BN10:Instances!BN10)-MIN(Instances!BN10:Instances!BN10))</f>
        <v>0</v>
      </c>
      <c r="BO10" s="1" cm="1">
        <f t="array" ref="BO10">_xlfn.SWITCH($A$2,"average", AVERAGE(Instances!BO10:Instances!BO10),"median", MEDIAN(Instances!BO10:Instances!BO10),"min", MIN(Instances!BO10:Instances!BO10),"max", MAX(Instances!BO10:Instances!BO10),"diff", MAX(Instances!BO10:Instances!BO10)-MIN(Instances!BO10:Instances!BO10))</f>
        <v>0</v>
      </c>
      <c r="BP10" s="1" cm="1">
        <f t="array" ref="BP10">_xlfn.SWITCH($A$2,"average", AVERAGE(Instances!BP10:Instances!BP10),"median", MEDIAN(Instances!BP10:Instances!BP10),"min", MIN(Instances!BP10:Instances!BP10),"max", MAX(Instances!BP10:Instances!BP10),"diff", MAX(Instances!BP10:Instances!BP10)-MIN(Instances!BP10:Instances!BP10))</f>
        <v>0</v>
      </c>
      <c r="BQ10" s="1" cm="1">
        <f t="array" ref="BQ10">_xlfn.SWITCH($A$2,"average", AVERAGE(Instances!BQ10:Instances!BQ10),"median", MEDIAN(Instances!BQ10:Instances!BQ10),"min", MIN(Instances!BQ10:Instances!BQ10),"max", MAX(Instances!BQ10:Instances!BQ10),"diff", MAX(Instances!BQ10:Instances!BQ10)-MIN(Instances!BQ10:Instances!BQ10))</f>
        <v>0</v>
      </c>
      <c r="BR10" s="1"/>
      <c r="BS10" s="1" cm="1">
        <f t="array" ref="BS10">_xlfn.SWITCH($A$2,"average", AVERAGE(Instances!BS10:Instances!BS10),"median", MEDIAN(Instances!BS10:Instances!BS10),"min", MIN(Instances!BS10:Instances!BS10),"max", MAX(Instances!BS10:Instances!BS10),"diff", MAX(Instances!BS10:Instances!BS10)-MIN(Instances!BS10:Instances!BS10))</f>
        <v>0</v>
      </c>
      <c r="BT10" s="1" cm="1">
        <f t="array" ref="BT10">_xlfn.SWITCH($A$2,"average", AVERAGE(Instances!BT10:Instances!BT10),"median", MEDIAN(Instances!BT10:Instances!BT10),"min", MIN(Instances!BT10:Instances!BT10),"max", MAX(Instances!BT10:Instances!BT10),"diff", MAX(Instances!BT10:Instances!BT10)-MIN(Instances!BT10:Instances!BT10))</f>
        <v>0</v>
      </c>
      <c r="BU10" s="1" cm="1">
        <f t="array" ref="BU10">_xlfn.SWITCH($A$2,"average", AVERAGE(Instances!BU10:Instances!BU10),"median", MEDIAN(Instances!BU10:Instances!BU10),"min", MIN(Instances!BU10:Instances!BU10),"max", MAX(Instances!BU10:Instances!BU10),"diff", MAX(Instances!BU10:Instances!BU10)-MIN(Instances!BU10:Instances!BU10))</f>
        <v>0</v>
      </c>
      <c r="BV10" s="1" cm="1">
        <f t="array" ref="BV10">_xlfn.SWITCH($A$2,"average", AVERAGE(Instances!BV10:Instances!BV10),"median", MEDIAN(Instances!BV10:Instances!BV10),"min", MIN(Instances!BV10:Instances!BV10),"max", MAX(Instances!BV10:Instances!BV10),"diff", MAX(Instances!BV10:Instances!BV10)-MIN(Instances!BV10:Instances!BV10))</f>
        <v>0</v>
      </c>
      <c r="BW10" s="1" cm="1">
        <f t="array" ref="BW10">_xlfn.SWITCH($A$2,"average", AVERAGE(Instances!BW10:Instances!BW10),"median", MEDIAN(Instances!BW10:Instances!BW10),"min", MIN(Instances!BW10:Instances!BW10),"max", MAX(Instances!BW10:Instances!BW10),"diff", MAX(Instances!BW10:Instances!BW10)-MIN(Instances!BW10:Instances!BW10))</f>
        <v>0</v>
      </c>
      <c r="BX10" s="1" cm="1">
        <f t="array" ref="BX10">_xlfn.SWITCH($A$2,"average", AVERAGE(Instances!BX10:Instances!BX10),"median", MEDIAN(Instances!BX10:Instances!BX10),"min", MIN(Instances!BX10:Instances!BX10),"max", MAX(Instances!BX10:Instances!BX10),"diff", MAX(Instances!BX10:Instances!BX10)-MIN(Instances!BX10:Instances!BX10))</f>
        <v>0</v>
      </c>
      <c r="BY10" s="1" cm="1">
        <f t="array" ref="BY10">_xlfn.SWITCH($A$2,"average", AVERAGE(Instances!BY10:Instances!BY10),"median", MEDIAN(Instances!BY10:Instances!BY10),"min", MIN(Instances!BY10:Instances!BY10),"max", MAX(Instances!BY10:Instances!BY10),"diff", MAX(Instances!BY10:Instances!BY10)-MIN(Instances!BY10:Instances!BY10))</f>
        <v>0</v>
      </c>
      <c r="BZ10" s="1" cm="1">
        <f t="array" ref="BZ10">_xlfn.SWITCH($A$2,"average", AVERAGE(Instances!BZ10:Instances!BZ10),"median", MEDIAN(Instances!BZ10:Instances!BZ10),"min", MIN(Instances!BZ10:Instances!BZ10),"max", MAX(Instances!BZ10:Instances!BZ10),"diff", MAX(Instances!BZ10:Instances!BZ10)-MIN(Instances!BZ10:Instances!BZ10))</f>
        <v>0</v>
      </c>
      <c r="CA10" s="1" cm="1">
        <f t="array" ref="CA10">_xlfn.SWITCH($A$2,"average", AVERAGE(Instances!CA10:Instances!CA10),"median", MEDIAN(Instances!CA10:Instances!CA10),"min", MIN(Instances!CA10:Instances!CA10),"max", MAX(Instances!CA10:Instances!CA10),"diff", MAX(Instances!CA10:Instances!CA10)-MIN(Instances!CA10:Instances!CA10))</f>
        <v>0</v>
      </c>
      <c r="CB10" s="1" cm="1">
        <f t="array" ref="CB10">_xlfn.SWITCH($A$2,"average", AVERAGE(Instances!CB10:Instances!CB10),"median", MEDIAN(Instances!CB10:Instances!CB10),"min", MIN(Instances!CB10:Instances!CB10),"max", MAX(Instances!CB10:Instances!CB10),"diff", MAX(Instances!CB10:Instances!CB10)-MIN(Instances!CB10:Instances!CB10))</f>
        <v>0</v>
      </c>
      <c r="CC10" s="1" cm="1">
        <f t="array" ref="CC10">_xlfn.SWITCH($A$2,"average", AVERAGE(Instances!CC10:Instances!CC10),"median", MEDIAN(Instances!CC10:Instances!CC10),"min", MIN(Instances!CC10:Instances!CC10),"max", MAX(Instances!CC10:Instances!CC10),"diff", MAX(Instances!CC10:Instances!CC10)-MIN(Instances!CC10:Instances!CC10))</f>
        <v>0</v>
      </c>
      <c r="CD10" s="1" cm="1">
        <f t="array" ref="CD10">_xlfn.SWITCH($A$2,"average", AVERAGE(Instances!CD10:Instances!CD10),"median", MEDIAN(Instances!CD10:Instances!CD10),"min", MIN(Instances!CD10:Instances!CD10),"max", MAX(Instances!CD10:Instances!CD10),"diff", MAX(Instances!CD10:Instances!CD10)-MIN(Instances!CD10:Instances!CD10))</f>
        <v>0</v>
      </c>
      <c r="CE10" s="1" cm="1">
        <f t="array" ref="CE10">_xlfn.SWITCH($A$2,"average", AVERAGE(Instances!CE10:Instances!CE10),"median", MEDIAN(Instances!CE10:Instances!CE10),"min", MIN(Instances!CE10:Instances!CE10),"max", MAX(Instances!CE10:Instances!CE10),"diff", MAX(Instances!CE10:Instances!CE10)-MIN(Instances!CE10:Instances!CE10))</f>
        <v>0</v>
      </c>
      <c r="CF10" s="1" cm="1">
        <f t="array" ref="CF10">_xlfn.SWITCH($A$2,"average", AVERAGE(Instances!CF10:Instances!CF10),"median", MEDIAN(Instances!CF10:Instances!CF10),"min", MIN(Instances!CF10:Instances!CF10),"max", MAX(Instances!CF10:Instances!CF10),"diff", MAX(Instances!CF10:Instances!CF10)-MIN(Instances!CF10:Instances!CF10))</f>
        <v>0</v>
      </c>
      <c r="CG10" s="1" cm="1">
        <f t="array" ref="CG10">_xlfn.SWITCH($A$2,"average", AVERAGE(Instances!CG10:Instances!CG10),"median", MEDIAN(Instances!CG10:Instances!CG10),"min", MIN(Instances!CG10:Instances!CG10),"max", MAX(Instances!CG10:Instances!CG10),"diff", MAX(Instances!CG10:Instances!CG10)-MIN(Instances!CG10:Instances!CG10))</f>
        <v>0</v>
      </c>
      <c r="CH10" s="1" cm="1">
        <f t="array" ref="CH10">_xlfn.SWITCH($A$2,"average", AVERAGE(Instances!CH10:Instances!CH10),"median", MEDIAN(Instances!CH10:Instances!CH10),"min", MIN(Instances!CH10:Instances!CH10),"max", MAX(Instances!CH10:Instances!CH10),"diff", MAX(Instances!CH10:Instances!CH10)-MIN(Instances!CH10:Instances!CH10))</f>
        <v>0</v>
      </c>
      <c r="CI10" s="1" cm="1">
        <f t="array" ref="CI10">_xlfn.SWITCH($A$2,"average", AVERAGE(Instances!CI10:Instances!CI10),"median", MEDIAN(Instances!CI10:Instances!CI10),"min", MIN(Instances!CI10:Instances!CI10),"max", MAX(Instances!CI10:Instances!CI10),"diff", MAX(Instances!CI10:Instances!CI10)-MIN(Instances!CI10:Instances!CI10))</f>
        <v>0</v>
      </c>
      <c r="CJ10" s="1"/>
      <c r="CK10" s="1" cm="1">
        <f t="array" ref="CK10">_xlfn.SWITCH($A$2,"average", AVERAGE(Instances!CK10:Instances!CK10),"median", MEDIAN(Instances!CK10:Instances!CK10),"min", MIN(Instances!CK10:Instances!CK10),"max", MAX(Instances!CK10:Instances!CK10),"diff", MAX(Instances!CK10:Instances!CK10)-MIN(Instances!CK10:Instances!CK10))</f>
        <v>0</v>
      </c>
      <c r="CL10" s="1" cm="1">
        <f t="array" ref="CL10">_xlfn.SWITCH($A$2,"average", AVERAGE(Instances!CL10:Instances!CL10),"median", MEDIAN(Instances!CL10:Instances!CL10),"min", MIN(Instances!CL10:Instances!CL10),"max", MAX(Instances!CL10:Instances!CL10),"diff", MAX(Instances!CL10:Instances!CL10)-MIN(Instances!CL10:Instances!CL10))</f>
        <v>0</v>
      </c>
      <c r="CM10" s="1" cm="1">
        <f t="array" ref="CM10">_xlfn.SWITCH($A$2,"average", AVERAGE(Instances!CM10:Instances!CM10),"median", MEDIAN(Instances!CM10:Instances!CM10),"min", MIN(Instances!CM10:Instances!CM10),"max", MAX(Instances!CM10:Instances!CM10),"diff", MAX(Instances!CM10:Instances!CM10)-MIN(Instances!CM10:Instances!CM10))</f>
        <v>0</v>
      </c>
      <c r="CN10" s="1" cm="1">
        <f t="array" ref="CN10">_xlfn.SWITCH($A$2,"average", AVERAGE(Instances!CN10:Instances!CN10),"median", MEDIAN(Instances!CN10:Instances!CN10),"min", MIN(Instances!CN10:Instances!CN10),"max", MAX(Instances!CN10:Instances!CN10),"diff", MAX(Instances!CN10:Instances!CN10)-MIN(Instances!CN10:Instances!CN10))</f>
        <v>0</v>
      </c>
      <c r="CO10" s="1" cm="1">
        <f t="array" ref="CO10">_xlfn.SWITCH($A$2,"average", AVERAGE(Instances!CO10:Instances!CO10),"median", MEDIAN(Instances!CO10:Instances!CO10),"min", MIN(Instances!CO10:Instances!CO10),"max", MAX(Instances!CO10:Instances!CO10),"diff", MAX(Instances!CO10:Instances!CO10)-MIN(Instances!CO10:Instances!CO10))</f>
        <v>0</v>
      </c>
      <c r="CP10" s="1" cm="1">
        <f t="array" ref="CP10">_xlfn.SWITCH($A$2,"average", AVERAGE(Instances!CP10:Instances!CP10),"median", MEDIAN(Instances!CP10:Instances!CP10),"min", MIN(Instances!CP10:Instances!CP10),"max", MAX(Instances!CP10:Instances!CP10),"diff", MAX(Instances!CP10:Instances!CP10)-MIN(Instances!CP10:Instances!CP10))</f>
        <v>0</v>
      </c>
      <c r="CQ10" s="1" cm="1">
        <f t="array" ref="CQ10">_xlfn.SWITCH($A$2,"average", AVERAGE(Instances!CQ10:Instances!CQ10),"median", MEDIAN(Instances!CQ10:Instances!CQ10),"min", MIN(Instances!CQ10:Instances!CQ10),"max", MAX(Instances!CQ10:Instances!CQ10),"diff", MAX(Instances!CQ10:Instances!CQ10)-MIN(Instances!CQ10:Instances!CQ10))</f>
        <v>0</v>
      </c>
      <c r="CR10" s="1" cm="1">
        <f t="array" ref="CR10">_xlfn.SWITCH($A$2,"average", AVERAGE(Instances!CR10:Instances!CR10),"median", MEDIAN(Instances!CR10:Instances!CR10),"min", MIN(Instances!CR10:Instances!CR10),"max", MAX(Instances!CR10:Instances!CR10),"diff", MAX(Instances!CR10:Instances!CR10)-MIN(Instances!CR10:Instances!CR10))</f>
        <v>0</v>
      </c>
      <c r="CS10" s="1" cm="1">
        <f t="array" ref="CS10">_xlfn.SWITCH($A$2,"average", AVERAGE(Instances!CS10:Instances!CS10),"median", MEDIAN(Instances!CS10:Instances!CS10),"min", MIN(Instances!CS10:Instances!CS10),"max", MAX(Instances!CS10:Instances!CS10),"diff", MAX(Instances!CS10:Instances!CS10)-MIN(Instances!CS10:Instances!CS10))</f>
        <v>0</v>
      </c>
      <c r="CT10" s="1" cm="1">
        <f t="array" ref="CT10">_xlfn.SWITCH($A$2,"average", AVERAGE(Instances!CT10:Instances!CT10),"median", MEDIAN(Instances!CT10:Instances!CT10),"min", MIN(Instances!CT10:Instances!CT10),"max", MAX(Instances!CT10:Instances!CT10),"diff", MAX(Instances!CT10:Instances!CT10)-MIN(Instances!CT10:Instances!CT10))</f>
        <v>0</v>
      </c>
      <c r="CU10" s="1" cm="1">
        <f t="array" ref="CU10">_xlfn.SWITCH($A$2,"average", AVERAGE(Instances!CU10:Instances!CU10),"median", MEDIAN(Instances!CU10:Instances!CU10),"min", MIN(Instances!CU10:Instances!CU10),"max", MAX(Instances!CU10:Instances!CU10),"diff", MAX(Instances!CU10:Instances!CU10)-MIN(Instances!CU10:Instances!CU10))</f>
        <v>0</v>
      </c>
      <c r="CV10" s="1" cm="1">
        <f t="array" ref="CV10">_xlfn.SWITCH($A$2,"average", AVERAGE(Instances!CV10:Instances!CV10),"median", MEDIAN(Instances!CV10:Instances!CV10),"min", MIN(Instances!CV10:Instances!CV10),"max", MAX(Instances!CV10:Instances!CV10),"diff", MAX(Instances!CV10:Instances!CV10)-MIN(Instances!CV10:Instances!CV10))</f>
        <v>0</v>
      </c>
      <c r="CW10" s="1" cm="1">
        <f t="array" ref="CW10">_xlfn.SWITCH($A$2,"average", AVERAGE(Instances!CW10:Instances!CW10),"median", MEDIAN(Instances!CW10:Instances!CW10),"min", MIN(Instances!CW10:Instances!CW10),"max", MAX(Instances!CW10:Instances!CW10),"diff", MAX(Instances!CW10:Instances!CW10)-MIN(Instances!CW10:Instances!CW10))</f>
        <v>0</v>
      </c>
      <c r="CX10" s="1" cm="1">
        <f t="array" ref="CX10">_xlfn.SWITCH($A$2,"average", AVERAGE(Instances!CX10:Instances!CX10),"median", MEDIAN(Instances!CX10:Instances!CX10),"min", MIN(Instances!CX10:Instances!CX10),"max", MAX(Instances!CX10:Instances!CX10),"diff", MAX(Instances!CX10:Instances!CX10)-MIN(Instances!CX10:Instances!CX10))</f>
        <v>0</v>
      </c>
      <c r="CY10" s="1" cm="1">
        <f t="array" ref="CY10">_xlfn.SWITCH($A$2,"average", AVERAGE(Instances!CY10:Instances!CY10),"median", MEDIAN(Instances!CY10:Instances!CY10),"min", MIN(Instances!CY10:Instances!CY10),"max", MAX(Instances!CY10:Instances!CY10),"diff", MAX(Instances!CY10:Instances!CY10)-MIN(Instances!CY10:Instances!CY10))</f>
        <v>0</v>
      </c>
      <c r="CZ10" s="1" cm="1">
        <f t="array" ref="CZ10">_xlfn.SWITCH($A$2,"average", AVERAGE(Instances!CZ10:Instances!CZ10),"median", MEDIAN(Instances!CZ10:Instances!CZ10),"min", MIN(Instances!CZ10:Instances!CZ10),"max", MAX(Instances!CZ10:Instances!CZ10),"diff", MAX(Instances!CZ10:Instances!CZ10)-MIN(Instances!CZ10:Instances!CZ10))</f>
        <v>0</v>
      </c>
      <c r="DA10" s="1" cm="1">
        <f t="array" ref="DA10">_xlfn.SWITCH($A$2,"average", AVERAGE(Instances!DA10:Instances!DA10),"median", MEDIAN(Instances!DA10:Instances!DA10),"min", MIN(Instances!DA10:Instances!DA10),"max", MAX(Instances!DA10:Instances!DA10),"diff", MAX(Instances!DA10:Instances!DA10)-MIN(Instances!DA10:Instances!DA10))</f>
        <v>0</v>
      </c>
      <c r="DB10" s="1"/>
      <c r="DC10" s="1" cm="1">
        <f t="array" ref="DC10">_xlfn.SWITCH($A$2,"average", AVERAGE(Instances!DC10:Instances!DC10),"median", MEDIAN(Instances!DC10:Instances!DC10),"min", MIN(Instances!DC10:Instances!DC10),"max", MAX(Instances!DC10:Instances!DC10),"diff", MAX(Instances!DC10:Instances!DC10)-MIN(Instances!DC10:Instances!DC10))</f>
        <v>0</v>
      </c>
      <c r="DD10" s="1" cm="1">
        <f t="array" ref="DD10">_xlfn.SWITCH($A$2,"average", AVERAGE(Instances!DD10:Instances!DD10),"median", MEDIAN(Instances!DD10:Instances!DD10),"min", MIN(Instances!DD10:Instances!DD10),"max", MAX(Instances!DD10:Instances!DD10),"diff", MAX(Instances!DD10:Instances!DD10)-MIN(Instances!DD10:Instances!DD10))</f>
        <v>0</v>
      </c>
      <c r="DE10" s="1" cm="1">
        <f t="array" ref="DE10">_xlfn.SWITCH($A$2,"average", AVERAGE(Instances!DE10:Instances!DE10),"median", MEDIAN(Instances!DE10:Instances!DE10),"min", MIN(Instances!DE10:Instances!DE10),"max", MAX(Instances!DE10:Instances!DE10),"diff", MAX(Instances!DE10:Instances!DE10)-MIN(Instances!DE10:Instances!DE10))</f>
        <v>0</v>
      </c>
      <c r="DF10" s="1" cm="1">
        <f t="array" ref="DF10">_xlfn.SWITCH($A$2,"average", AVERAGE(Instances!DF10:Instances!DF10),"median", MEDIAN(Instances!DF10:Instances!DF10),"min", MIN(Instances!DF10:Instances!DF10),"max", MAX(Instances!DF10:Instances!DF10),"diff", MAX(Instances!DF10:Instances!DF10)-MIN(Instances!DF10:Instances!DF10))</f>
        <v>0</v>
      </c>
      <c r="DG10" s="1" cm="1">
        <f t="array" ref="DG10">_xlfn.SWITCH($A$2,"average", AVERAGE(Instances!DG10:Instances!DG10),"median", MEDIAN(Instances!DG10:Instances!DG10),"min", MIN(Instances!DG10:Instances!DG10),"max", MAX(Instances!DG10:Instances!DG10),"diff", MAX(Instances!DG10:Instances!DG10)-MIN(Instances!DG10:Instances!DG10))</f>
        <v>0</v>
      </c>
      <c r="DH10" s="1" cm="1">
        <f t="array" ref="DH10">_xlfn.SWITCH($A$2,"average", AVERAGE(Instances!DH10:Instances!DH10),"median", MEDIAN(Instances!DH10:Instances!DH10),"min", MIN(Instances!DH10:Instances!DH10),"max", MAX(Instances!DH10:Instances!DH10),"diff", MAX(Instances!DH10:Instances!DH10)-MIN(Instances!DH10:Instances!DH10))</f>
        <v>0</v>
      </c>
      <c r="DI10" s="1" cm="1">
        <f t="array" ref="DI10">_xlfn.SWITCH($A$2,"average", AVERAGE(Instances!DI10:Instances!DI10),"median", MEDIAN(Instances!DI10:Instances!DI10),"min", MIN(Instances!DI10:Instances!DI10),"max", MAX(Instances!DI10:Instances!DI10),"diff", MAX(Instances!DI10:Instances!DI10)-MIN(Instances!DI10:Instances!DI10))</f>
        <v>0</v>
      </c>
      <c r="DJ10" s="1" cm="1">
        <f t="array" ref="DJ10">_xlfn.SWITCH($A$2,"average", AVERAGE(Instances!DJ10:Instances!DJ10),"median", MEDIAN(Instances!DJ10:Instances!DJ10),"min", MIN(Instances!DJ10:Instances!DJ10),"max", MAX(Instances!DJ10:Instances!DJ10),"diff", MAX(Instances!DJ10:Instances!DJ10)-MIN(Instances!DJ10:Instances!DJ10))</f>
        <v>0</v>
      </c>
      <c r="DK10" s="1" cm="1">
        <f t="array" ref="DK10">_xlfn.SWITCH($A$2,"average", AVERAGE(Instances!DK10:Instances!DK10),"median", MEDIAN(Instances!DK10:Instances!DK10),"min", MIN(Instances!DK10:Instances!DK10),"max", MAX(Instances!DK10:Instances!DK10),"diff", MAX(Instances!DK10:Instances!DK10)-MIN(Instances!DK10:Instances!DK10))</f>
        <v>0</v>
      </c>
      <c r="DL10" s="1" cm="1">
        <f t="array" ref="DL10">_xlfn.SWITCH($A$2,"average", AVERAGE(Instances!DL10:Instances!DL10),"median", MEDIAN(Instances!DL10:Instances!DL10),"min", MIN(Instances!DL10:Instances!DL10),"max", MAX(Instances!DL10:Instances!DL10),"diff", MAX(Instances!DL10:Instances!DL10)-MIN(Instances!DL10:Instances!DL10))</f>
        <v>0</v>
      </c>
      <c r="DM10" s="1" cm="1">
        <f t="array" ref="DM10">_xlfn.SWITCH($A$2,"average", AVERAGE(Instances!DM10:Instances!DM10),"median", MEDIAN(Instances!DM10:Instances!DM10),"min", MIN(Instances!DM10:Instances!DM10),"max", MAX(Instances!DM10:Instances!DM10),"diff", MAX(Instances!DM10:Instances!DM10)-MIN(Instances!DM10:Instances!DM10))</f>
        <v>0</v>
      </c>
      <c r="DN10" s="1" cm="1">
        <f t="array" ref="DN10">_xlfn.SWITCH($A$2,"average", AVERAGE(Instances!DN10:Instances!DN10),"median", MEDIAN(Instances!DN10:Instances!DN10),"min", MIN(Instances!DN10:Instances!DN10),"max", MAX(Instances!DN10:Instances!DN10),"diff", MAX(Instances!DN10:Instances!DN10)-MIN(Instances!DN10:Instances!DN10))</f>
        <v>0</v>
      </c>
      <c r="DO10" s="1" cm="1">
        <f t="array" ref="DO10">_xlfn.SWITCH($A$2,"average", AVERAGE(Instances!DO10:Instances!DO10),"median", MEDIAN(Instances!DO10:Instances!DO10),"min", MIN(Instances!DO10:Instances!DO10),"max", MAX(Instances!DO10:Instances!DO10),"diff", MAX(Instances!DO10:Instances!DO10)-MIN(Instances!DO10:Instances!DO10))</f>
        <v>0</v>
      </c>
      <c r="DP10" s="1" cm="1">
        <f t="array" ref="DP10">_xlfn.SWITCH($A$2,"average", AVERAGE(Instances!DP10:Instances!DP10),"median", MEDIAN(Instances!DP10:Instances!DP10),"min", MIN(Instances!DP10:Instances!DP10),"max", MAX(Instances!DP10:Instances!DP10),"diff", MAX(Instances!DP10:Instances!DP10)-MIN(Instances!DP10:Instances!DP10))</f>
        <v>0</v>
      </c>
      <c r="DQ10" s="1" cm="1">
        <f t="array" ref="DQ10">_xlfn.SWITCH($A$2,"average", AVERAGE(Instances!DQ10:Instances!DQ10),"median", MEDIAN(Instances!DQ10:Instances!DQ10),"min", MIN(Instances!DQ10:Instances!DQ10),"max", MAX(Instances!DQ10:Instances!DQ10),"diff", MAX(Instances!DQ10:Instances!DQ10)-MIN(Instances!DQ10:Instances!DQ10))</f>
        <v>0</v>
      </c>
      <c r="DR10" s="1" cm="1">
        <f t="array" ref="DR10">_xlfn.SWITCH($A$2,"average", AVERAGE(Instances!DR10:Instances!DR10),"median", MEDIAN(Instances!DR10:Instances!DR10),"min", MIN(Instances!DR10:Instances!DR10),"max", MAX(Instances!DR10:Instances!DR10),"diff", MAX(Instances!DR10:Instances!DR10)-MIN(Instances!DR10:Instances!DR10))</f>
        <v>0</v>
      </c>
      <c r="DS10" s="1" cm="1">
        <f t="array" ref="DS10">_xlfn.SWITCH($A$2,"average", AVERAGE(Instances!DS10:Instances!DS10),"median", MEDIAN(Instances!DS10:Instances!DS10),"min", MIN(Instances!DS10:Instances!DS10),"max", MAX(Instances!DS10:Instances!DS10),"diff", MAX(Instances!DS10:Instances!DS10)-MIN(Instances!DS10:Instances!DS10))</f>
        <v>0</v>
      </c>
      <c r="DT10" s="1"/>
      <c r="DU10" s="1" cm="1">
        <f t="array" ref="DU10">_xlfn.SWITCH($A$2,"average", AVERAGE(Instances!DU10:Instances!DU10),"median", MEDIAN(Instances!DU10:Instances!DU10),"min", MIN(Instances!DU10:Instances!DU10),"max", MAX(Instances!DU10:Instances!DU10),"diff", MAX(Instances!DU10:Instances!DU10)-MIN(Instances!DU10:Instances!DU10))</f>
        <v>0</v>
      </c>
      <c r="DV10" s="1" cm="1">
        <f t="array" ref="DV10">_xlfn.SWITCH($A$2,"average", AVERAGE(Instances!DV10:Instances!DV10),"median", MEDIAN(Instances!DV10:Instances!DV10),"min", MIN(Instances!DV10:Instances!DV10),"max", MAX(Instances!DV10:Instances!DV10),"diff", MAX(Instances!DV10:Instances!DV10)-MIN(Instances!DV10:Instances!DV10))</f>
        <v>0</v>
      </c>
      <c r="DW10" s="1" cm="1">
        <f t="array" ref="DW10">_xlfn.SWITCH($A$2,"average", AVERAGE(Instances!DW10:Instances!DW10),"median", MEDIAN(Instances!DW10:Instances!DW10),"min", MIN(Instances!DW10:Instances!DW10),"max", MAX(Instances!DW10:Instances!DW10),"diff", MAX(Instances!DW10:Instances!DW10)-MIN(Instances!DW10:Instances!DW10))</f>
        <v>0</v>
      </c>
      <c r="DX10" s="1" cm="1">
        <f t="array" ref="DX10">_xlfn.SWITCH($A$2,"average", AVERAGE(Instances!DX10:Instances!DX10),"median", MEDIAN(Instances!DX10:Instances!DX10),"min", MIN(Instances!DX10:Instances!DX10),"max", MAX(Instances!DX10:Instances!DX10),"diff", MAX(Instances!DX10:Instances!DX10)-MIN(Instances!DX10:Instances!DX10))</f>
        <v>0</v>
      </c>
      <c r="DY10" s="1" cm="1">
        <f t="array" ref="DY10">_xlfn.SWITCH($A$2,"average", AVERAGE(Instances!DY10:Instances!DY10),"median", MEDIAN(Instances!DY10:Instances!DY10),"min", MIN(Instances!DY10:Instances!DY10),"max", MAX(Instances!DY10:Instances!DY10),"diff", MAX(Instances!DY10:Instances!DY10)-MIN(Instances!DY10:Instances!DY10))</f>
        <v>0</v>
      </c>
      <c r="DZ10" s="1" cm="1">
        <f t="array" ref="DZ10">_xlfn.SWITCH($A$2,"average", AVERAGE(Instances!DZ10:Instances!DZ10),"median", MEDIAN(Instances!DZ10:Instances!DZ10),"min", MIN(Instances!DZ10:Instances!DZ10),"max", MAX(Instances!DZ10:Instances!DZ10),"diff", MAX(Instances!DZ10:Instances!DZ10)-MIN(Instances!DZ10:Instances!DZ10))</f>
        <v>0</v>
      </c>
      <c r="EA10" s="1" cm="1">
        <f t="array" ref="EA10">_xlfn.SWITCH($A$2,"average", AVERAGE(Instances!EA10:Instances!EA10),"median", MEDIAN(Instances!EA10:Instances!EA10),"min", MIN(Instances!EA10:Instances!EA10),"max", MAX(Instances!EA10:Instances!EA10),"diff", MAX(Instances!EA10:Instances!EA10)-MIN(Instances!EA10:Instances!EA10))</f>
        <v>0</v>
      </c>
      <c r="EB10" s="1" cm="1">
        <f t="array" ref="EB10">_xlfn.SWITCH($A$2,"average", AVERAGE(Instances!EB10:Instances!EB10),"median", MEDIAN(Instances!EB10:Instances!EB10),"min", MIN(Instances!EB10:Instances!EB10),"max", MAX(Instances!EB10:Instances!EB10),"diff", MAX(Instances!EB10:Instances!EB10)-MIN(Instances!EB10:Instances!EB10))</f>
        <v>0</v>
      </c>
      <c r="EC10" s="1" cm="1">
        <f t="array" ref="EC10">_xlfn.SWITCH($A$2,"average", AVERAGE(Instances!EC10:Instances!EC10),"median", MEDIAN(Instances!EC10:Instances!EC10),"min", MIN(Instances!EC10:Instances!EC10),"max", MAX(Instances!EC10:Instances!EC10),"diff", MAX(Instances!EC10:Instances!EC10)-MIN(Instances!EC10:Instances!EC10))</f>
        <v>0</v>
      </c>
      <c r="ED10" s="1" cm="1">
        <f t="array" ref="ED10">_xlfn.SWITCH($A$2,"average", AVERAGE(Instances!ED10:Instances!ED10),"median", MEDIAN(Instances!ED10:Instances!ED10),"min", MIN(Instances!ED10:Instances!ED10),"max", MAX(Instances!ED10:Instances!ED10),"diff", MAX(Instances!ED10:Instances!ED10)-MIN(Instances!ED10:Instances!ED10))</f>
        <v>0</v>
      </c>
      <c r="EE10" s="1" cm="1">
        <f t="array" ref="EE10">_xlfn.SWITCH($A$2,"average", AVERAGE(Instances!EE10:Instances!EE10),"median", MEDIAN(Instances!EE10:Instances!EE10),"min", MIN(Instances!EE10:Instances!EE10),"max", MAX(Instances!EE10:Instances!EE10),"diff", MAX(Instances!EE10:Instances!EE10)-MIN(Instances!EE10:Instances!EE10))</f>
        <v>0</v>
      </c>
      <c r="EF10" s="1" cm="1">
        <f t="array" ref="EF10">_xlfn.SWITCH($A$2,"average", AVERAGE(Instances!EF10:Instances!EF10),"median", MEDIAN(Instances!EF10:Instances!EF10),"min", MIN(Instances!EF10:Instances!EF10),"max", MAX(Instances!EF10:Instances!EF10),"diff", MAX(Instances!EF10:Instances!EF10)-MIN(Instances!EF10:Instances!EF10))</f>
        <v>0</v>
      </c>
      <c r="EG10" s="1" cm="1">
        <f t="array" ref="EG10">_xlfn.SWITCH($A$2,"average", AVERAGE(Instances!EG10:Instances!EG10),"median", MEDIAN(Instances!EG10:Instances!EG10),"min", MIN(Instances!EG10:Instances!EG10),"max", MAX(Instances!EG10:Instances!EG10),"diff", MAX(Instances!EG10:Instances!EG10)-MIN(Instances!EG10:Instances!EG10))</f>
        <v>0</v>
      </c>
      <c r="EH10" s="1" cm="1">
        <f t="array" ref="EH10">_xlfn.SWITCH($A$2,"average", AVERAGE(Instances!EH10:Instances!EH10),"median", MEDIAN(Instances!EH10:Instances!EH10),"min", MIN(Instances!EH10:Instances!EH10),"max", MAX(Instances!EH10:Instances!EH10),"diff", MAX(Instances!EH10:Instances!EH10)-MIN(Instances!EH10:Instances!EH10))</f>
        <v>0</v>
      </c>
      <c r="EI10" s="1" cm="1">
        <f t="array" ref="EI10">_xlfn.SWITCH($A$2,"average", AVERAGE(Instances!EI10:Instances!EI10),"median", MEDIAN(Instances!EI10:Instances!EI10),"min", MIN(Instances!EI10:Instances!EI10),"max", MAX(Instances!EI10:Instances!EI10),"diff", MAX(Instances!EI10:Instances!EI10)-MIN(Instances!EI10:Instances!EI10))</f>
        <v>0</v>
      </c>
      <c r="EJ10" s="1" cm="1">
        <f t="array" ref="EJ10">_xlfn.SWITCH($A$2,"average", AVERAGE(Instances!EJ10:Instances!EJ10),"median", MEDIAN(Instances!EJ10:Instances!EJ10),"min", MIN(Instances!EJ10:Instances!EJ10),"max", MAX(Instances!EJ10:Instances!EJ10),"diff", MAX(Instances!EJ10:Instances!EJ10)-MIN(Instances!EJ10:Instances!EJ10))</f>
        <v>0</v>
      </c>
      <c r="EK10" s="1" cm="1">
        <f t="array" ref="EK10">_xlfn.SWITCH($A$2,"average", AVERAGE(Instances!EK10:Instances!EK10),"median", MEDIAN(Instances!EK10:Instances!EK10),"min", MIN(Instances!EK10:Instances!EK10),"max", MAX(Instances!EK10:Instances!EK10),"diff", MAX(Instances!EK10:Instances!EK10)-MIN(Instances!EK10:Instances!EK10))</f>
        <v>0</v>
      </c>
      <c r="EL10" s="1"/>
      <c r="EM10" s="1" cm="1">
        <f t="array" ref="EM10">_xlfn.SWITCH($A$2,"average", AVERAGE(Instances!EM10:Instances!EM10),"median", MEDIAN(Instances!EM10:Instances!EM10),"min", MIN(Instances!EM10:Instances!EM10),"max", MAX(Instances!EM10:Instances!EM10),"diff", MAX(Instances!EM10:Instances!EM10)-MIN(Instances!EM10:Instances!EM10))</f>
        <v>0</v>
      </c>
      <c r="EN10" s="1" cm="1">
        <f t="array" ref="EN10">_xlfn.SWITCH($A$2,"average", AVERAGE(Instances!EN10:Instances!EN10),"median", MEDIAN(Instances!EN10:Instances!EN10),"min", MIN(Instances!EN10:Instances!EN10),"max", MAX(Instances!EN10:Instances!EN10),"diff", MAX(Instances!EN10:Instances!EN10)-MIN(Instances!EN10:Instances!EN10))</f>
        <v>0</v>
      </c>
      <c r="EO10" s="1" cm="1">
        <f t="array" ref="EO10">_xlfn.SWITCH($A$2,"average", AVERAGE(Instances!EO10:Instances!EO10),"median", MEDIAN(Instances!EO10:Instances!EO10),"min", MIN(Instances!EO10:Instances!EO10),"max", MAX(Instances!EO10:Instances!EO10),"diff", MAX(Instances!EO10:Instances!EO10)-MIN(Instances!EO10:Instances!EO10))</f>
        <v>0</v>
      </c>
      <c r="EP10" s="1" cm="1">
        <f t="array" ref="EP10">_xlfn.SWITCH($A$2,"average", AVERAGE(Instances!EP10:Instances!EP10),"median", MEDIAN(Instances!EP10:Instances!EP10),"min", MIN(Instances!EP10:Instances!EP10),"max", MAX(Instances!EP10:Instances!EP10),"diff", MAX(Instances!EP10:Instances!EP10)-MIN(Instances!EP10:Instances!EP10))</f>
        <v>0</v>
      </c>
      <c r="EQ10" s="1" cm="1">
        <f t="array" ref="EQ10">_xlfn.SWITCH($A$2,"average", AVERAGE(Instances!EQ10:Instances!EQ10),"median", MEDIAN(Instances!EQ10:Instances!EQ10),"min", MIN(Instances!EQ10:Instances!EQ10),"max", MAX(Instances!EQ10:Instances!EQ10),"diff", MAX(Instances!EQ10:Instances!EQ10)-MIN(Instances!EQ10:Instances!EQ10))</f>
        <v>0</v>
      </c>
      <c r="ER10" s="1" cm="1">
        <f t="array" ref="ER10">_xlfn.SWITCH($A$2,"average", AVERAGE(Instances!ER10:Instances!ER10),"median", MEDIAN(Instances!ER10:Instances!ER10),"min", MIN(Instances!ER10:Instances!ER10),"max", MAX(Instances!ER10:Instances!ER10),"diff", MAX(Instances!ER10:Instances!ER10)-MIN(Instances!ER10:Instances!ER10))</f>
        <v>0</v>
      </c>
      <c r="ES10" s="1" cm="1">
        <f t="array" ref="ES10">_xlfn.SWITCH($A$2,"average", AVERAGE(Instances!ES10:Instances!ES10),"median", MEDIAN(Instances!ES10:Instances!ES10),"min", MIN(Instances!ES10:Instances!ES10),"max", MAX(Instances!ES10:Instances!ES10),"diff", MAX(Instances!ES10:Instances!ES10)-MIN(Instances!ES10:Instances!ES10))</f>
        <v>0</v>
      </c>
      <c r="ET10" s="1" cm="1">
        <f t="array" ref="ET10">_xlfn.SWITCH($A$2,"average", AVERAGE(Instances!ET10:Instances!ET10),"median", MEDIAN(Instances!ET10:Instances!ET10),"min", MIN(Instances!ET10:Instances!ET10),"max", MAX(Instances!ET10:Instances!ET10),"diff", MAX(Instances!ET10:Instances!ET10)-MIN(Instances!ET10:Instances!ET10))</f>
        <v>0</v>
      </c>
      <c r="EU10" s="1" cm="1">
        <f t="array" ref="EU10">_xlfn.SWITCH($A$2,"average", AVERAGE(Instances!EU10:Instances!EU10),"median", MEDIAN(Instances!EU10:Instances!EU10),"min", MIN(Instances!EU10:Instances!EU10),"max", MAX(Instances!EU10:Instances!EU10),"diff", MAX(Instances!EU10:Instances!EU10)-MIN(Instances!EU10:Instances!EU10))</f>
        <v>0</v>
      </c>
      <c r="EV10" s="1" cm="1">
        <f t="array" ref="EV10">_xlfn.SWITCH($A$2,"average", AVERAGE(Instances!EV10:Instances!EV10),"median", MEDIAN(Instances!EV10:Instances!EV10),"min", MIN(Instances!EV10:Instances!EV10),"max", MAX(Instances!EV10:Instances!EV10),"diff", MAX(Instances!EV10:Instances!EV10)-MIN(Instances!EV10:Instances!EV10))</f>
        <v>0</v>
      </c>
      <c r="EW10" s="1" cm="1">
        <f t="array" ref="EW10">_xlfn.SWITCH($A$2,"average", AVERAGE(Instances!EW10:Instances!EW10),"median", MEDIAN(Instances!EW10:Instances!EW10),"min", MIN(Instances!EW10:Instances!EW10),"max", MAX(Instances!EW10:Instances!EW10),"diff", MAX(Instances!EW10:Instances!EW10)-MIN(Instances!EW10:Instances!EW10))</f>
        <v>0</v>
      </c>
      <c r="EX10" s="1" cm="1">
        <f t="array" ref="EX10">_xlfn.SWITCH($A$2,"average", AVERAGE(Instances!EX10:Instances!EX10),"median", MEDIAN(Instances!EX10:Instances!EX10),"min", MIN(Instances!EX10:Instances!EX10),"max", MAX(Instances!EX10:Instances!EX10),"diff", MAX(Instances!EX10:Instances!EX10)-MIN(Instances!EX10:Instances!EX10))</f>
        <v>0</v>
      </c>
      <c r="EY10" s="1" cm="1">
        <f t="array" ref="EY10">_xlfn.SWITCH($A$2,"average", AVERAGE(Instances!EY10:Instances!EY10),"median", MEDIAN(Instances!EY10:Instances!EY10),"min", MIN(Instances!EY10:Instances!EY10),"max", MAX(Instances!EY10:Instances!EY10),"diff", MAX(Instances!EY10:Instances!EY10)-MIN(Instances!EY10:Instances!EY10))</f>
        <v>0</v>
      </c>
      <c r="EZ10" s="1" cm="1">
        <f t="array" ref="EZ10">_xlfn.SWITCH($A$2,"average", AVERAGE(Instances!EZ10:Instances!EZ10),"median", MEDIAN(Instances!EZ10:Instances!EZ10),"min", MIN(Instances!EZ10:Instances!EZ10),"max", MAX(Instances!EZ10:Instances!EZ10),"diff", MAX(Instances!EZ10:Instances!EZ10)-MIN(Instances!EZ10:Instances!EZ10))</f>
        <v>0</v>
      </c>
      <c r="FA10" s="1" cm="1">
        <f t="array" ref="FA10">_xlfn.SWITCH($A$2,"average", AVERAGE(Instances!FA10:Instances!FA10),"median", MEDIAN(Instances!FA10:Instances!FA10),"min", MIN(Instances!FA10:Instances!FA10),"max", MAX(Instances!FA10:Instances!FA10),"diff", MAX(Instances!FA10:Instances!FA10)-MIN(Instances!FA10:Instances!FA10))</f>
        <v>0</v>
      </c>
      <c r="FB10" s="1" cm="1">
        <f t="array" ref="FB10">_xlfn.SWITCH($A$2,"average", AVERAGE(Instances!FB10:Instances!FB10),"median", MEDIAN(Instances!FB10:Instances!FB10),"min", MIN(Instances!FB10:Instances!FB10),"max", MAX(Instances!FB10:Instances!FB10),"diff", MAX(Instances!FB10:Instances!FB10)-MIN(Instances!FB10:Instances!FB10))</f>
        <v>0</v>
      </c>
      <c r="FC10" s="1" cm="1">
        <f t="array" ref="FC10">_xlfn.SWITCH($A$2,"average", AVERAGE(Instances!FC10:Instances!FC10),"median", MEDIAN(Instances!FC10:Instances!FC10),"min", MIN(Instances!FC10:Instances!FC10),"max", MAX(Instances!FC10:Instances!FC10),"diff", MAX(Instances!FC10:Instances!FC10)-MIN(Instances!FC10:Instances!FC10))</f>
        <v>0</v>
      </c>
      <c r="FD10" s="1"/>
      <c r="FE10" s="1" cm="1">
        <f t="array" ref="FE10">_xlfn.SWITCH($A$2,"average", AVERAGE(Instances!FE10:Instances!FE10),"median", MEDIAN(Instances!FE10:Instances!FE10),"min", MIN(Instances!FE10:Instances!FE10),"max", MAX(Instances!FE10:Instances!FE10),"diff", MAX(Instances!FE10:Instances!FE10)-MIN(Instances!FE10:Instances!FE10))</f>
        <v>0</v>
      </c>
      <c r="FF10" s="1" cm="1">
        <f t="array" ref="FF10">_xlfn.SWITCH($A$2,"average", AVERAGE(Instances!FF10:Instances!FF10),"median", MEDIAN(Instances!FF10:Instances!FF10),"min", MIN(Instances!FF10:Instances!FF10),"max", MAX(Instances!FF10:Instances!FF10),"diff", MAX(Instances!FF10:Instances!FF10)-MIN(Instances!FF10:Instances!FF10))</f>
        <v>0</v>
      </c>
      <c r="FG10" s="1" cm="1">
        <f t="array" ref="FG10">_xlfn.SWITCH($A$2,"average", AVERAGE(Instances!FG10:Instances!FG10),"median", MEDIAN(Instances!FG10:Instances!FG10),"min", MIN(Instances!FG10:Instances!FG10),"max", MAX(Instances!FG10:Instances!FG10),"diff", MAX(Instances!FG10:Instances!FG10)-MIN(Instances!FG10:Instances!FG10))</f>
        <v>0</v>
      </c>
      <c r="FH10" s="1" cm="1">
        <f t="array" ref="FH10">_xlfn.SWITCH($A$2,"average", AVERAGE(Instances!FH10:Instances!FH10),"median", MEDIAN(Instances!FH10:Instances!FH10),"min", MIN(Instances!FH10:Instances!FH10),"max", MAX(Instances!FH10:Instances!FH10),"diff", MAX(Instances!FH10:Instances!FH10)-MIN(Instances!FH10:Instances!FH10))</f>
        <v>0</v>
      </c>
      <c r="FI10" s="1" cm="1">
        <f t="array" ref="FI10">_xlfn.SWITCH($A$2,"average", AVERAGE(Instances!FI10:Instances!FI10),"median", MEDIAN(Instances!FI10:Instances!FI10),"min", MIN(Instances!FI10:Instances!FI10),"max", MAX(Instances!FI10:Instances!FI10),"diff", MAX(Instances!FI10:Instances!FI10)-MIN(Instances!FI10:Instances!FI10))</f>
        <v>0</v>
      </c>
      <c r="FJ10" s="1" cm="1">
        <f t="array" ref="FJ10">_xlfn.SWITCH($A$2,"average", AVERAGE(Instances!FJ10:Instances!FJ10),"median", MEDIAN(Instances!FJ10:Instances!FJ10),"min", MIN(Instances!FJ10:Instances!FJ10),"max", MAX(Instances!FJ10:Instances!FJ10),"diff", MAX(Instances!FJ10:Instances!FJ10)-MIN(Instances!FJ10:Instances!FJ10))</f>
        <v>0</v>
      </c>
      <c r="FK10" s="1" cm="1">
        <f t="array" ref="FK10">_xlfn.SWITCH($A$2,"average", AVERAGE(Instances!FK10:Instances!FK10),"median", MEDIAN(Instances!FK10:Instances!FK10),"min", MIN(Instances!FK10:Instances!FK10),"max", MAX(Instances!FK10:Instances!FK10),"diff", MAX(Instances!FK10:Instances!FK10)-MIN(Instances!FK10:Instances!FK10))</f>
        <v>0</v>
      </c>
      <c r="FL10" s="1" cm="1">
        <f t="array" ref="FL10">_xlfn.SWITCH($A$2,"average", AVERAGE(Instances!FL10:Instances!FL10),"median", MEDIAN(Instances!FL10:Instances!FL10),"min", MIN(Instances!FL10:Instances!FL10),"max", MAX(Instances!FL10:Instances!FL10),"diff", MAX(Instances!FL10:Instances!FL10)-MIN(Instances!FL10:Instances!FL10))</f>
        <v>0</v>
      </c>
      <c r="FM10" s="1" cm="1">
        <f t="array" ref="FM10">_xlfn.SWITCH($A$2,"average", AVERAGE(Instances!FM10:Instances!FM10),"median", MEDIAN(Instances!FM10:Instances!FM10),"min", MIN(Instances!FM10:Instances!FM10),"max", MAX(Instances!FM10:Instances!FM10),"diff", MAX(Instances!FM10:Instances!FM10)-MIN(Instances!FM10:Instances!FM10))</f>
        <v>0</v>
      </c>
      <c r="FN10" s="1" cm="1">
        <f t="array" ref="FN10">_xlfn.SWITCH($A$2,"average", AVERAGE(Instances!FN10:Instances!FN10),"median", MEDIAN(Instances!FN10:Instances!FN10),"min", MIN(Instances!FN10:Instances!FN10),"max", MAX(Instances!FN10:Instances!FN10),"diff", MAX(Instances!FN10:Instances!FN10)-MIN(Instances!FN10:Instances!FN10))</f>
        <v>0</v>
      </c>
      <c r="FO10" s="1" cm="1">
        <f t="array" ref="FO10">_xlfn.SWITCH($A$2,"average", AVERAGE(Instances!FO10:Instances!FO10),"median", MEDIAN(Instances!FO10:Instances!FO10),"min", MIN(Instances!FO10:Instances!FO10),"max", MAX(Instances!FO10:Instances!FO10),"diff", MAX(Instances!FO10:Instances!FO10)-MIN(Instances!FO10:Instances!FO10))</f>
        <v>0</v>
      </c>
      <c r="FP10" s="1" cm="1">
        <f t="array" ref="FP10">_xlfn.SWITCH($A$2,"average", AVERAGE(Instances!FP10:Instances!FP10),"median", MEDIAN(Instances!FP10:Instances!FP10),"min", MIN(Instances!FP10:Instances!FP10),"max", MAX(Instances!FP10:Instances!FP10),"diff", MAX(Instances!FP10:Instances!FP10)-MIN(Instances!FP10:Instances!FP10))</f>
        <v>0</v>
      </c>
      <c r="FQ10" s="1" cm="1">
        <f t="array" ref="FQ10">_xlfn.SWITCH($A$2,"average", AVERAGE(Instances!FQ10:Instances!FQ10),"median", MEDIAN(Instances!FQ10:Instances!FQ10),"min", MIN(Instances!FQ10:Instances!FQ10),"max", MAX(Instances!FQ10:Instances!FQ10),"diff", MAX(Instances!FQ10:Instances!FQ10)-MIN(Instances!FQ10:Instances!FQ10))</f>
        <v>0</v>
      </c>
      <c r="FR10" s="1" cm="1">
        <f t="array" ref="FR10">_xlfn.SWITCH($A$2,"average", AVERAGE(Instances!FR10:Instances!FR10),"median", MEDIAN(Instances!FR10:Instances!FR10),"min", MIN(Instances!FR10:Instances!FR10),"max", MAX(Instances!FR10:Instances!FR10),"diff", MAX(Instances!FR10:Instances!FR10)-MIN(Instances!FR10:Instances!FR10))</f>
        <v>0</v>
      </c>
      <c r="FS10" s="1" cm="1">
        <f t="array" ref="FS10">_xlfn.SWITCH($A$2,"average", AVERAGE(Instances!FS10:Instances!FS10),"median", MEDIAN(Instances!FS10:Instances!FS10),"min", MIN(Instances!FS10:Instances!FS10),"max", MAX(Instances!FS10:Instances!FS10),"diff", MAX(Instances!FS10:Instances!FS10)-MIN(Instances!FS10:Instances!FS10))</f>
        <v>0</v>
      </c>
      <c r="FT10" s="1" cm="1">
        <f t="array" ref="FT10">_xlfn.SWITCH($A$2,"average", AVERAGE(Instances!FT10:Instances!FT10),"median", MEDIAN(Instances!FT10:Instances!FT10),"min", MIN(Instances!FT10:Instances!FT10),"max", MAX(Instances!FT10:Instances!FT10),"diff", MAX(Instances!FT10:Instances!FT10)-MIN(Instances!FT10:Instances!FT10))</f>
        <v>0</v>
      </c>
      <c r="FU10" s="1" cm="1">
        <f t="array" ref="FU10">_xlfn.SWITCH($A$2,"average", AVERAGE(Instances!FU10:Instances!FU10),"median", MEDIAN(Instances!FU10:Instances!FU10),"min", MIN(Instances!FU10:Instances!FU10),"max", MAX(Instances!FU10:Instances!FU10),"diff", MAX(Instances!FU10:Instances!FU10)-MIN(Instances!FU10:Instances!FU10))</f>
        <v>0</v>
      </c>
      <c r="FV10" s="1"/>
      <c r="FW10" s="1" cm="1">
        <f t="array" ref="FW10">_xlfn.SWITCH($A$2,"average", AVERAGE(Instances!FW10:Instances!FW10),"median", MEDIAN(Instances!FW10:Instances!FW10),"min", MIN(Instances!FW10:Instances!FW10),"max", MAX(Instances!FW10:Instances!FW10),"diff", MAX(Instances!FW10:Instances!FW10)-MIN(Instances!FW10:Instances!FW10))</f>
        <v>0</v>
      </c>
      <c r="FX10" s="1" cm="1">
        <f t="array" ref="FX10">_xlfn.SWITCH($A$2,"average", AVERAGE(Instances!FX10:Instances!FX10),"median", MEDIAN(Instances!FX10:Instances!FX10),"min", MIN(Instances!FX10:Instances!FX10),"max", MAX(Instances!FX10:Instances!FX10),"diff", MAX(Instances!FX10:Instances!FX10)-MIN(Instances!FX10:Instances!FX10))</f>
        <v>0</v>
      </c>
      <c r="FY10" s="1" cm="1">
        <f t="array" ref="FY10">_xlfn.SWITCH($A$2,"average", AVERAGE(Instances!FY10:Instances!FY10),"median", MEDIAN(Instances!FY10:Instances!FY10),"min", MIN(Instances!FY10:Instances!FY10),"max", MAX(Instances!FY10:Instances!FY10),"diff", MAX(Instances!FY10:Instances!FY10)-MIN(Instances!FY10:Instances!FY10))</f>
        <v>0</v>
      </c>
      <c r="FZ10" s="1" cm="1">
        <f t="array" ref="FZ10">_xlfn.SWITCH($A$2,"average", AVERAGE(Instances!FZ10:Instances!FZ10),"median", MEDIAN(Instances!FZ10:Instances!FZ10),"min", MIN(Instances!FZ10:Instances!FZ10),"max", MAX(Instances!FZ10:Instances!FZ10),"diff", MAX(Instances!FZ10:Instances!FZ10)-MIN(Instances!FZ10:Instances!FZ10))</f>
        <v>0</v>
      </c>
      <c r="GA10" s="1" cm="1">
        <f t="array" ref="GA10">_xlfn.SWITCH($A$2,"average", AVERAGE(Instances!GA10:Instances!GA10),"median", MEDIAN(Instances!GA10:Instances!GA10),"min", MIN(Instances!GA10:Instances!GA10),"max", MAX(Instances!GA10:Instances!GA10),"diff", MAX(Instances!GA10:Instances!GA10)-MIN(Instances!GA10:Instances!GA10))</f>
        <v>0</v>
      </c>
      <c r="GB10" s="1" cm="1">
        <f t="array" ref="GB10">_xlfn.SWITCH($A$2,"average", AVERAGE(Instances!GB10:Instances!GB10),"median", MEDIAN(Instances!GB10:Instances!GB10),"min", MIN(Instances!GB10:Instances!GB10),"max", MAX(Instances!GB10:Instances!GB10),"diff", MAX(Instances!GB10:Instances!GB10)-MIN(Instances!GB10:Instances!GB10))</f>
        <v>0</v>
      </c>
      <c r="GC10" s="1" cm="1">
        <f t="array" ref="GC10">_xlfn.SWITCH($A$2,"average", AVERAGE(Instances!GC10:Instances!GC10),"median", MEDIAN(Instances!GC10:Instances!GC10),"min", MIN(Instances!GC10:Instances!GC10),"max", MAX(Instances!GC10:Instances!GC10),"diff", MAX(Instances!GC10:Instances!GC10)-MIN(Instances!GC10:Instances!GC10))</f>
        <v>0</v>
      </c>
      <c r="GD10" s="1" cm="1">
        <f t="array" ref="GD10">_xlfn.SWITCH($A$2,"average", AVERAGE(Instances!GD10:Instances!GD10),"median", MEDIAN(Instances!GD10:Instances!GD10),"min", MIN(Instances!GD10:Instances!GD10),"max", MAX(Instances!GD10:Instances!GD10),"diff", MAX(Instances!GD10:Instances!GD10)-MIN(Instances!GD10:Instances!GD10))</f>
        <v>0</v>
      </c>
      <c r="GE10" s="1" cm="1">
        <f t="array" ref="GE10">_xlfn.SWITCH($A$2,"average", AVERAGE(Instances!GE10:Instances!GE10),"median", MEDIAN(Instances!GE10:Instances!GE10),"min", MIN(Instances!GE10:Instances!GE10),"max", MAX(Instances!GE10:Instances!GE10),"diff", MAX(Instances!GE10:Instances!GE10)-MIN(Instances!GE10:Instances!GE10))</f>
        <v>0</v>
      </c>
      <c r="GF10" s="1" cm="1">
        <f t="array" ref="GF10">_xlfn.SWITCH($A$2,"average", AVERAGE(Instances!GF10:Instances!GF10),"median", MEDIAN(Instances!GF10:Instances!GF10),"min", MIN(Instances!GF10:Instances!GF10),"max", MAX(Instances!GF10:Instances!GF10),"diff", MAX(Instances!GF10:Instances!GF10)-MIN(Instances!GF10:Instances!GF10))</f>
        <v>0</v>
      </c>
      <c r="GG10" s="1" cm="1">
        <f t="array" ref="GG10">_xlfn.SWITCH($A$2,"average", AVERAGE(Instances!GG10:Instances!GG10),"median", MEDIAN(Instances!GG10:Instances!GG10),"min", MIN(Instances!GG10:Instances!GG10),"max", MAX(Instances!GG10:Instances!GG10),"diff", MAX(Instances!GG10:Instances!GG10)-MIN(Instances!GG10:Instances!GG10))</f>
        <v>0</v>
      </c>
      <c r="GH10" s="1" cm="1">
        <f t="array" ref="GH10">_xlfn.SWITCH($A$2,"average", AVERAGE(Instances!GH10:Instances!GH10),"median", MEDIAN(Instances!GH10:Instances!GH10),"min", MIN(Instances!GH10:Instances!GH10),"max", MAX(Instances!GH10:Instances!GH10),"diff", MAX(Instances!GH10:Instances!GH10)-MIN(Instances!GH10:Instances!GH10))</f>
        <v>0</v>
      </c>
      <c r="GI10" s="1" cm="1">
        <f t="array" ref="GI10">_xlfn.SWITCH($A$2,"average", AVERAGE(Instances!GI10:Instances!GI10),"median", MEDIAN(Instances!GI10:Instances!GI10),"min", MIN(Instances!GI10:Instances!GI10),"max", MAX(Instances!GI10:Instances!GI10),"diff", MAX(Instances!GI10:Instances!GI10)-MIN(Instances!GI10:Instances!GI10))</f>
        <v>0</v>
      </c>
      <c r="GJ10" s="1" cm="1">
        <f t="array" ref="GJ10">_xlfn.SWITCH($A$2,"average", AVERAGE(Instances!GJ10:Instances!GJ10),"median", MEDIAN(Instances!GJ10:Instances!GJ10),"min", MIN(Instances!GJ10:Instances!GJ10),"max", MAX(Instances!GJ10:Instances!GJ10),"diff", MAX(Instances!GJ10:Instances!GJ10)-MIN(Instances!GJ10:Instances!GJ10))</f>
        <v>0</v>
      </c>
      <c r="GK10" s="1" cm="1">
        <f t="array" ref="GK10">_xlfn.SWITCH($A$2,"average", AVERAGE(Instances!GK10:Instances!GK10),"median", MEDIAN(Instances!GK10:Instances!GK10),"min", MIN(Instances!GK10:Instances!GK10),"max", MAX(Instances!GK10:Instances!GK10),"diff", MAX(Instances!GK10:Instances!GK10)-MIN(Instances!GK10:Instances!GK10))</f>
        <v>0</v>
      </c>
      <c r="GL10" s="1" cm="1">
        <f t="array" ref="GL10">_xlfn.SWITCH($A$2,"average", AVERAGE(Instances!GL10:Instances!GL10),"median", MEDIAN(Instances!GL10:Instances!GL10),"min", MIN(Instances!GL10:Instances!GL10),"max", MAX(Instances!GL10:Instances!GL10),"diff", MAX(Instances!GL10:Instances!GL10)-MIN(Instances!GL10:Instances!GL10))</f>
        <v>0</v>
      </c>
      <c r="GM10" s="1" cm="1">
        <f t="array" ref="GM10">_xlfn.SWITCH($A$2,"average", AVERAGE(Instances!GM10:Instances!GM10),"median", MEDIAN(Instances!GM10:Instances!GM10),"min", MIN(Instances!GM10:Instances!GM10),"max", MAX(Instances!GM10:Instances!GM10),"diff", MAX(Instances!GM10:Instances!GM10)-MIN(Instances!GM10:Instances!GM10))</f>
        <v>0</v>
      </c>
      <c r="GN10" s="1"/>
      <c r="GO10" s="1" cm="1">
        <f t="array" ref="GO10">_xlfn.SWITCH($A$2,"average", AVERAGE(Instances!GO10:Instances!GO10),"median", MEDIAN(Instances!GO10:Instances!GO10),"min", MIN(Instances!GO10:Instances!GO10),"max", MAX(Instances!GO10:Instances!GO10),"diff", MAX(Instances!GO10:Instances!GO10)-MIN(Instances!GO10:Instances!GO10))</f>
        <v>0</v>
      </c>
      <c r="GP10" s="1" cm="1">
        <f t="array" ref="GP10">_xlfn.SWITCH($A$2,"average", AVERAGE(Instances!GP10:Instances!GP10),"median", MEDIAN(Instances!GP10:Instances!GP10),"min", MIN(Instances!GP10:Instances!GP10),"max", MAX(Instances!GP10:Instances!GP10),"diff", MAX(Instances!GP10:Instances!GP10)-MIN(Instances!GP10:Instances!GP10))</f>
        <v>0</v>
      </c>
      <c r="GQ10" s="1" cm="1">
        <f t="array" ref="GQ10">_xlfn.SWITCH($A$2,"average", AVERAGE(Instances!GQ10:Instances!GQ10),"median", MEDIAN(Instances!GQ10:Instances!GQ10),"min", MIN(Instances!GQ10:Instances!GQ10),"max", MAX(Instances!GQ10:Instances!GQ10),"diff", MAX(Instances!GQ10:Instances!GQ10)-MIN(Instances!GQ10:Instances!GQ10))</f>
        <v>0</v>
      </c>
      <c r="GR10" s="1" cm="1">
        <f t="array" ref="GR10">_xlfn.SWITCH($A$2,"average", AVERAGE(Instances!GR10:Instances!GR10),"median", MEDIAN(Instances!GR10:Instances!GR10),"min", MIN(Instances!GR10:Instances!GR10),"max", MAX(Instances!GR10:Instances!GR10),"diff", MAX(Instances!GR10:Instances!GR10)-MIN(Instances!GR10:Instances!GR10))</f>
        <v>0</v>
      </c>
      <c r="GS10" s="1" cm="1">
        <f t="array" ref="GS10">_xlfn.SWITCH($A$2,"average", AVERAGE(Instances!GS10:Instances!GS10),"median", MEDIAN(Instances!GS10:Instances!GS10),"min", MIN(Instances!GS10:Instances!GS10),"max", MAX(Instances!GS10:Instances!GS10),"diff", MAX(Instances!GS10:Instances!GS10)-MIN(Instances!GS10:Instances!GS10))</f>
        <v>0</v>
      </c>
      <c r="GT10" s="1" cm="1">
        <f t="array" ref="GT10">_xlfn.SWITCH($A$2,"average", AVERAGE(Instances!GT10:Instances!GT10),"median", MEDIAN(Instances!GT10:Instances!GT10),"min", MIN(Instances!GT10:Instances!GT10),"max", MAX(Instances!GT10:Instances!GT10),"diff", MAX(Instances!GT10:Instances!GT10)-MIN(Instances!GT10:Instances!GT10))</f>
        <v>0</v>
      </c>
      <c r="GU10" s="1" cm="1">
        <f t="array" ref="GU10">_xlfn.SWITCH($A$2,"average", AVERAGE(Instances!GU10:Instances!GU10),"median", MEDIAN(Instances!GU10:Instances!GU10),"min", MIN(Instances!GU10:Instances!GU10),"max", MAX(Instances!GU10:Instances!GU10),"diff", MAX(Instances!GU10:Instances!GU10)-MIN(Instances!GU10:Instances!GU10))</f>
        <v>0</v>
      </c>
      <c r="GV10" s="1" cm="1">
        <f t="array" ref="GV10">_xlfn.SWITCH($A$2,"average", AVERAGE(Instances!GV10:Instances!GV10),"median", MEDIAN(Instances!GV10:Instances!GV10),"min", MIN(Instances!GV10:Instances!GV10),"max", MAX(Instances!GV10:Instances!GV10),"diff", MAX(Instances!GV10:Instances!GV10)-MIN(Instances!GV10:Instances!GV10))</f>
        <v>0</v>
      </c>
      <c r="GW10" s="1" cm="1">
        <f t="array" ref="GW10">_xlfn.SWITCH($A$2,"average", AVERAGE(Instances!GW10:Instances!GW10),"median", MEDIAN(Instances!GW10:Instances!GW10),"min", MIN(Instances!GW10:Instances!GW10),"max", MAX(Instances!GW10:Instances!GW10),"diff", MAX(Instances!GW10:Instances!GW10)-MIN(Instances!GW10:Instances!GW10))</f>
        <v>0</v>
      </c>
      <c r="GX10" s="1" cm="1">
        <f t="array" ref="GX10">_xlfn.SWITCH($A$2,"average", AVERAGE(Instances!GX10:Instances!GX10),"median", MEDIAN(Instances!GX10:Instances!GX10),"min", MIN(Instances!GX10:Instances!GX10),"max", MAX(Instances!GX10:Instances!GX10),"diff", MAX(Instances!GX10:Instances!GX10)-MIN(Instances!GX10:Instances!GX10))</f>
        <v>0</v>
      </c>
      <c r="GY10" s="1" cm="1">
        <f t="array" ref="GY10">_xlfn.SWITCH($A$2,"average", AVERAGE(Instances!GY10:Instances!GY10),"median", MEDIAN(Instances!GY10:Instances!GY10),"min", MIN(Instances!GY10:Instances!GY10),"max", MAX(Instances!GY10:Instances!GY10),"diff", MAX(Instances!GY10:Instances!GY10)-MIN(Instances!GY10:Instances!GY10))</f>
        <v>0</v>
      </c>
      <c r="GZ10" s="1" cm="1">
        <f t="array" ref="GZ10">_xlfn.SWITCH($A$2,"average", AVERAGE(Instances!GZ10:Instances!GZ10),"median", MEDIAN(Instances!GZ10:Instances!GZ10),"min", MIN(Instances!GZ10:Instances!GZ10),"max", MAX(Instances!GZ10:Instances!GZ10),"diff", MAX(Instances!GZ10:Instances!GZ10)-MIN(Instances!GZ10:Instances!GZ10))</f>
        <v>0</v>
      </c>
      <c r="HA10" s="1" cm="1">
        <f t="array" ref="HA10">_xlfn.SWITCH($A$2,"average", AVERAGE(Instances!HA10:Instances!HA10),"median", MEDIAN(Instances!HA10:Instances!HA10),"min", MIN(Instances!HA10:Instances!HA10),"max", MAX(Instances!HA10:Instances!HA10),"diff", MAX(Instances!HA10:Instances!HA10)-MIN(Instances!HA10:Instances!HA10))</f>
        <v>0</v>
      </c>
      <c r="HB10" s="1" cm="1">
        <f t="array" ref="HB10">_xlfn.SWITCH($A$2,"average", AVERAGE(Instances!HB10:Instances!HB10),"median", MEDIAN(Instances!HB10:Instances!HB10),"min", MIN(Instances!HB10:Instances!HB10),"max", MAX(Instances!HB10:Instances!HB10),"diff", MAX(Instances!HB10:Instances!HB10)-MIN(Instances!HB10:Instances!HB10))</f>
        <v>0</v>
      </c>
      <c r="HC10" s="1" cm="1">
        <f t="array" ref="HC10">_xlfn.SWITCH($A$2,"average", AVERAGE(Instances!HC10:Instances!HC10),"median", MEDIAN(Instances!HC10:Instances!HC10),"min", MIN(Instances!HC10:Instances!HC10),"max", MAX(Instances!HC10:Instances!HC10),"diff", MAX(Instances!HC10:Instances!HC10)-MIN(Instances!HC10:Instances!HC10))</f>
        <v>0</v>
      </c>
      <c r="HD10" s="1" cm="1">
        <f t="array" ref="HD10">_xlfn.SWITCH($A$2,"average", AVERAGE(Instances!HD10:Instances!HD10),"median", MEDIAN(Instances!HD10:Instances!HD10),"min", MIN(Instances!HD10:Instances!HD10),"max", MAX(Instances!HD10:Instances!HD10),"diff", MAX(Instances!HD10:Instances!HD10)-MIN(Instances!HD10:Instances!HD10))</f>
        <v>0</v>
      </c>
      <c r="HE10" s="1" cm="1">
        <f t="array" ref="HE10">_xlfn.SWITCH($A$2,"average", AVERAGE(Instances!HE10:Instances!HE10),"median", MEDIAN(Instances!HE10:Instances!HE10),"min", MIN(Instances!HE10:Instances!HE10),"max", MAX(Instances!HE10:Instances!HE10),"diff", MAX(Instances!HE10:Instances!HE10)-MIN(Instances!HE10:Instances!HE10))</f>
        <v>0</v>
      </c>
      <c r="HF10" s="1"/>
      <c r="HG10" s="1" cm="1">
        <f t="array" ref="HG10">_xlfn.SWITCH($A$2,"average", AVERAGE(Instances!HG10:Instances!HG10),"median", MEDIAN(Instances!HG10:Instances!HG10),"min", MIN(Instances!HG10:Instances!HG10),"max", MAX(Instances!HG10:Instances!HG10),"diff", MAX(Instances!HG10:Instances!HG10)-MIN(Instances!HG10:Instances!HG10))</f>
        <v>0</v>
      </c>
      <c r="HH10" s="1" cm="1">
        <f t="array" ref="HH10">_xlfn.SWITCH($A$2,"average", AVERAGE(Instances!HH10:Instances!HH10),"median", MEDIAN(Instances!HH10:Instances!HH10),"min", MIN(Instances!HH10:Instances!HH10),"max", MAX(Instances!HH10:Instances!HH10),"diff", MAX(Instances!HH10:Instances!HH10)-MIN(Instances!HH10:Instances!HH10))</f>
        <v>0</v>
      </c>
      <c r="HI10" s="1" cm="1">
        <f t="array" ref="HI10">_xlfn.SWITCH($A$2,"average", AVERAGE(Instances!HI10:Instances!HI10),"median", MEDIAN(Instances!HI10:Instances!HI10),"min", MIN(Instances!HI10:Instances!HI10),"max", MAX(Instances!HI10:Instances!HI10),"diff", MAX(Instances!HI10:Instances!HI10)-MIN(Instances!HI10:Instances!HI10))</f>
        <v>0</v>
      </c>
      <c r="HJ10" s="1" cm="1">
        <f t="array" ref="HJ10">_xlfn.SWITCH($A$2,"average", AVERAGE(Instances!HJ10:Instances!HJ10),"median", MEDIAN(Instances!HJ10:Instances!HJ10),"min", MIN(Instances!HJ10:Instances!HJ10),"max", MAX(Instances!HJ10:Instances!HJ10),"diff", MAX(Instances!HJ10:Instances!HJ10)-MIN(Instances!HJ10:Instances!HJ10))</f>
        <v>0</v>
      </c>
      <c r="HK10" s="1" cm="1">
        <f t="array" ref="HK10">_xlfn.SWITCH($A$2,"average", AVERAGE(Instances!HK10:Instances!HK10),"median", MEDIAN(Instances!HK10:Instances!HK10),"min", MIN(Instances!HK10:Instances!HK10),"max", MAX(Instances!HK10:Instances!HK10),"diff", MAX(Instances!HK10:Instances!HK10)-MIN(Instances!HK10:Instances!HK10))</f>
        <v>0</v>
      </c>
      <c r="HL10" s="1" cm="1">
        <f t="array" ref="HL10">_xlfn.SWITCH($A$2,"average", AVERAGE(Instances!HL10:Instances!HL10),"median", MEDIAN(Instances!HL10:Instances!HL10),"min", MIN(Instances!HL10:Instances!HL10),"max", MAX(Instances!HL10:Instances!HL10),"diff", MAX(Instances!HL10:Instances!HL10)-MIN(Instances!HL10:Instances!HL10))</f>
        <v>0</v>
      </c>
      <c r="HM10" s="1" cm="1">
        <f t="array" ref="HM10">_xlfn.SWITCH($A$2,"average", AVERAGE(Instances!HM10:Instances!HM10),"median", MEDIAN(Instances!HM10:Instances!HM10),"min", MIN(Instances!HM10:Instances!HM10),"max", MAX(Instances!HM10:Instances!HM10),"diff", MAX(Instances!HM10:Instances!HM10)-MIN(Instances!HM10:Instances!HM10))</f>
        <v>0</v>
      </c>
      <c r="HN10" s="1" cm="1">
        <f t="array" ref="HN10">_xlfn.SWITCH($A$2,"average", AVERAGE(Instances!HN10:Instances!HN10),"median", MEDIAN(Instances!HN10:Instances!HN10),"min", MIN(Instances!HN10:Instances!HN10),"max", MAX(Instances!HN10:Instances!HN10),"diff", MAX(Instances!HN10:Instances!HN10)-MIN(Instances!HN10:Instances!HN10))</f>
        <v>0</v>
      </c>
      <c r="HO10" s="1" cm="1">
        <f t="array" ref="HO10">_xlfn.SWITCH($A$2,"average", AVERAGE(Instances!HO10:Instances!HO10),"median", MEDIAN(Instances!HO10:Instances!HO10),"min", MIN(Instances!HO10:Instances!HO10),"max", MAX(Instances!HO10:Instances!HO10),"diff", MAX(Instances!HO10:Instances!HO10)-MIN(Instances!HO10:Instances!HO10))</f>
        <v>0</v>
      </c>
      <c r="HP10" s="1" cm="1">
        <f t="array" ref="HP10">_xlfn.SWITCH($A$2,"average", AVERAGE(Instances!HP10:Instances!HP10),"median", MEDIAN(Instances!HP10:Instances!HP10),"min", MIN(Instances!HP10:Instances!HP10),"max", MAX(Instances!HP10:Instances!HP10),"diff", MAX(Instances!HP10:Instances!HP10)-MIN(Instances!HP10:Instances!HP10))</f>
        <v>0</v>
      </c>
      <c r="HQ10" s="1" cm="1">
        <f t="array" ref="HQ10">_xlfn.SWITCH($A$2,"average", AVERAGE(Instances!HQ10:Instances!HQ10),"median", MEDIAN(Instances!HQ10:Instances!HQ10),"min", MIN(Instances!HQ10:Instances!HQ10),"max", MAX(Instances!HQ10:Instances!HQ10),"diff", MAX(Instances!HQ10:Instances!HQ10)-MIN(Instances!HQ10:Instances!HQ10))</f>
        <v>0</v>
      </c>
      <c r="HR10" s="1" cm="1">
        <f t="array" ref="HR10">_xlfn.SWITCH($A$2,"average", AVERAGE(Instances!HR10:Instances!HR10),"median", MEDIAN(Instances!HR10:Instances!HR10),"min", MIN(Instances!HR10:Instances!HR10),"max", MAX(Instances!HR10:Instances!HR10),"diff", MAX(Instances!HR10:Instances!HR10)-MIN(Instances!HR10:Instances!HR10))</f>
        <v>0</v>
      </c>
      <c r="HS10" s="1" cm="1">
        <f t="array" ref="HS10">_xlfn.SWITCH($A$2,"average", AVERAGE(Instances!HS10:Instances!HS10),"median", MEDIAN(Instances!HS10:Instances!HS10),"min", MIN(Instances!HS10:Instances!HS10),"max", MAX(Instances!HS10:Instances!HS10),"diff", MAX(Instances!HS10:Instances!HS10)-MIN(Instances!HS10:Instances!HS10))</f>
        <v>0</v>
      </c>
      <c r="HT10" s="1" cm="1">
        <f t="array" ref="HT10">_xlfn.SWITCH($A$2,"average", AVERAGE(Instances!HT10:Instances!HT10),"median", MEDIAN(Instances!HT10:Instances!HT10),"min", MIN(Instances!HT10:Instances!HT10),"max", MAX(Instances!HT10:Instances!HT10),"diff", MAX(Instances!HT10:Instances!HT10)-MIN(Instances!HT10:Instances!HT10))</f>
        <v>0</v>
      </c>
      <c r="HU10" s="1" cm="1">
        <f t="array" ref="HU10">_xlfn.SWITCH($A$2,"average", AVERAGE(Instances!HU10:Instances!HU10),"median", MEDIAN(Instances!HU10:Instances!HU10),"min", MIN(Instances!HU10:Instances!HU10),"max", MAX(Instances!HU10:Instances!HU10),"diff", MAX(Instances!HU10:Instances!HU10)-MIN(Instances!HU10:Instances!HU10))</f>
        <v>0</v>
      </c>
      <c r="HV10" s="1" cm="1">
        <f t="array" ref="HV10">_xlfn.SWITCH($A$2,"average", AVERAGE(Instances!HV10:Instances!HV10),"median", MEDIAN(Instances!HV10:Instances!HV10),"min", MIN(Instances!HV10:Instances!HV10),"max", MAX(Instances!HV10:Instances!HV10),"diff", MAX(Instances!HV10:Instances!HV10)-MIN(Instances!HV10:Instances!HV10))</f>
        <v>0</v>
      </c>
      <c r="HW10" s="1" cm="1">
        <f t="array" ref="HW10">_xlfn.SWITCH($A$2,"average", AVERAGE(Instances!HW10:Instances!HW10),"median", MEDIAN(Instances!HW10:Instances!HW10),"min", MIN(Instances!HW10:Instances!HW10),"max", MAX(Instances!HW10:Instances!HW10),"diff", MAX(Instances!HW10:Instances!HW10)-MIN(Instances!HW10:Instances!HW10))</f>
        <v>0</v>
      </c>
      <c r="HX10" s="1"/>
      <c r="HY10" s="1" cm="1">
        <f t="array" ref="HY10">_xlfn.SWITCH($A$2,"average", AVERAGE(Instances!HY10:Instances!HY10),"median", MEDIAN(Instances!HY10:Instances!HY10),"min", MIN(Instances!HY10:Instances!HY10),"max", MAX(Instances!HY10:Instances!HY10),"diff", MAX(Instances!HY10:Instances!HY10)-MIN(Instances!HY10:Instances!HY10))</f>
        <v>0</v>
      </c>
      <c r="HZ10" s="1" cm="1">
        <f t="array" ref="HZ10">_xlfn.SWITCH($A$2,"average", AVERAGE(Instances!HZ10:Instances!HZ10),"median", MEDIAN(Instances!HZ10:Instances!HZ10),"min", MIN(Instances!HZ10:Instances!HZ10),"max", MAX(Instances!HZ10:Instances!HZ10),"diff", MAX(Instances!HZ10:Instances!HZ10)-MIN(Instances!HZ10:Instances!HZ10))</f>
        <v>0</v>
      </c>
      <c r="IA10" s="1" cm="1">
        <f t="array" ref="IA10">_xlfn.SWITCH($A$2,"average", AVERAGE(Instances!IA10:Instances!IA10),"median", MEDIAN(Instances!IA10:Instances!IA10),"min", MIN(Instances!IA10:Instances!IA10),"max", MAX(Instances!IA10:Instances!IA10),"diff", MAX(Instances!IA10:Instances!IA10)-MIN(Instances!IA10:Instances!IA10))</f>
        <v>0</v>
      </c>
      <c r="IB10" s="1" cm="1">
        <f t="array" ref="IB10">_xlfn.SWITCH($A$2,"average", AVERAGE(Instances!IB10:Instances!IB10),"median", MEDIAN(Instances!IB10:Instances!IB10),"min", MIN(Instances!IB10:Instances!IB10),"max", MAX(Instances!IB10:Instances!IB10),"diff", MAX(Instances!IB10:Instances!IB10)-MIN(Instances!IB10:Instances!IB10))</f>
        <v>0</v>
      </c>
      <c r="IC10" s="1" cm="1">
        <f t="array" ref="IC10">_xlfn.SWITCH($A$2,"average", AVERAGE(Instances!IC10:Instances!IC10),"median", MEDIAN(Instances!IC10:Instances!IC10),"min", MIN(Instances!IC10:Instances!IC10),"max", MAX(Instances!IC10:Instances!IC10),"diff", MAX(Instances!IC10:Instances!IC10)-MIN(Instances!IC10:Instances!IC10))</f>
        <v>0</v>
      </c>
      <c r="ID10" s="1" cm="1">
        <f t="array" ref="ID10">_xlfn.SWITCH($A$2,"average", AVERAGE(Instances!ID10:Instances!ID10),"median", MEDIAN(Instances!ID10:Instances!ID10),"min", MIN(Instances!ID10:Instances!ID10),"max", MAX(Instances!ID10:Instances!ID10),"diff", MAX(Instances!ID10:Instances!ID10)-MIN(Instances!ID10:Instances!ID10))</f>
        <v>0</v>
      </c>
      <c r="IE10" s="1" cm="1">
        <f t="array" ref="IE10">_xlfn.SWITCH($A$2,"average", AVERAGE(Instances!IE10:Instances!IE10),"median", MEDIAN(Instances!IE10:Instances!IE10),"min", MIN(Instances!IE10:Instances!IE10),"max", MAX(Instances!IE10:Instances!IE10),"diff", MAX(Instances!IE10:Instances!IE10)-MIN(Instances!IE10:Instances!IE10))</f>
        <v>0</v>
      </c>
      <c r="IF10" s="1" cm="1">
        <f t="array" ref="IF10">_xlfn.SWITCH($A$2,"average", AVERAGE(Instances!IF10:Instances!IF10),"median", MEDIAN(Instances!IF10:Instances!IF10),"min", MIN(Instances!IF10:Instances!IF10),"max", MAX(Instances!IF10:Instances!IF10),"diff", MAX(Instances!IF10:Instances!IF10)-MIN(Instances!IF10:Instances!IF10))</f>
        <v>0</v>
      </c>
      <c r="IG10" s="1" cm="1">
        <f t="array" ref="IG10">_xlfn.SWITCH($A$2,"average", AVERAGE(Instances!IG10:Instances!IG10),"median", MEDIAN(Instances!IG10:Instances!IG10),"min", MIN(Instances!IG10:Instances!IG10),"max", MAX(Instances!IG10:Instances!IG10),"diff", MAX(Instances!IG10:Instances!IG10)-MIN(Instances!IG10:Instances!IG10))</f>
        <v>0</v>
      </c>
      <c r="IH10" s="1" cm="1">
        <f t="array" ref="IH10">_xlfn.SWITCH($A$2,"average", AVERAGE(Instances!IH10:Instances!IH10),"median", MEDIAN(Instances!IH10:Instances!IH10),"min", MIN(Instances!IH10:Instances!IH10),"max", MAX(Instances!IH10:Instances!IH10),"diff", MAX(Instances!IH10:Instances!IH10)-MIN(Instances!IH10:Instances!IH10))</f>
        <v>0</v>
      </c>
      <c r="II10" s="1" cm="1">
        <f t="array" ref="II10">_xlfn.SWITCH($A$2,"average", AVERAGE(Instances!II10:Instances!II10),"median", MEDIAN(Instances!II10:Instances!II10),"min", MIN(Instances!II10:Instances!II10),"max", MAX(Instances!II10:Instances!II10),"diff", MAX(Instances!II10:Instances!II10)-MIN(Instances!II10:Instances!II10))</f>
        <v>0</v>
      </c>
      <c r="IJ10" s="1" cm="1">
        <f t="array" ref="IJ10">_xlfn.SWITCH($A$2,"average", AVERAGE(Instances!IJ10:Instances!IJ10),"median", MEDIAN(Instances!IJ10:Instances!IJ10),"min", MIN(Instances!IJ10:Instances!IJ10),"max", MAX(Instances!IJ10:Instances!IJ10),"diff", MAX(Instances!IJ10:Instances!IJ10)-MIN(Instances!IJ10:Instances!IJ10))</f>
        <v>0</v>
      </c>
      <c r="IK10" s="1" cm="1">
        <f t="array" ref="IK10">_xlfn.SWITCH($A$2,"average", AVERAGE(Instances!IK10:Instances!IK10),"median", MEDIAN(Instances!IK10:Instances!IK10),"min", MIN(Instances!IK10:Instances!IK10),"max", MAX(Instances!IK10:Instances!IK10),"diff", MAX(Instances!IK10:Instances!IK10)-MIN(Instances!IK10:Instances!IK10))</f>
        <v>0</v>
      </c>
      <c r="IL10" s="1" cm="1">
        <f t="array" ref="IL10">_xlfn.SWITCH($A$2,"average", AVERAGE(Instances!IL10:Instances!IL10),"median", MEDIAN(Instances!IL10:Instances!IL10),"min", MIN(Instances!IL10:Instances!IL10),"max", MAX(Instances!IL10:Instances!IL10),"diff", MAX(Instances!IL10:Instances!IL10)-MIN(Instances!IL10:Instances!IL10))</f>
        <v>0</v>
      </c>
      <c r="IM10" s="1" cm="1">
        <f t="array" ref="IM10">_xlfn.SWITCH($A$2,"average", AVERAGE(Instances!IM10:Instances!IM10),"median", MEDIAN(Instances!IM10:Instances!IM10),"min", MIN(Instances!IM10:Instances!IM10),"max", MAX(Instances!IM10:Instances!IM10),"diff", MAX(Instances!IM10:Instances!IM10)-MIN(Instances!IM10:Instances!IM10))</f>
        <v>0</v>
      </c>
      <c r="IN10" s="1" cm="1">
        <f t="array" ref="IN10">_xlfn.SWITCH($A$2,"average", AVERAGE(Instances!IN10:Instances!IN10),"median", MEDIAN(Instances!IN10:Instances!IN10),"min", MIN(Instances!IN10:Instances!IN10),"max", MAX(Instances!IN10:Instances!IN10),"diff", MAX(Instances!IN10:Instances!IN10)-MIN(Instances!IN10:Instances!IN10))</f>
        <v>0</v>
      </c>
      <c r="IO10" s="1" cm="1">
        <f t="array" ref="IO10">_xlfn.SWITCH($A$2,"average", AVERAGE(Instances!IO10:Instances!IO10),"median", MEDIAN(Instances!IO10:Instances!IO10),"min", MIN(Instances!IO10:Instances!IO10),"max", MAX(Instances!IO10:Instances!IO10),"diff", MAX(Instances!IO10:Instances!IO10)-MIN(Instances!IO10:Instances!IO10))</f>
        <v>0</v>
      </c>
      <c r="IP10" s="1"/>
      <c r="IQ10" s="1" cm="1">
        <f t="array" ref="IQ10">_xlfn.SWITCH($A$2,"average", AVERAGE(Instances!IQ10:Instances!IQ10),"median", MEDIAN(Instances!IQ10:Instances!IQ10),"min", MIN(Instances!IQ10:Instances!IQ10),"max", MAX(Instances!IQ10:Instances!IQ10),"diff", MAX(Instances!IQ10:Instances!IQ10)-MIN(Instances!IQ10:Instances!IQ10))</f>
        <v>0</v>
      </c>
      <c r="IR10" s="1" cm="1">
        <f t="array" ref="IR10">_xlfn.SWITCH($A$2,"average", AVERAGE(Instances!IR10:Instances!IR10),"median", MEDIAN(Instances!IR10:Instances!IR10),"min", MIN(Instances!IR10:Instances!IR10),"max", MAX(Instances!IR10:Instances!IR10),"diff", MAX(Instances!IR10:Instances!IR10)-MIN(Instances!IR10:Instances!IR10))</f>
        <v>0</v>
      </c>
      <c r="IS10" s="1" cm="1">
        <f t="array" ref="IS10">_xlfn.SWITCH($A$2,"average", AVERAGE(Instances!IS10:Instances!IS10),"median", MEDIAN(Instances!IS10:Instances!IS10),"min", MIN(Instances!IS10:Instances!IS10),"max", MAX(Instances!IS10:Instances!IS10),"diff", MAX(Instances!IS10:Instances!IS10)-MIN(Instances!IS10:Instances!IS10))</f>
        <v>0</v>
      </c>
      <c r="IT10" s="1" cm="1">
        <f t="array" ref="IT10">_xlfn.SWITCH($A$2,"average", AVERAGE(Instances!IT10:Instances!IT10),"median", MEDIAN(Instances!IT10:Instances!IT10),"min", MIN(Instances!IT10:Instances!IT10),"max", MAX(Instances!IT10:Instances!IT10),"diff", MAX(Instances!IT10:Instances!IT10)-MIN(Instances!IT10:Instances!IT10))</f>
        <v>0</v>
      </c>
      <c r="IU10" s="1" cm="1">
        <f t="array" ref="IU10">_xlfn.SWITCH($A$2,"average", AVERAGE(Instances!IU10:Instances!IU10),"median", MEDIAN(Instances!IU10:Instances!IU10),"min", MIN(Instances!IU10:Instances!IU10),"max", MAX(Instances!IU10:Instances!IU10),"diff", MAX(Instances!IU10:Instances!IU10)-MIN(Instances!IU10:Instances!IU10))</f>
        <v>0</v>
      </c>
      <c r="IV10" s="1" cm="1">
        <f t="array" ref="IV10">_xlfn.SWITCH($A$2,"average", AVERAGE(Instances!IV10:Instances!IV10),"median", MEDIAN(Instances!IV10:Instances!IV10),"min", MIN(Instances!IV10:Instances!IV10),"max", MAX(Instances!IV10:Instances!IV10),"diff", MAX(Instances!IV10:Instances!IV10)-MIN(Instances!IV10:Instances!IV10))</f>
        <v>0</v>
      </c>
      <c r="IW10" s="1" cm="1">
        <f t="array" ref="IW10">_xlfn.SWITCH($A$2,"average", AVERAGE(Instances!IW10:Instances!IW10),"median", MEDIAN(Instances!IW10:Instances!IW10),"min", MIN(Instances!IW10:Instances!IW10),"max", MAX(Instances!IW10:Instances!IW10),"diff", MAX(Instances!IW10:Instances!IW10)-MIN(Instances!IW10:Instances!IW10))</f>
        <v>0</v>
      </c>
      <c r="IX10" s="1" cm="1">
        <f t="array" ref="IX10">_xlfn.SWITCH($A$2,"average", AVERAGE(Instances!IX10:Instances!IX10),"median", MEDIAN(Instances!IX10:Instances!IX10),"min", MIN(Instances!IX10:Instances!IX10),"max", MAX(Instances!IX10:Instances!IX10),"diff", MAX(Instances!IX10:Instances!IX10)-MIN(Instances!IX10:Instances!IX10))</f>
        <v>0</v>
      </c>
      <c r="IY10" s="1" cm="1">
        <f t="array" ref="IY10">_xlfn.SWITCH($A$2,"average", AVERAGE(Instances!IY10:Instances!IY10),"median", MEDIAN(Instances!IY10:Instances!IY10),"min", MIN(Instances!IY10:Instances!IY10),"max", MAX(Instances!IY10:Instances!IY10),"diff", MAX(Instances!IY10:Instances!IY10)-MIN(Instances!IY10:Instances!IY10))</f>
        <v>0</v>
      </c>
      <c r="IZ10" s="1" cm="1">
        <f t="array" ref="IZ10">_xlfn.SWITCH($A$2,"average", AVERAGE(Instances!IZ10:Instances!IZ10),"median", MEDIAN(Instances!IZ10:Instances!IZ10),"min", MIN(Instances!IZ10:Instances!IZ10),"max", MAX(Instances!IZ10:Instances!IZ10),"diff", MAX(Instances!IZ10:Instances!IZ10)-MIN(Instances!IZ10:Instances!IZ10))</f>
        <v>0</v>
      </c>
      <c r="JA10" s="1" cm="1">
        <f t="array" ref="JA10">_xlfn.SWITCH($A$2,"average", AVERAGE(Instances!JA10:Instances!JA10),"median", MEDIAN(Instances!JA10:Instances!JA10),"min", MIN(Instances!JA10:Instances!JA10),"max", MAX(Instances!JA10:Instances!JA10),"diff", MAX(Instances!JA10:Instances!JA10)-MIN(Instances!JA10:Instances!JA10))</f>
        <v>0</v>
      </c>
      <c r="JB10" s="1" cm="1">
        <f t="array" ref="JB10">_xlfn.SWITCH($A$2,"average", AVERAGE(Instances!JB10:Instances!JB10),"median", MEDIAN(Instances!JB10:Instances!JB10),"min", MIN(Instances!JB10:Instances!JB10),"max", MAX(Instances!JB10:Instances!JB10),"diff", MAX(Instances!JB10:Instances!JB10)-MIN(Instances!JB10:Instances!JB10))</f>
        <v>0</v>
      </c>
      <c r="JC10" s="1" cm="1">
        <f t="array" ref="JC10">_xlfn.SWITCH($A$2,"average", AVERAGE(Instances!JC10:Instances!JC10),"median", MEDIAN(Instances!JC10:Instances!JC10),"min", MIN(Instances!JC10:Instances!JC10),"max", MAX(Instances!JC10:Instances!JC10),"diff", MAX(Instances!JC10:Instances!JC10)-MIN(Instances!JC10:Instances!JC10))</f>
        <v>0</v>
      </c>
      <c r="JD10" s="1" cm="1">
        <f t="array" ref="JD10">_xlfn.SWITCH($A$2,"average", AVERAGE(Instances!JD10:Instances!JD10),"median", MEDIAN(Instances!JD10:Instances!JD10),"min", MIN(Instances!JD10:Instances!JD10),"max", MAX(Instances!JD10:Instances!JD10),"diff", MAX(Instances!JD10:Instances!JD10)-MIN(Instances!JD10:Instances!JD10))</f>
        <v>0</v>
      </c>
      <c r="JE10" s="1" cm="1">
        <f t="array" ref="JE10">_xlfn.SWITCH($A$2,"average", AVERAGE(Instances!JE10:Instances!JE10),"median", MEDIAN(Instances!JE10:Instances!JE10),"min", MIN(Instances!JE10:Instances!JE10),"max", MAX(Instances!JE10:Instances!JE10),"diff", MAX(Instances!JE10:Instances!JE10)-MIN(Instances!JE10:Instances!JE10))</f>
        <v>0</v>
      </c>
      <c r="JF10" s="1" cm="1">
        <f t="array" ref="JF10">_xlfn.SWITCH($A$2,"average", AVERAGE(Instances!JF10:Instances!JF10),"median", MEDIAN(Instances!JF10:Instances!JF10),"min", MIN(Instances!JF10:Instances!JF10),"max", MAX(Instances!JF10:Instances!JF10),"diff", MAX(Instances!JF10:Instances!JF10)-MIN(Instances!JF10:Instances!JF10))</f>
        <v>0</v>
      </c>
      <c r="JG10" s="1" cm="1">
        <f t="array" ref="JG10">_xlfn.SWITCH($A$2,"average", AVERAGE(Instances!JG10:Instances!JG10),"median", MEDIAN(Instances!JG10:Instances!JG10),"min", MIN(Instances!JG10:Instances!JG10),"max", MAX(Instances!JG10:Instances!JG10),"diff", MAX(Instances!JG10:Instances!JG10)-MIN(Instances!JG10:Instances!JG10))</f>
        <v>0</v>
      </c>
      <c r="JH10" s="1"/>
      <c r="JI10" s="1" cm="1">
        <f t="array" ref="JI10">_xlfn.SWITCH($A$2,"average", AVERAGE(Instances!JI10:Instances!JI10),"median", MEDIAN(Instances!JI10:Instances!JI10),"min", MIN(Instances!JI10:Instances!JI10),"max", MAX(Instances!JI10:Instances!JI10),"diff", MAX(Instances!JI10:Instances!JI10)-MIN(Instances!JI10:Instances!JI10))</f>
        <v>0</v>
      </c>
      <c r="JJ10" s="1" cm="1">
        <f t="array" ref="JJ10">_xlfn.SWITCH($A$2,"average", AVERAGE(Instances!JJ10:Instances!JJ10),"median", MEDIAN(Instances!JJ10:Instances!JJ10),"min", MIN(Instances!JJ10:Instances!JJ10),"max", MAX(Instances!JJ10:Instances!JJ10),"diff", MAX(Instances!JJ10:Instances!JJ10)-MIN(Instances!JJ10:Instances!JJ10))</f>
        <v>0</v>
      </c>
      <c r="JK10" s="1" cm="1">
        <f t="array" ref="JK10">_xlfn.SWITCH($A$2,"average", AVERAGE(Instances!JK10:Instances!JK10),"median", MEDIAN(Instances!JK10:Instances!JK10),"min", MIN(Instances!JK10:Instances!JK10),"max", MAX(Instances!JK10:Instances!JK10),"diff", MAX(Instances!JK10:Instances!JK10)-MIN(Instances!JK10:Instances!JK10))</f>
        <v>0</v>
      </c>
      <c r="JL10" s="1" cm="1">
        <f t="array" ref="JL10">_xlfn.SWITCH($A$2,"average", AVERAGE(Instances!JL10:Instances!JL10),"median", MEDIAN(Instances!JL10:Instances!JL10),"min", MIN(Instances!JL10:Instances!JL10),"max", MAX(Instances!JL10:Instances!JL10),"diff", MAX(Instances!JL10:Instances!JL10)-MIN(Instances!JL10:Instances!JL10))</f>
        <v>0</v>
      </c>
      <c r="JM10" s="1" cm="1">
        <f t="array" ref="JM10">_xlfn.SWITCH($A$2,"average", AVERAGE(Instances!JM10:Instances!JM10),"median", MEDIAN(Instances!JM10:Instances!JM10),"min", MIN(Instances!JM10:Instances!JM10),"max", MAX(Instances!JM10:Instances!JM10),"diff", MAX(Instances!JM10:Instances!JM10)-MIN(Instances!JM10:Instances!JM10))</f>
        <v>0</v>
      </c>
      <c r="JN10" s="1" cm="1">
        <f t="array" ref="JN10">_xlfn.SWITCH($A$2,"average", AVERAGE(Instances!JN10:Instances!JN10),"median", MEDIAN(Instances!JN10:Instances!JN10),"min", MIN(Instances!JN10:Instances!JN10),"max", MAX(Instances!JN10:Instances!JN10),"diff", MAX(Instances!JN10:Instances!JN10)-MIN(Instances!JN10:Instances!JN10))</f>
        <v>0</v>
      </c>
      <c r="JO10" s="1" cm="1">
        <f t="array" ref="JO10">_xlfn.SWITCH($A$2,"average", AVERAGE(Instances!JO10:Instances!JO10),"median", MEDIAN(Instances!JO10:Instances!JO10),"min", MIN(Instances!JO10:Instances!JO10),"max", MAX(Instances!JO10:Instances!JO10),"diff", MAX(Instances!JO10:Instances!JO10)-MIN(Instances!JO10:Instances!JO10))</f>
        <v>0</v>
      </c>
      <c r="JP10" s="1" cm="1">
        <f t="array" ref="JP10">_xlfn.SWITCH($A$2,"average", AVERAGE(Instances!JP10:Instances!JP10),"median", MEDIAN(Instances!JP10:Instances!JP10),"min", MIN(Instances!JP10:Instances!JP10),"max", MAX(Instances!JP10:Instances!JP10),"diff", MAX(Instances!JP10:Instances!JP10)-MIN(Instances!JP10:Instances!JP10))</f>
        <v>0</v>
      </c>
      <c r="JQ10" s="1" cm="1">
        <f t="array" ref="JQ10">_xlfn.SWITCH($A$2,"average", AVERAGE(Instances!JQ10:Instances!JQ10),"median", MEDIAN(Instances!JQ10:Instances!JQ10),"min", MIN(Instances!JQ10:Instances!JQ10),"max", MAX(Instances!JQ10:Instances!JQ10),"diff", MAX(Instances!JQ10:Instances!JQ10)-MIN(Instances!JQ10:Instances!JQ10))</f>
        <v>0</v>
      </c>
      <c r="JR10" s="1" cm="1">
        <f t="array" ref="JR10">_xlfn.SWITCH($A$2,"average", AVERAGE(Instances!JR10:Instances!JR10),"median", MEDIAN(Instances!JR10:Instances!JR10),"min", MIN(Instances!JR10:Instances!JR10),"max", MAX(Instances!JR10:Instances!JR10),"diff", MAX(Instances!JR10:Instances!JR10)-MIN(Instances!JR10:Instances!JR10))</f>
        <v>0</v>
      </c>
      <c r="JS10" s="1" cm="1">
        <f t="array" ref="JS10">_xlfn.SWITCH($A$2,"average", AVERAGE(Instances!JS10:Instances!JS10),"median", MEDIAN(Instances!JS10:Instances!JS10),"min", MIN(Instances!JS10:Instances!JS10),"max", MAX(Instances!JS10:Instances!JS10),"diff", MAX(Instances!JS10:Instances!JS10)-MIN(Instances!JS10:Instances!JS10))</f>
        <v>0</v>
      </c>
      <c r="JT10" s="1" cm="1">
        <f t="array" ref="JT10">_xlfn.SWITCH($A$2,"average", AVERAGE(Instances!JT10:Instances!JT10),"median", MEDIAN(Instances!JT10:Instances!JT10),"min", MIN(Instances!JT10:Instances!JT10),"max", MAX(Instances!JT10:Instances!JT10),"diff", MAX(Instances!JT10:Instances!JT10)-MIN(Instances!JT10:Instances!JT10))</f>
        <v>0</v>
      </c>
      <c r="JU10" s="1" cm="1">
        <f t="array" ref="JU10">_xlfn.SWITCH($A$2,"average", AVERAGE(Instances!JU10:Instances!JU10),"median", MEDIAN(Instances!JU10:Instances!JU10),"min", MIN(Instances!JU10:Instances!JU10),"max", MAX(Instances!JU10:Instances!JU10),"diff", MAX(Instances!JU10:Instances!JU10)-MIN(Instances!JU10:Instances!JU10))</f>
        <v>0</v>
      </c>
      <c r="JV10" s="1" cm="1">
        <f t="array" ref="JV10">_xlfn.SWITCH($A$2,"average", AVERAGE(Instances!JV10:Instances!JV10),"median", MEDIAN(Instances!JV10:Instances!JV10),"min", MIN(Instances!JV10:Instances!JV10),"max", MAX(Instances!JV10:Instances!JV10),"diff", MAX(Instances!JV10:Instances!JV10)-MIN(Instances!JV10:Instances!JV10))</f>
        <v>0</v>
      </c>
      <c r="JW10" s="1" cm="1">
        <f t="array" ref="JW10">_xlfn.SWITCH($A$2,"average", AVERAGE(Instances!JW10:Instances!JW10),"median", MEDIAN(Instances!JW10:Instances!JW10),"min", MIN(Instances!JW10:Instances!JW10),"max", MAX(Instances!JW10:Instances!JW10),"diff", MAX(Instances!JW10:Instances!JW10)-MIN(Instances!JW10:Instances!JW10))</f>
        <v>0</v>
      </c>
      <c r="JX10" s="1" cm="1">
        <f t="array" ref="JX10">_xlfn.SWITCH($A$2,"average", AVERAGE(Instances!JX10:Instances!JX10),"median", MEDIAN(Instances!JX10:Instances!JX10),"min", MIN(Instances!JX10:Instances!JX10),"max", MAX(Instances!JX10:Instances!JX10),"diff", MAX(Instances!JX10:Instances!JX10)-MIN(Instances!JX10:Instances!JX10))</f>
        <v>0</v>
      </c>
      <c r="JY10" s="1" cm="1">
        <f t="array" ref="JY10">_xlfn.SWITCH($A$2,"average", AVERAGE(Instances!JY10:Instances!JY10),"median", MEDIAN(Instances!JY10:Instances!JY10),"min", MIN(Instances!JY10:Instances!JY10),"max", MAX(Instances!JY10:Instances!JY10),"diff", MAX(Instances!JY10:Instances!JY10)-MIN(Instances!JY10:Instances!JY10))</f>
        <v>0</v>
      </c>
      <c r="JZ10" s="1"/>
      <c r="KA10" s="1" cm="1">
        <f t="array" ref="KA10">_xlfn.SWITCH($A$2,"average", AVERAGE(Instances!KA10:Instances!KA10),"median", MEDIAN(Instances!KA10:Instances!KA10),"min", MIN(Instances!KA10:Instances!KA10),"max", MAX(Instances!KA10:Instances!KA10),"diff", MAX(Instances!KA10:Instances!KA10)-MIN(Instances!KA10:Instances!KA10))</f>
        <v>0</v>
      </c>
      <c r="KB10" s="1" cm="1">
        <f t="array" ref="KB10">_xlfn.SWITCH($A$2,"average", AVERAGE(Instances!KB10:Instances!KB10),"median", MEDIAN(Instances!KB10:Instances!KB10),"min", MIN(Instances!KB10:Instances!KB10),"max", MAX(Instances!KB10:Instances!KB10),"diff", MAX(Instances!KB10:Instances!KB10)-MIN(Instances!KB10:Instances!KB10))</f>
        <v>0</v>
      </c>
      <c r="KC10" s="1" cm="1">
        <f t="array" ref="KC10">_xlfn.SWITCH($A$2,"average", AVERAGE(Instances!KC10:Instances!KC10),"median", MEDIAN(Instances!KC10:Instances!KC10),"min", MIN(Instances!KC10:Instances!KC10),"max", MAX(Instances!KC10:Instances!KC10),"diff", MAX(Instances!KC10:Instances!KC10)-MIN(Instances!KC10:Instances!KC10))</f>
        <v>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 cm="1">
        <f t="array" ref="O11">_xlfn.SWITCH($A$2,"average", AVERAGE(Instances!O11:Instances!O11),"median", MEDIAN(Instances!O11:Instances!O11),"min", MIN(Instances!O11:Instances!O11),"max", MAX(Instances!O11:Instances!O11),"diff", MAX(Instances!O11:Instances!O11)-MIN(Instances!O11:Instances!O11))</f>
        <v>0</v>
      </c>
      <c r="P11" s="1"/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 cm="1">
        <f t="array" ref="S11">_xlfn.SWITCH($A$2,"average", AVERAGE(Instances!S11:Instances!S11),"median", MEDIAN(Instances!S11:Instances!S11),"min", MIN(Instances!S11:Instances!S11),"max", MAX(Instances!S11:Instances!S11),"diff", MAX(Instances!S11:Instances!S11)-MIN(Instances!S11:Instances!S11))</f>
        <v>0</v>
      </c>
      <c r="T11" s="1" cm="1">
        <f t="array" ref="T11">_xlfn.SWITCH($A$2,"average", AVERAGE(Instances!T11:Instances!T11),"median", MEDIAN(Instances!T11:Instances!T11),"min", MIN(Instances!T11:Instances!T11),"max", MAX(Instances!T11:Instances!T11),"diff", MAX(Instances!T11:Instances!T11)-MIN(Instances!T11:Instances!T11))</f>
        <v>0</v>
      </c>
      <c r="U11" s="1" cm="1">
        <f t="array" ref="U11">_xlfn.SWITCH($A$2,"average", AVERAGE(Instances!U11:Instances!U11),"median", MEDIAN(Instances!U11:Instances!U11),"min", MIN(Instances!U11:Instances!U11),"max", MAX(Instances!U11:Instances!U11),"diff", MAX(Instances!U11:Instances!U11)-MIN(Instances!U11:Instances!U11))</f>
        <v>0</v>
      </c>
      <c r="V11" s="1" cm="1">
        <f t="array" ref="V11">_xlfn.SWITCH($A$2,"average", AVERAGE(Instances!V11:Instances!V11),"median", MEDIAN(Instances!V11:Instances!V11),"min", MIN(Instances!V11:Instances!V11),"max", MAX(Instances!V11:Instances!V11),"diff", MAX(Instances!V11:Instances!V11)-MIN(Instances!V11:Instances!V11))</f>
        <v>0</v>
      </c>
      <c r="W11" s="1" cm="1">
        <f t="array" ref="W11">_xlfn.SWITCH($A$2,"average", AVERAGE(Instances!W11:Instances!W11),"median", MEDIAN(Instances!W11:Instances!W11),"min", MIN(Instances!W11:Instances!W11),"max", MAX(Instances!W11:Instances!W11),"diff", MAX(Instances!W11:Instances!W11)-MIN(Instances!W11:Instances!W11))</f>
        <v>0</v>
      </c>
      <c r="X11" s="1" cm="1">
        <f t="array" ref="X11">_xlfn.SWITCH($A$2,"average", AVERAGE(Instances!X11:Instances!X11),"median", MEDIAN(Instances!X11:Instances!X11),"min", MIN(Instances!X11:Instances!X11),"max", MAX(Instances!X11:Instances!X11),"diff", MAX(Instances!X11:Instances!X11)-MIN(Instances!X11:Instances!X11))</f>
        <v>0</v>
      </c>
      <c r="Y11" s="1" cm="1">
        <f t="array" ref="Y11">_xlfn.SWITCH($A$2,"average", AVERAGE(Instances!Y11:Instances!Y11),"median", MEDIAN(Instances!Y11:Instances!Y11),"min", MIN(Instances!Y11:Instances!Y11),"max", MAX(Instances!Y11:Instances!Y11),"diff", MAX(Instances!Y11:Instances!Y11)-MIN(Instances!Y11:Instances!Y11))</f>
        <v>0</v>
      </c>
      <c r="Z11" s="1" cm="1">
        <f t="array" ref="Z11">_xlfn.SWITCH($A$2,"average", AVERAGE(Instances!Z11:Instances!Z11),"median", MEDIAN(Instances!Z11:Instances!Z11),"min", MIN(Instances!Z11:Instances!Z11),"max", MAX(Instances!Z11:Instances!Z11),"diff", MAX(Instances!Z11:Instances!Z11)-MIN(Instances!Z11:Instances!Z11))</f>
        <v>0</v>
      </c>
      <c r="AA11" s="1" cm="1">
        <f t="array" ref="AA11">_xlfn.SWITCH($A$2,"average", AVERAGE(Instances!AA11:Instances!AA11),"median", MEDIAN(Instances!AA11:Instances!AA11),"min", MIN(Instances!AA11:Instances!AA11),"max", MAX(Instances!AA11:Instances!AA11),"diff", MAX(Instances!AA11:Instances!AA11)-MIN(Instances!AA11:Instances!AA11))</f>
        <v>0</v>
      </c>
      <c r="AB11" s="1" cm="1">
        <f t="array" ref="AB11">_xlfn.SWITCH($A$2,"average", AVERAGE(Instances!AB11:Instances!AB11),"median", MEDIAN(Instances!AB11:Instances!AB11),"min", MIN(Instances!AB11:Instances!AB11),"max", MAX(Instances!AB11:Instances!AB11),"diff", MAX(Instances!AB11:Instances!AB11)-MIN(Instances!AB11:Instances!AB11))</f>
        <v>0</v>
      </c>
      <c r="AC11" s="1" cm="1">
        <f t="array" ref="AC11">_xlfn.SWITCH($A$2,"average", AVERAGE(Instances!AC11:Instances!AC11),"median", MEDIAN(Instances!AC11:Instances!AC11),"min", MIN(Instances!AC11:Instances!AC11),"max", MAX(Instances!AC11:Instances!AC11),"diff", MAX(Instances!AC11:Instances!AC11)-MIN(Instances!AC11:Instances!AC11))</f>
        <v>0</v>
      </c>
      <c r="AD11" s="1" cm="1">
        <f t="array" ref="AD11">_xlfn.SWITCH($A$2,"average", AVERAGE(Instances!AD11:Instances!AD11),"median", MEDIAN(Instances!AD11:Instances!AD11),"min", MIN(Instances!AD11:Instances!AD11),"max", MAX(Instances!AD11:Instances!AD11),"diff", MAX(Instances!AD11:Instances!AD11)-MIN(Instances!AD11:Instances!AD11))</f>
        <v>0</v>
      </c>
      <c r="AE11" s="1" cm="1">
        <f t="array" ref="AE11">_xlfn.SWITCH($A$2,"average", AVERAGE(Instances!AE11:Instances!AE11),"median", MEDIAN(Instances!AE11:Instances!AE11),"min", MIN(Instances!AE11:Instances!AE11),"max", MAX(Instances!AE11:Instances!AE11),"diff", MAX(Instances!AE11:Instances!AE11)-MIN(Instances!AE11:Instances!AE11))</f>
        <v>0</v>
      </c>
      <c r="AF11" s="1" cm="1">
        <f t="array" ref="AF11">_xlfn.SWITCH($A$2,"average", AVERAGE(Instances!AF11:Instances!AF11),"median", MEDIAN(Instances!AF11:Instances!AF11),"min", MIN(Instances!AF11:Instances!AF11),"max", MAX(Instances!AF11:Instances!AF11),"diff", MAX(Instances!AF11:Instances!AF11)-MIN(Instances!AF11:Instances!AF11))</f>
        <v>0</v>
      </c>
      <c r="AG11" s="1" cm="1">
        <f t="array" ref="AG11">_xlfn.SWITCH($A$2,"average", AVERAGE(Instances!AG11:Instances!AG11),"median", MEDIAN(Instances!AG11:Instances!AG11),"min", MIN(Instances!AG11:Instances!AG11),"max", MAX(Instances!AG11:Instances!AG11),"diff", MAX(Instances!AG11:Instances!AG11)-MIN(Instances!AG11:Instances!AG11))</f>
        <v>0</v>
      </c>
      <c r="AH11" s="1"/>
      <c r="AI11" s="1" cm="1">
        <f t="array" ref="AI11">_xlfn.SWITCH($A$2,"average", AVERAGE(Instances!AI11:Instances!AI11),"median", MEDIAN(Instances!AI11:Instances!AI11),"min", MIN(Instances!AI11:Instances!AI11),"max", MAX(Instances!AI11:Instances!AI11),"diff", MAX(Instances!AI11:Instances!AI11)-MIN(Instances!AI11:Instances!AI11))</f>
        <v>0</v>
      </c>
      <c r="AJ11" s="1" cm="1">
        <f t="array" ref="AJ11">_xlfn.SWITCH($A$2,"average", AVERAGE(Instances!AJ11:Instances!AJ11),"median", MEDIAN(Instances!AJ11:Instances!AJ11),"min", MIN(Instances!AJ11:Instances!AJ11),"max", MAX(Instances!AJ11:Instances!AJ11),"diff", MAX(Instances!AJ11:Instances!AJ11)-MIN(Instances!AJ11:Instances!AJ11))</f>
        <v>0</v>
      </c>
      <c r="AK11" s="1" cm="1">
        <f t="array" ref="AK11">_xlfn.SWITCH($A$2,"average", AVERAGE(Instances!AK11:Instances!AK11),"median", MEDIAN(Instances!AK11:Instances!AK11),"min", MIN(Instances!AK11:Instances!AK11),"max", MAX(Instances!AK11:Instances!AK11),"diff", MAX(Instances!AK11:Instances!AK11)-MIN(Instances!AK11:Instances!AK11))</f>
        <v>0</v>
      </c>
      <c r="AL11" s="1" cm="1">
        <f t="array" ref="AL11">_xlfn.SWITCH($A$2,"average", AVERAGE(Instances!AL11:Instances!AL11),"median", MEDIAN(Instances!AL11:Instances!AL11),"min", MIN(Instances!AL11:Instances!AL11),"max", MAX(Instances!AL11:Instances!AL11),"diff", MAX(Instances!AL11:Instances!AL11)-MIN(Instances!AL11:Instances!AL11))</f>
        <v>0</v>
      </c>
      <c r="AM11" s="1" cm="1">
        <f t="array" ref="AM11">_xlfn.SWITCH($A$2,"average", AVERAGE(Instances!AM11:Instances!AM11),"median", MEDIAN(Instances!AM11:Instances!AM11),"min", MIN(Instances!AM11:Instances!AM11),"max", MAX(Instances!AM11:Instances!AM11),"diff", MAX(Instances!AM11:Instances!AM11)-MIN(Instances!AM11:Instances!AM11))</f>
        <v>0</v>
      </c>
      <c r="AN11" s="1" cm="1">
        <f t="array" ref="AN11">_xlfn.SWITCH($A$2,"average", AVERAGE(Instances!AN11:Instances!AN11),"median", MEDIAN(Instances!AN11:Instances!AN11),"min", MIN(Instances!AN11:Instances!AN11),"max", MAX(Instances!AN11:Instances!AN11),"diff", MAX(Instances!AN11:Instances!AN11)-MIN(Instances!AN11:Instances!AN11))</f>
        <v>0</v>
      </c>
      <c r="AO11" s="1" cm="1">
        <f t="array" ref="AO11">_xlfn.SWITCH($A$2,"average", AVERAGE(Instances!AO11:Instances!AO11),"median", MEDIAN(Instances!AO11:Instances!AO11),"min", MIN(Instances!AO11:Instances!AO11),"max", MAX(Instances!AO11:Instances!AO11),"diff", MAX(Instances!AO11:Instances!AO11)-MIN(Instances!AO11:Instances!AO11))</f>
        <v>0</v>
      </c>
      <c r="AP11" s="1" cm="1">
        <f t="array" ref="AP11">_xlfn.SWITCH($A$2,"average", AVERAGE(Instances!AP11:Instances!AP11),"median", MEDIAN(Instances!AP11:Instances!AP11),"min", MIN(Instances!AP11:Instances!AP11),"max", MAX(Instances!AP11:Instances!AP11),"diff", MAX(Instances!AP11:Instances!AP11)-MIN(Instances!AP11:Instances!AP11))</f>
        <v>0</v>
      </c>
      <c r="AQ11" s="1" cm="1">
        <f t="array" ref="AQ11">_xlfn.SWITCH($A$2,"average", AVERAGE(Instances!AQ11:Instances!AQ11),"median", MEDIAN(Instances!AQ11:Instances!AQ11),"min", MIN(Instances!AQ11:Instances!AQ11),"max", MAX(Instances!AQ11:Instances!AQ11),"diff", MAX(Instances!AQ11:Instances!AQ11)-MIN(Instances!AQ11:Instances!AQ11))</f>
        <v>0</v>
      </c>
      <c r="AR11" s="1" cm="1">
        <f t="array" ref="AR11">_xlfn.SWITCH($A$2,"average", AVERAGE(Instances!AR11:Instances!AR11),"median", MEDIAN(Instances!AR11:Instances!AR11),"min", MIN(Instances!AR11:Instances!AR11),"max", MAX(Instances!AR11:Instances!AR11),"diff", MAX(Instances!AR11:Instances!AR11)-MIN(Instances!AR11:Instances!AR11))</f>
        <v>0</v>
      </c>
      <c r="AS11" s="1" cm="1">
        <f t="array" ref="AS11">_xlfn.SWITCH($A$2,"average", AVERAGE(Instances!AS11:Instances!AS11),"median", MEDIAN(Instances!AS11:Instances!AS11),"min", MIN(Instances!AS11:Instances!AS11),"max", MAX(Instances!AS11:Instances!AS11),"diff", MAX(Instances!AS11:Instances!AS11)-MIN(Instances!AS11:Instances!AS11))</f>
        <v>0</v>
      </c>
      <c r="AT11" s="1" cm="1">
        <f t="array" ref="AT11">_xlfn.SWITCH($A$2,"average", AVERAGE(Instances!AT11:Instances!AT11),"median", MEDIAN(Instances!AT11:Instances!AT11),"min", MIN(Instances!AT11:Instances!AT11),"max", MAX(Instances!AT11:Instances!AT11),"diff", MAX(Instances!AT11:Instances!AT11)-MIN(Instances!AT11:Instances!AT11))</f>
        <v>0</v>
      </c>
      <c r="AU11" s="1" cm="1">
        <f t="array" ref="AU11">_xlfn.SWITCH($A$2,"average", AVERAGE(Instances!AU11:Instances!AU11),"median", MEDIAN(Instances!AU11:Instances!AU11),"min", MIN(Instances!AU11:Instances!AU11),"max", MAX(Instances!AU11:Instances!AU11),"diff", MAX(Instances!AU11:Instances!AU11)-MIN(Instances!AU11:Instances!AU11))</f>
        <v>0</v>
      </c>
      <c r="AV11" s="1" cm="1">
        <f t="array" ref="AV11">_xlfn.SWITCH($A$2,"average", AVERAGE(Instances!AV11:Instances!AV11),"median", MEDIAN(Instances!AV11:Instances!AV11),"min", MIN(Instances!AV11:Instances!AV11),"max", MAX(Instances!AV11:Instances!AV11),"diff", MAX(Instances!AV11:Instances!AV11)-MIN(Instances!AV11:Instances!AV11))</f>
        <v>0</v>
      </c>
      <c r="AW11" s="1" cm="1">
        <f t="array" ref="AW11">_xlfn.SWITCH($A$2,"average", AVERAGE(Instances!AW11:Instances!AW11),"median", MEDIAN(Instances!AW11:Instances!AW11),"min", MIN(Instances!AW11:Instances!AW11),"max", MAX(Instances!AW11:Instances!AW11),"diff", MAX(Instances!AW11:Instances!AW11)-MIN(Instances!AW11:Instances!AW11))</f>
        <v>0</v>
      </c>
      <c r="AX11" s="1" cm="1">
        <f t="array" ref="AX11">_xlfn.SWITCH($A$2,"average", AVERAGE(Instances!AX11:Instances!AX11),"median", MEDIAN(Instances!AX11:Instances!AX11),"min", MIN(Instances!AX11:Instances!AX11),"max", MAX(Instances!AX11:Instances!AX11),"diff", MAX(Instances!AX11:Instances!AX11)-MIN(Instances!AX11:Instances!AX11))</f>
        <v>0</v>
      </c>
      <c r="AY11" s="1" cm="1">
        <f t="array" ref="AY11">_xlfn.SWITCH($A$2,"average", AVERAGE(Instances!AY11:Instances!AY11),"median", MEDIAN(Instances!AY11:Instances!AY11),"min", MIN(Instances!AY11:Instances!AY11),"max", MAX(Instances!AY11:Instances!AY11),"diff", MAX(Instances!AY11:Instances!AY11)-MIN(Instances!AY11:Instances!AY11))</f>
        <v>0</v>
      </c>
      <c r="AZ11" s="1"/>
      <c r="BA11" s="1" cm="1">
        <f t="array" ref="BA11">_xlfn.SWITCH($A$2,"average", AVERAGE(Instances!BA11:Instances!BA11),"median", MEDIAN(Instances!BA11:Instances!BA11),"min", MIN(Instances!BA11:Instances!BA11),"max", MAX(Instances!BA11:Instances!BA11),"diff", MAX(Instances!BA11:Instances!BA11)-MIN(Instances!BA11:Instances!BA11))</f>
        <v>0</v>
      </c>
      <c r="BB11" s="1" cm="1">
        <f t="array" ref="BB11">_xlfn.SWITCH($A$2,"average", AVERAGE(Instances!BB11:Instances!BB11),"median", MEDIAN(Instances!BB11:Instances!BB11),"min", MIN(Instances!BB11:Instances!BB11),"max", MAX(Instances!BB11:Instances!BB11),"diff", MAX(Instances!BB11:Instances!BB11)-MIN(Instances!BB11:Instances!BB11))</f>
        <v>0</v>
      </c>
      <c r="BC11" s="1" cm="1">
        <f t="array" ref="BC11">_xlfn.SWITCH($A$2,"average", AVERAGE(Instances!BC11:Instances!BC11),"median", MEDIAN(Instances!BC11:Instances!BC11),"min", MIN(Instances!BC11:Instances!BC11),"max", MAX(Instances!BC11:Instances!BC11),"diff", MAX(Instances!BC11:Instances!BC11)-MIN(Instances!BC11:Instances!BC11))</f>
        <v>0</v>
      </c>
      <c r="BD11" s="1" cm="1">
        <f t="array" ref="BD11">_xlfn.SWITCH($A$2,"average", AVERAGE(Instances!BD11:Instances!BD11),"median", MEDIAN(Instances!BD11:Instances!BD11),"min", MIN(Instances!BD11:Instances!BD11),"max", MAX(Instances!BD11:Instances!BD11),"diff", MAX(Instances!BD11:Instances!BD11)-MIN(Instances!BD11:Instances!BD11))</f>
        <v>0</v>
      </c>
      <c r="BE11" s="1" cm="1">
        <f t="array" ref="BE11">_xlfn.SWITCH($A$2,"average", AVERAGE(Instances!BE11:Instances!BE11),"median", MEDIAN(Instances!BE11:Instances!BE11),"min", MIN(Instances!BE11:Instances!BE11),"max", MAX(Instances!BE11:Instances!BE11),"diff", MAX(Instances!BE11:Instances!BE11)-MIN(Instances!BE11:Instances!BE11))</f>
        <v>0</v>
      </c>
      <c r="BF11" s="1" cm="1">
        <f t="array" ref="BF11">_xlfn.SWITCH($A$2,"average", AVERAGE(Instances!BF11:Instances!BF11),"median", MEDIAN(Instances!BF11:Instances!BF11),"min", MIN(Instances!BF11:Instances!BF11),"max", MAX(Instances!BF11:Instances!BF11),"diff", MAX(Instances!BF11:Instances!BF11)-MIN(Instances!BF11:Instances!BF11))</f>
        <v>0</v>
      </c>
      <c r="BG11" s="1" cm="1">
        <f t="array" ref="BG11">_xlfn.SWITCH($A$2,"average", AVERAGE(Instances!BG11:Instances!BG11),"median", MEDIAN(Instances!BG11:Instances!BG11),"min", MIN(Instances!BG11:Instances!BG11),"max", MAX(Instances!BG11:Instances!BG11),"diff", MAX(Instances!BG11:Instances!BG11)-MIN(Instances!BG11:Instances!BG11))</f>
        <v>0</v>
      </c>
      <c r="BH11" s="1" cm="1">
        <f t="array" ref="BH11">_xlfn.SWITCH($A$2,"average", AVERAGE(Instances!BH11:Instances!BH11),"median", MEDIAN(Instances!BH11:Instances!BH11),"min", MIN(Instances!BH11:Instances!BH11),"max", MAX(Instances!BH11:Instances!BH11),"diff", MAX(Instances!BH11:Instances!BH11)-MIN(Instances!BH11:Instances!BH11))</f>
        <v>0</v>
      </c>
      <c r="BI11" s="1" cm="1">
        <f t="array" ref="BI11">_xlfn.SWITCH($A$2,"average", AVERAGE(Instances!BI11:Instances!BI11),"median", MEDIAN(Instances!BI11:Instances!BI11),"min", MIN(Instances!BI11:Instances!BI11),"max", MAX(Instances!BI11:Instances!BI11),"diff", MAX(Instances!BI11:Instances!BI11)-MIN(Instances!BI11:Instances!BI11))</f>
        <v>0</v>
      </c>
      <c r="BJ11" s="1" cm="1">
        <f t="array" ref="BJ11">_xlfn.SWITCH($A$2,"average", AVERAGE(Instances!BJ11:Instances!BJ11),"median", MEDIAN(Instances!BJ11:Instances!BJ11),"min", MIN(Instances!BJ11:Instances!BJ11),"max", MAX(Instances!BJ11:Instances!BJ11),"diff", MAX(Instances!BJ11:Instances!BJ11)-MIN(Instances!BJ11:Instances!BJ11))</f>
        <v>0</v>
      </c>
      <c r="BK11" s="1" cm="1">
        <f t="array" ref="BK11">_xlfn.SWITCH($A$2,"average", AVERAGE(Instances!BK11:Instances!BK11),"median", MEDIAN(Instances!BK11:Instances!BK11),"min", MIN(Instances!BK11:Instances!BK11),"max", MAX(Instances!BK11:Instances!BK11),"diff", MAX(Instances!BK11:Instances!BK11)-MIN(Instances!BK11:Instances!BK11))</f>
        <v>0</v>
      </c>
      <c r="BL11" s="1" cm="1">
        <f t="array" ref="BL11">_xlfn.SWITCH($A$2,"average", AVERAGE(Instances!BL11:Instances!BL11),"median", MEDIAN(Instances!BL11:Instances!BL11),"min", MIN(Instances!BL11:Instances!BL11),"max", MAX(Instances!BL11:Instances!BL11),"diff", MAX(Instances!BL11:Instances!BL11)-MIN(Instances!BL11:Instances!BL11))</f>
        <v>0</v>
      </c>
      <c r="BM11" s="1" cm="1">
        <f t="array" ref="BM11">_xlfn.SWITCH($A$2,"average", AVERAGE(Instances!BM11:Instances!BM11),"median", MEDIAN(Instances!BM11:Instances!BM11),"min", MIN(Instances!BM11:Instances!BM11),"max", MAX(Instances!BM11:Instances!BM11),"diff", MAX(Instances!BM11:Instances!BM11)-MIN(Instances!BM11:Instances!BM11))</f>
        <v>0</v>
      </c>
      <c r="BN11" s="1" cm="1">
        <f t="array" ref="BN11">_xlfn.SWITCH($A$2,"average", AVERAGE(Instances!BN11:Instances!BN11),"median", MEDIAN(Instances!BN11:Instances!BN11),"min", MIN(Instances!BN11:Instances!BN11),"max", MAX(Instances!BN11:Instances!BN11),"diff", MAX(Instances!BN11:Instances!BN11)-MIN(Instances!BN11:Instances!BN11))</f>
        <v>0</v>
      </c>
      <c r="BO11" s="1" cm="1">
        <f t="array" ref="BO11">_xlfn.SWITCH($A$2,"average", AVERAGE(Instances!BO11:Instances!BO11),"median", MEDIAN(Instances!BO11:Instances!BO11),"min", MIN(Instances!BO11:Instances!BO11),"max", MAX(Instances!BO11:Instances!BO11),"diff", MAX(Instances!BO11:Instances!BO11)-MIN(Instances!BO11:Instances!BO11))</f>
        <v>0</v>
      </c>
      <c r="BP11" s="1" cm="1">
        <f t="array" ref="BP11">_xlfn.SWITCH($A$2,"average", AVERAGE(Instances!BP11:Instances!BP11),"median", MEDIAN(Instances!BP11:Instances!BP11),"min", MIN(Instances!BP11:Instances!BP11),"max", MAX(Instances!BP11:Instances!BP11),"diff", MAX(Instances!BP11:Instances!BP11)-MIN(Instances!BP11:Instances!BP11))</f>
        <v>0</v>
      </c>
      <c r="BQ11" s="1" cm="1">
        <f t="array" ref="BQ11">_xlfn.SWITCH($A$2,"average", AVERAGE(Instances!BQ11:Instances!BQ11),"median", MEDIAN(Instances!BQ11:Instances!BQ11),"min", MIN(Instances!BQ11:Instances!BQ11),"max", MAX(Instances!BQ11:Instances!BQ11),"diff", MAX(Instances!BQ11:Instances!BQ11)-MIN(Instances!BQ11:Instances!BQ11))</f>
        <v>0</v>
      </c>
      <c r="BR11" s="1"/>
      <c r="BS11" s="1" cm="1">
        <f t="array" ref="BS11">_xlfn.SWITCH($A$2,"average", AVERAGE(Instances!BS11:Instances!BS11),"median", MEDIAN(Instances!BS11:Instances!BS11),"min", MIN(Instances!BS11:Instances!BS11),"max", MAX(Instances!BS11:Instances!BS11),"diff", MAX(Instances!BS11:Instances!BS11)-MIN(Instances!BS11:Instances!BS11))</f>
        <v>0</v>
      </c>
      <c r="BT11" s="1" cm="1">
        <f t="array" ref="BT11">_xlfn.SWITCH($A$2,"average", AVERAGE(Instances!BT11:Instances!BT11),"median", MEDIAN(Instances!BT11:Instances!BT11),"min", MIN(Instances!BT11:Instances!BT11),"max", MAX(Instances!BT11:Instances!BT11),"diff", MAX(Instances!BT11:Instances!BT11)-MIN(Instances!BT11:Instances!BT11))</f>
        <v>0</v>
      </c>
      <c r="BU11" s="1" cm="1">
        <f t="array" ref="BU11">_xlfn.SWITCH($A$2,"average", AVERAGE(Instances!BU11:Instances!BU11),"median", MEDIAN(Instances!BU11:Instances!BU11),"min", MIN(Instances!BU11:Instances!BU11),"max", MAX(Instances!BU11:Instances!BU11),"diff", MAX(Instances!BU11:Instances!BU11)-MIN(Instances!BU11:Instances!BU11))</f>
        <v>0</v>
      </c>
      <c r="BV11" s="1" cm="1">
        <f t="array" ref="BV11">_xlfn.SWITCH($A$2,"average", AVERAGE(Instances!BV11:Instances!BV11),"median", MEDIAN(Instances!BV11:Instances!BV11),"min", MIN(Instances!BV11:Instances!BV11),"max", MAX(Instances!BV11:Instances!BV11),"diff", MAX(Instances!BV11:Instances!BV11)-MIN(Instances!BV11:Instances!BV11))</f>
        <v>0</v>
      </c>
      <c r="BW11" s="1" cm="1">
        <f t="array" ref="BW11">_xlfn.SWITCH($A$2,"average", AVERAGE(Instances!BW11:Instances!BW11),"median", MEDIAN(Instances!BW11:Instances!BW11),"min", MIN(Instances!BW11:Instances!BW11),"max", MAX(Instances!BW11:Instances!BW11),"diff", MAX(Instances!BW11:Instances!BW11)-MIN(Instances!BW11:Instances!BW11))</f>
        <v>0</v>
      </c>
      <c r="BX11" s="1" cm="1">
        <f t="array" ref="BX11">_xlfn.SWITCH($A$2,"average", AVERAGE(Instances!BX11:Instances!BX11),"median", MEDIAN(Instances!BX11:Instances!BX11),"min", MIN(Instances!BX11:Instances!BX11),"max", MAX(Instances!BX11:Instances!BX11),"diff", MAX(Instances!BX11:Instances!BX11)-MIN(Instances!BX11:Instances!BX11))</f>
        <v>0</v>
      </c>
      <c r="BY11" s="1" cm="1">
        <f t="array" ref="BY11">_xlfn.SWITCH($A$2,"average", AVERAGE(Instances!BY11:Instances!BY11),"median", MEDIAN(Instances!BY11:Instances!BY11),"min", MIN(Instances!BY11:Instances!BY11),"max", MAX(Instances!BY11:Instances!BY11),"diff", MAX(Instances!BY11:Instances!BY11)-MIN(Instances!BY11:Instances!BY11))</f>
        <v>0</v>
      </c>
      <c r="BZ11" s="1" cm="1">
        <f t="array" ref="BZ11">_xlfn.SWITCH($A$2,"average", AVERAGE(Instances!BZ11:Instances!BZ11),"median", MEDIAN(Instances!BZ11:Instances!BZ11),"min", MIN(Instances!BZ11:Instances!BZ11),"max", MAX(Instances!BZ11:Instances!BZ11),"diff", MAX(Instances!BZ11:Instances!BZ11)-MIN(Instances!BZ11:Instances!BZ11))</f>
        <v>0</v>
      </c>
      <c r="CA11" s="1" cm="1">
        <f t="array" ref="CA11">_xlfn.SWITCH($A$2,"average", AVERAGE(Instances!CA11:Instances!CA11),"median", MEDIAN(Instances!CA11:Instances!CA11),"min", MIN(Instances!CA11:Instances!CA11),"max", MAX(Instances!CA11:Instances!CA11),"diff", MAX(Instances!CA11:Instances!CA11)-MIN(Instances!CA11:Instances!CA11))</f>
        <v>0</v>
      </c>
      <c r="CB11" s="1" cm="1">
        <f t="array" ref="CB11">_xlfn.SWITCH($A$2,"average", AVERAGE(Instances!CB11:Instances!CB11),"median", MEDIAN(Instances!CB11:Instances!CB11),"min", MIN(Instances!CB11:Instances!CB11),"max", MAX(Instances!CB11:Instances!CB11),"diff", MAX(Instances!CB11:Instances!CB11)-MIN(Instances!CB11:Instances!CB11))</f>
        <v>0</v>
      </c>
      <c r="CC11" s="1" cm="1">
        <f t="array" ref="CC11">_xlfn.SWITCH($A$2,"average", AVERAGE(Instances!CC11:Instances!CC11),"median", MEDIAN(Instances!CC11:Instances!CC11),"min", MIN(Instances!CC11:Instances!CC11),"max", MAX(Instances!CC11:Instances!CC11),"diff", MAX(Instances!CC11:Instances!CC11)-MIN(Instances!CC11:Instances!CC11))</f>
        <v>0</v>
      </c>
      <c r="CD11" s="1" cm="1">
        <f t="array" ref="CD11">_xlfn.SWITCH($A$2,"average", AVERAGE(Instances!CD11:Instances!CD11),"median", MEDIAN(Instances!CD11:Instances!CD11),"min", MIN(Instances!CD11:Instances!CD11),"max", MAX(Instances!CD11:Instances!CD11),"diff", MAX(Instances!CD11:Instances!CD11)-MIN(Instances!CD11:Instances!CD11))</f>
        <v>0</v>
      </c>
      <c r="CE11" s="1" cm="1">
        <f t="array" ref="CE11">_xlfn.SWITCH($A$2,"average", AVERAGE(Instances!CE11:Instances!CE11),"median", MEDIAN(Instances!CE11:Instances!CE11),"min", MIN(Instances!CE11:Instances!CE11),"max", MAX(Instances!CE11:Instances!CE11),"diff", MAX(Instances!CE11:Instances!CE11)-MIN(Instances!CE11:Instances!CE11))</f>
        <v>0</v>
      </c>
      <c r="CF11" s="1" cm="1">
        <f t="array" ref="CF11">_xlfn.SWITCH($A$2,"average", AVERAGE(Instances!CF11:Instances!CF11),"median", MEDIAN(Instances!CF11:Instances!CF11),"min", MIN(Instances!CF11:Instances!CF11),"max", MAX(Instances!CF11:Instances!CF11),"diff", MAX(Instances!CF11:Instances!CF11)-MIN(Instances!CF11:Instances!CF11))</f>
        <v>0</v>
      </c>
      <c r="CG11" s="1" cm="1">
        <f t="array" ref="CG11">_xlfn.SWITCH($A$2,"average", AVERAGE(Instances!CG11:Instances!CG11),"median", MEDIAN(Instances!CG11:Instances!CG11),"min", MIN(Instances!CG11:Instances!CG11),"max", MAX(Instances!CG11:Instances!CG11),"diff", MAX(Instances!CG11:Instances!CG11)-MIN(Instances!CG11:Instances!CG11))</f>
        <v>0</v>
      </c>
      <c r="CH11" s="1" cm="1">
        <f t="array" ref="CH11">_xlfn.SWITCH($A$2,"average", AVERAGE(Instances!CH11:Instances!CH11),"median", MEDIAN(Instances!CH11:Instances!CH11),"min", MIN(Instances!CH11:Instances!CH11),"max", MAX(Instances!CH11:Instances!CH11),"diff", MAX(Instances!CH11:Instances!CH11)-MIN(Instances!CH11:Instances!CH11))</f>
        <v>0</v>
      </c>
      <c r="CI11" s="1" cm="1">
        <f t="array" ref="CI11">_xlfn.SWITCH($A$2,"average", AVERAGE(Instances!CI11:Instances!CI11),"median", MEDIAN(Instances!CI11:Instances!CI11),"min", MIN(Instances!CI11:Instances!CI11),"max", MAX(Instances!CI11:Instances!CI11),"diff", MAX(Instances!CI11:Instances!CI11)-MIN(Instances!CI11:Instances!CI11))</f>
        <v>0</v>
      </c>
      <c r="CJ11" s="1"/>
      <c r="CK11" s="1" cm="1">
        <f t="array" ref="CK11">_xlfn.SWITCH($A$2,"average", AVERAGE(Instances!CK11:Instances!CK11),"median", MEDIAN(Instances!CK11:Instances!CK11),"min", MIN(Instances!CK11:Instances!CK11),"max", MAX(Instances!CK11:Instances!CK11),"diff", MAX(Instances!CK11:Instances!CK11)-MIN(Instances!CK11:Instances!CK11))</f>
        <v>0</v>
      </c>
      <c r="CL11" s="1" cm="1">
        <f t="array" ref="CL11">_xlfn.SWITCH($A$2,"average", AVERAGE(Instances!CL11:Instances!CL11),"median", MEDIAN(Instances!CL11:Instances!CL11),"min", MIN(Instances!CL11:Instances!CL11),"max", MAX(Instances!CL11:Instances!CL11),"diff", MAX(Instances!CL11:Instances!CL11)-MIN(Instances!CL11:Instances!CL11))</f>
        <v>0</v>
      </c>
      <c r="CM11" s="1" cm="1">
        <f t="array" ref="CM11">_xlfn.SWITCH($A$2,"average", AVERAGE(Instances!CM11:Instances!CM11),"median", MEDIAN(Instances!CM11:Instances!CM11),"min", MIN(Instances!CM11:Instances!CM11),"max", MAX(Instances!CM11:Instances!CM11),"diff", MAX(Instances!CM11:Instances!CM11)-MIN(Instances!CM11:Instances!CM11))</f>
        <v>0</v>
      </c>
      <c r="CN11" s="1" cm="1">
        <f t="array" ref="CN11">_xlfn.SWITCH($A$2,"average", AVERAGE(Instances!CN11:Instances!CN11),"median", MEDIAN(Instances!CN11:Instances!CN11),"min", MIN(Instances!CN11:Instances!CN11),"max", MAX(Instances!CN11:Instances!CN11),"diff", MAX(Instances!CN11:Instances!CN11)-MIN(Instances!CN11:Instances!CN11))</f>
        <v>0</v>
      </c>
      <c r="CO11" s="1" cm="1">
        <f t="array" ref="CO11">_xlfn.SWITCH($A$2,"average", AVERAGE(Instances!CO11:Instances!CO11),"median", MEDIAN(Instances!CO11:Instances!CO11),"min", MIN(Instances!CO11:Instances!CO11),"max", MAX(Instances!CO11:Instances!CO11),"diff", MAX(Instances!CO11:Instances!CO11)-MIN(Instances!CO11:Instances!CO11))</f>
        <v>0</v>
      </c>
      <c r="CP11" s="1" cm="1">
        <f t="array" ref="CP11">_xlfn.SWITCH($A$2,"average", AVERAGE(Instances!CP11:Instances!CP11),"median", MEDIAN(Instances!CP11:Instances!CP11),"min", MIN(Instances!CP11:Instances!CP11),"max", MAX(Instances!CP11:Instances!CP11),"diff", MAX(Instances!CP11:Instances!CP11)-MIN(Instances!CP11:Instances!CP11))</f>
        <v>0</v>
      </c>
      <c r="CQ11" s="1" cm="1">
        <f t="array" ref="CQ11">_xlfn.SWITCH($A$2,"average", AVERAGE(Instances!CQ11:Instances!CQ11),"median", MEDIAN(Instances!CQ11:Instances!CQ11),"min", MIN(Instances!CQ11:Instances!CQ11),"max", MAX(Instances!CQ11:Instances!CQ11),"diff", MAX(Instances!CQ11:Instances!CQ11)-MIN(Instances!CQ11:Instances!CQ11))</f>
        <v>0</v>
      </c>
      <c r="CR11" s="1" cm="1">
        <f t="array" ref="CR11">_xlfn.SWITCH($A$2,"average", AVERAGE(Instances!CR11:Instances!CR11),"median", MEDIAN(Instances!CR11:Instances!CR11),"min", MIN(Instances!CR11:Instances!CR11),"max", MAX(Instances!CR11:Instances!CR11),"diff", MAX(Instances!CR11:Instances!CR11)-MIN(Instances!CR11:Instances!CR11))</f>
        <v>0</v>
      </c>
      <c r="CS11" s="1" cm="1">
        <f t="array" ref="CS11">_xlfn.SWITCH($A$2,"average", AVERAGE(Instances!CS11:Instances!CS11),"median", MEDIAN(Instances!CS11:Instances!CS11),"min", MIN(Instances!CS11:Instances!CS11),"max", MAX(Instances!CS11:Instances!CS11),"diff", MAX(Instances!CS11:Instances!CS11)-MIN(Instances!CS11:Instances!CS11))</f>
        <v>0</v>
      </c>
      <c r="CT11" s="1" cm="1">
        <f t="array" ref="CT11">_xlfn.SWITCH($A$2,"average", AVERAGE(Instances!CT11:Instances!CT11),"median", MEDIAN(Instances!CT11:Instances!CT11),"min", MIN(Instances!CT11:Instances!CT11),"max", MAX(Instances!CT11:Instances!CT11),"diff", MAX(Instances!CT11:Instances!CT11)-MIN(Instances!CT11:Instances!CT11))</f>
        <v>0</v>
      </c>
      <c r="CU11" s="1" cm="1">
        <f t="array" ref="CU11">_xlfn.SWITCH($A$2,"average", AVERAGE(Instances!CU11:Instances!CU11),"median", MEDIAN(Instances!CU11:Instances!CU11),"min", MIN(Instances!CU11:Instances!CU11),"max", MAX(Instances!CU11:Instances!CU11),"diff", MAX(Instances!CU11:Instances!CU11)-MIN(Instances!CU11:Instances!CU11))</f>
        <v>0</v>
      </c>
      <c r="CV11" s="1" cm="1">
        <f t="array" ref="CV11">_xlfn.SWITCH($A$2,"average", AVERAGE(Instances!CV11:Instances!CV11),"median", MEDIAN(Instances!CV11:Instances!CV11),"min", MIN(Instances!CV11:Instances!CV11),"max", MAX(Instances!CV11:Instances!CV11),"diff", MAX(Instances!CV11:Instances!CV11)-MIN(Instances!CV11:Instances!CV11))</f>
        <v>0</v>
      </c>
      <c r="CW11" s="1" cm="1">
        <f t="array" ref="CW11">_xlfn.SWITCH($A$2,"average", AVERAGE(Instances!CW11:Instances!CW11),"median", MEDIAN(Instances!CW11:Instances!CW11),"min", MIN(Instances!CW11:Instances!CW11),"max", MAX(Instances!CW11:Instances!CW11),"diff", MAX(Instances!CW11:Instances!CW11)-MIN(Instances!CW11:Instances!CW11))</f>
        <v>0</v>
      </c>
      <c r="CX11" s="1" cm="1">
        <f t="array" ref="CX11">_xlfn.SWITCH($A$2,"average", AVERAGE(Instances!CX11:Instances!CX11),"median", MEDIAN(Instances!CX11:Instances!CX11),"min", MIN(Instances!CX11:Instances!CX11),"max", MAX(Instances!CX11:Instances!CX11),"diff", MAX(Instances!CX11:Instances!CX11)-MIN(Instances!CX11:Instances!CX11))</f>
        <v>0</v>
      </c>
      <c r="CY11" s="1" cm="1">
        <f t="array" ref="CY11">_xlfn.SWITCH($A$2,"average", AVERAGE(Instances!CY11:Instances!CY11),"median", MEDIAN(Instances!CY11:Instances!CY11),"min", MIN(Instances!CY11:Instances!CY11),"max", MAX(Instances!CY11:Instances!CY11),"diff", MAX(Instances!CY11:Instances!CY11)-MIN(Instances!CY11:Instances!CY11))</f>
        <v>0</v>
      </c>
      <c r="CZ11" s="1" cm="1">
        <f t="array" ref="CZ11">_xlfn.SWITCH($A$2,"average", AVERAGE(Instances!CZ11:Instances!CZ11),"median", MEDIAN(Instances!CZ11:Instances!CZ11),"min", MIN(Instances!CZ11:Instances!CZ11),"max", MAX(Instances!CZ11:Instances!CZ11),"diff", MAX(Instances!CZ11:Instances!CZ11)-MIN(Instances!CZ11:Instances!CZ11))</f>
        <v>0</v>
      </c>
      <c r="DA11" s="1" cm="1">
        <f t="array" ref="DA11">_xlfn.SWITCH($A$2,"average", AVERAGE(Instances!DA11:Instances!DA11),"median", MEDIAN(Instances!DA11:Instances!DA11),"min", MIN(Instances!DA11:Instances!DA11),"max", MAX(Instances!DA11:Instances!DA11),"diff", MAX(Instances!DA11:Instances!DA11)-MIN(Instances!DA11:Instances!DA11))</f>
        <v>0</v>
      </c>
      <c r="DB11" s="1"/>
      <c r="DC11" s="1" cm="1">
        <f t="array" ref="DC11">_xlfn.SWITCH($A$2,"average", AVERAGE(Instances!DC11:Instances!DC11),"median", MEDIAN(Instances!DC11:Instances!DC11),"min", MIN(Instances!DC11:Instances!DC11),"max", MAX(Instances!DC11:Instances!DC11),"diff", MAX(Instances!DC11:Instances!DC11)-MIN(Instances!DC11:Instances!DC11))</f>
        <v>0</v>
      </c>
      <c r="DD11" s="1" cm="1">
        <f t="array" ref="DD11">_xlfn.SWITCH($A$2,"average", AVERAGE(Instances!DD11:Instances!DD11),"median", MEDIAN(Instances!DD11:Instances!DD11),"min", MIN(Instances!DD11:Instances!DD11),"max", MAX(Instances!DD11:Instances!DD11),"diff", MAX(Instances!DD11:Instances!DD11)-MIN(Instances!DD11:Instances!DD11))</f>
        <v>0</v>
      </c>
      <c r="DE11" s="1" cm="1">
        <f t="array" ref="DE11">_xlfn.SWITCH($A$2,"average", AVERAGE(Instances!DE11:Instances!DE11),"median", MEDIAN(Instances!DE11:Instances!DE11),"min", MIN(Instances!DE11:Instances!DE11),"max", MAX(Instances!DE11:Instances!DE11),"diff", MAX(Instances!DE11:Instances!DE11)-MIN(Instances!DE11:Instances!DE11))</f>
        <v>0</v>
      </c>
      <c r="DF11" s="1" cm="1">
        <f t="array" ref="DF11">_xlfn.SWITCH($A$2,"average", AVERAGE(Instances!DF11:Instances!DF11),"median", MEDIAN(Instances!DF11:Instances!DF11),"min", MIN(Instances!DF11:Instances!DF11),"max", MAX(Instances!DF11:Instances!DF11),"diff", MAX(Instances!DF11:Instances!DF11)-MIN(Instances!DF11:Instances!DF11))</f>
        <v>0</v>
      </c>
      <c r="DG11" s="1" cm="1">
        <f t="array" ref="DG11">_xlfn.SWITCH($A$2,"average", AVERAGE(Instances!DG11:Instances!DG11),"median", MEDIAN(Instances!DG11:Instances!DG11),"min", MIN(Instances!DG11:Instances!DG11),"max", MAX(Instances!DG11:Instances!DG11),"diff", MAX(Instances!DG11:Instances!DG11)-MIN(Instances!DG11:Instances!DG11))</f>
        <v>0</v>
      </c>
      <c r="DH11" s="1" cm="1">
        <f t="array" ref="DH11">_xlfn.SWITCH($A$2,"average", AVERAGE(Instances!DH11:Instances!DH11),"median", MEDIAN(Instances!DH11:Instances!DH11),"min", MIN(Instances!DH11:Instances!DH11),"max", MAX(Instances!DH11:Instances!DH11),"diff", MAX(Instances!DH11:Instances!DH11)-MIN(Instances!DH11:Instances!DH11))</f>
        <v>0</v>
      </c>
      <c r="DI11" s="1" cm="1">
        <f t="array" ref="DI11">_xlfn.SWITCH($A$2,"average", AVERAGE(Instances!DI11:Instances!DI11),"median", MEDIAN(Instances!DI11:Instances!DI11),"min", MIN(Instances!DI11:Instances!DI11),"max", MAX(Instances!DI11:Instances!DI11),"diff", MAX(Instances!DI11:Instances!DI11)-MIN(Instances!DI11:Instances!DI11))</f>
        <v>0</v>
      </c>
      <c r="DJ11" s="1" cm="1">
        <f t="array" ref="DJ11">_xlfn.SWITCH($A$2,"average", AVERAGE(Instances!DJ11:Instances!DJ11),"median", MEDIAN(Instances!DJ11:Instances!DJ11),"min", MIN(Instances!DJ11:Instances!DJ11),"max", MAX(Instances!DJ11:Instances!DJ11),"diff", MAX(Instances!DJ11:Instances!DJ11)-MIN(Instances!DJ11:Instances!DJ11))</f>
        <v>0</v>
      </c>
      <c r="DK11" s="1" cm="1">
        <f t="array" ref="DK11">_xlfn.SWITCH($A$2,"average", AVERAGE(Instances!DK11:Instances!DK11),"median", MEDIAN(Instances!DK11:Instances!DK11),"min", MIN(Instances!DK11:Instances!DK11),"max", MAX(Instances!DK11:Instances!DK11),"diff", MAX(Instances!DK11:Instances!DK11)-MIN(Instances!DK11:Instances!DK11))</f>
        <v>0</v>
      </c>
      <c r="DL11" s="1" cm="1">
        <f t="array" ref="DL11">_xlfn.SWITCH($A$2,"average", AVERAGE(Instances!DL11:Instances!DL11),"median", MEDIAN(Instances!DL11:Instances!DL11),"min", MIN(Instances!DL11:Instances!DL11),"max", MAX(Instances!DL11:Instances!DL11),"diff", MAX(Instances!DL11:Instances!DL11)-MIN(Instances!DL11:Instances!DL11))</f>
        <v>0</v>
      </c>
      <c r="DM11" s="1" cm="1">
        <f t="array" ref="DM11">_xlfn.SWITCH($A$2,"average", AVERAGE(Instances!DM11:Instances!DM11),"median", MEDIAN(Instances!DM11:Instances!DM11),"min", MIN(Instances!DM11:Instances!DM11),"max", MAX(Instances!DM11:Instances!DM11),"diff", MAX(Instances!DM11:Instances!DM11)-MIN(Instances!DM11:Instances!DM11))</f>
        <v>0</v>
      </c>
      <c r="DN11" s="1" cm="1">
        <f t="array" ref="DN11">_xlfn.SWITCH($A$2,"average", AVERAGE(Instances!DN11:Instances!DN11),"median", MEDIAN(Instances!DN11:Instances!DN11),"min", MIN(Instances!DN11:Instances!DN11),"max", MAX(Instances!DN11:Instances!DN11),"diff", MAX(Instances!DN11:Instances!DN11)-MIN(Instances!DN11:Instances!DN11))</f>
        <v>0</v>
      </c>
      <c r="DO11" s="1" cm="1">
        <f t="array" ref="DO11">_xlfn.SWITCH($A$2,"average", AVERAGE(Instances!DO11:Instances!DO11),"median", MEDIAN(Instances!DO11:Instances!DO11),"min", MIN(Instances!DO11:Instances!DO11),"max", MAX(Instances!DO11:Instances!DO11),"diff", MAX(Instances!DO11:Instances!DO11)-MIN(Instances!DO11:Instances!DO11))</f>
        <v>0</v>
      </c>
      <c r="DP11" s="1" cm="1">
        <f t="array" ref="DP11">_xlfn.SWITCH($A$2,"average", AVERAGE(Instances!DP11:Instances!DP11),"median", MEDIAN(Instances!DP11:Instances!DP11),"min", MIN(Instances!DP11:Instances!DP11),"max", MAX(Instances!DP11:Instances!DP11),"diff", MAX(Instances!DP11:Instances!DP11)-MIN(Instances!DP11:Instances!DP11))</f>
        <v>0</v>
      </c>
      <c r="DQ11" s="1" cm="1">
        <f t="array" ref="DQ11">_xlfn.SWITCH($A$2,"average", AVERAGE(Instances!DQ11:Instances!DQ11),"median", MEDIAN(Instances!DQ11:Instances!DQ11),"min", MIN(Instances!DQ11:Instances!DQ11),"max", MAX(Instances!DQ11:Instances!DQ11),"diff", MAX(Instances!DQ11:Instances!DQ11)-MIN(Instances!DQ11:Instances!DQ11))</f>
        <v>0</v>
      </c>
      <c r="DR11" s="1" cm="1">
        <f t="array" ref="DR11">_xlfn.SWITCH($A$2,"average", AVERAGE(Instances!DR11:Instances!DR11),"median", MEDIAN(Instances!DR11:Instances!DR11),"min", MIN(Instances!DR11:Instances!DR11),"max", MAX(Instances!DR11:Instances!DR11),"diff", MAX(Instances!DR11:Instances!DR11)-MIN(Instances!DR11:Instances!DR11))</f>
        <v>0</v>
      </c>
      <c r="DS11" s="1" cm="1">
        <f t="array" ref="DS11">_xlfn.SWITCH($A$2,"average", AVERAGE(Instances!DS11:Instances!DS11),"median", MEDIAN(Instances!DS11:Instances!DS11),"min", MIN(Instances!DS11:Instances!DS11),"max", MAX(Instances!DS11:Instances!DS11),"diff", MAX(Instances!DS11:Instances!DS11)-MIN(Instances!DS11:Instances!DS11))</f>
        <v>0</v>
      </c>
      <c r="DT11" s="1"/>
      <c r="DU11" s="1" cm="1">
        <f t="array" ref="DU11">_xlfn.SWITCH($A$2,"average", AVERAGE(Instances!DU11:Instances!DU11),"median", MEDIAN(Instances!DU11:Instances!DU11),"min", MIN(Instances!DU11:Instances!DU11),"max", MAX(Instances!DU11:Instances!DU11),"diff", MAX(Instances!DU11:Instances!DU11)-MIN(Instances!DU11:Instances!DU11))</f>
        <v>0</v>
      </c>
      <c r="DV11" s="1" cm="1">
        <f t="array" ref="DV11">_xlfn.SWITCH($A$2,"average", AVERAGE(Instances!DV11:Instances!DV11),"median", MEDIAN(Instances!DV11:Instances!DV11),"min", MIN(Instances!DV11:Instances!DV11),"max", MAX(Instances!DV11:Instances!DV11),"diff", MAX(Instances!DV11:Instances!DV11)-MIN(Instances!DV11:Instances!DV11))</f>
        <v>0</v>
      </c>
      <c r="DW11" s="1" cm="1">
        <f t="array" ref="DW11">_xlfn.SWITCH($A$2,"average", AVERAGE(Instances!DW11:Instances!DW11),"median", MEDIAN(Instances!DW11:Instances!DW11),"min", MIN(Instances!DW11:Instances!DW11),"max", MAX(Instances!DW11:Instances!DW11),"diff", MAX(Instances!DW11:Instances!DW11)-MIN(Instances!DW11:Instances!DW11))</f>
        <v>0</v>
      </c>
      <c r="DX11" s="1" cm="1">
        <f t="array" ref="DX11">_xlfn.SWITCH($A$2,"average", AVERAGE(Instances!DX11:Instances!DX11),"median", MEDIAN(Instances!DX11:Instances!DX11),"min", MIN(Instances!DX11:Instances!DX11),"max", MAX(Instances!DX11:Instances!DX11),"diff", MAX(Instances!DX11:Instances!DX11)-MIN(Instances!DX11:Instances!DX11))</f>
        <v>0</v>
      </c>
      <c r="DY11" s="1" cm="1">
        <f t="array" ref="DY11">_xlfn.SWITCH($A$2,"average", AVERAGE(Instances!DY11:Instances!DY11),"median", MEDIAN(Instances!DY11:Instances!DY11),"min", MIN(Instances!DY11:Instances!DY11),"max", MAX(Instances!DY11:Instances!DY11),"diff", MAX(Instances!DY11:Instances!DY11)-MIN(Instances!DY11:Instances!DY11))</f>
        <v>0</v>
      </c>
      <c r="DZ11" s="1" cm="1">
        <f t="array" ref="DZ11">_xlfn.SWITCH($A$2,"average", AVERAGE(Instances!DZ11:Instances!DZ11),"median", MEDIAN(Instances!DZ11:Instances!DZ11),"min", MIN(Instances!DZ11:Instances!DZ11),"max", MAX(Instances!DZ11:Instances!DZ11),"diff", MAX(Instances!DZ11:Instances!DZ11)-MIN(Instances!DZ11:Instances!DZ11))</f>
        <v>0</v>
      </c>
      <c r="EA11" s="1" cm="1">
        <f t="array" ref="EA11">_xlfn.SWITCH($A$2,"average", AVERAGE(Instances!EA11:Instances!EA11),"median", MEDIAN(Instances!EA11:Instances!EA11),"min", MIN(Instances!EA11:Instances!EA11),"max", MAX(Instances!EA11:Instances!EA11),"diff", MAX(Instances!EA11:Instances!EA11)-MIN(Instances!EA11:Instances!EA11))</f>
        <v>0</v>
      </c>
      <c r="EB11" s="1" cm="1">
        <f t="array" ref="EB11">_xlfn.SWITCH($A$2,"average", AVERAGE(Instances!EB11:Instances!EB11),"median", MEDIAN(Instances!EB11:Instances!EB11),"min", MIN(Instances!EB11:Instances!EB11),"max", MAX(Instances!EB11:Instances!EB11),"diff", MAX(Instances!EB11:Instances!EB11)-MIN(Instances!EB11:Instances!EB11))</f>
        <v>0</v>
      </c>
      <c r="EC11" s="1" cm="1">
        <f t="array" ref="EC11">_xlfn.SWITCH($A$2,"average", AVERAGE(Instances!EC11:Instances!EC11),"median", MEDIAN(Instances!EC11:Instances!EC11),"min", MIN(Instances!EC11:Instances!EC11),"max", MAX(Instances!EC11:Instances!EC11),"diff", MAX(Instances!EC11:Instances!EC11)-MIN(Instances!EC11:Instances!EC11))</f>
        <v>0</v>
      </c>
      <c r="ED11" s="1" cm="1">
        <f t="array" ref="ED11">_xlfn.SWITCH($A$2,"average", AVERAGE(Instances!ED11:Instances!ED11),"median", MEDIAN(Instances!ED11:Instances!ED11),"min", MIN(Instances!ED11:Instances!ED11),"max", MAX(Instances!ED11:Instances!ED11),"diff", MAX(Instances!ED11:Instances!ED11)-MIN(Instances!ED11:Instances!ED11))</f>
        <v>0</v>
      </c>
      <c r="EE11" s="1" cm="1">
        <f t="array" ref="EE11">_xlfn.SWITCH($A$2,"average", AVERAGE(Instances!EE11:Instances!EE11),"median", MEDIAN(Instances!EE11:Instances!EE11),"min", MIN(Instances!EE11:Instances!EE11),"max", MAX(Instances!EE11:Instances!EE11),"diff", MAX(Instances!EE11:Instances!EE11)-MIN(Instances!EE11:Instances!EE11))</f>
        <v>0</v>
      </c>
      <c r="EF11" s="1" cm="1">
        <f t="array" ref="EF11">_xlfn.SWITCH($A$2,"average", AVERAGE(Instances!EF11:Instances!EF11),"median", MEDIAN(Instances!EF11:Instances!EF11),"min", MIN(Instances!EF11:Instances!EF11),"max", MAX(Instances!EF11:Instances!EF11),"diff", MAX(Instances!EF11:Instances!EF11)-MIN(Instances!EF11:Instances!EF11))</f>
        <v>0</v>
      </c>
      <c r="EG11" s="1" cm="1">
        <f t="array" ref="EG11">_xlfn.SWITCH($A$2,"average", AVERAGE(Instances!EG11:Instances!EG11),"median", MEDIAN(Instances!EG11:Instances!EG11),"min", MIN(Instances!EG11:Instances!EG11),"max", MAX(Instances!EG11:Instances!EG11),"diff", MAX(Instances!EG11:Instances!EG11)-MIN(Instances!EG11:Instances!EG11))</f>
        <v>0</v>
      </c>
      <c r="EH11" s="1" cm="1">
        <f t="array" ref="EH11">_xlfn.SWITCH($A$2,"average", AVERAGE(Instances!EH11:Instances!EH11),"median", MEDIAN(Instances!EH11:Instances!EH11),"min", MIN(Instances!EH11:Instances!EH11),"max", MAX(Instances!EH11:Instances!EH11),"diff", MAX(Instances!EH11:Instances!EH11)-MIN(Instances!EH11:Instances!EH11))</f>
        <v>0</v>
      </c>
      <c r="EI11" s="1" cm="1">
        <f t="array" ref="EI11">_xlfn.SWITCH($A$2,"average", AVERAGE(Instances!EI11:Instances!EI11),"median", MEDIAN(Instances!EI11:Instances!EI11),"min", MIN(Instances!EI11:Instances!EI11),"max", MAX(Instances!EI11:Instances!EI11),"diff", MAX(Instances!EI11:Instances!EI11)-MIN(Instances!EI11:Instances!EI11))</f>
        <v>0</v>
      </c>
      <c r="EJ11" s="1" cm="1">
        <f t="array" ref="EJ11">_xlfn.SWITCH($A$2,"average", AVERAGE(Instances!EJ11:Instances!EJ11),"median", MEDIAN(Instances!EJ11:Instances!EJ11),"min", MIN(Instances!EJ11:Instances!EJ11),"max", MAX(Instances!EJ11:Instances!EJ11),"diff", MAX(Instances!EJ11:Instances!EJ11)-MIN(Instances!EJ11:Instances!EJ11))</f>
        <v>0</v>
      </c>
      <c r="EK11" s="1" cm="1">
        <f t="array" ref="EK11">_xlfn.SWITCH($A$2,"average", AVERAGE(Instances!EK11:Instances!EK11),"median", MEDIAN(Instances!EK11:Instances!EK11),"min", MIN(Instances!EK11:Instances!EK11),"max", MAX(Instances!EK11:Instances!EK11),"diff", MAX(Instances!EK11:Instances!EK11)-MIN(Instances!EK11:Instances!EK11))</f>
        <v>0</v>
      </c>
      <c r="EL11" s="1"/>
      <c r="EM11" s="1" cm="1">
        <f t="array" ref="EM11">_xlfn.SWITCH($A$2,"average", AVERAGE(Instances!EM11:Instances!EM11),"median", MEDIAN(Instances!EM11:Instances!EM11),"min", MIN(Instances!EM11:Instances!EM11),"max", MAX(Instances!EM11:Instances!EM11),"diff", MAX(Instances!EM11:Instances!EM11)-MIN(Instances!EM11:Instances!EM11))</f>
        <v>0</v>
      </c>
      <c r="EN11" s="1" cm="1">
        <f t="array" ref="EN11">_xlfn.SWITCH($A$2,"average", AVERAGE(Instances!EN11:Instances!EN11),"median", MEDIAN(Instances!EN11:Instances!EN11),"min", MIN(Instances!EN11:Instances!EN11),"max", MAX(Instances!EN11:Instances!EN11),"diff", MAX(Instances!EN11:Instances!EN11)-MIN(Instances!EN11:Instances!EN11))</f>
        <v>0</v>
      </c>
      <c r="EO11" s="1" cm="1">
        <f t="array" ref="EO11">_xlfn.SWITCH($A$2,"average", AVERAGE(Instances!EO11:Instances!EO11),"median", MEDIAN(Instances!EO11:Instances!EO11),"min", MIN(Instances!EO11:Instances!EO11),"max", MAX(Instances!EO11:Instances!EO11),"diff", MAX(Instances!EO11:Instances!EO11)-MIN(Instances!EO11:Instances!EO11))</f>
        <v>0</v>
      </c>
      <c r="EP11" s="1" cm="1">
        <f t="array" ref="EP11">_xlfn.SWITCH($A$2,"average", AVERAGE(Instances!EP11:Instances!EP11),"median", MEDIAN(Instances!EP11:Instances!EP11),"min", MIN(Instances!EP11:Instances!EP11),"max", MAX(Instances!EP11:Instances!EP11),"diff", MAX(Instances!EP11:Instances!EP11)-MIN(Instances!EP11:Instances!EP11))</f>
        <v>0</v>
      </c>
      <c r="EQ11" s="1" cm="1">
        <f t="array" ref="EQ11">_xlfn.SWITCH($A$2,"average", AVERAGE(Instances!EQ11:Instances!EQ11),"median", MEDIAN(Instances!EQ11:Instances!EQ11),"min", MIN(Instances!EQ11:Instances!EQ11),"max", MAX(Instances!EQ11:Instances!EQ11),"diff", MAX(Instances!EQ11:Instances!EQ11)-MIN(Instances!EQ11:Instances!EQ11))</f>
        <v>0</v>
      </c>
      <c r="ER11" s="1" cm="1">
        <f t="array" ref="ER11">_xlfn.SWITCH($A$2,"average", AVERAGE(Instances!ER11:Instances!ER11),"median", MEDIAN(Instances!ER11:Instances!ER11),"min", MIN(Instances!ER11:Instances!ER11),"max", MAX(Instances!ER11:Instances!ER11),"diff", MAX(Instances!ER11:Instances!ER11)-MIN(Instances!ER11:Instances!ER11))</f>
        <v>0</v>
      </c>
      <c r="ES11" s="1" cm="1">
        <f t="array" ref="ES11">_xlfn.SWITCH($A$2,"average", AVERAGE(Instances!ES11:Instances!ES11),"median", MEDIAN(Instances!ES11:Instances!ES11),"min", MIN(Instances!ES11:Instances!ES11),"max", MAX(Instances!ES11:Instances!ES11),"diff", MAX(Instances!ES11:Instances!ES11)-MIN(Instances!ES11:Instances!ES11))</f>
        <v>0</v>
      </c>
      <c r="ET11" s="1" cm="1">
        <f t="array" ref="ET11">_xlfn.SWITCH($A$2,"average", AVERAGE(Instances!ET11:Instances!ET11),"median", MEDIAN(Instances!ET11:Instances!ET11),"min", MIN(Instances!ET11:Instances!ET11),"max", MAX(Instances!ET11:Instances!ET11),"diff", MAX(Instances!ET11:Instances!ET11)-MIN(Instances!ET11:Instances!ET11))</f>
        <v>0</v>
      </c>
      <c r="EU11" s="1" cm="1">
        <f t="array" ref="EU11">_xlfn.SWITCH($A$2,"average", AVERAGE(Instances!EU11:Instances!EU11),"median", MEDIAN(Instances!EU11:Instances!EU11),"min", MIN(Instances!EU11:Instances!EU11),"max", MAX(Instances!EU11:Instances!EU11),"diff", MAX(Instances!EU11:Instances!EU11)-MIN(Instances!EU11:Instances!EU11))</f>
        <v>0</v>
      </c>
      <c r="EV11" s="1" cm="1">
        <f t="array" ref="EV11">_xlfn.SWITCH($A$2,"average", AVERAGE(Instances!EV11:Instances!EV11),"median", MEDIAN(Instances!EV11:Instances!EV11),"min", MIN(Instances!EV11:Instances!EV11),"max", MAX(Instances!EV11:Instances!EV11),"diff", MAX(Instances!EV11:Instances!EV11)-MIN(Instances!EV11:Instances!EV11))</f>
        <v>0</v>
      </c>
      <c r="EW11" s="1" cm="1">
        <f t="array" ref="EW11">_xlfn.SWITCH($A$2,"average", AVERAGE(Instances!EW11:Instances!EW11),"median", MEDIAN(Instances!EW11:Instances!EW11),"min", MIN(Instances!EW11:Instances!EW11),"max", MAX(Instances!EW11:Instances!EW11),"diff", MAX(Instances!EW11:Instances!EW11)-MIN(Instances!EW11:Instances!EW11))</f>
        <v>0</v>
      </c>
      <c r="EX11" s="1" cm="1">
        <f t="array" ref="EX11">_xlfn.SWITCH($A$2,"average", AVERAGE(Instances!EX11:Instances!EX11),"median", MEDIAN(Instances!EX11:Instances!EX11),"min", MIN(Instances!EX11:Instances!EX11),"max", MAX(Instances!EX11:Instances!EX11),"diff", MAX(Instances!EX11:Instances!EX11)-MIN(Instances!EX11:Instances!EX11))</f>
        <v>0</v>
      </c>
      <c r="EY11" s="1" cm="1">
        <f t="array" ref="EY11">_xlfn.SWITCH($A$2,"average", AVERAGE(Instances!EY11:Instances!EY11),"median", MEDIAN(Instances!EY11:Instances!EY11),"min", MIN(Instances!EY11:Instances!EY11),"max", MAX(Instances!EY11:Instances!EY11),"diff", MAX(Instances!EY11:Instances!EY11)-MIN(Instances!EY11:Instances!EY11))</f>
        <v>0</v>
      </c>
      <c r="EZ11" s="1" cm="1">
        <f t="array" ref="EZ11">_xlfn.SWITCH($A$2,"average", AVERAGE(Instances!EZ11:Instances!EZ11),"median", MEDIAN(Instances!EZ11:Instances!EZ11),"min", MIN(Instances!EZ11:Instances!EZ11),"max", MAX(Instances!EZ11:Instances!EZ11),"diff", MAX(Instances!EZ11:Instances!EZ11)-MIN(Instances!EZ11:Instances!EZ11))</f>
        <v>0</v>
      </c>
      <c r="FA11" s="1" cm="1">
        <f t="array" ref="FA11">_xlfn.SWITCH($A$2,"average", AVERAGE(Instances!FA11:Instances!FA11),"median", MEDIAN(Instances!FA11:Instances!FA11),"min", MIN(Instances!FA11:Instances!FA11),"max", MAX(Instances!FA11:Instances!FA11),"diff", MAX(Instances!FA11:Instances!FA11)-MIN(Instances!FA11:Instances!FA11))</f>
        <v>0</v>
      </c>
      <c r="FB11" s="1" cm="1">
        <f t="array" ref="FB11">_xlfn.SWITCH($A$2,"average", AVERAGE(Instances!FB11:Instances!FB11),"median", MEDIAN(Instances!FB11:Instances!FB11),"min", MIN(Instances!FB11:Instances!FB11),"max", MAX(Instances!FB11:Instances!FB11),"diff", MAX(Instances!FB11:Instances!FB11)-MIN(Instances!FB11:Instances!FB11))</f>
        <v>0</v>
      </c>
      <c r="FC11" s="1" cm="1">
        <f t="array" ref="FC11">_xlfn.SWITCH($A$2,"average", AVERAGE(Instances!FC11:Instances!FC11),"median", MEDIAN(Instances!FC11:Instances!FC11),"min", MIN(Instances!FC11:Instances!FC11),"max", MAX(Instances!FC11:Instances!FC11),"diff", MAX(Instances!FC11:Instances!FC11)-MIN(Instances!FC11:Instances!FC11))</f>
        <v>0</v>
      </c>
      <c r="FD11" s="1"/>
      <c r="FE11" s="1" cm="1">
        <f t="array" ref="FE11">_xlfn.SWITCH($A$2,"average", AVERAGE(Instances!FE11:Instances!FE11),"median", MEDIAN(Instances!FE11:Instances!FE11),"min", MIN(Instances!FE11:Instances!FE11),"max", MAX(Instances!FE11:Instances!FE11),"diff", MAX(Instances!FE11:Instances!FE11)-MIN(Instances!FE11:Instances!FE11))</f>
        <v>0</v>
      </c>
      <c r="FF11" s="1" cm="1">
        <f t="array" ref="FF11">_xlfn.SWITCH($A$2,"average", AVERAGE(Instances!FF11:Instances!FF11),"median", MEDIAN(Instances!FF11:Instances!FF11),"min", MIN(Instances!FF11:Instances!FF11),"max", MAX(Instances!FF11:Instances!FF11),"diff", MAX(Instances!FF11:Instances!FF11)-MIN(Instances!FF11:Instances!FF11))</f>
        <v>0</v>
      </c>
      <c r="FG11" s="1" cm="1">
        <f t="array" ref="FG11">_xlfn.SWITCH($A$2,"average", AVERAGE(Instances!FG11:Instances!FG11),"median", MEDIAN(Instances!FG11:Instances!FG11),"min", MIN(Instances!FG11:Instances!FG11),"max", MAX(Instances!FG11:Instances!FG11),"diff", MAX(Instances!FG11:Instances!FG11)-MIN(Instances!FG11:Instances!FG11))</f>
        <v>0</v>
      </c>
      <c r="FH11" s="1" cm="1">
        <f t="array" ref="FH11">_xlfn.SWITCH($A$2,"average", AVERAGE(Instances!FH11:Instances!FH11),"median", MEDIAN(Instances!FH11:Instances!FH11),"min", MIN(Instances!FH11:Instances!FH11),"max", MAX(Instances!FH11:Instances!FH11),"diff", MAX(Instances!FH11:Instances!FH11)-MIN(Instances!FH11:Instances!FH11))</f>
        <v>0</v>
      </c>
      <c r="FI11" s="1" cm="1">
        <f t="array" ref="FI11">_xlfn.SWITCH($A$2,"average", AVERAGE(Instances!FI11:Instances!FI11),"median", MEDIAN(Instances!FI11:Instances!FI11),"min", MIN(Instances!FI11:Instances!FI11),"max", MAX(Instances!FI11:Instances!FI11),"diff", MAX(Instances!FI11:Instances!FI11)-MIN(Instances!FI11:Instances!FI11))</f>
        <v>0</v>
      </c>
      <c r="FJ11" s="1" cm="1">
        <f t="array" ref="FJ11">_xlfn.SWITCH($A$2,"average", AVERAGE(Instances!FJ11:Instances!FJ11),"median", MEDIAN(Instances!FJ11:Instances!FJ11),"min", MIN(Instances!FJ11:Instances!FJ11),"max", MAX(Instances!FJ11:Instances!FJ11),"diff", MAX(Instances!FJ11:Instances!FJ11)-MIN(Instances!FJ11:Instances!FJ11))</f>
        <v>0</v>
      </c>
      <c r="FK11" s="1" cm="1">
        <f t="array" ref="FK11">_xlfn.SWITCH($A$2,"average", AVERAGE(Instances!FK11:Instances!FK11),"median", MEDIAN(Instances!FK11:Instances!FK11),"min", MIN(Instances!FK11:Instances!FK11),"max", MAX(Instances!FK11:Instances!FK11),"diff", MAX(Instances!FK11:Instances!FK11)-MIN(Instances!FK11:Instances!FK11))</f>
        <v>0</v>
      </c>
      <c r="FL11" s="1" cm="1">
        <f t="array" ref="FL11">_xlfn.SWITCH($A$2,"average", AVERAGE(Instances!FL11:Instances!FL11),"median", MEDIAN(Instances!FL11:Instances!FL11),"min", MIN(Instances!FL11:Instances!FL11),"max", MAX(Instances!FL11:Instances!FL11),"diff", MAX(Instances!FL11:Instances!FL11)-MIN(Instances!FL11:Instances!FL11))</f>
        <v>0</v>
      </c>
      <c r="FM11" s="1" cm="1">
        <f t="array" ref="FM11">_xlfn.SWITCH($A$2,"average", AVERAGE(Instances!FM11:Instances!FM11),"median", MEDIAN(Instances!FM11:Instances!FM11),"min", MIN(Instances!FM11:Instances!FM11),"max", MAX(Instances!FM11:Instances!FM11),"diff", MAX(Instances!FM11:Instances!FM11)-MIN(Instances!FM11:Instances!FM11))</f>
        <v>0</v>
      </c>
      <c r="FN11" s="1" cm="1">
        <f t="array" ref="FN11">_xlfn.SWITCH($A$2,"average", AVERAGE(Instances!FN11:Instances!FN11),"median", MEDIAN(Instances!FN11:Instances!FN11),"min", MIN(Instances!FN11:Instances!FN11),"max", MAX(Instances!FN11:Instances!FN11),"diff", MAX(Instances!FN11:Instances!FN11)-MIN(Instances!FN11:Instances!FN11))</f>
        <v>0</v>
      </c>
      <c r="FO11" s="1" cm="1">
        <f t="array" ref="FO11">_xlfn.SWITCH($A$2,"average", AVERAGE(Instances!FO11:Instances!FO11),"median", MEDIAN(Instances!FO11:Instances!FO11),"min", MIN(Instances!FO11:Instances!FO11),"max", MAX(Instances!FO11:Instances!FO11),"diff", MAX(Instances!FO11:Instances!FO11)-MIN(Instances!FO11:Instances!FO11))</f>
        <v>0</v>
      </c>
      <c r="FP11" s="1" cm="1">
        <f t="array" ref="FP11">_xlfn.SWITCH($A$2,"average", AVERAGE(Instances!FP11:Instances!FP11),"median", MEDIAN(Instances!FP11:Instances!FP11),"min", MIN(Instances!FP11:Instances!FP11),"max", MAX(Instances!FP11:Instances!FP11),"diff", MAX(Instances!FP11:Instances!FP11)-MIN(Instances!FP11:Instances!FP11))</f>
        <v>0</v>
      </c>
      <c r="FQ11" s="1" cm="1">
        <f t="array" ref="FQ11">_xlfn.SWITCH($A$2,"average", AVERAGE(Instances!FQ11:Instances!FQ11),"median", MEDIAN(Instances!FQ11:Instances!FQ11),"min", MIN(Instances!FQ11:Instances!FQ11),"max", MAX(Instances!FQ11:Instances!FQ11),"diff", MAX(Instances!FQ11:Instances!FQ11)-MIN(Instances!FQ11:Instances!FQ11))</f>
        <v>0</v>
      </c>
      <c r="FR11" s="1" cm="1">
        <f t="array" ref="FR11">_xlfn.SWITCH($A$2,"average", AVERAGE(Instances!FR11:Instances!FR11),"median", MEDIAN(Instances!FR11:Instances!FR11),"min", MIN(Instances!FR11:Instances!FR11),"max", MAX(Instances!FR11:Instances!FR11),"diff", MAX(Instances!FR11:Instances!FR11)-MIN(Instances!FR11:Instances!FR11))</f>
        <v>0</v>
      </c>
      <c r="FS11" s="1" cm="1">
        <f t="array" ref="FS11">_xlfn.SWITCH($A$2,"average", AVERAGE(Instances!FS11:Instances!FS11),"median", MEDIAN(Instances!FS11:Instances!FS11),"min", MIN(Instances!FS11:Instances!FS11),"max", MAX(Instances!FS11:Instances!FS11),"diff", MAX(Instances!FS11:Instances!FS11)-MIN(Instances!FS11:Instances!FS11))</f>
        <v>0</v>
      </c>
      <c r="FT11" s="1" cm="1">
        <f t="array" ref="FT11">_xlfn.SWITCH($A$2,"average", AVERAGE(Instances!FT11:Instances!FT11),"median", MEDIAN(Instances!FT11:Instances!FT11),"min", MIN(Instances!FT11:Instances!FT11),"max", MAX(Instances!FT11:Instances!FT11),"diff", MAX(Instances!FT11:Instances!FT11)-MIN(Instances!FT11:Instances!FT11))</f>
        <v>0</v>
      </c>
      <c r="FU11" s="1" cm="1">
        <f t="array" ref="FU11">_xlfn.SWITCH($A$2,"average", AVERAGE(Instances!FU11:Instances!FU11),"median", MEDIAN(Instances!FU11:Instances!FU11),"min", MIN(Instances!FU11:Instances!FU11),"max", MAX(Instances!FU11:Instances!FU11),"diff", MAX(Instances!FU11:Instances!FU11)-MIN(Instances!FU11:Instances!FU11))</f>
        <v>0</v>
      </c>
      <c r="FV11" s="1"/>
      <c r="FW11" s="1" cm="1">
        <f t="array" ref="FW11">_xlfn.SWITCH($A$2,"average", AVERAGE(Instances!FW11:Instances!FW11),"median", MEDIAN(Instances!FW11:Instances!FW11),"min", MIN(Instances!FW11:Instances!FW11),"max", MAX(Instances!FW11:Instances!FW11),"diff", MAX(Instances!FW11:Instances!FW11)-MIN(Instances!FW11:Instances!FW11))</f>
        <v>0</v>
      </c>
      <c r="FX11" s="1" cm="1">
        <f t="array" ref="FX11">_xlfn.SWITCH($A$2,"average", AVERAGE(Instances!FX11:Instances!FX11),"median", MEDIAN(Instances!FX11:Instances!FX11),"min", MIN(Instances!FX11:Instances!FX11),"max", MAX(Instances!FX11:Instances!FX11),"diff", MAX(Instances!FX11:Instances!FX11)-MIN(Instances!FX11:Instances!FX11))</f>
        <v>0</v>
      </c>
      <c r="FY11" s="1" cm="1">
        <f t="array" ref="FY11">_xlfn.SWITCH($A$2,"average", AVERAGE(Instances!FY11:Instances!FY11),"median", MEDIAN(Instances!FY11:Instances!FY11),"min", MIN(Instances!FY11:Instances!FY11),"max", MAX(Instances!FY11:Instances!FY11),"diff", MAX(Instances!FY11:Instances!FY11)-MIN(Instances!FY11:Instances!FY11))</f>
        <v>0</v>
      </c>
      <c r="FZ11" s="1" cm="1">
        <f t="array" ref="FZ11">_xlfn.SWITCH($A$2,"average", AVERAGE(Instances!FZ11:Instances!FZ11),"median", MEDIAN(Instances!FZ11:Instances!FZ11),"min", MIN(Instances!FZ11:Instances!FZ11),"max", MAX(Instances!FZ11:Instances!FZ11),"diff", MAX(Instances!FZ11:Instances!FZ11)-MIN(Instances!FZ11:Instances!FZ11))</f>
        <v>0</v>
      </c>
      <c r="GA11" s="1" cm="1">
        <f t="array" ref="GA11">_xlfn.SWITCH($A$2,"average", AVERAGE(Instances!GA11:Instances!GA11),"median", MEDIAN(Instances!GA11:Instances!GA11),"min", MIN(Instances!GA11:Instances!GA11),"max", MAX(Instances!GA11:Instances!GA11),"diff", MAX(Instances!GA11:Instances!GA11)-MIN(Instances!GA11:Instances!GA11))</f>
        <v>0</v>
      </c>
      <c r="GB11" s="1" cm="1">
        <f t="array" ref="GB11">_xlfn.SWITCH($A$2,"average", AVERAGE(Instances!GB11:Instances!GB11),"median", MEDIAN(Instances!GB11:Instances!GB11),"min", MIN(Instances!GB11:Instances!GB11),"max", MAX(Instances!GB11:Instances!GB11),"diff", MAX(Instances!GB11:Instances!GB11)-MIN(Instances!GB11:Instances!GB11))</f>
        <v>0</v>
      </c>
      <c r="GC11" s="1" cm="1">
        <f t="array" ref="GC11">_xlfn.SWITCH($A$2,"average", AVERAGE(Instances!GC11:Instances!GC11),"median", MEDIAN(Instances!GC11:Instances!GC11),"min", MIN(Instances!GC11:Instances!GC11),"max", MAX(Instances!GC11:Instances!GC11),"diff", MAX(Instances!GC11:Instances!GC11)-MIN(Instances!GC11:Instances!GC11))</f>
        <v>0</v>
      </c>
      <c r="GD11" s="1" cm="1">
        <f t="array" ref="GD11">_xlfn.SWITCH($A$2,"average", AVERAGE(Instances!GD11:Instances!GD11),"median", MEDIAN(Instances!GD11:Instances!GD11),"min", MIN(Instances!GD11:Instances!GD11),"max", MAX(Instances!GD11:Instances!GD11),"diff", MAX(Instances!GD11:Instances!GD11)-MIN(Instances!GD11:Instances!GD11))</f>
        <v>0</v>
      </c>
      <c r="GE11" s="1" cm="1">
        <f t="array" ref="GE11">_xlfn.SWITCH($A$2,"average", AVERAGE(Instances!GE11:Instances!GE11),"median", MEDIAN(Instances!GE11:Instances!GE11),"min", MIN(Instances!GE11:Instances!GE11),"max", MAX(Instances!GE11:Instances!GE11),"diff", MAX(Instances!GE11:Instances!GE11)-MIN(Instances!GE11:Instances!GE11))</f>
        <v>0</v>
      </c>
      <c r="GF11" s="1" cm="1">
        <f t="array" ref="GF11">_xlfn.SWITCH($A$2,"average", AVERAGE(Instances!GF11:Instances!GF11),"median", MEDIAN(Instances!GF11:Instances!GF11),"min", MIN(Instances!GF11:Instances!GF11),"max", MAX(Instances!GF11:Instances!GF11),"diff", MAX(Instances!GF11:Instances!GF11)-MIN(Instances!GF11:Instances!GF11))</f>
        <v>0</v>
      </c>
      <c r="GG11" s="1" cm="1">
        <f t="array" ref="GG11">_xlfn.SWITCH($A$2,"average", AVERAGE(Instances!GG11:Instances!GG11),"median", MEDIAN(Instances!GG11:Instances!GG11),"min", MIN(Instances!GG11:Instances!GG11),"max", MAX(Instances!GG11:Instances!GG11),"diff", MAX(Instances!GG11:Instances!GG11)-MIN(Instances!GG11:Instances!GG11))</f>
        <v>0</v>
      </c>
      <c r="GH11" s="1" cm="1">
        <f t="array" ref="GH11">_xlfn.SWITCH($A$2,"average", AVERAGE(Instances!GH11:Instances!GH11),"median", MEDIAN(Instances!GH11:Instances!GH11),"min", MIN(Instances!GH11:Instances!GH11),"max", MAX(Instances!GH11:Instances!GH11),"diff", MAX(Instances!GH11:Instances!GH11)-MIN(Instances!GH11:Instances!GH11))</f>
        <v>0</v>
      </c>
      <c r="GI11" s="1" cm="1">
        <f t="array" ref="GI11">_xlfn.SWITCH($A$2,"average", AVERAGE(Instances!GI11:Instances!GI11),"median", MEDIAN(Instances!GI11:Instances!GI11),"min", MIN(Instances!GI11:Instances!GI11),"max", MAX(Instances!GI11:Instances!GI11),"diff", MAX(Instances!GI11:Instances!GI11)-MIN(Instances!GI11:Instances!GI11))</f>
        <v>0</v>
      </c>
      <c r="GJ11" s="1" cm="1">
        <f t="array" ref="GJ11">_xlfn.SWITCH($A$2,"average", AVERAGE(Instances!GJ11:Instances!GJ11),"median", MEDIAN(Instances!GJ11:Instances!GJ11),"min", MIN(Instances!GJ11:Instances!GJ11),"max", MAX(Instances!GJ11:Instances!GJ11),"diff", MAX(Instances!GJ11:Instances!GJ11)-MIN(Instances!GJ11:Instances!GJ11))</f>
        <v>0</v>
      </c>
      <c r="GK11" s="1" cm="1">
        <f t="array" ref="GK11">_xlfn.SWITCH($A$2,"average", AVERAGE(Instances!GK11:Instances!GK11),"median", MEDIAN(Instances!GK11:Instances!GK11),"min", MIN(Instances!GK11:Instances!GK11),"max", MAX(Instances!GK11:Instances!GK11),"diff", MAX(Instances!GK11:Instances!GK11)-MIN(Instances!GK11:Instances!GK11))</f>
        <v>0</v>
      </c>
      <c r="GL11" s="1" cm="1">
        <f t="array" ref="GL11">_xlfn.SWITCH($A$2,"average", AVERAGE(Instances!GL11:Instances!GL11),"median", MEDIAN(Instances!GL11:Instances!GL11),"min", MIN(Instances!GL11:Instances!GL11),"max", MAX(Instances!GL11:Instances!GL11),"diff", MAX(Instances!GL11:Instances!GL11)-MIN(Instances!GL11:Instances!GL11))</f>
        <v>0</v>
      </c>
      <c r="GM11" s="1" cm="1">
        <f t="array" ref="GM11">_xlfn.SWITCH($A$2,"average", AVERAGE(Instances!GM11:Instances!GM11),"median", MEDIAN(Instances!GM11:Instances!GM11),"min", MIN(Instances!GM11:Instances!GM11),"max", MAX(Instances!GM11:Instances!GM11),"diff", MAX(Instances!GM11:Instances!GM11)-MIN(Instances!GM11:Instances!GM11))</f>
        <v>0</v>
      </c>
      <c r="GN11" s="1"/>
      <c r="GO11" s="1" cm="1">
        <f t="array" ref="GO11">_xlfn.SWITCH($A$2,"average", AVERAGE(Instances!GO11:Instances!GO11),"median", MEDIAN(Instances!GO11:Instances!GO11),"min", MIN(Instances!GO11:Instances!GO11),"max", MAX(Instances!GO11:Instances!GO11),"diff", MAX(Instances!GO11:Instances!GO11)-MIN(Instances!GO11:Instances!GO11))</f>
        <v>0</v>
      </c>
      <c r="GP11" s="1" cm="1">
        <f t="array" ref="GP11">_xlfn.SWITCH($A$2,"average", AVERAGE(Instances!GP11:Instances!GP11),"median", MEDIAN(Instances!GP11:Instances!GP11),"min", MIN(Instances!GP11:Instances!GP11),"max", MAX(Instances!GP11:Instances!GP11),"diff", MAX(Instances!GP11:Instances!GP11)-MIN(Instances!GP11:Instances!GP11))</f>
        <v>0</v>
      </c>
      <c r="GQ11" s="1" cm="1">
        <f t="array" ref="GQ11">_xlfn.SWITCH($A$2,"average", AVERAGE(Instances!GQ11:Instances!GQ11),"median", MEDIAN(Instances!GQ11:Instances!GQ11),"min", MIN(Instances!GQ11:Instances!GQ11),"max", MAX(Instances!GQ11:Instances!GQ11),"diff", MAX(Instances!GQ11:Instances!GQ11)-MIN(Instances!GQ11:Instances!GQ11))</f>
        <v>0</v>
      </c>
      <c r="GR11" s="1" cm="1">
        <f t="array" ref="GR11">_xlfn.SWITCH($A$2,"average", AVERAGE(Instances!GR11:Instances!GR11),"median", MEDIAN(Instances!GR11:Instances!GR11),"min", MIN(Instances!GR11:Instances!GR11),"max", MAX(Instances!GR11:Instances!GR11),"diff", MAX(Instances!GR11:Instances!GR11)-MIN(Instances!GR11:Instances!GR11))</f>
        <v>0</v>
      </c>
      <c r="GS11" s="1" cm="1">
        <f t="array" ref="GS11">_xlfn.SWITCH($A$2,"average", AVERAGE(Instances!GS11:Instances!GS11),"median", MEDIAN(Instances!GS11:Instances!GS11),"min", MIN(Instances!GS11:Instances!GS11),"max", MAX(Instances!GS11:Instances!GS11),"diff", MAX(Instances!GS11:Instances!GS11)-MIN(Instances!GS11:Instances!GS11))</f>
        <v>0</v>
      </c>
      <c r="GT11" s="1" cm="1">
        <f t="array" ref="GT11">_xlfn.SWITCH($A$2,"average", AVERAGE(Instances!GT11:Instances!GT11),"median", MEDIAN(Instances!GT11:Instances!GT11),"min", MIN(Instances!GT11:Instances!GT11),"max", MAX(Instances!GT11:Instances!GT11),"diff", MAX(Instances!GT11:Instances!GT11)-MIN(Instances!GT11:Instances!GT11))</f>
        <v>0</v>
      </c>
      <c r="GU11" s="1" cm="1">
        <f t="array" ref="GU11">_xlfn.SWITCH($A$2,"average", AVERAGE(Instances!GU11:Instances!GU11),"median", MEDIAN(Instances!GU11:Instances!GU11),"min", MIN(Instances!GU11:Instances!GU11),"max", MAX(Instances!GU11:Instances!GU11),"diff", MAX(Instances!GU11:Instances!GU11)-MIN(Instances!GU11:Instances!GU11))</f>
        <v>0</v>
      </c>
      <c r="GV11" s="1" cm="1">
        <f t="array" ref="GV11">_xlfn.SWITCH($A$2,"average", AVERAGE(Instances!GV11:Instances!GV11),"median", MEDIAN(Instances!GV11:Instances!GV11),"min", MIN(Instances!GV11:Instances!GV11),"max", MAX(Instances!GV11:Instances!GV11),"diff", MAX(Instances!GV11:Instances!GV11)-MIN(Instances!GV11:Instances!GV11))</f>
        <v>0</v>
      </c>
      <c r="GW11" s="1" cm="1">
        <f t="array" ref="GW11">_xlfn.SWITCH($A$2,"average", AVERAGE(Instances!GW11:Instances!GW11),"median", MEDIAN(Instances!GW11:Instances!GW11),"min", MIN(Instances!GW11:Instances!GW11),"max", MAX(Instances!GW11:Instances!GW11),"diff", MAX(Instances!GW11:Instances!GW11)-MIN(Instances!GW11:Instances!GW11))</f>
        <v>0</v>
      </c>
      <c r="GX11" s="1" cm="1">
        <f t="array" ref="GX11">_xlfn.SWITCH($A$2,"average", AVERAGE(Instances!GX11:Instances!GX11),"median", MEDIAN(Instances!GX11:Instances!GX11),"min", MIN(Instances!GX11:Instances!GX11),"max", MAX(Instances!GX11:Instances!GX11),"diff", MAX(Instances!GX11:Instances!GX11)-MIN(Instances!GX11:Instances!GX11))</f>
        <v>0</v>
      </c>
      <c r="GY11" s="1" cm="1">
        <f t="array" ref="GY11">_xlfn.SWITCH($A$2,"average", AVERAGE(Instances!GY11:Instances!GY11),"median", MEDIAN(Instances!GY11:Instances!GY11),"min", MIN(Instances!GY11:Instances!GY11),"max", MAX(Instances!GY11:Instances!GY11),"diff", MAX(Instances!GY11:Instances!GY11)-MIN(Instances!GY11:Instances!GY11))</f>
        <v>0</v>
      </c>
      <c r="GZ11" s="1" cm="1">
        <f t="array" ref="GZ11">_xlfn.SWITCH($A$2,"average", AVERAGE(Instances!GZ11:Instances!GZ11),"median", MEDIAN(Instances!GZ11:Instances!GZ11),"min", MIN(Instances!GZ11:Instances!GZ11),"max", MAX(Instances!GZ11:Instances!GZ11),"diff", MAX(Instances!GZ11:Instances!GZ11)-MIN(Instances!GZ11:Instances!GZ11))</f>
        <v>0</v>
      </c>
      <c r="HA11" s="1" cm="1">
        <f t="array" ref="HA11">_xlfn.SWITCH($A$2,"average", AVERAGE(Instances!HA11:Instances!HA11),"median", MEDIAN(Instances!HA11:Instances!HA11),"min", MIN(Instances!HA11:Instances!HA11),"max", MAX(Instances!HA11:Instances!HA11),"diff", MAX(Instances!HA11:Instances!HA11)-MIN(Instances!HA11:Instances!HA11))</f>
        <v>0</v>
      </c>
      <c r="HB11" s="1" cm="1">
        <f t="array" ref="HB11">_xlfn.SWITCH($A$2,"average", AVERAGE(Instances!HB11:Instances!HB11),"median", MEDIAN(Instances!HB11:Instances!HB11),"min", MIN(Instances!HB11:Instances!HB11),"max", MAX(Instances!HB11:Instances!HB11),"diff", MAX(Instances!HB11:Instances!HB11)-MIN(Instances!HB11:Instances!HB11))</f>
        <v>0</v>
      </c>
      <c r="HC11" s="1" cm="1">
        <f t="array" ref="HC11">_xlfn.SWITCH($A$2,"average", AVERAGE(Instances!HC11:Instances!HC11),"median", MEDIAN(Instances!HC11:Instances!HC11),"min", MIN(Instances!HC11:Instances!HC11),"max", MAX(Instances!HC11:Instances!HC11),"diff", MAX(Instances!HC11:Instances!HC11)-MIN(Instances!HC11:Instances!HC11))</f>
        <v>0</v>
      </c>
      <c r="HD11" s="1" cm="1">
        <f t="array" ref="HD11">_xlfn.SWITCH($A$2,"average", AVERAGE(Instances!HD11:Instances!HD11),"median", MEDIAN(Instances!HD11:Instances!HD11),"min", MIN(Instances!HD11:Instances!HD11),"max", MAX(Instances!HD11:Instances!HD11),"diff", MAX(Instances!HD11:Instances!HD11)-MIN(Instances!HD11:Instances!HD11))</f>
        <v>0</v>
      </c>
      <c r="HE11" s="1" cm="1">
        <f t="array" ref="HE11">_xlfn.SWITCH($A$2,"average", AVERAGE(Instances!HE11:Instances!HE11),"median", MEDIAN(Instances!HE11:Instances!HE11),"min", MIN(Instances!HE11:Instances!HE11),"max", MAX(Instances!HE11:Instances!HE11),"diff", MAX(Instances!HE11:Instances!HE11)-MIN(Instances!HE11:Instances!HE11))</f>
        <v>0</v>
      </c>
      <c r="HF11" s="1"/>
      <c r="HG11" s="1" cm="1">
        <f t="array" ref="HG11">_xlfn.SWITCH($A$2,"average", AVERAGE(Instances!HG11:Instances!HG11),"median", MEDIAN(Instances!HG11:Instances!HG11),"min", MIN(Instances!HG11:Instances!HG11),"max", MAX(Instances!HG11:Instances!HG11),"diff", MAX(Instances!HG11:Instances!HG11)-MIN(Instances!HG11:Instances!HG11))</f>
        <v>0</v>
      </c>
      <c r="HH11" s="1" cm="1">
        <f t="array" ref="HH11">_xlfn.SWITCH($A$2,"average", AVERAGE(Instances!HH11:Instances!HH11),"median", MEDIAN(Instances!HH11:Instances!HH11),"min", MIN(Instances!HH11:Instances!HH11),"max", MAX(Instances!HH11:Instances!HH11),"diff", MAX(Instances!HH11:Instances!HH11)-MIN(Instances!HH11:Instances!HH11))</f>
        <v>0</v>
      </c>
      <c r="HI11" s="1" cm="1">
        <f t="array" ref="HI11">_xlfn.SWITCH($A$2,"average", AVERAGE(Instances!HI11:Instances!HI11),"median", MEDIAN(Instances!HI11:Instances!HI11),"min", MIN(Instances!HI11:Instances!HI11),"max", MAX(Instances!HI11:Instances!HI11),"diff", MAX(Instances!HI11:Instances!HI11)-MIN(Instances!HI11:Instances!HI11))</f>
        <v>0</v>
      </c>
      <c r="HJ11" s="1" cm="1">
        <f t="array" ref="HJ11">_xlfn.SWITCH($A$2,"average", AVERAGE(Instances!HJ11:Instances!HJ11),"median", MEDIAN(Instances!HJ11:Instances!HJ11),"min", MIN(Instances!HJ11:Instances!HJ11),"max", MAX(Instances!HJ11:Instances!HJ11),"diff", MAX(Instances!HJ11:Instances!HJ11)-MIN(Instances!HJ11:Instances!HJ11))</f>
        <v>0</v>
      </c>
      <c r="HK11" s="1" cm="1">
        <f t="array" ref="HK11">_xlfn.SWITCH($A$2,"average", AVERAGE(Instances!HK11:Instances!HK11),"median", MEDIAN(Instances!HK11:Instances!HK11),"min", MIN(Instances!HK11:Instances!HK11),"max", MAX(Instances!HK11:Instances!HK11),"diff", MAX(Instances!HK11:Instances!HK11)-MIN(Instances!HK11:Instances!HK11))</f>
        <v>0</v>
      </c>
      <c r="HL11" s="1" cm="1">
        <f t="array" ref="HL11">_xlfn.SWITCH($A$2,"average", AVERAGE(Instances!HL11:Instances!HL11),"median", MEDIAN(Instances!HL11:Instances!HL11),"min", MIN(Instances!HL11:Instances!HL11),"max", MAX(Instances!HL11:Instances!HL11),"diff", MAX(Instances!HL11:Instances!HL11)-MIN(Instances!HL11:Instances!HL11))</f>
        <v>0</v>
      </c>
      <c r="HM11" s="1" cm="1">
        <f t="array" ref="HM11">_xlfn.SWITCH($A$2,"average", AVERAGE(Instances!HM11:Instances!HM11),"median", MEDIAN(Instances!HM11:Instances!HM11),"min", MIN(Instances!HM11:Instances!HM11),"max", MAX(Instances!HM11:Instances!HM11),"diff", MAX(Instances!HM11:Instances!HM11)-MIN(Instances!HM11:Instances!HM11))</f>
        <v>0</v>
      </c>
      <c r="HN11" s="1" cm="1">
        <f t="array" ref="HN11">_xlfn.SWITCH($A$2,"average", AVERAGE(Instances!HN11:Instances!HN11),"median", MEDIAN(Instances!HN11:Instances!HN11),"min", MIN(Instances!HN11:Instances!HN11),"max", MAX(Instances!HN11:Instances!HN11),"diff", MAX(Instances!HN11:Instances!HN11)-MIN(Instances!HN11:Instances!HN11))</f>
        <v>0</v>
      </c>
      <c r="HO11" s="1" cm="1">
        <f t="array" ref="HO11">_xlfn.SWITCH($A$2,"average", AVERAGE(Instances!HO11:Instances!HO11),"median", MEDIAN(Instances!HO11:Instances!HO11),"min", MIN(Instances!HO11:Instances!HO11),"max", MAX(Instances!HO11:Instances!HO11),"diff", MAX(Instances!HO11:Instances!HO11)-MIN(Instances!HO11:Instances!HO11))</f>
        <v>0</v>
      </c>
      <c r="HP11" s="1" cm="1">
        <f t="array" ref="HP11">_xlfn.SWITCH($A$2,"average", AVERAGE(Instances!HP11:Instances!HP11),"median", MEDIAN(Instances!HP11:Instances!HP11),"min", MIN(Instances!HP11:Instances!HP11),"max", MAX(Instances!HP11:Instances!HP11),"diff", MAX(Instances!HP11:Instances!HP11)-MIN(Instances!HP11:Instances!HP11))</f>
        <v>0</v>
      </c>
      <c r="HQ11" s="1" cm="1">
        <f t="array" ref="HQ11">_xlfn.SWITCH($A$2,"average", AVERAGE(Instances!HQ11:Instances!HQ11),"median", MEDIAN(Instances!HQ11:Instances!HQ11),"min", MIN(Instances!HQ11:Instances!HQ11),"max", MAX(Instances!HQ11:Instances!HQ11),"diff", MAX(Instances!HQ11:Instances!HQ11)-MIN(Instances!HQ11:Instances!HQ11))</f>
        <v>0</v>
      </c>
      <c r="HR11" s="1" cm="1">
        <f t="array" ref="HR11">_xlfn.SWITCH($A$2,"average", AVERAGE(Instances!HR11:Instances!HR11),"median", MEDIAN(Instances!HR11:Instances!HR11),"min", MIN(Instances!HR11:Instances!HR11),"max", MAX(Instances!HR11:Instances!HR11),"diff", MAX(Instances!HR11:Instances!HR11)-MIN(Instances!HR11:Instances!HR11))</f>
        <v>0</v>
      </c>
      <c r="HS11" s="1" cm="1">
        <f t="array" ref="HS11">_xlfn.SWITCH($A$2,"average", AVERAGE(Instances!HS11:Instances!HS11),"median", MEDIAN(Instances!HS11:Instances!HS11),"min", MIN(Instances!HS11:Instances!HS11),"max", MAX(Instances!HS11:Instances!HS11),"diff", MAX(Instances!HS11:Instances!HS11)-MIN(Instances!HS11:Instances!HS11))</f>
        <v>0</v>
      </c>
      <c r="HT11" s="1" cm="1">
        <f t="array" ref="HT11">_xlfn.SWITCH($A$2,"average", AVERAGE(Instances!HT11:Instances!HT11),"median", MEDIAN(Instances!HT11:Instances!HT11),"min", MIN(Instances!HT11:Instances!HT11),"max", MAX(Instances!HT11:Instances!HT11),"diff", MAX(Instances!HT11:Instances!HT11)-MIN(Instances!HT11:Instances!HT11))</f>
        <v>0</v>
      </c>
      <c r="HU11" s="1" cm="1">
        <f t="array" ref="HU11">_xlfn.SWITCH($A$2,"average", AVERAGE(Instances!HU11:Instances!HU11),"median", MEDIAN(Instances!HU11:Instances!HU11),"min", MIN(Instances!HU11:Instances!HU11),"max", MAX(Instances!HU11:Instances!HU11),"diff", MAX(Instances!HU11:Instances!HU11)-MIN(Instances!HU11:Instances!HU11))</f>
        <v>0</v>
      </c>
      <c r="HV11" s="1" cm="1">
        <f t="array" ref="HV11">_xlfn.SWITCH($A$2,"average", AVERAGE(Instances!HV11:Instances!HV11),"median", MEDIAN(Instances!HV11:Instances!HV11),"min", MIN(Instances!HV11:Instances!HV11),"max", MAX(Instances!HV11:Instances!HV11),"diff", MAX(Instances!HV11:Instances!HV11)-MIN(Instances!HV11:Instances!HV11))</f>
        <v>0</v>
      </c>
      <c r="HW11" s="1" cm="1">
        <f t="array" ref="HW11">_xlfn.SWITCH($A$2,"average", AVERAGE(Instances!HW11:Instances!HW11),"median", MEDIAN(Instances!HW11:Instances!HW11),"min", MIN(Instances!HW11:Instances!HW11),"max", MAX(Instances!HW11:Instances!HW11),"diff", MAX(Instances!HW11:Instances!HW11)-MIN(Instances!HW11:Instances!HW11))</f>
        <v>0</v>
      </c>
      <c r="HX11" s="1"/>
      <c r="HY11" s="1" cm="1">
        <f t="array" ref="HY11">_xlfn.SWITCH($A$2,"average", AVERAGE(Instances!HY11:Instances!HY11),"median", MEDIAN(Instances!HY11:Instances!HY11),"min", MIN(Instances!HY11:Instances!HY11),"max", MAX(Instances!HY11:Instances!HY11),"diff", MAX(Instances!HY11:Instances!HY11)-MIN(Instances!HY11:Instances!HY11))</f>
        <v>0</v>
      </c>
      <c r="HZ11" s="1" cm="1">
        <f t="array" ref="HZ11">_xlfn.SWITCH($A$2,"average", AVERAGE(Instances!HZ11:Instances!HZ11),"median", MEDIAN(Instances!HZ11:Instances!HZ11),"min", MIN(Instances!HZ11:Instances!HZ11),"max", MAX(Instances!HZ11:Instances!HZ11),"diff", MAX(Instances!HZ11:Instances!HZ11)-MIN(Instances!HZ11:Instances!HZ11))</f>
        <v>0</v>
      </c>
      <c r="IA11" s="1" cm="1">
        <f t="array" ref="IA11">_xlfn.SWITCH($A$2,"average", AVERAGE(Instances!IA11:Instances!IA11),"median", MEDIAN(Instances!IA11:Instances!IA11),"min", MIN(Instances!IA11:Instances!IA11),"max", MAX(Instances!IA11:Instances!IA11),"diff", MAX(Instances!IA11:Instances!IA11)-MIN(Instances!IA11:Instances!IA11))</f>
        <v>0</v>
      </c>
      <c r="IB11" s="1" cm="1">
        <f t="array" ref="IB11">_xlfn.SWITCH($A$2,"average", AVERAGE(Instances!IB11:Instances!IB11),"median", MEDIAN(Instances!IB11:Instances!IB11),"min", MIN(Instances!IB11:Instances!IB11),"max", MAX(Instances!IB11:Instances!IB11),"diff", MAX(Instances!IB11:Instances!IB11)-MIN(Instances!IB11:Instances!IB11))</f>
        <v>0</v>
      </c>
      <c r="IC11" s="1" cm="1">
        <f t="array" ref="IC11">_xlfn.SWITCH($A$2,"average", AVERAGE(Instances!IC11:Instances!IC11),"median", MEDIAN(Instances!IC11:Instances!IC11),"min", MIN(Instances!IC11:Instances!IC11),"max", MAX(Instances!IC11:Instances!IC11),"diff", MAX(Instances!IC11:Instances!IC11)-MIN(Instances!IC11:Instances!IC11))</f>
        <v>0</v>
      </c>
      <c r="ID11" s="1" cm="1">
        <f t="array" ref="ID11">_xlfn.SWITCH($A$2,"average", AVERAGE(Instances!ID11:Instances!ID11),"median", MEDIAN(Instances!ID11:Instances!ID11),"min", MIN(Instances!ID11:Instances!ID11),"max", MAX(Instances!ID11:Instances!ID11),"diff", MAX(Instances!ID11:Instances!ID11)-MIN(Instances!ID11:Instances!ID11))</f>
        <v>0</v>
      </c>
      <c r="IE11" s="1" cm="1">
        <f t="array" ref="IE11">_xlfn.SWITCH($A$2,"average", AVERAGE(Instances!IE11:Instances!IE11),"median", MEDIAN(Instances!IE11:Instances!IE11),"min", MIN(Instances!IE11:Instances!IE11),"max", MAX(Instances!IE11:Instances!IE11),"diff", MAX(Instances!IE11:Instances!IE11)-MIN(Instances!IE11:Instances!IE11))</f>
        <v>0</v>
      </c>
      <c r="IF11" s="1" cm="1">
        <f t="array" ref="IF11">_xlfn.SWITCH($A$2,"average", AVERAGE(Instances!IF11:Instances!IF11),"median", MEDIAN(Instances!IF11:Instances!IF11),"min", MIN(Instances!IF11:Instances!IF11),"max", MAX(Instances!IF11:Instances!IF11),"diff", MAX(Instances!IF11:Instances!IF11)-MIN(Instances!IF11:Instances!IF11))</f>
        <v>0</v>
      </c>
      <c r="IG11" s="1" cm="1">
        <f t="array" ref="IG11">_xlfn.SWITCH($A$2,"average", AVERAGE(Instances!IG11:Instances!IG11),"median", MEDIAN(Instances!IG11:Instances!IG11),"min", MIN(Instances!IG11:Instances!IG11),"max", MAX(Instances!IG11:Instances!IG11),"diff", MAX(Instances!IG11:Instances!IG11)-MIN(Instances!IG11:Instances!IG11))</f>
        <v>0</v>
      </c>
      <c r="IH11" s="1" cm="1">
        <f t="array" ref="IH11">_xlfn.SWITCH($A$2,"average", AVERAGE(Instances!IH11:Instances!IH11),"median", MEDIAN(Instances!IH11:Instances!IH11),"min", MIN(Instances!IH11:Instances!IH11),"max", MAX(Instances!IH11:Instances!IH11),"diff", MAX(Instances!IH11:Instances!IH11)-MIN(Instances!IH11:Instances!IH11))</f>
        <v>0</v>
      </c>
      <c r="II11" s="1" cm="1">
        <f t="array" ref="II11">_xlfn.SWITCH($A$2,"average", AVERAGE(Instances!II11:Instances!II11),"median", MEDIAN(Instances!II11:Instances!II11),"min", MIN(Instances!II11:Instances!II11),"max", MAX(Instances!II11:Instances!II11),"diff", MAX(Instances!II11:Instances!II11)-MIN(Instances!II11:Instances!II11))</f>
        <v>0</v>
      </c>
      <c r="IJ11" s="1" cm="1">
        <f t="array" ref="IJ11">_xlfn.SWITCH($A$2,"average", AVERAGE(Instances!IJ11:Instances!IJ11),"median", MEDIAN(Instances!IJ11:Instances!IJ11),"min", MIN(Instances!IJ11:Instances!IJ11),"max", MAX(Instances!IJ11:Instances!IJ11),"diff", MAX(Instances!IJ11:Instances!IJ11)-MIN(Instances!IJ11:Instances!IJ11))</f>
        <v>0</v>
      </c>
      <c r="IK11" s="1" cm="1">
        <f t="array" ref="IK11">_xlfn.SWITCH($A$2,"average", AVERAGE(Instances!IK11:Instances!IK11),"median", MEDIAN(Instances!IK11:Instances!IK11),"min", MIN(Instances!IK11:Instances!IK11),"max", MAX(Instances!IK11:Instances!IK11),"diff", MAX(Instances!IK11:Instances!IK11)-MIN(Instances!IK11:Instances!IK11))</f>
        <v>0</v>
      </c>
      <c r="IL11" s="1" cm="1">
        <f t="array" ref="IL11">_xlfn.SWITCH($A$2,"average", AVERAGE(Instances!IL11:Instances!IL11),"median", MEDIAN(Instances!IL11:Instances!IL11),"min", MIN(Instances!IL11:Instances!IL11),"max", MAX(Instances!IL11:Instances!IL11),"diff", MAX(Instances!IL11:Instances!IL11)-MIN(Instances!IL11:Instances!IL11))</f>
        <v>0</v>
      </c>
      <c r="IM11" s="1" cm="1">
        <f t="array" ref="IM11">_xlfn.SWITCH($A$2,"average", AVERAGE(Instances!IM11:Instances!IM11),"median", MEDIAN(Instances!IM11:Instances!IM11),"min", MIN(Instances!IM11:Instances!IM11),"max", MAX(Instances!IM11:Instances!IM11),"diff", MAX(Instances!IM11:Instances!IM11)-MIN(Instances!IM11:Instances!IM11))</f>
        <v>0</v>
      </c>
      <c r="IN11" s="1" cm="1">
        <f t="array" ref="IN11">_xlfn.SWITCH($A$2,"average", AVERAGE(Instances!IN11:Instances!IN11),"median", MEDIAN(Instances!IN11:Instances!IN11),"min", MIN(Instances!IN11:Instances!IN11),"max", MAX(Instances!IN11:Instances!IN11),"diff", MAX(Instances!IN11:Instances!IN11)-MIN(Instances!IN11:Instances!IN11))</f>
        <v>0</v>
      </c>
      <c r="IO11" s="1" cm="1">
        <f t="array" ref="IO11">_xlfn.SWITCH($A$2,"average", AVERAGE(Instances!IO11:Instances!IO11),"median", MEDIAN(Instances!IO11:Instances!IO11),"min", MIN(Instances!IO11:Instances!IO11),"max", MAX(Instances!IO11:Instances!IO11),"diff", MAX(Instances!IO11:Instances!IO11)-MIN(Instances!IO11:Instances!IO11))</f>
        <v>0</v>
      </c>
      <c r="IP11" s="1"/>
      <c r="IQ11" s="1" cm="1">
        <f t="array" ref="IQ11">_xlfn.SWITCH($A$2,"average", AVERAGE(Instances!IQ11:Instances!IQ11),"median", MEDIAN(Instances!IQ11:Instances!IQ11),"min", MIN(Instances!IQ11:Instances!IQ11),"max", MAX(Instances!IQ11:Instances!IQ11),"diff", MAX(Instances!IQ11:Instances!IQ11)-MIN(Instances!IQ11:Instances!IQ11))</f>
        <v>0</v>
      </c>
      <c r="IR11" s="1" cm="1">
        <f t="array" ref="IR11">_xlfn.SWITCH($A$2,"average", AVERAGE(Instances!IR11:Instances!IR11),"median", MEDIAN(Instances!IR11:Instances!IR11),"min", MIN(Instances!IR11:Instances!IR11),"max", MAX(Instances!IR11:Instances!IR11),"diff", MAX(Instances!IR11:Instances!IR11)-MIN(Instances!IR11:Instances!IR11))</f>
        <v>0</v>
      </c>
      <c r="IS11" s="1" cm="1">
        <f t="array" ref="IS11">_xlfn.SWITCH($A$2,"average", AVERAGE(Instances!IS11:Instances!IS11),"median", MEDIAN(Instances!IS11:Instances!IS11),"min", MIN(Instances!IS11:Instances!IS11),"max", MAX(Instances!IS11:Instances!IS11),"diff", MAX(Instances!IS11:Instances!IS11)-MIN(Instances!IS11:Instances!IS11))</f>
        <v>0</v>
      </c>
      <c r="IT11" s="1" cm="1">
        <f t="array" ref="IT11">_xlfn.SWITCH($A$2,"average", AVERAGE(Instances!IT11:Instances!IT11),"median", MEDIAN(Instances!IT11:Instances!IT11),"min", MIN(Instances!IT11:Instances!IT11),"max", MAX(Instances!IT11:Instances!IT11),"diff", MAX(Instances!IT11:Instances!IT11)-MIN(Instances!IT11:Instances!IT11))</f>
        <v>0</v>
      </c>
      <c r="IU11" s="1" cm="1">
        <f t="array" ref="IU11">_xlfn.SWITCH($A$2,"average", AVERAGE(Instances!IU11:Instances!IU11),"median", MEDIAN(Instances!IU11:Instances!IU11),"min", MIN(Instances!IU11:Instances!IU11),"max", MAX(Instances!IU11:Instances!IU11),"diff", MAX(Instances!IU11:Instances!IU11)-MIN(Instances!IU11:Instances!IU11))</f>
        <v>0</v>
      </c>
      <c r="IV11" s="1" cm="1">
        <f t="array" ref="IV11">_xlfn.SWITCH($A$2,"average", AVERAGE(Instances!IV11:Instances!IV11),"median", MEDIAN(Instances!IV11:Instances!IV11),"min", MIN(Instances!IV11:Instances!IV11),"max", MAX(Instances!IV11:Instances!IV11),"diff", MAX(Instances!IV11:Instances!IV11)-MIN(Instances!IV11:Instances!IV11))</f>
        <v>0</v>
      </c>
      <c r="IW11" s="1" cm="1">
        <f t="array" ref="IW11">_xlfn.SWITCH($A$2,"average", AVERAGE(Instances!IW11:Instances!IW11),"median", MEDIAN(Instances!IW11:Instances!IW11),"min", MIN(Instances!IW11:Instances!IW11),"max", MAX(Instances!IW11:Instances!IW11),"diff", MAX(Instances!IW11:Instances!IW11)-MIN(Instances!IW11:Instances!IW11))</f>
        <v>0</v>
      </c>
      <c r="IX11" s="1" cm="1">
        <f t="array" ref="IX11">_xlfn.SWITCH($A$2,"average", AVERAGE(Instances!IX11:Instances!IX11),"median", MEDIAN(Instances!IX11:Instances!IX11),"min", MIN(Instances!IX11:Instances!IX11),"max", MAX(Instances!IX11:Instances!IX11),"diff", MAX(Instances!IX11:Instances!IX11)-MIN(Instances!IX11:Instances!IX11))</f>
        <v>0</v>
      </c>
      <c r="IY11" s="1" cm="1">
        <f t="array" ref="IY11">_xlfn.SWITCH($A$2,"average", AVERAGE(Instances!IY11:Instances!IY11),"median", MEDIAN(Instances!IY11:Instances!IY11),"min", MIN(Instances!IY11:Instances!IY11),"max", MAX(Instances!IY11:Instances!IY11),"diff", MAX(Instances!IY11:Instances!IY11)-MIN(Instances!IY11:Instances!IY11))</f>
        <v>0</v>
      </c>
      <c r="IZ11" s="1" cm="1">
        <f t="array" ref="IZ11">_xlfn.SWITCH($A$2,"average", AVERAGE(Instances!IZ11:Instances!IZ11),"median", MEDIAN(Instances!IZ11:Instances!IZ11),"min", MIN(Instances!IZ11:Instances!IZ11),"max", MAX(Instances!IZ11:Instances!IZ11),"diff", MAX(Instances!IZ11:Instances!IZ11)-MIN(Instances!IZ11:Instances!IZ11))</f>
        <v>0</v>
      </c>
      <c r="JA11" s="1" cm="1">
        <f t="array" ref="JA11">_xlfn.SWITCH($A$2,"average", AVERAGE(Instances!JA11:Instances!JA11),"median", MEDIAN(Instances!JA11:Instances!JA11),"min", MIN(Instances!JA11:Instances!JA11),"max", MAX(Instances!JA11:Instances!JA11),"diff", MAX(Instances!JA11:Instances!JA11)-MIN(Instances!JA11:Instances!JA11))</f>
        <v>0</v>
      </c>
      <c r="JB11" s="1" cm="1">
        <f t="array" ref="JB11">_xlfn.SWITCH($A$2,"average", AVERAGE(Instances!JB11:Instances!JB11),"median", MEDIAN(Instances!JB11:Instances!JB11),"min", MIN(Instances!JB11:Instances!JB11),"max", MAX(Instances!JB11:Instances!JB11),"diff", MAX(Instances!JB11:Instances!JB11)-MIN(Instances!JB11:Instances!JB11))</f>
        <v>0</v>
      </c>
      <c r="JC11" s="1" cm="1">
        <f t="array" ref="JC11">_xlfn.SWITCH($A$2,"average", AVERAGE(Instances!JC11:Instances!JC11),"median", MEDIAN(Instances!JC11:Instances!JC11),"min", MIN(Instances!JC11:Instances!JC11),"max", MAX(Instances!JC11:Instances!JC11),"diff", MAX(Instances!JC11:Instances!JC11)-MIN(Instances!JC11:Instances!JC11))</f>
        <v>0</v>
      </c>
      <c r="JD11" s="1" cm="1">
        <f t="array" ref="JD11">_xlfn.SWITCH($A$2,"average", AVERAGE(Instances!JD11:Instances!JD11),"median", MEDIAN(Instances!JD11:Instances!JD11),"min", MIN(Instances!JD11:Instances!JD11),"max", MAX(Instances!JD11:Instances!JD11),"diff", MAX(Instances!JD11:Instances!JD11)-MIN(Instances!JD11:Instances!JD11))</f>
        <v>0</v>
      </c>
      <c r="JE11" s="1" cm="1">
        <f t="array" ref="JE11">_xlfn.SWITCH($A$2,"average", AVERAGE(Instances!JE11:Instances!JE11),"median", MEDIAN(Instances!JE11:Instances!JE11),"min", MIN(Instances!JE11:Instances!JE11),"max", MAX(Instances!JE11:Instances!JE11),"diff", MAX(Instances!JE11:Instances!JE11)-MIN(Instances!JE11:Instances!JE11))</f>
        <v>0</v>
      </c>
      <c r="JF11" s="1" cm="1">
        <f t="array" ref="JF11">_xlfn.SWITCH($A$2,"average", AVERAGE(Instances!JF11:Instances!JF11),"median", MEDIAN(Instances!JF11:Instances!JF11),"min", MIN(Instances!JF11:Instances!JF11),"max", MAX(Instances!JF11:Instances!JF11),"diff", MAX(Instances!JF11:Instances!JF11)-MIN(Instances!JF11:Instances!JF11))</f>
        <v>0</v>
      </c>
      <c r="JG11" s="1" cm="1">
        <f t="array" ref="JG11">_xlfn.SWITCH($A$2,"average", AVERAGE(Instances!JG11:Instances!JG11),"median", MEDIAN(Instances!JG11:Instances!JG11),"min", MIN(Instances!JG11:Instances!JG11),"max", MAX(Instances!JG11:Instances!JG11),"diff", MAX(Instances!JG11:Instances!JG11)-MIN(Instances!JG11:Instances!JG11))</f>
        <v>0</v>
      </c>
      <c r="JH11" s="1"/>
      <c r="JI11" s="1" cm="1">
        <f t="array" ref="JI11">_xlfn.SWITCH($A$2,"average", AVERAGE(Instances!JI11:Instances!JI11),"median", MEDIAN(Instances!JI11:Instances!JI11),"min", MIN(Instances!JI11:Instances!JI11),"max", MAX(Instances!JI11:Instances!JI11),"diff", MAX(Instances!JI11:Instances!JI11)-MIN(Instances!JI11:Instances!JI11))</f>
        <v>0</v>
      </c>
      <c r="JJ11" s="1" cm="1">
        <f t="array" ref="JJ11">_xlfn.SWITCH($A$2,"average", AVERAGE(Instances!JJ11:Instances!JJ11),"median", MEDIAN(Instances!JJ11:Instances!JJ11),"min", MIN(Instances!JJ11:Instances!JJ11),"max", MAX(Instances!JJ11:Instances!JJ11),"diff", MAX(Instances!JJ11:Instances!JJ11)-MIN(Instances!JJ11:Instances!JJ11))</f>
        <v>0</v>
      </c>
      <c r="JK11" s="1" cm="1">
        <f t="array" ref="JK11">_xlfn.SWITCH($A$2,"average", AVERAGE(Instances!JK11:Instances!JK11),"median", MEDIAN(Instances!JK11:Instances!JK11),"min", MIN(Instances!JK11:Instances!JK11),"max", MAX(Instances!JK11:Instances!JK11),"diff", MAX(Instances!JK11:Instances!JK11)-MIN(Instances!JK11:Instances!JK11))</f>
        <v>0</v>
      </c>
      <c r="JL11" s="1" cm="1">
        <f t="array" ref="JL11">_xlfn.SWITCH($A$2,"average", AVERAGE(Instances!JL11:Instances!JL11),"median", MEDIAN(Instances!JL11:Instances!JL11),"min", MIN(Instances!JL11:Instances!JL11),"max", MAX(Instances!JL11:Instances!JL11),"diff", MAX(Instances!JL11:Instances!JL11)-MIN(Instances!JL11:Instances!JL11))</f>
        <v>0</v>
      </c>
      <c r="JM11" s="1" cm="1">
        <f t="array" ref="JM11">_xlfn.SWITCH($A$2,"average", AVERAGE(Instances!JM11:Instances!JM11),"median", MEDIAN(Instances!JM11:Instances!JM11),"min", MIN(Instances!JM11:Instances!JM11),"max", MAX(Instances!JM11:Instances!JM11),"diff", MAX(Instances!JM11:Instances!JM11)-MIN(Instances!JM11:Instances!JM11))</f>
        <v>0</v>
      </c>
      <c r="JN11" s="1" cm="1">
        <f t="array" ref="JN11">_xlfn.SWITCH($A$2,"average", AVERAGE(Instances!JN11:Instances!JN11),"median", MEDIAN(Instances!JN11:Instances!JN11),"min", MIN(Instances!JN11:Instances!JN11),"max", MAX(Instances!JN11:Instances!JN11),"diff", MAX(Instances!JN11:Instances!JN11)-MIN(Instances!JN11:Instances!JN11))</f>
        <v>0</v>
      </c>
      <c r="JO11" s="1" cm="1">
        <f t="array" ref="JO11">_xlfn.SWITCH($A$2,"average", AVERAGE(Instances!JO11:Instances!JO11),"median", MEDIAN(Instances!JO11:Instances!JO11),"min", MIN(Instances!JO11:Instances!JO11),"max", MAX(Instances!JO11:Instances!JO11),"diff", MAX(Instances!JO11:Instances!JO11)-MIN(Instances!JO11:Instances!JO11))</f>
        <v>0</v>
      </c>
      <c r="JP11" s="1" cm="1">
        <f t="array" ref="JP11">_xlfn.SWITCH($A$2,"average", AVERAGE(Instances!JP11:Instances!JP11),"median", MEDIAN(Instances!JP11:Instances!JP11),"min", MIN(Instances!JP11:Instances!JP11),"max", MAX(Instances!JP11:Instances!JP11),"diff", MAX(Instances!JP11:Instances!JP11)-MIN(Instances!JP11:Instances!JP11))</f>
        <v>0</v>
      </c>
      <c r="JQ11" s="1" cm="1">
        <f t="array" ref="JQ11">_xlfn.SWITCH($A$2,"average", AVERAGE(Instances!JQ11:Instances!JQ11),"median", MEDIAN(Instances!JQ11:Instances!JQ11),"min", MIN(Instances!JQ11:Instances!JQ11),"max", MAX(Instances!JQ11:Instances!JQ11),"diff", MAX(Instances!JQ11:Instances!JQ11)-MIN(Instances!JQ11:Instances!JQ11))</f>
        <v>0</v>
      </c>
      <c r="JR11" s="1" cm="1">
        <f t="array" ref="JR11">_xlfn.SWITCH($A$2,"average", AVERAGE(Instances!JR11:Instances!JR11),"median", MEDIAN(Instances!JR11:Instances!JR11),"min", MIN(Instances!JR11:Instances!JR11),"max", MAX(Instances!JR11:Instances!JR11),"diff", MAX(Instances!JR11:Instances!JR11)-MIN(Instances!JR11:Instances!JR11))</f>
        <v>0</v>
      </c>
      <c r="JS11" s="1" cm="1">
        <f t="array" ref="JS11">_xlfn.SWITCH($A$2,"average", AVERAGE(Instances!JS11:Instances!JS11),"median", MEDIAN(Instances!JS11:Instances!JS11),"min", MIN(Instances!JS11:Instances!JS11),"max", MAX(Instances!JS11:Instances!JS11),"diff", MAX(Instances!JS11:Instances!JS11)-MIN(Instances!JS11:Instances!JS11))</f>
        <v>0</v>
      </c>
      <c r="JT11" s="1" cm="1">
        <f t="array" ref="JT11">_xlfn.SWITCH($A$2,"average", AVERAGE(Instances!JT11:Instances!JT11),"median", MEDIAN(Instances!JT11:Instances!JT11),"min", MIN(Instances!JT11:Instances!JT11),"max", MAX(Instances!JT11:Instances!JT11),"diff", MAX(Instances!JT11:Instances!JT11)-MIN(Instances!JT11:Instances!JT11))</f>
        <v>0</v>
      </c>
      <c r="JU11" s="1" cm="1">
        <f t="array" ref="JU11">_xlfn.SWITCH($A$2,"average", AVERAGE(Instances!JU11:Instances!JU11),"median", MEDIAN(Instances!JU11:Instances!JU11),"min", MIN(Instances!JU11:Instances!JU11),"max", MAX(Instances!JU11:Instances!JU11),"diff", MAX(Instances!JU11:Instances!JU11)-MIN(Instances!JU11:Instances!JU11))</f>
        <v>0</v>
      </c>
      <c r="JV11" s="1" cm="1">
        <f t="array" ref="JV11">_xlfn.SWITCH($A$2,"average", AVERAGE(Instances!JV11:Instances!JV11),"median", MEDIAN(Instances!JV11:Instances!JV11),"min", MIN(Instances!JV11:Instances!JV11),"max", MAX(Instances!JV11:Instances!JV11),"diff", MAX(Instances!JV11:Instances!JV11)-MIN(Instances!JV11:Instances!JV11))</f>
        <v>0</v>
      </c>
      <c r="JW11" s="1" cm="1">
        <f t="array" ref="JW11">_xlfn.SWITCH($A$2,"average", AVERAGE(Instances!JW11:Instances!JW11),"median", MEDIAN(Instances!JW11:Instances!JW11),"min", MIN(Instances!JW11:Instances!JW11),"max", MAX(Instances!JW11:Instances!JW11),"diff", MAX(Instances!JW11:Instances!JW11)-MIN(Instances!JW11:Instances!JW11))</f>
        <v>0</v>
      </c>
      <c r="JX11" s="1" cm="1">
        <f t="array" ref="JX11">_xlfn.SWITCH($A$2,"average", AVERAGE(Instances!JX11:Instances!JX11),"median", MEDIAN(Instances!JX11:Instances!JX11),"min", MIN(Instances!JX11:Instances!JX11),"max", MAX(Instances!JX11:Instances!JX11),"diff", MAX(Instances!JX11:Instances!JX11)-MIN(Instances!JX11:Instances!JX11))</f>
        <v>0</v>
      </c>
      <c r="JY11" s="1" cm="1">
        <f t="array" ref="JY11">_xlfn.SWITCH($A$2,"average", AVERAGE(Instances!JY11:Instances!JY11),"median", MEDIAN(Instances!JY11:Instances!JY11),"min", MIN(Instances!JY11:Instances!JY11),"max", MAX(Instances!JY11:Instances!JY11),"diff", MAX(Instances!JY11:Instances!JY11)-MIN(Instances!JY11:Instances!JY11))</f>
        <v>0</v>
      </c>
      <c r="JZ11" s="1"/>
      <c r="KA11" s="1" cm="1">
        <f t="array" ref="KA11">_xlfn.SWITCH($A$2,"average", AVERAGE(Instances!KA11:Instances!KA11),"median", MEDIAN(Instances!KA11:Instances!KA11),"min", MIN(Instances!KA11:Instances!KA11),"max", MAX(Instances!KA11:Instances!KA11),"diff", MAX(Instances!KA11:Instances!KA11)-MIN(Instances!KA11:Instances!KA11))</f>
        <v>0</v>
      </c>
      <c r="KB11" s="1" cm="1">
        <f t="array" ref="KB11">_xlfn.SWITCH($A$2,"average", AVERAGE(Instances!KB11:Instances!KB11),"median", MEDIAN(Instances!KB11:Instances!KB11),"min", MIN(Instances!KB11:Instances!KB11),"max", MAX(Instances!KB11:Instances!KB11),"diff", MAX(Instances!KB11:Instances!KB11)-MIN(Instances!KB11:Instances!KB11))</f>
        <v>0</v>
      </c>
      <c r="KC11" s="1" cm="1">
        <f t="array" ref="KC11">_xlfn.SWITCH($A$2,"average", AVERAGE(Instances!KC11:Instances!KC11),"median", MEDIAN(Instances!KC11:Instances!KC11),"min", MIN(Instances!KC11:Instances!KC11),"max", MAX(Instances!KC11:Instances!KC11),"diff", MAX(Instances!KC11:Instances!KC11)-MIN(Instances!KC11:Instances!KC11))</f>
        <v>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 cm="1">
        <f t="array" ref="O12">_xlfn.SWITCH($A$2,"average", AVERAGE(Instances!O12:Instances!O12),"median", MEDIAN(Instances!O12:Instances!O12),"min", MIN(Instances!O12:Instances!O12),"max", MAX(Instances!O12:Instances!O12),"diff", MAX(Instances!O12:Instances!O12)-MIN(Instances!O12:Instances!O12))</f>
        <v>0</v>
      </c>
      <c r="P12" s="1"/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 cm="1">
        <f t="array" ref="S12">_xlfn.SWITCH($A$2,"average", AVERAGE(Instances!S12:Instances!S12),"median", MEDIAN(Instances!S12:Instances!S12),"min", MIN(Instances!S12:Instances!S12),"max", MAX(Instances!S12:Instances!S12),"diff", MAX(Instances!S12:Instances!S12)-MIN(Instances!S12:Instances!S12))</f>
        <v>0</v>
      </c>
      <c r="T12" s="1" cm="1">
        <f t="array" ref="T12">_xlfn.SWITCH($A$2,"average", AVERAGE(Instances!T12:Instances!T12),"median", MEDIAN(Instances!T12:Instances!T12),"min", MIN(Instances!T12:Instances!T12),"max", MAX(Instances!T12:Instances!T12),"diff", MAX(Instances!T12:Instances!T12)-MIN(Instances!T12:Instances!T12))</f>
        <v>0</v>
      </c>
      <c r="U12" s="1" cm="1">
        <f t="array" ref="U12">_xlfn.SWITCH($A$2,"average", AVERAGE(Instances!U12:Instances!U12),"median", MEDIAN(Instances!U12:Instances!U12),"min", MIN(Instances!U12:Instances!U12),"max", MAX(Instances!U12:Instances!U12),"diff", MAX(Instances!U12:Instances!U12)-MIN(Instances!U12:Instances!U12))</f>
        <v>0</v>
      </c>
      <c r="V12" s="1" cm="1">
        <f t="array" ref="V12">_xlfn.SWITCH($A$2,"average", AVERAGE(Instances!V12:Instances!V12),"median", MEDIAN(Instances!V12:Instances!V12),"min", MIN(Instances!V12:Instances!V12),"max", MAX(Instances!V12:Instances!V12),"diff", MAX(Instances!V12:Instances!V12)-MIN(Instances!V12:Instances!V12))</f>
        <v>0</v>
      </c>
      <c r="W12" s="1" cm="1">
        <f t="array" ref="W12">_xlfn.SWITCH($A$2,"average", AVERAGE(Instances!W12:Instances!W12),"median", MEDIAN(Instances!W12:Instances!W12),"min", MIN(Instances!W12:Instances!W12),"max", MAX(Instances!W12:Instances!W12),"diff", MAX(Instances!W12:Instances!W12)-MIN(Instances!W12:Instances!W12))</f>
        <v>0</v>
      </c>
      <c r="X12" s="1" cm="1">
        <f t="array" ref="X12">_xlfn.SWITCH($A$2,"average", AVERAGE(Instances!X12:Instances!X12),"median", MEDIAN(Instances!X12:Instances!X12),"min", MIN(Instances!X12:Instances!X12),"max", MAX(Instances!X12:Instances!X12),"diff", MAX(Instances!X12:Instances!X12)-MIN(Instances!X12:Instances!X12))</f>
        <v>0</v>
      </c>
      <c r="Y12" s="1" cm="1">
        <f t="array" ref="Y12">_xlfn.SWITCH($A$2,"average", AVERAGE(Instances!Y12:Instances!Y12),"median", MEDIAN(Instances!Y12:Instances!Y12),"min", MIN(Instances!Y12:Instances!Y12),"max", MAX(Instances!Y12:Instances!Y12),"diff", MAX(Instances!Y12:Instances!Y12)-MIN(Instances!Y12:Instances!Y12))</f>
        <v>0</v>
      </c>
      <c r="Z12" s="1" cm="1">
        <f t="array" ref="Z12">_xlfn.SWITCH($A$2,"average", AVERAGE(Instances!Z12:Instances!Z12),"median", MEDIAN(Instances!Z12:Instances!Z12),"min", MIN(Instances!Z12:Instances!Z12),"max", MAX(Instances!Z12:Instances!Z12),"diff", MAX(Instances!Z12:Instances!Z12)-MIN(Instances!Z12:Instances!Z12))</f>
        <v>0</v>
      </c>
      <c r="AA12" s="1" cm="1">
        <f t="array" ref="AA12">_xlfn.SWITCH($A$2,"average", AVERAGE(Instances!AA12:Instances!AA12),"median", MEDIAN(Instances!AA12:Instances!AA12),"min", MIN(Instances!AA12:Instances!AA12),"max", MAX(Instances!AA12:Instances!AA12),"diff", MAX(Instances!AA12:Instances!AA12)-MIN(Instances!AA12:Instances!AA12))</f>
        <v>0</v>
      </c>
      <c r="AB12" s="1" cm="1">
        <f t="array" ref="AB12">_xlfn.SWITCH($A$2,"average", AVERAGE(Instances!AB12:Instances!AB12),"median", MEDIAN(Instances!AB12:Instances!AB12),"min", MIN(Instances!AB12:Instances!AB12),"max", MAX(Instances!AB12:Instances!AB12),"diff", MAX(Instances!AB12:Instances!AB12)-MIN(Instances!AB12:Instances!AB12))</f>
        <v>0</v>
      </c>
      <c r="AC12" s="1" cm="1">
        <f t="array" ref="AC12">_xlfn.SWITCH($A$2,"average", AVERAGE(Instances!AC12:Instances!AC12),"median", MEDIAN(Instances!AC12:Instances!AC12),"min", MIN(Instances!AC12:Instances!AC12),"max", MAX(Instances!AC12:Instances!AC12),"diff", MAX(Instances!AC12:Instances!AC12)-MIN(Instances!AC12:Instances!AC12))</f>
        <v>0</v>
      </c>
      <c r="AD12" s="1" cm="1">
        <f t="array" ref="AD12">_xlfn.SWITCH($A$2,"average", AVERAGE(Instances!AD12:Instances!AD12),"median", MEDIAN(Instances!AD12:Instances!AD12),"min", MIN(Instances!AD12:Instances!AD12),"max", MAX(Instances!AD12:Instances!AD12),"diff", MAX(Instances!AD12:Instances!AD12)-MIN(Instances!AD12:Instances!AD12))</f>
        <v>0</v>
      </c>
      <c r="AE12" s="1" cm="1">
        <f t="array" ref="AE12">_xlfn.SWITCH($A$2,"average", AVERAGE(Instances!AE12:Instances!AE12),"median", MEDIAN(Instances!AE12:Instances!AE12),"min", MIN(Instances!AE12:Instances!AE12),"max", MAX(Instances!AE12:Instances!AE12),"diff", MAX(Instances!AE12:Instances!AE12)-MIN(Instances!AE12:Instances!AE12))</f>
        <v>0</v>
      </c>
      <c r="AF12" s="1" cm="1">
        <f t="array" ref="AF12">_xlfn.SWITCH($A$2,"average", AVERAGE(Instances!AF12:Instances!AF12),"median", MEDIAN(Instances!AF12:Instances!AF12),"min", MIN(Instances!AF12:Instances!AF12),"max", MAX(Instances!AF12:Instances!AF12),"diff", MAX(Instances!AF12:Instances!AF12)-MIN(Instances!AF12:Instances!AF12))</f>
        <v>0</v>
      </c>
      <c r="AG12" s="1" cm="1">
        <f t="array" ref="AG12">_xlfn.SWITCH($A$2,"average", AVERAGE(Instances!AG12:Instances!AG12),"median", MEDIAN(Instances!AG12:Instances!AG12),"min", MIN(Instances!AG12:Instances!AG12),"max", MAX(Instances!AG12:Instances!AG12),"diff", MAX(Instances!AG12:Instances!AG12)-MIN(Instances!AG12:Instances!AG12))</f>
        <v>0</v>
      </c>
      <c r="AH12" s="1"/>
      <c r="AI12" s="1" cm="1">
        <f t="array" ref="AI12">_xlfn.SWITCH($A$2,"average", AVERAGE(Instances!AI12:Instances!AI12),"median", MEDIAN(Instances!AI12:Instances!AI12),"min", MIN(Instances!AI12:Instances!AI12),"max", MAX(Instances!AI12:Instances!AI12),"diff", MAX(Instances!AI12:Instances!AI12)-MIN(Instances!AI12:Instances!AI12))</f>
        <v>0</v>
      </c>
      <c r="AJ12" s="1" cm="1">
        <f t="array" ref="AJ12">_xlfn.SWITCH($A$2,"average", AVERAGE(Instances!AJ12:Instances!AJ12),"median", MEDIAN(Instances!AJ12:Instances!AJ12),"min", MIN(Instances!AJ12:Instances!AJ12),"max", MAX(Instances!AJ12:Instances!AJ12),"diff", MAX(Instances!AJ12:Instances!AJ12)-MIN(Instances!AJ12:Instances!AJ12))</f>
        <v>0</v>
      </c>
      <c r="AK12" s="1" cm="1">
        <f t="array" ref="AK12">_xlfn.SWITCH($A$2,"average", AVERAGE(Instances!AK12:Instances!AK12),"median", MEDIAN(Instances!AK12:Instances!AK12),"min", MIN(Instances!AK12:Instances!AK12),"max", MAX(Instances!AK12:Instances!AK12),"diff", MAX(Instances!AK12:Instances!AK12)-MIN(Instances!AK12:Instances!AK12))</f>
        <v>0</v>
      </c>
      <c r="AL12" s="1" cm="1">
        <f t="array" ref="AL12">_xlfn.SWITCH($A$2,"average", AVERAGE(Instances!AL12:Instances!AL12),"median", MEDIAN(Instances!AL12:Instances!AL12),"min", MIN(Instances!AL12:Instances!AL12),"max", MAX(Instances!AL12:Instances!AL12),"diff", MAX(Instances!AL12:Instances!AL12)-MIN(Instances!AL12:Instances!AL12))</f>
        <v>0</v>
      </c>
      <c r="AM12" s="1" cm="1">
        <f t="array" ref="AM12">_xlfn.SWITCH($A$2,"average", AVERAGE(Instances!AM12:Instances!AM12),"median", MEDIAN(Instances!AM12:Instances!AM12),"min", MIN(Instances!AM12:Instances!AM12),"max", MAX(Instances!AM12:Instances!AM12),"diff", MAX(Instances!AM12:Instances!AM12)-MIN(Instances!AM12:Instances!AM12))</f>
        <v>0</v>
      </c>
      <c r="AN12" s="1" cm="1">
        <f t="array" ref="AN12">_xlfn.SWITCH($A$2,"average", AVERAGE(Instances!AN12:Instances!AN12),"median", MEDIAN(Instances!AN12:Instances!AN12),"min", MIN(Instances!AN12:Instances!AN12),"max", MAX(Instances!AN12:Instances!AN12),"diff", MAX(Instances!AN12:Instances!AN12)-MIN(Instances!AN12:Instances!AN12))</f>
        <v>0</v>
      </c>
      <c r="AO12" s="1" cm="1">
        <f t="array" ref="AO12">_xlfn.SWITCH($A$2,"average", AVERAGE(Instances!AO12:Instances!AO12),"median", MEDIAN(Instances!AO12:Instances!AO12),"min", MIN(Instances!AO12:Instances!AO12),"max", MAX(Instances!AO12:Instances!AO12),"diff", MAX(Instances!AO12:Instances!AO12)-MIN(Instances!AO12:Instances!AO12))</f>
        <v>0</v>
      </c>
      <c r="AP12" s="1" cm="1">
        <f t="array" ref="AP12">_xlfn.SWITCH($A$2,"average", AVERAGE(Instances!AP12:Instances!AP12),"median", MEDIAN(Instances!AP12:Instances!AP12),"min", MIN(Instances!AP12:Instances!AP12),"max", MAX(Instances!AP12:Instances!AP12),"diff", MAX(Instances!AP12:Instances!AP12)-MIN(Instances!AP12:Instances!AP12))</f>
        <v>0</v>
      </c>
      <c r="AQ12" s="1" cm="1">
        <f t="array" ref="AQ12">_xlfn.SWITCH($A$2,"average", AVERAGE(Instances!AQ12:Instances!AQ12),"median", MEDIAN(Instances!AQ12:Instances!AQ12),"min", MIN(Instances!AQ12:Instances!AQ12),"max", MAX(Instances!AQ12:Instances!AQ12),"diff", MAX(Instances!AQ12:Instances!AQ12)-MIN(Instances!AQ12:Instances!AQ12))</f>
        <v>0</v>
      </c>
      <c r="AR12" s="1" cm="1">
        <f t="array" ref="AR12">_xlfn.SWITCH($A$2,"average", AVERAGE(Instances!AR12:Instances!AR12),"median", MEDIAN(Instances!AR12:Instances!AR12),"min", MIN(Instances!AR12:Instances!AR12),"max", MAX(Instances!AR12:Instances!AR12),"diff", MAX(Instances!AR12:Instances!AR12)-MIN(Instances!AR12:Instances!AR12))</f>
        <v>0</v>
      </c>
      <c r="AS12" s="1" cm="1">
        <f t="array" ref="AS12">_xlfn.SWITCH($A$2,"average", AVERAGE(Instances!AS12:Instances!AS12),"median", MEDIAN(Instances!AS12:Instances!AS12),"min", MIN(Instances!AS12:Instances!AS12),"max", MAX(Instances!AS12:Instances!AS12),"diff", MAX(Instances!AS12:Instances!AS12)-MIN(Instances!AS12:Instances!AS12))</f>
        <v>0</v>
      </c>
      <c r="AT12" s="1" cm="1">
        <f t="array" ref="AT12">_xlfn.SWITCH($A$2,"average", AVERAGE(Instances!AT12:Instances!AT12),"median", MEDIAN(Instances!AT12:Instances!AT12),"min", MIN(Instances!AT12:Instances!AT12),"max", MAX(Instances!AT12:Instances!AT12),"diff", MAX(Instances!AT12:Instances!AT12)-MIN(Instances!AT12:Instances!AT12))</f>
        <v>0</v>
      </c>
      <c r="AU12" s="1" cm="1">
        <f t="array" ref="AU12">_xlfn.SWITCH($A$2,"average", AVERAGE(Instances!AU12:Instances!AU12),"median", MEDIAN(Instances!AU12:Instances!AU12),"min", MIN(Instances!AU12:Instances!AU12),"max", MAX(Instances!AU12:Instances!AU12),"diff", MAX(Instances!AU12:Instances!AU12)-MIN(Instances!AU12:Instances!AU12))</f>
        <v>0</v>
      </c>
      <c r="AV12" s="1" cm="1">
        <f t="array" ref="AV12">_xlfn.SWITCH($A$2,"average", AVERAGE(Instances!AV12:Instances!AV12),"median", MEDIAN(Instances!AV12:Instances!AV12),"min", MIN(Instances!AV12:Instances!AV12),"max", MAX(Instances!AV12:Instances!AV12),"diff", MAX(Instances!AV12:Instances!AV12)-MIN(Instances!AV12:Instances!AV12))</f>
        <v>0</v>
      </c>
      <c r="AW12" s="1" cm="1">
        <f t="array" ref="AW12">_xlfn.SWITCH($A$2,"average", AVERAGE(Instances!AW12:Instances!AW12),"median", MEDIAN(Instances!AW12:Instances!AW12),"min", MIN(Instances!AW12:Instances!AW12),"max", MAX(Instances!AW12:Instances!AW12),"diff", MAX(Instances!AW12:Instances!AW12)-MIN(Instances!AW12:Instances!AW12))</f>
        <v>0</v>
      </c>
      <c r="AX12" s="1" cm="1">
        <f t="array" ref="AX12">_xlfn.SWITCH($A$2,"average", AVERAGE(Instances!AX12:Instances!AX12),"median", MEDIAN(Instances!AX12:Instances!AX12),"min", MIN(Instances!AX12:Instances!AX12),"max", MAX(Instances!AX12:Instances!AX12),"diff", MAX(Instances!AX12:Instances!AX12)-MIN(Instances!AX12:Instances!AX12))</f>
        <v>0</v>
      </c>
      <c r="AY12" s="1" cm="1">
        <f t="array" ref="AY12">_xlfn.SWITCH($A$2,"average", AVERAGE(Instances!AY12:Instances!AY12),"median", MEDIAN(Instances!AY12:Instances!AY12),"min", MIN(Instances!AY12:Instances!AY12),"max", MAX(Instances!AY12:Instances!AY12),"diff", MAX(Instances!AY12:Instances!AY12)-MIN(Instances!AY12:Instances!AY12))</f>
        <v>0</v>
      </c>
      <c r="AZ12" s="1"/>
      <c r="BA12" s="1" cm="1">
        <f t="array" ref="BA12">_xlfn.SWITCH($A$2,"average", AVERAGE(Instances!BA12:Instances!BA12),"median", MEDIAN(Instances!BA12:Instances!BA12),"min", MIN(Instances!BA12:Instances!BA12),"max", MAX(Instances!BA12:Instances!BA12),"diff", MAX(Instances!BA12:Instances!BA12)-MIN(Instances!BA12:Instances!BA12))</f>
        <v>0</v>
      </c>
      <c r="BB12" s="1" cm="1">
        <f t="array" ref="BB12">_xlfn.SWITCH($A$2,"average", AVERAGE(Instances!BB12:Instances!BB12),"median", MEDIAN(Instances!BB12:Instances!BB12),"min", MIN(Instances!BB12:Instances!BB12),"max", MAX(Instances!BB12:Instances!BB12),"diff", MAX(Instances!BB12:Instances!BB12)-MIN(Instances!BB12:Instances!BB12))</f>
        <v>0</v>
      </c>
      <c r="BC12" s="1" cm="1">
        <f t="array" ref="BC12">_xlfn.SWITCH($A$2,"average", AVERAGE(Instances!BC12:Instances!BC12),"median", MEDIAN(Instances!BC12:Instances!BC12),"min", MIN(Instances!BC12:Instances!BC12),"max", MAX(Instances!BC12:Instances!BC12),"diff", MAX(Instances!BC12:Instances!BC12)-MIN(Instances!BC12:Instances!BC12))</f>
        <v>0</v>
      </c>
      <c r="BD12" s="1" cm="1">
        <f t="array" ref="BD12">_xlfn.SWITCH($A$2,"average", AVERAGE(Instances!BD12:Instances!BD12),"median", MEDIAN(Instances!BD12:Instances!BD12),"min", MIN(Instances!BD12:Instances!BD12),"max", MAX(Instances!BD12:Instances!BD12),"diff", MAX(Instances!BD12:Instances!BD12)-MIN(Instances!BD12:Instances!BD12))</f>
        <v>0</v>
      </c>
      <c r="BE12" s="1" cm="1">
        <f t="array" ref="BE12">_xlfn.SWITCH($A$2,"average", AVERAGE(Instances!BE12:Instances!BE12),"median", MEDIAN(Instances!BE12:Instances!BE12),"min", MIN(Instances!BE12:Instances!BE12),"max", MAX(Instances!BE12:Instances!BE12),"diff", MAX(Instances!BE12:Instances!BE12)-MIN(Instances!BE12:Instances!BE12))</f>
        <v>0</v>
      </c>
      <c r="BF12" s="1" cm="1">
        <f t="array" ref="BF12">_xlfn.SWITCH($A$2,"average", AVERAGE(Instances!BF12:Instances!BF12),"median", MEDIAN(Instances!BF12:Instances!BF12),"min", MIN(Instances!BF12:Instances!BF12),"max", MAX(Instances!BF12:Instances!BF12),"diff", MAX(Instances!BF12:Instances!BF12)-MIN(Instances!BF12:Instances!BF12))</f>
        <v>0</v>
      </c>
      <c r="BG12" s="1" cm="1">
        <f t="array" ref="BG12">_xlfn.SWITCH($A$2,"average", AVERAGE(Instances!BG12:Instances!BG12),"median", MEDIAN(Instances!BG12:Instances!BG12),"min", MIN(Instances!BG12:Instances!BG12),"max", MAX(Instances!BG12:Instances!BG12),"diff", MAX(Instances!BG12:Instances!BG12)-MIN(Instances!BG12:Instances!BG12))</f>
        <v>0</v>
      </c>
      <c r="BH12" s="1" cm="1">
        <f t="array" ref="BH12">_xlfn.SWITCH($A$2,"average", AVERAGE(Instances!BH12:Instances!BH12),"median", MEDIAN(Instances!BH12:Instances!BH12),"min", MIN(Instances!BH12:Instances!BH12),"max", MAX(Instances!BH12:Instances!BH12),"diff", MAX(Instances!BH12:Instances!BH12)-MIN(Instances!BH12:Instances!BH12))</f>
        <v>0</v>
      </c>
      <c r="BI12" s="1" cm="1">
        <f t="array" ref="BI12">_xlfn.SWITCH($A$2,"average", AVERAGE(Instances!BI12:Instances!BI12),"median", MEDIAN(Instances!BI12:Instances!BI12),"min", MIN(Instances!BI12:Instances!BI12),"max", MAX(Instances!BI12:Instances!BI12),"diff", MAX(Instances!BI12:Instances!BI12)-MIN(Instances!BI12:Instances!BI12))</f>
        <v>0</v>
      </c>
      <c r="BJ12" s="1" cm="1">
        <f t="array" ref="BJ12">_xlfn.SWITCH($A$2,"average", AVERAGE(Instances!BJ12:Instances!BJ12),"median", MEDIAN(Instances!BJ12:Instances!BJ12),"min", MIN(Instances!BJ12:Instances!BJ12),"max", MAX(Instances!BJ12:Instances!BJ12),"diff", MAX(Instances!BJ12:Instances!BJ12)-MIN(Instances!BJ12:Instances!BJ12))</f>
        <v>0</v>
      </c>
      <c r="BK12" s="1" cm="1">
        <f t="array" ref="BK12">_xlfn.SWITCH($A$2,"average", AVERAGE(Instances!BK12:Instances!BK12),"median", MEDIAN(Instances!BK12:Instances!BK12),"min", MIN(Instances!BK12:Instances!BK12),"max", MAX(Instances!BK12:Instances!BK12),"diff", MAX(Instances!BK12:Instances!BK12)-MIN(Instances!BK12:Instances!BK12))</f>
        <v>0</v>
      </c>
      <c r="BL12" s="1" cm="1">
        <f t="array" ref="BL12">_xlfn.SWITCH($A$2,"average", AVERAGE(Instances!BL12:Instances!BL12),"median", MEDIAN(Instances!BL12:Instances!BL12),"min", MIN(Instances!BL12:Instances!BL12),"max", MAX(Instances!BL12:Instances!BL12),"diff", MAX(Instances!BL12:Instances!BL12)-MIN(Instances!BL12:Instances!BL12))</f>
        <v>0</v>
      </c>
      <c r="BM12" s="1" cm="1">
        <f t="array" ref="BM12">_xlfn.SWITCH($A$2,"average", AVERAGE(Instances!BM12:Instances!BM12),"median", MEDIAN(Instances!BM12:Instances!BM12),"min", MIN(Instances!BM12:Instances!BM12),"max", MAX(Instances!BM12:Instances!BM12),"diff", MAX(Instances!BM12:Instances!BM12)-MIN(Instances!BM12:Instances!BM12))</f>
        <v>0</v>
      </c>
      <c r="BN12" s="1" cm="1">
        <f t="array" ref="BN12">_xlfn.SWITCH($A$2,"average", AVERAGE(Instances!BN12:Instances!BN12),"median", MEDIAN(Instances!BN12:Instances!BN12),"min", MIN(Instances!BN12:Instances!BN12),"max", MAX(Instances!BN12:Instances!BN12),"diff", MAX(Instances!BN12:Instances!BN12)-MIN(Instances!BN12:Instances!BN12))</f>
        <v>0</v>
      </c>
      <c r="BO12" s="1" cm="1">
        <f t="array" ref="BO12">_xlfn.SWITCH($A$2,"average", AVERAGE(Instances!BO12:Instances!BO12),"median", MEDIAN(Instances!BO12:Instances!BO12),"min", MIN(Instances!BO12:Instances!BO12),"max", MAX(Instances!BO12:Instances!BO12),"diff", MAX(Instances!BO12:Instances!BO12)-MIN(Instances!BO12:Instances!BO12))</f>
        <v>0</v>
      </c>
      <c r="BP12" s="1" cm="1">
        <f t="array" ref="BP12">_xlfn.SWITCH($A$2,"average", AVERAGE(Instances!BP12:Instances!BP12),"median", MEDIAN(Instances!BP12:Instances!BP12),"min", MIN(Instances!BP12:Instances!BP12),"max", MAX(Instances!BP12:Instances!BP12),"diff", MAX(Instances!BP12:Instances!BP12)-MIN(Instances!BP12:Instances!BP12))</f>
        <v>0</v>
      </c>
      <c r="BQ12" s="1" cm="1">
        <f t="array" ref="BQ12">_xlfn.SWITCH($A$2,"average", AVERAGE(Instances!BQ12:Instances!BQ12),"median", MEDIAN(Instances!BQ12:Instances!BQ12),"min", MIN(Instances!BQ12:Instances!BQ12),"max", MAX(Instances!BQ12:Instances!BQ12),"diff", MAX(Instances!BQ12:Instances!BQ12)-MIN(Instances!BQ12:Instances!BQ12))</f>
        <v>0</v>
      </c>
      <c r="BR12" s="1"/>
      <c r="BS12" s="1" cm="1">
        <f t="array" ref="BS12">_xlfn.SWITCH($A$2,"average", AVERAGE(Instances!BS12:Instances!BS12),"median", MEDIAN(Instances!BS12:Instances!BS12),"min", MIN(Instances!BS12:Instances!BS12),"max", MAX(Instances!BS12:Instances!BS12),"diff", MAX(Instances!BS12:Instances!BS12)-MIN(Instances!BS12:Instances!BS12))</f>
        <v>0</v>
      </c>
      <c r="BT12" s="1" cm="1">
        <f t="array" ref="BT12">_xlfn.SWITCH($A$2,"average", AVERAGE(Instances!BT12:Instances!BT12),"median", MEDIAN(Instances!BT12:Instances!BT12),"min", MIN(Instances!BT12:Instances!BT12),"max", MAX(Instances!BT12:Instances!BT12),"diff", MAX(Instances!BT12:Instances!BT12)-MIN(Instances!BT12:Instances!BT12))</f>
        <v>0</v>
      </c>
      <c r="BU12" s="1" cm="1">
        <f t="array" ref="BU12">_xlfn.SWITCH($A$2,"average", AVERAGE(Instances!BU12:Instances!BU12),"median", MEDIAN(Instances!BU12:Instances!BU12),"min", MIN(Instances!BU12:Instances!BU12),"max", MAX(Instances!BU12:Instances!BU12),"diff", MAX(Instances!BU12:Instances!BU12)-MIN(Instances!BU12:Instances!BU12))</f>
        <v>0</v>
      </c>
      <c r="BV12" s="1" cm="1">
        <f t="array" ref="BV12">_xlfn.SWITCH($A$2,"average", AVERAGE(Instances!BV12:Instances!BV12),"median", MEDIAN(Instances!BV12:Instances!BV12),"min", MIN(Instances!BV12:Instances!BV12),"max", MAX(Instances!BV12:Instances!BV12),"diff", MAX(Instances!BV12:Instances!BV12)-MIN(Instances!BV12:Instances!BV12))</f>
        <v>0</v>
      </c>
      <c r="BW12" s="1" cm="1">
        <f t="array" ref="BW12">_xlfn.SWITCH($A$2,"average", AVERAGE(Instances!BW12:Instances!BW12),"median", MEDIAN(Instances!BW12:Instances!BW12),"min", MIN(Instances!BW12:Instances!BW12),"max", MAX(Instances!BW12:Instances!BW12),"diff", MAX(Instances!BW12:Instances!BW12)-MIN(Instances!BW12:Instances!BW12))</f>
        <v>0</v>
      </c>
      <c r="BX12" s="1" cm="1">
        <f t="array" ref="BX12">_xlfn.SWITCH($A$2,"average", AVERAGE(Instances!BX12:Instances!BX12),"median", MEDIAN(Instances!BX12:Instances!BX12),"min", MIN(Instances!BX12:Instances!BX12),"max", MAX(Instances!BX12:Instances!BX12),"diff", MAX(Instances!BX12:Instances!BX12)-MIN(Instances!BX12:Instances!BX12))</f>
        <v>0</v>
      </c>
      <c r="BY12" s="1" cm="1">
        <f t="array" ref="BY12">_xlfn.SWITCH($A$2,"average", AVERAGE(Instances!BY12:Instances!BY12),"median", MEDIAN(Instances!BY12:Instances!BY12),"min", MIN(Instances!BY12:Instances!BY12),"max", MAX(Instances!BY12:Instances!BY12),"diff", MAX(Instances!BY12:Instances!BY12)-MIN(Instances!BY12:Instances!BY12))</f>
        <v>0</v>
      </c>
      <c r="BZ12" s="1" cm="1">
        <f t="array" ref="BZ12">_xlfn.SWITCH($A$2,"average", AVERAGE(Instances!BZ12:Instances!BZ12),"median", MEDIAN(Instances!BZ12:Instances!BZ12),"min", MIN(Instances!BZ12:Instances!BZ12),"max", MAX(Instances!BZ12:Instances!BZ12),"diff", MAX(Instances!BZ12:Instances!BZ12)-MIN(Instances!BZ12:Instances!BZ12))</f>
        <v>0</v>
      </c>
      <c r="CA12" s="1" cm="1">
        <f t="array" ref="CA12">_xlfn.SWITCH($A$2,"average", AVERAGE(Instances!CA12:Instances!CA12),"median", MEDIAN(Instances!CA12:Instances!CA12),"min", MIN(Instances!CA12:Instances!CA12),"max", MAX(Instances!CA12:Instances!CA12),"diff", MAX(Instances!CA12:Instances!CA12)-MIN(Instances!CA12:Instances!CA12))</f>
        <v>0</v>
      </c>
      <c r="CB12" s="1" cm="1">
        <f t="array" ref="CB12">_xlfn.SWITCH($A$2,"average", AVERAGE(Instances!CB12:Instances!CB12),"median", MEDIAN(Instances!CB12:Instances!CB12),"min", MIN(Instances!CB12:Instances!CB12),"max", MAX(Instances!CB12:Instances!CB12),"diff", MAX(Instances!CB12:Instances!CB12)-MIN(Instances!CB12:Instances!CB12))</f>
        <v>0</v>
      </c>
      <c r="CC12" s="1" cm="1">
        <f t="array" ref="CC12">_xlfn.SWITCH($A$2,"average", AVERAGE(Instances!CC12:Instances!CC12),"median", MEDIAN(Instances!CC12:Instances!CC12),"min", MIN(Instances!CC12:Instances!CC12),"max", MAX(Instances!CC12:Instances!CC12),"diff", MAX(Instances!CC12:Instances!CC12)-MIN(Instances!CC12:Instances!CC12))</f>
        <v>0</v>
      </c>
      <c r="CD12" s="1" cm="1">
        <f t="array" ref="CD12">_xlfn.SWITCH($A$2,"average", AVERAGE(Instances!CD12:Instances!CD12),"median", MEDIAN(Instances!CD12:Instances!CD12),"min", MIN(Instances!CD12:Instances!CD12),"max", MAX(Instances!CD12:Instances!CD12),"diff", MAX(Instances!CD12:Instances!CD12)-MIN(Instances!CD12:Instances!CD12))</f>
        <v>0</v>
      </c>
      <c r="CE12" s="1" cm="1">
        <f t="array" ref="CE12">_xlfn.SWITCH($A$2,"average", AVERAGE(Instances!CE12:Instances!CE12),"median", MEDIAN(Instances!CE12:Instances!CE12),"min", MIN(Instances!CE12:Instances!CE12),"max", MAX(Instances!CE12:Instances!CE12),"diff", MAX(Instances!CE12:Instances!CE12)-MIN(Instances!CE12:Instances!CE12))</f>
        <v>0</v>
      </c>
      <c r="CF12" s="1" cm="1">
        <f t="array" ref="CF12">_xlfn.SWITCH($A$2,"average", AVERAGE(Instances!CF12:Instances!CF12),"median", MEDIAN(Instances!CF12:Instances!CF12),"min", MIN(Instances!CF12:Instances!CF12),"max", MAX(Instances!CF12:Instances!CF12),"diff", MAX(Instances!CF12:Instances!CF12)-MIN(Instances!CF12:Instances!CF12))</f>
        <v>0</v>
      </c>
      <c r="CG12" s="1" cm="1">
        <f t="array" ref="CG12">_xlfn.SWITCH($A$2,"average", AVERAGE(Instances!CG12:Instances!CG12),"median", MEDIAN(Instances!CG12:Instances!CG12),"min", MIN(Instances!CG12:Instances!CG12),"max", MAX(Instances!CG12:Instances!CG12),"diff", MAX(Instances!CG12:Instances!CG12)-MIN(Instances!CG12:Instances!CG12))</f>
        <v>0</v>
      </c>
      <c r="CH12" s="1" cm="1">
        <f t="array" ref="CH12">_xlfn.SWITCH($A$2,"average", AVERAGE(Instances!CH12:Instances!CH12),"median", MEDIAN(Instances!CH12:Instances!CH12),"min", MIN(Instances!CH12:Instances!CH12),"max", MAX(Instances!CH12:Instances!CH12),"diff", MAX(Instances!CH12:Instances!CH12)-MIN(Instances!CH12:Instances!CH12))</f>
        <v>0</v>
      </c>
      <c r="CI12" s="1" cm="1">
        <f t="array" ref="CI12">_xlfn.SWITCH($A$2,"average", AVERAGE(Instances!CI12:Instances!CI12),"median", MEDIAN(Instances!CI12:Instances!CI12),"min", MIN(Instances!CI12:Instances!CI12),"max", MAX(Instances!CI12:Instances!CI12),"diff", MAX(Instances!CI12:Instances!CI12)-MIN(Instances!CI12:Instances!CI12))</f>
        <v>0</v>
      </c>
      <c r="CJ12" s="1"/>
      <c r="CK12" s="1" cm="1">
        <f t="array" ref="CK12">_xlfn.SWITCH($A$2,"average", AVERAGE(Instances!CK12:Instances!CK12),"median", MEDIAN(Instances!CK12:Instances!CK12),"min", MIN(Instances!CK12:Instances!CK12),"max", MAX(Instances!CK12:Instances!CK12),"diff", MAX(Instances!CK12:Instances!CK12)-MIN(Instances!CK12:Instances!CK12))</f>
        <v>0</v>
      </c>
      <c r="CL12" s="1" cm="1">
        <f t="array" ref="CL12">_xlfn.SWITCH($A$2,"average", AVERAGE(Instances!CL12:Instances!CL12),"median", MEDIAN(Instances!CL12:Instances!CL12),"min", MIN(Instances!CL12:Instances!CL12),"max", MAX(Instances!CL12:Instances!CL12),"diff", MAX(Instances!CL12:Instances!CL12)-MIN(Instances!CL12:Instances!CL12))</f>
        <v>0</v>
      </c>
      <c r="CM12" s="1" cm="1">
        <f t="array" ref="CM12">_xlfn.SWITCH($A$2,"average", AVERAGE(Instances!CM12:Instances!CM12),"median", MEDIAN(Instances!CM12:Instances!CM12),"min", MIN(Instances!CM12:Instances!CM12),"max", MAX(Instances!CM12:Instances!CM12),"diff", MAX(Instances!CM12:Instances!CM12)-MIN(Instances!CM12:Instances!CM12))</f>
        <v>0</v>
      </c>
      <c r="CN12" s="1" cm="1">
        <f t="array" ref="CN12">_xlfn.SWITCH($A$2,"average", AVERAGE(Instances!CN12:Instances!CN12),"median", MEDIAN(Instances!CN12:Instances!CN12),"min", MIN(Instances!CN12:Instances!CN12),"max", MAX(Instances!CN12:Instances!CN12),"diff", MAX(Instances!CN12:Instances!CN12)-MIN(Instances!CN12:Instances!CN12))</f>
        <v>0</v>
      </c>
      <c r="CO12" s="1" cm="1">
        <f t="array" ref="CO12">_xlfn.SWITCH($A$2,"average", AVERAGE(Instances!CO12:Instances!CO12),"median", MEDIAN(Instances!CO12:Instances!CO12),"min", MIN(Instances!CO12:Instances!CO12),"max", MAX(Instances!CO12:Instances!CO12),"diff", MAX(Instances!CO12:Instances!CO12)-MIN(Instances!CO12:Instances!CO12))</f>
        <v>0</v>
      </c>
      <c r="CP12" s="1" cm="1">
        <f t="array" ref="CP12">_xlfn.SWITCH($A$2,"average", AVERAGE(Instances!CP12:Instances!CP12),"median", MEDIAN(Instances!CP12:Instances!CP12),"min", MIN(Instances!CP12:Instances!CP12),"max", MAX(Instances!CP12:Instances!CP12),"diff", MAX(Instances!CP12:Instances!CP12)-MIN(Instances!CP12:Instances!CP12))</f>
        <v>0</v>
      </c>
      <c r="CQ12" s="1" cm="1">
        <f t="array" ref="CQ12">_xlfn.SWITCH($A$2,"average", AVERAGE(Instances!CQ12:Instances!CQ12),"median", MEDIAN(Instances!CQ12:Instances!CQ12),"min", MIN(Instances!CQ12:Instances!CQ12),"max", MAX(Instances!CQ12:Instances!CQ12),"diff", MAX(Instances!CQ12:Instances!CQ12)-MIN(Instances!CQ12:Instances!CQ12))</f>
        <v>0</v>
      </c>
      <c r="CR12" s="1" cm="1">
        <f t="array" ref="CR12">_xlfn.SWITCH($A$2,"average", AVERAGE(Instances!CR12:Instances!CR12),"median", MEDIAN(Instances!CR12:Instances!CR12),"min", MIN(Instances!CR12:Instances!CR12),"max", MAX(Instances!CR12:Instances!CR12),"diff", MAX(Instances!CR12:Instances!CR12)-MIN(Instances!CR12:Instances!CR12))</f>
        <v>0</v>
      </c>
      <c r="CS12" s="1" cm="1">
        <f t="array" ref="CS12">_xlfn.SWITCH($A$2,"average", AVERAGE(Instances!CS12:Instances!CS12),"median", MEDIAN(Instances!CS12:Instances!CS12),"min", MIN(Instances!CS12:Instances!CS12),"max", MAX(Instances!CS12:Instances!CS12),"diff", MAX(Instances!CS12:Instances!CS12)-MIN(Instances!CS12:Instances!CS12))</f>
        <v>0</v>
      </c>
      <c r="CT12" s="1" cm="1">
        <f t="array" ref="CT12">_xlfn.SWITCH($A$2,"average", AVERAGE(Instances!CT12:Instances!CT12),"median", MEDIAN(Instances!CT12:Instances!CT12),"min", MIN(Instances!CT12:Instances!CT12),"max", MAX(Instances!CT12:Instances!CT12),"diff", MAX(Instances!CT12:Instances!CT12)-MIN(Instances!CT12:Instances!CT12))</f>
        <v>0</v>
      </c>
      <c r="CU12" s="1" cm="1">
        <f t="array" ref="CU12">_xlfn.SWITCH($A$2,"average", AVERAGE(Instances!CU12:Instances!CU12),"median", MEDIAN(Instances!CU12:Instances!CU12),"min", MIN(Instances!CU12:Instances!CU12),"max", MAX(Instances!CU12:Instances!CU12),"diff", MAX(Instances!CU12:Instances!CU12)-MIN(Instances!CU12:Instances!CU12))</f>
        <v>0</v>
      </c>
      <c r="CV12" s="1" cm="1">
        <f t="array" ref="CV12">_xlfn.SWITCH($A$2,"average", AVERAGE(Instances!CV12:Instances!CV12),"median", MEDIAN(Instances!CV12:Instances!CV12),"min", MIN(Instances!CV12:Instances!CV12),"max", MAX(Instances!CV12:Instances!CV12),"diff", MAX(Instances!CV12:Instances!CV12)-MIN(Instances!CV12:Instances!CV12))</f>
        <v>0</v>
      </c>
      <c r="CW12" s="1" cm="1">
        <f t="array" ref="CW12">_xlfn.SWITCH($A$2,"average", AVERAGE(Instances!CW12:Instances!CW12),"median", MEDIAN(Instances!CW12:Instances!CW12),"min", MIN(Instances!CW12:Instances!CW12),"max", MAX(Instances!CW12:Instances!CW12),"diff", MAX(Instances!CW12:Instances!CW12)-MIN(Instances!CW12:Instances!CW12))</f>
        <v>0</v>
      </c>
      <c r="CX12" s="1" cm="1">
        <f t="array" ref="CX12">_xlfn.SWITCH($A$2,"average", AVERAGE(Instances!CX12:Instances!CX12),"median", MEDIAN(Instances!CX12:Instances!CX12),"min", MIN(Instances!CX12:Instances!CX12),"max", MAX(Instances!CX12:Instances!CX12),"diff", MAX(Instances!CX12:Instances!CX12)-MIN(Instances!CX12:Instances!CX12))</f>
        <v>0</v>
      </c>
      <c r="CY12" s="1" cm="1">
        <f t="array" ref="CY12">_xlfn.SWITCH($A$2,"average", AVERAGE(Instances!CY12:Instances!CY12),"median", MEDIAN(Instances!CY12:Instances!CY12),"min", MIN(Instances!CY12:Instances!CY12),"max", MAX(Instances!CY12:Instances!CY12),"diff", MAX(Instances!CY12:Instances!CY12)-MIN(Instances!CY12:Instances!CY12))</f>
        <v>0</v>
      </c>
      <c r="CZ12" s="1" cm="1">
        <f t="array" ref="CZ12">_xlfn.SWITCH($A$2,"average", AVERAGE(Instances!CZ12:Instances!CZ12),"median", MEDIAN(Instances!CZ12:Instances!CZ12),"min", MIN(Instances!CZ12:Instances!CZ12),"max", MAX(Instances!CZ12:Instances!CZ12),"diff", MAX(Instances!CZ12:Instances!CZ12)-MIN(Instances!CZ12:Instances!CZ12))</f>
        <v>0</v>
      </c>
      <c r="DA12" s="1" cm="1">
        <f t="array" ref="DA12">_xlfn.SWITCH($A$2,"average", AVERAGE(Instances!DA12:Instances!DA12),"median", MEDIAN(Instances!DA12:Instances!DA12),"min", MIN(Instances!DA12:Instances!DA12),"max", MAX(Instances!DA12:Instances!DA12),"diff", MAX(Instances!DA12:Instances!DA12)-MIN(Instances!DA12:Instances!DA12))</f>
        <v>0</v>
      </c>
      <c r="DB12" s="1"/>
      <c r="DC12" s="1" cm="1">
        <f t="array" ref="DC12">_xlfn.SWITCH($A$2,"average", AVERAGE(Instances!DC12:Instances!DC12),"median", MEDIAN(Instances!DC12:Instances!DC12),"min", MIN(Instances!DC12:Instances!DC12),"max", MAX(Instances!DC12:Instances!DC12),"diff", MAX(Instances!DC12:Instances!DC12)-MIN(Instances!DC12:Instances!DC12))</f>
        <v>0</v>
      </c>
      <c r="DD12" s="1" cm="1">
        <f t="array" ref="DD12">_xlfn.SWITCH($A$2,"average", AVERAGE(Instances!DD12:Instances!DD12),"median", MEDIAN(Instances!DD12:Instances!DD12),"min", MIN(Instances!DD12:Instances!DD12),"max", MAX(Instances!DD12:Instances!DD12),"diff", MAX(Instances!DD12:Instances!DD12)-MIN(Instances!DD12:Instances!DD12))</f>
        <v>0</v>
      </c>
      <c r="DE12" s="1" cm="1">
        <f t="array" ref="DE12">_xlfn.SWITCH($A$2,"average", AVERAGE(Instances!DE12:Instances!DE12),"median", MEDIAN(Instances!DE12:Instances!DE12),"min", MIN(Instances!DE12:Instances!DE12),"max", MAX(Instances!DE12:Instances!DE12),"diff", MAX(Instances!DE12:Instances!DE12)-MIN(Instances!DE12:Instances!DE12))</f>
        <v>0</v>
      </c>
      <c r="DF12" s="1" cm="1">
        <f t="array" ref="DF12">_xlfn.SWITCH($A$2,"average", AVERAGE(Instances!DF12:Instances!DF12),"median", MEDIAN(Instances!DF12:Instances!DF12),"min", MIN(Instances!DF12:Instances!DF12),"max", MAX(Instances!DF12:Instances!DF12),"diff", MAX(Instances!DF12:Instances!DF12)-MIN(Instances!DF12:Instances!DF12))</f>
        <v>0</v>
      </c>
      <c r="DG12" s="1" cm="1">
        <f t="array" ref="DG12">_xlfn.SWITCH($A$2,"average", AVERAGE(Instances!DG12:Instances!DG12),"median", MEDIAN(Instances!DG12:Instances!DG12),"min", MIN(Instances!DG12:Instances!DG12),"max", MAX(Instances!DG12:Instances!DG12),"diff", MAX(Instances!DG12:Instances!DG12)-MIN(Instances!DG12:Instances!DG12))</f>
        <v>0</v>
      </c>
      <c r="DH12" s="1" cm="1">
        <f t="array" ref="DH12">_xlfn.SWITCH($A$2,"average", AVERAGE(Instances!DH12:Instances!DH12),"median", MEDIAN(Instances!DH12:Instances!DH12),"min", MIN(Instances!DH12:Instances!DH12),"max", MAX(Instances!DH12:Instances!DH12),"diff", MAX(Instances!DH12:Instances!DH12)-MIN(Instances!DH12:Instances!DH12))</f>
        <v>0</v>
      </c>
      <c r="DI12" s="1" cm="1">
        <f t="array" ref="DI12">_xlfn.SWITCH($A$2,"average", AVERAGE(Instances!DI12:Instances!DI12),"median", MEDIAN(Instances!DI12:Instances!DI12),"min", MIN(Instances!DI12:Instances!DI12),"max", MAX(Instances!DI12:Instances!DI12),"diff", MAX(Instances!DI12:Instances!DI12)-MIN(Instances!DI12:Instances!DI12))</f>
        <v>0</v>
      </c>
      <c r="DJ12" s="1" cm="1">
        <f t="array" ref="DJ12">_xlfn.SWITCH($A$2,"average", AVERAGE(Instances!DJ12:Instances!DJ12),"median", MEDIAN(Instances!DJ12:Instances!DJ12),"min", MIN(Instances!DJ12:Instances!DJ12),"max", MAX(Instances!DJ12:Instances!DJ12),"diff", MAX(Instances!DJ12:Instances!DJ12)-MIN(Instances!DJ12:Instances!DJ12))</f>
        <v>0</v>
      </c>
      <c r="DK12" s="1" cm="1">
        <f t="array" ref="DK12">_xlfn.SWITCH($A$2,"average", AVERAGE(Instances!DK12:Instances!DK12),"median", MEDIAN(Instances!DK12:Instances!DK12),"min", MIN(Instances!DK12:Instances!DK12),"max", MAX(Instances!DK12:Instances!DK12),"diff", MAX(Instances!DK12:Instances!DK12)-MIN(Instances!DK12:Instances!DK12))</f>
        <v>0</v>
      </c>
      <c r="DL12" s="1" cm="1">
        <f t="array" ref="DL12">_xlfn.SWITCH($A$2,"average", AVERAGE(Instances!DL12:Instances!DL12),"median", MEDIAN(Instances!DL12:Instances!DL12),"min", MIN(Instances!DL12:Instances!DL12),"max", MAX(Instances!DL12:Instances!DL12),"diff", MAX(Instances!DL12:Instances!DL12)-MIN(Instances!DL12:Instances!DL12))</f>
        <v>0</v>
      </c>
      <c r="DM12" s="1" cm="1">
        <f t="array" ref="DM12">_xlfn.SWITCH($A$2,"average", AVERAGE(Instances!DM12:Instances!DM12),"median", MEDIAN(Instances!DM12:Instances!DM12),"min", MIN(Instances!DM12:Instances!DM12),"max", MAX(Instances!DM12:Instances!DM12),"diff", MAX(Instances!DM12:Instances!DM12)-MIN(Instances!DM12:Instances!DM12))</f>
        <v>0</v>
      </c>
      <c r="DN12" s="1" cm="1">
        <f t="array" ref="DN12">_xlfn.SWITCH($A$2,"average", AVERAGE(Instances!DN12:Instances!DN12),"median", MEDIAN(Instances!DN12:Instances!DN12),"min", MIN(Instances!DN12:Instances!DN12),"max", MAX(Instances!DN12:Instances!DN12),"diff", MAX(Instances!DN12:Instances!DN12)-MIN(Instances!DN12:Instances!DN12))</f>
        <v>0</v>
      </c>
      <c r="DO12" s="1" cm="1">
        <f t="array" ref="DO12">_xlfn.SWITCH($A$2,"average", AVERAGE(Instances!DO12:Instances!DO12),"median", MEDIAN(Instances!DO12:Instances!DO12),"min", MIN(Instances!DO12:Instances!DO12),"max", MAX(Instances!DO12:Instances!DO12),"diff", MAX(Instances!DO12:Instances!DO12)-MIN(Instances!DO12:Instances!DO12))</f>
        <v>0</v>
      </c>
      <c r="DP12" s="1" cm="1">
        <f t="array" ref="DP12">_xlfn.SWITCH($A$2,"average", AVERAGE(Instances!DP12:Instances!DP12),"median", MEDIAN(Instances!DP12:Instances!DP12),"min", MIN(Instances!DP12:Instances!DP12),"max", MAX(Instances!DP12:Instances!DP12),"diff", MAX(Instances!DP12:Instances!DP12)-MIN(Instances!DP12:Instances!DP12))</f>
        <v>0</v>
      </c>
      <c r="DQ12" s="1" cm="1">
        <f t="array" ref="DQ12">_xlfn.SWITCH($A$2,"average", AVERAGE(Instances!DQ12:Instances!DQ12),"median", MEDIAN(Instances!DQ12:Instances!DQ12),"min", MIN(Instances!DQ12:Instances!DQ12),"max", MAX(Instances!DQ12:Instances!DQ12),"diff", MAX(Instances!DQ12:Instances!DQ12)-MIN(Instances!DQ12:Instances!DQ12))</f>
        <v>0</v>
      </c>
      <c r="DR12" s="1" cm="1">
        <f t="array" ref="DR12">_xlfn.SWITCH($A$2,"average", AVERAGE(Instances!DR12:Instances!DR12),"median", MEDIAN(Instances!DR12:Instances!DR12),"min", MIN(Instances!DR12:Instances!DR12),"max", MAX(Instances!DR12:Instances!DR12),"diff", MAX(Instances!DR12:Instances!DR12)-MIN(Instances!DR12:Instances!DR12))</f>
        <v>0</v>
      </c>
      <c r="DS12" s="1" cm="1">
        <f t="array" ref="DS12">_xlfn.SWITCH($A$2,"average", AVERAGE(Instances!DS12:Instances!DS12),"median", MEDIAN(Instances!DS12:Instances!DS12),"min", MIN(Instances!DS12:Instances!DS12),"max", MAX(Instances!DS12:Instances!DS12),"diff", MAX(Instances!DS12:Instances!DS12)-MIN(Instances!DS12:Instances!DS12))</f>
        <v>0</v>
      </c>
      <c r="DT12" s="1"/>
      <c r="DU12" s="1" cm="1">
        <f t="array" ref="DU12">_xlfn.SWITCH($A$2,"average", AVERAGE(Instances!DU12:Instances!DU12),"median", MEDIAN(Instances!DU12:Instances!DU12),"min", MIN(Instances!DU12:Instances!DU12),"max", MAX(Instances!DU12:Instances!DU12),"diff", MAX(Instances!DU12:Instances!DU12)-MIN(Instances!DU12:Instances!DU12))</f>
        <v>0</v>
      </c>
      <c r="DV12" s="1" cm="1">
        <f t="array" ref="DV12">_xlfn.SWITCH($A$2,"average", AVERAGE(Instances!DV12:Instances!DV12),"median", MEDIAN(Instances!DV12:Instances!DV12),"min", MIN(Instances!DV12:Instances!DV12),"max", MAX(Instances!DV12:Instances!DV12),"diff", MAX(Instances!DV12:Instances!DV12)-MIN(Instances!DV12:Instances!DV12))</f>
        <v>0</v>
      </c>
      <c r="DW12" s="1" cm="1">
        <f t="array" ref="DW12">_xlfn.SWITCH($A$2,"average", AVERAGE(Instances!DW12:Instances!DW12),"median", MEDIAN(Instances!DW12:Instances!DW12),"min", MIN(Instances!DW12:Instances!DW12),"max", MAX(Instances!DW12:Instances!DW12),"diff", MAX(Instances!DW12:Instances!DW12)-MIN(Instances!DW12:Instances!DW12))</f>
        <v>0</v>
      </c>
      <c r="DX12" s="1" cm="1">
        <f t="array" ref="DX12">_xlfn.SWITCH($A$2,"average", AVERAGE(Instances!DX12:Instances!DX12),"median", MEDIAN(Instances!DX12:Instances!DX12),"min", MIN(Instances!DX12:Instances!DX12),"max", MAX(Instances!DX12:Instances!DX12),"diff", MAX(Instances!DX12:Instances!DX12)-MIN(Instances!DX12:Instances!DX12))</f>
        <v>0</v>
      </c>
      <c r="DY12" s="1" cm="1">
        <f t="array" ref="DY12">_xlfn.SWITCH($A$2,"average", AVERAGE(Instances!DY12:Instances!DY12),"median", MEDIAN(Instances!DY12:Instances!DY12),"min", MIN(Instances!DY12:Instances!DY12),"max", MAX(Instances!DY12:Instances!DY12),"diff", MAX(Instances!DY12:Instances!DY12)-MIN(Instances!DY12:Instances!DY12))</f>
        <v>0</v>
      </c>
      <c r="DZ12" s="1" cm="1">
        <f t="array" ref="DZ12">_xlfn.SWITCH($A$2,"average", AVERAGE(Instances!DZ12:Instances!DZ12),"median", MEDIAN(Instances!DZ12:Instances!DZ12),"min", MIN(Instances!DZ12:Instances!DZ12),"max", MAX(Instances!DZ12:Instances!DZ12),"diff", MAX(Instances!DZ12:Instances!DZ12)-MIN(Instances!DZ12:Instances!DZ12))</f>
        <v>0</v>
      </c>
      <c r="EA12" s="1" cm="1">
        <f t="array" ref="EA12">_xlfn.SWITCH($A$2,"average", AVERAGE(Instances!EA12:Instances!EA12),"median", MEDIAN(Instances!EA12:Instances!EA12),"min", MIN(Instances!EA12:Instances!EA12),"max", MAX(Instances!EA12:Instances!EA12),"diff", MAX(Instances!EA12:Instances!EA12)-MIN(Instances!EA12:Instances!EA12))</f>
        <v>0</v>
      </c>
      <c r="EB12" s="1" cm="1">
        <f t="array" ref="EB12">_xlfn.SWITCH($A$2,"average", AVERAGE(Instances!EB12:Instances!EB12),"median", MEDIAN(Instances!EB12:Instances!EB12),"min", MIN(Instances!EB12:Instances!EB12),"max", MAX(Instances!EB12:Instances!EB12),"diff", MAX(Instances!EB12:Instances!EB12)-MIN(Instances!EB12:Instances!EB12))</f>
        <v>0</v>
      </c>
      <c r="EC12" s="1" cm="1">
        <f t="array" ref="EC12">_xlfn.SWITCH($A$2,"average", AVERAGE(Instances!EC12:Instances!EC12),"median", MEDIAN(Instances!EC12:Instances!EC12),"min", MIN(Instances!EC12:Instances!EC12),"max", MAX(Instances!EC12:Instances!EC12),"diff", MAX(Instances!EC12:Instances!EC12)-MIN(Instances!EC12:Instances!EC12))</f>
        <v>0</v>
      </c>
      <c r="ED12" s="1" cm="1">
        <f t="array" ref="ED12">_xlfn.SWITCH($A$2,"average", AVERAGE(Instances!ED12:Instances!ED12),"median", MEDIAN(Instances!ED12:Instances!ED12),"min", MIN(Instances!ED12:Instances!ED12),"max", MAX(Instances!ED12:Instances!ED12),"diff", MAX(Instances!ED12:Instances!ED12)-MIN(Instances!ED12:Instances!ED12))</f>
        <v>0</v>
      </c>
      <c r="EE12" s="1" cm="1">
        <f t="array" ref="EE12">_xlfn.SWITCH($A$2,"average", AVERAGE(Instances!EE12:Instances!EE12),"median", MEDIAN(Instances!EE12:Instances!EE12),"min", MIN(Instances!EE12:Instances!EE12),"max", MAX(Instances!EE12:Instances!EE12),"diff", MAX(Instances!EE12:Instances!EE12)-MIN(Instances!EE12:Instances!EE12))</f>
        <v>0</v>
      </c>
      <c r="EF12" s="1" cm="1">
        <f t="array" ref="EF12">_xlfn.SWITCH($A$2,"average", AVERAGE(Instances!EF12:Instances!EF12),"median", MEDIAN(Instances!EF12:Instances!EF12),"min", MIN(Instances!EF12:Instances!EF12),"max", MAX(Instances!EF12:Instances!EF12),"diff", MAX(Instances!EF12:Instances!EF12)-MIN(Instances!EF12:Instances!EF12))</f>
        <v>0</v>
      </c>
      <c r="EG12" s="1" cm="1">
        <f t="array" ref="EG12">_xlfn.SWITCH($A$2,"average", AVERAGE(Instances!EG12:Instances!EG12),"median", MEDIAN(Instances!EG12:Instances!EG12),"min", MIN(Instances!EG12:Instances!EG12),"max", MAX(Instances!EG12:Instances!EG12),"diff", MAX(Instances!EG12:Instances!EG12)-MIN(Instances!EG12:Instances!EG12))</f>
        <v>0</v>
      </c>
      <c r="EH12" s="1" cm="1">
        <f t="array" ref="EH12">_xlfn.SWITCH($A$2,"average", AVERAGE(Instances!EH12:Instances!EH12),"median", MEDIAN(Instances!EH12:Instances!EH12),"min", MIN(Instances!EH12:Instances!EH12),"max", MAX(Instances!EH12:Instances!EH12),"diff", MAX(Instances!EH12:Instances!EH12)-MIN(Instances!EH12:Instances!EH12))</f>
        <v>0</v>
      </c>
      <c r="EI12" s="1" cm="1">
        <f t="array" ref="EI12">_xlfn.SWITCH($A$2,"average", AVERAGE(Instances!EI12:Instances!EI12),"median", MEDIAN(Instances!EI12:Instances!EI12),"min", MIN(Instances!EI12:Instances!EI12),"max", MAX(Instances!EI12:Instances!EI12),"diff", MAX(Instances!EI12:Instances!EI12)-MIN(Instances!EI12:Instances!EI12))</f>
        <v>0</v>
      </c>
      <c r="EJ12" s="1" cm="1">
        <f t="array" ref="EJ12">_xlfn.SWITCH($A$2,"average", AVERAGE(Instances!EJ12:Instances!EJ12),"median", MEDIAN(Instances!EJ12:Instances!EJ12),"min", MIN(Instances!EJ12:Instances!EJ12),"max", MAX(Instances!EJ12:Instances!EJ12),"diff", MAX(Instances!EJ12:Instances!EJ12)-MIN(Instances!EJ12:Instances!EJ12))</f>
        <v>0</v>
      </c>
      <c r="EK12" s="1" cm="1">
        <f t="array" ref="EK12">_xlfn.SWITCH($A$2,"average", AVERAGE(Instances!EK12:Instances!EK12),"median", MEDIAN(Instances!EK12:Instances!EK12),"min", MIN(Instances!EK12:Instances!EK12),"max", MAX(Instances!EK12:Instances!EK12),"diff", MAX(Instances!EK12:Instances!EK12)-MIN(Instances!EK12:Instances!EK12))</f>
        <v>0</v>
      </c>
      <c r="EL12" s="1"/>
      <c r="EM12" s="1" cm="1">
        <f t="array" ref="EM12">_xlfn.SWITCH($A$2,"average", AVERAGE(Instances!EM12:Instances!EM12),"median", MEDIAN(Instances!EM12:Instances!EM12),"min", MIN(Instances!EM12:Instances!EM12),"max", MAX(Instances!EM12:Instances!EM12),"diff", MAX(Instances!EM12:Instances!EM12)-MIN(Instances!EM12:Instances!EM12))</f>
        <v>0</v>
      </c>
      <c r="EN12" s="1" cm="1">
        <f t="array" ref="EN12">_xlfn.SWITCH($A$2,"average", AVERAGE(Instances!EN12:Instances!EN12),"median", MEDIAN(Instances!EN12:Instances!EN12),"min", MIN(Instances!EN12:Instances!EN12),"max", MAX(Instances!EN12:Instances!EN12),"diff", MAX(Instances!EN12:Instances!EN12)-MIN(Instances!EN12:Instances!EN12))</f>
        <v>0</v>
      </c>
      <c r="EO12" s="1" cm="1">
        <f t="array" ref="EO12">_xlfn.SWITCH($A$2,"average", AVERAGE(Instances!EO12:Instances!EO12),"median", MEDIAN(Instances!EO12:Instances!EO12),"min", MIN(Instances!EO12:Instances!EO12),"max", MAX(Instances!EO12:Instances!EO12),"diff", MAX(Instances!EO12:Instances!EO12)-MIN(Instances!EO12:Instances!EO12))</f>
        <v>0</v>
      </c>
      <c r="EP12" s="1" cm="1">
        <f t="array" ref="EP12">_xlfn.SWITCH($A$2,"average", AVERAGE(Instances!EP12:Instances!EP12),"median", MEDIAN(Instances!EP12:Instances!EP12),"min", MIN(Instances!EP12:Instances!EP12),"max", MAX(Instances!EP12:Instances!EP12),"diff", MAX(Instances!EP12:Instances!EP12)-MIN(Instances!EP12:Instances!EP12))</f>
        <v>0</v>
      </c>
      <c r="EQ12" s="1" cm="1">
        <f t="array" ref="EQ12">_xlfn.SWITCH($A$2,"average", AVERAGE(Instances!EQ12:Instances!EQ12),"median", MEDIAN(Instances!EQ12:Instances!EQ12),"min", MIN(Instances!EQ12:Instances!EQ12),"max", MAX(Instances!EQ12:Instances!EQ12),"diff", MAX(Instances!EQ12:Instances!EQ12)-MIN(Instances!EQ12:Instances!EQ12))</f>
        <v>0</v>
      </c>
      <c r="ER12" s="1" cm="1">
        <f t="array" ref="ER12">_xlfn.SWITCH($A$2,"average", AVERAGE(Instances!ER12:Instances!ER12),"median", MEDIAN(Instances!ER12:Instances!ER12),"min", MIN(Instances!ER12:Instances!ER12),"max", MAX(Instances!ER12:Instances!ER12),"diff", MAX(Instances!ER12:Instances!ER12)-MIN(Instances!ER12:Instances!ER12))</f>
        <v>0</v>
      </c>
      <c r="ES12" s="1" cm="1">
        <f t="array" ref="ES12">_xlfn.SWITCH($A$2,"average", AVERAGE(Instances!ES12:Instances!ES12),"median", MEDIAN(Instances!ES12:Instances!ES12),"min", MIN(Instances!ES12:Instances!ES12),"max", MAX(Instances!ES12:Instances!ES12),"diff", MAX(Instances!ES12:Instances!ES12)-MIN(Instances!ES12:Instances!ES12))</f>
        <v>0</v>
      </c>
      <c r="ET12" s="1" cm="1">
        <f t="array" ref="ET12">_xlfn.SWITCH($A$2,"average", AVERAGE(Instances!ET12:Instances!ET12),"median", MEDIAN(Instances!ET12:Instances!ET12),"min", MIN(Instances!ET12:Instances!ET12),"max", MAX(Instances!ET12:Instances!ET12),"diff", MAX(Instances!ET12:Instances!ET12)-MIN(Instances!ET12:Instances!ET12))</f>
        <v>0</v>
      </c>
      <c r="EU12" s="1" cm="1">
        <f t="array" ref="EU12">_xlfn.SWITCH($A$2,"average", AVERAGE(Instances!EU12:Instances!EU12),"median", MEDIAN(Instances!EU12:Instances!EU12),"min", MIN(Instances!EU12:Instances!EU12),"max", MAX(Instances!EU12:Instances!EU12),"diff", MAX(Instances!EU12:Instances!EU12)-MIN(Instances!EU12:Instances!EU12))</f>
        <v>0</v>
      </c>
      <c r="EV12" s="1" cm="1">
        <f t="array" ref="EV12">_xlfn.SWITCH($A$2,"average", AVERAGE(Instances!EV12:Instances!EV12),"median", MEDIAN(Instances!EV12:Instances!EV12),"min", MIN(Instances!EV12:Instances!EV12),"max", MAX(Instances!EV12:Instances!EV12),"diff", MAX(Instances!EV12:Instances!EV12)-MIN(Instances!EV12:Instances!EV12))</f>
        <v>0</v>
      </c>
      <c r="EW12" s="1" cm="1">
        <f t="array" ref="EW12">_xlfn.SWITCH($A$2,"average", AVERAGE(Instances!EW12:Instances!EW12),"median", MEDIAN(Instances!EW12:Instances!EW12),"min", MIN(Instances!EW12:Instances!EW12),"max", MAX(Instances!EW12:Instances!EW12),"diff", MAX(Instances!EW12:Instances!EW12)-MIN(Instances!EW12:Instances!EW12))</f>
        <v>0</v>
      </c>
      <c r="EX12" s="1" cm="1">
        <f t="array" ref="EX12">_xlfn.SWITCH($A$2,"average", AVERAGE(Instances!EX12:Instances!EX12),"median", MEDIAN(Instances!EX12:Instances!EX12),"min", MIN(Instances!EX12:Instances!EX12),"max", MAX(Instances!EX12:Instances!EX12),"diff", MAX(Instances!EX12:Instances!EX12)-MIN(Instances!EX12:Instances!EX12))</f>
        <v>0</v>
      </c>
      <c r="EY12" s="1" cm="1">
        <f t="array" ref="EY12">_xlfn.SWITCH($A$2,"average", AVERAGE(Instances!EY12:Instances!EY12),"median", MEDIAN(Instances!EY12:Instances!EY12),"min", MIN(Instances!EY12:Instances!EY12),"max", MAX(Instances!EY12:Instances!EY12),"diff", MAX(Instances!EY12:Instances!EY12)-MIN(Instances!EY12:Instances!EY12))</f>
        <v>0</v>
      </c>
      <c r="EZ12" s="1" cm="1">
        <f t="array" ref="EZ12">_xlfn.SWITCH($A$2,"average", AVERAGE(Instances!EZ12:Instances!EZ12),"median", MEDIAN(Instances!EZ12:Instances!EZ12),"min", MIN(Instances!EZ12:Instances!EZ12),"max", MAX(Instances!EZ12:Instances!EZ12),"diff", MAX(Instances!EZ12:Instances!EZ12)-MIN(Instances!EZ12:Instances!EZ12))</f>
        <v>0</v>
      </c>
      <c r="FA12" s="1" cm="1">
        <f t="array" ref="FA12">_xlfn.SWITCH($A$2,"average", AVERAGE(Instances!FA12:Instances!FA12),"median", MEDIAN(Instances!FA12:Instances!FA12),"min", MIN(Instances!FA12:Instances!FA12),"max", MAX(Instances!FA12:Instances!FA12),"diff", MAX(Instances!FA12:Instances!FA12)-MIN(Instances!FA12:Instances!FA12))</f>
        <v>0</v>
      </c>
      <c r="FB12" s="1" cm="1">
        <f t="array" ref="FB12">_xlfn.SWITCH($A$2,"average", AVERAGE(Instances!FB12:Instances!FB12),"median", MEDIAN(Instances!FB12:Instances!FB12),"min", MIN(Instances!FB12:Instances!FB12),"max", MAX(Instances!FB12:Instances!FB12),"diff", MAX(Instances!FB12:Instances!FB12)-MIN(Instances!FB12:Instances!FB12))</f>
        <v>0</v>
      </c>
      <c r="FC12" s="1" cm="1">
        <f t="array" ref="FC12">_xlfn.SWITCH($A$2,"average", AVERAGE(Instances!FC12:Instances!FC12),"median", MEDIAN(Instances!FC12:Instances!FC12),"min", MIN(Instances!FC12:Instances!FC12),"max", MAX(Instances!FC12:Instances!FC12),"diff", MAX(Instances!FC12:Instances!FC12)-MIN(Instances!FC12:Instances!FC12))</f>
        <v>0</v>
      </c>
      <c r="FD12" s="1"/>
      <c r="FE12" s="1" cm="1">
        <f t="array" ref="FE12">_xlfn.SWITCH($A$2,"average", AVERAGE(Instances!FE12:Instances!FE12),"median", MEDIAN(Instances!FE12:Instances!FE12),"min", MIN(Instances!FE12:Instances!FE12),"max", MAX(Instances!FE12:Instances!FE12),"diff", MAX(Instances!FE12:Instances!FE12)-MIN(Instances!FE12:Instances!FE12))</f>
        <v>0</v>
      </c>
      <c r="FF12" s="1" cm="1">
        <f t="array" ref="FF12">_xlfn.SWITCH($A$2,"average", AVERAGE(Instances!FF12:Instances!FF12),"median", MEDIAN(Instances!FF12:Instances!FF12),"min", MIN(Instances!FF12:Instances!FF12),"max", MAX(Instances!FF12:Instances!FF12),"diff", MAX(Instances!FF12:Instances!FF12)-MIN(Instances!FF12:Instances!FF12))</f>
        <v>0</v>
      </c>
      <c r="FG12" s="1" cm="1">
        <f t="array" ref="FG12">_xlfn.SWITCH($A$2,"average", AVERAGE(Instances!FG12:Instances!FG12),"median", MEDIAN(Instances!FG12:Instances!FG12),"min", MIN(Instances!FG12:Instances!FG12),"max", MAX(Instances!FG12:Instances!FG12),"diff", MAX(Instances!FG12:Instances!FG12)-MIN(Instances!FG12:Instances!FG12))</f>
        <v>0</v>
      </c>
      <c r="FH12" s="1" cm="1">
        <f t="array" ref="FH12">_xlfn.SWITCH($A$2,"average", AVERAGE(Instances!FH12:Instances!FH12),"median", MEDIAN(Instances!FH12:Instances!FH12),"min", MIN(Instances!FH12:Instances!FH12),"max", MAX(Instances!FH12:Instances!FH12),"diff", MAX(Instances!FH12:Instances!FH12)-MIN(Instances!FH12:Instances!FH12))</f>
        <v>0</v>
      </c>
      <c r="FI12" s="1" cm="1">
        <f t="array" ref="FI12">_xlfn.SWITCH($A$2,"average", AVERAGE(Instances!FI12:Instances!FI12),"median", MEDIAN(Instances!FI12:Instances!FI12),"min", MIN(Instances!FI12:Instances!FI12),"max", MAX(Instances!FI12:Instances!FI12),"diff", MAX(Instances!FI12:Instances!FI12)-MIN(Instances!FI12:Instances!FI12))</f>
        <v>0</v>
      </c>
      <c r="FJ12" s="1" cm="1">
        <f t="array" ref="FJ12">_xlfn.SWITCH($A$2,"average", AVERAGE(Instances!FJ12:Instances!FJ12),"median", MEDIAN(Instances!FJ12:Instances!FJ12),"min", MIN(Instances!FJ12:Instances!FJ12),"max", MAX(Instances!FJ12:Instances!FJ12),"diff", MAX(Instances!FJ12:Instances!FJ12)-MIN(Instances!FJ12:Instances!FJ12))</f>
        <v>0</v>
      </c>
      <c r="FK12" s="1" cm="1">
        <f t="array" ref="FK12">_xlfn.SWITCH($A$2,"average", AVERAGE(Instances!FK12:Instances!FK12),"median", MEDIAN(Instances!FK12:Instances!FK12),"min", MIN(Instances!FK12:Instances!FK12),"max", MAX(Instances!FK12:Instances!FK12),"diff", MAX(Instances!FK12:Instances!FK12)-MIN(Instances!FK12:Instances!FK12))</f>
        <v>0</v>
      </c>
      <c r="FL12" s="1" cm="1">
        <f t="array" ref="FL12">_xlfn.SWITCH($A$2,"average", AVERAGE(Instances!FL12:Instances!FL12),"median", MEDIAN(Instances!FL12:Instances!FL12),"min", MIN(Instances!FL12:Instances!FL12),"max", MAX(Instances!FL12:Instances!FL12),"diff", MAX(Instances!FL12:Instances!FL12)-MIN(Instances!FL12:Instances!FL12))</f>
        <v>0</v>
      </c>
      <c r="FM12" s="1" cm="1">
        <f t="array" ref="FM12">_xlfn.SWITCH($A$2,"average", AVERAGE(Instances!FM12:Instances!FM12),"median", MEDIAN(Instances!FM12:Instances!FM12),"min", MIN(Instances!FM12:Instances!FM12),"max", MAX(Instances!FM12:Instances!FM12),"diff", MAX(Instances!FM12:Instances!FM12)-MIN(Instances!FM12:Instances!FM12))</f>
        <v>0</v>
      </c>
      <c r="FN12" s="1" cm="1">
        <f t="array" ref="FN12">_xlfn.SWITCH($A$2,"average", AVERAGE(Instances!FN12:Instances!FN12),"median", MEDIAN(Instances!FN12:Instances!FN12),"min", MIN(Instances!FN12:Instances!FN12),"max", MAX(Instances!FN12:Instances!FN12),"diff", MAX(Instances!FN12:Instances!FN12)-MIN(Instances!FN12:Instances!FN12))</f>
        <v>0</v>
      </c>
      <c r="FO12" s="1" cm="1">
        <f t="array" ref="FO12">_xlfn.SWITCH($A$2,"average", AVERAGE(Instances!FO12:Instances!FO12),"median", MEDIAN(Instances!FO12:Instances!FO12),"min", MIN(Instances!FO12:Instances!FO12),"max", MAX(Instances!FO12:Instances!FO12),"diff", MAX(Instances!FO12:Instances!FO12)-MIN(Instances!FO12:Instances!FO12))</f>
        <v>0</v>
      </c>
      <c r="FP12" s="1" cm="1">
        <f t="array" ref="FP12">_xlfn.SWITCH($A$2,"average", AVERAGE(Instances!FP12:Instances!FP12),"median", MEDIAN(Instances!FP12:Instances!FP12),"min", MIN(Instances!FP12:Instances!FP12),"max", MAX(Instances!FP12:Instances!FP12),"diff", MAX(Instances!FP12:Instances!FP12)-MIN(Instances!FP12:Instances!FP12))</f>
        <v>0</v>
      </c>
      <c r="FQ12" s="1" cm="1">
        <f t="array" ref="FQ12">_xlfn.SWITCH($A$2,"average", AVERAGE(Instances!FQ12:Instances!FQ12),"median", MEDIAN(Instances!FQ12:Instances!FQ12),"min", MIN(Instances!FQ12:Instances!FQ12),"max", MAX(Instances!FQ12:Instances!FQ12),"diff", MAX(Instances!FQ12:Instances!FQ12)-MIN(Instances!FQ12:Instances!FQ12))</f>
        <v>0</v>
      </c>
      <c r="FR12" s="1" cm="1">
        <f t="array" ref="FR12">_xlfn.SWITCH($A$2,"average", AVERAGE(Instances!FR12:Instances!FR12),"median", MEDIAN(Instances!FR12:Instances!FR12),"min", MIN(Instances!FR12:Instances!FR12),"max", MAX(Instances!FR12:Instances!FR12),"diff", MAX(Instances!FR12:Instances!FR12)-MIN(Instances!FR12:Instances!FR12))</f>
        <v>0</v>
      </c>
      <c r="FS12" s="1" cm="1">
        <f t="array" ref="FS12">_xlfn.SWITCH($A$2,"average", AVERAGE(Instances!FS12:Instances!FS12),"median", MEDIAN(Instances!FS12:Instances!FS12),"min", MIN(Instances!FS12:Instances!FS12),"max", MAX(Instances!FS12:Instances!FS12),"diff", MAX(Instances!FS12:Instances!FS12)-MIN(Instances!FS12:Instances!FS12))</f>
        <v>0</v>
      </c>
      <c r="FT12" s="1" cm="1">
        <f t="array" ref="FT12">_xlfn.SWITCH($A$2,"average", AVERAGE(Instances!FT12:Instances!FT12),"median", MEDIAN(Instances!FT12:Instances!FT12),"min", MIN(Instances!FT12:Instances!FT12),"max", MAX(Instances!FT12:Instances!FT12),"diff", MAX(Instances!FT12:Instances!FT12)-MIN(Instances!FT12:Instances!FT12))</f>
        <v>0</v>
      </c>
      <c r="FU12" s="1" cm="1">
        <f t="array" ref="FU12">_xlfn.SWITCH($A$2,"average", AVERAGE(Instances!FU12:Instances!FU12),"median", MEDIAN(Instances!FU12:Instances!FU12),"min", MIN(Instances!FU12:Instances!FU12),"max", MAX(Instances!FU12:Instances!FU12),"diff", MAX(Instances!FU12:Instances!FU12)-MIN(Instances!FU12:Instances!FU12))</f>
        <v>0</v>
      </c>
      <c r="FV12" s="1"/>
      <c r="FW12" s="1" cm="1">
        <f t="array" ref="FW12">_xlfn.SWITCH($A$2,"average", AVERAGE(Instances!FW12:Instances!FW12),"median", MEDIAN(Instances!FW12:Instances!FW12),"min", MIN(Instances!FW12:Instances!FW12),"max", MAX(Instances!FW12:Instances!FW12),"diff", MAX(Instances!FW12:Instances!FW12)-MIN(Instances!FW12:Instances!FW12))</f>
        <v>0</v>
      </c>
      <c r="FX12" s="1" cm="1">
        <f t="array" ref="FX12">_xlfn.SWITCH($A$2,"average", AVERAGE(Instances!FX12:Instances!FX12),"median", MEDIAN(Instances!FX12:Instances!FX12),"min", MIN(Instances!FX12:Instances!FX12),"max", MAX(Instances!FX12:Instances!FX12),"diff", MAX(Instances!FX12:Instances!FX12)-MIN(Instances!FX12:Instances!FX12))</f>
        <v>0</v>
      </c>
      <c r="FY12" s="1" cm="1">
        <f t="array" ref="FY12">_xlfn.SWITCH($A$2,"average", AVERAGE(Instances!FY12:Instances!FY12),"median", MEDIAN(Instances!FY12:Instances!FY12),"min", MIN(Instances!FY12:Instances!FY12),"max", MAX(Instances!FY12:Instances!FY12),"diff", MAX(Instances!FY12:Instances!FY12)-MIN(Instances!FY12:Instances!FY12))</f>
        <v>0</v>
      </c>
      <c r="FZ12" s="1" cm="1">
        <f t="array" ref="FZ12">_xlfn.SWITCH($A$2,"average", AVERAGE(Instances!FZ12:Instances!FZ12),"median", MEDIAN(Instances!FZ12:Instances!FZ12),"min", MIN(Instances!FZ12:Instances!FZ12),"max", MAX(Instances!FZ12:Instances!FZ12),"diff", MAX(Instances!FZ12:Instances!FZ12)-MIN(Instances!FZ12:Instances!FZ12))</f>
        <v>0</v>
      </c>
      <c r="GA12" s="1" cm="1">
        <f t="array" ref="GA12">_xlfn.SWITCH($A$2,"average", AVERAGE(Instances!GA12:Instances!GA12),"median", MEDIAN(Instances!GA12:Instances!GA12),"min", MIN(Instances!GA12:Instances!GA12),"max", MAX(Instances!GA12:Instances!GA12),"diff", MAX(Instances!GA12:Instances!GA12)-MIN(Instances!GA12:Instances!GA12))</f>
        <v>0</v>
      </c>
      <c r="GB12" s="1" cm="1">
        <f t="array" ref="GB12">_xlfn.SWITCH($A$2,"average", AVERAGE(Instances!GB12:Instances!GB12),"median", MEDIAN(Instances!GB12:Instances!GB12),"min", MIN(Instances!GB12:Instances!GB12),"max", MAX(Instances!GB12:Instances!GB12),"diff", MAX(Instances!GB12:Instances!GB12)-MIN(Instances!GB12:Instances!GB12))</f>
        <v>0</v>
      </c>
      <c r="GC12" s="1" cm="1">
        <f t="array" ref="GC12">_xlfn.SWITCH($A$2,"average", AVERAGE(Instances!GC12:Instances!GC12),"median", MEDIAN(Instances!GC12:Instances!GC12),"min", MIN(Instances!GC12:Instances!GC12),"max", MAX(Instances!GC12:Instances!GC12),"diff", MAX(Instances!GC12:Instances!GC12)-MIN(Instances!GC12:Instances!GC12))</f>
        <v>0</v>
      </c>
      <c r="GD12" s="1" cm="1">
        <f t="array" ref="GD12">_xlfn.SWITCH($A$2,"average", AVERAGE(Instances!GD12:Instances!GD12),"median", MEDIAN(Instances!GD12:Instances!GD12),"min", MIN(Instances!GD12:Instances!GD12),"max", MAX(Instances!GD12:Instances!GD12),"diff", MAX(Instances!GD12:Instances!GD12)-MIN(Instances!GD12:Instances!GD12))</f>
        <v>0</v>
      </c>
      <c r="GE12" s="1" cm="1">
        <f t="array" ref="GE12">_xlfn.SWITCH($A$2,"average", AVERAGE(Instances!GE12:Instances!GE12),"median", MEDIAN(Instances!GE12:Instances!GE12),"min", MIN(Instances!GE12:Instances!GE12),"max", MAX(Instances!GE12:Instances!GE12),"diff", MAX(Instances!GE12:Instances!GE12)-MIN(Instances!GE12:Instances!GE12))</f>
        <v>0</v>
      </c>
      <c r="GF12" s="1" cm="1">
        <f t="array" ref="GF12">_xlfn.SWITCH($A$2,"average", AVERAGE(Instances!GF12:Instances!GF12),"median", MEDIAN(Instances!GF12:Instances!GF12),"min", MIN(Instances!GF12:Instances!GF12),"max", MAX(Instances!GF12:Instances!GF12),"diff", MAX(Instances!GF12:Instances!GF12)-MIN(Instances!GF12:Instances!GF12))</f>
        <v>0</v>
      </c>
      <c r="GG12" s="1" cm="1">
        <f t="array" ref="GG12">_xlfn.SWITCH($A$2,"average", AVERAGE(Instances!GG12:Instances!GG12),"median", MEDIAN(Instances!GG12:Instances!GG12),"min", MIN(Instances!GG12:Instances!GG12),"max", MAX(Instances!GG12:Instances!GG12),"diff", MAX(Instances!GG12:Instances!GG12)-MIN(Instances!GG12:Instances!GG12))</f>
        <v>0</v>
      </c>
      <c r="GH12" s="1" cm="1">
        <f t="array" ref="GH12">_xlfn.SWITCH($A$2,"average", AVERAGE(Instances!GH12:Instances!GH12),"median", MEDIAN(Instances!GH12:Instances!GH12),"min", MIN(Instances!GH12:Instances!GH12),"max", MAX(Instances!GH12:Instances!GH12),"diff", MAX(Instances!GH12:Instances!GH12)-MIN(Instances!GH12:Instances!GH12))</f>
        <v>0</v>
      </c>
      <c r="GI12" s="1" cm="1">
        <f t="array" ref="GI12">_xlfn.SWITCH($A$2,"average", AVERAGE(Instances!GI12:Instances!GI12),"median", MEDIAN(Instances!GI12:Instances!GI12),"min", MIN(Instances!GI12:Instances!GI12),"max", MAX(Instances!GI12:Instances!GI12),"diff", MAX(Instances!GI12:Instances!GI12)-MIN(Instances!GI12:Instances!GI12))</f>
        <v>0</v>
      </c>
      <c r="GJ12" s="1" cm="1">
        <f t="array" ref="GJ12">_xlfn.SWITCH($A$2,"average", AVERAGE(Instances!GJ12:Instances!GJ12),"median", MEDIAN(Instances!GJ12:Instances!GJ12),"min", MIN(Instances!GJ12:Instances!GJ12),"max", MAX(Instances!GJ12:Instances!GJ12),"diff", MAX(Instances!GJ12:Instances!GJ12)-MIN(Instances!GJ12:Instances!GJ12))</f>
        <v>0</v>
      </c>
      <c r="GK12" s="1" cm="1">
        <f t="array" ref="GK12">_xlfn.SWITCH($A$2,"average", AVERAGE(Instances!GK12:Instances!GK12),"median", MEDIAN(Instances!GK12:Instances!GK12),"min", MIN(Instances!GK12:Instances!GK12),"max", MAX(Instances!GK12:Instances!GK12),"diff", MAX(Instances!GK12:Instances!GK12)-MIN(Instances!GK12:Instances!GK12))</f>
        <v>0</v>
      </c>
      <c r="GL12" s="1" cm="1">
        <f t="array" ref="GL12">_xlfn.SWITCH($A$2,"average", AVERAGE(Instances!GL12:Instances!GL12),"median", MEDIAN(Instances!GL12:Instances!GL12),"min", MIN(Instances!GL12:Instances!GL12),"max", MAX(Instances!GL12:Instances!GL12),"diff", MAX(Instances!GL12:Instances!GL12)-MIN(Instances!GL12:Instances!GL12))</f>
        <v>0</v>
      </c>
      <c r="GM12" s="1" cm="1">
        <f t="array" ref="GM12">_xlfn.SWITCH($A$2,"average", AVERAGE(Instances!GM12:Instances!GM12),"median", MEDIAN(Instances!GM12:Instances!GM12),"min", MIN(Instances!GM12:Instances!GM12),"max", MAX(Instances!GM12:Instances!GM12),"diff", MAX(Instances!GM12:Instances!GM12)-MIN(Instances!GM12:Instances!GM12))</f>
        <v>0</v>
      </c>
      <c r="GN12" s="1"/>
      <c r="GO12" s="1" cm="1">
        <f t="array" ref="GO12">_xlfn.SWITCH($A$2,"average", AVERAGE(Instances!GO12:Instances!GO12),"median", MEDIAN(Instances!GO12:Instances!GO12),"min", MIN(Instances!GO12:Instances!GO12),"max", MAX(Instances!GO12:Instances!GO12),"diff", MAX(Instances!GO12:Instances!GO12)-MIN(Instances!GO12:Instances!GO12))</f>
        <v>0</v>
      </c>
      <c r="GP12" s="1" cm="1">
        <f t="array" ref="GP12">_xlfn.SWITCH($A$2,"average", AVERAGE(Instances!GP12:Instances!GP12),"median", MEDIAN(Instances!GP12:Instances!GP12),"min", MIN(Instances!GP12:Instances!GP12),"max", MAX(Instances!GP12:Instances!GP12),"diff", MAX(Instances!GP12:Instances!GP12)-MIN(Instances!GP12:Instances!GP12))</f>
        <v>0</v>
      </c>
      <c r="GQ12" s="1" cm="1">
        <f t="array" ref="GQ12">_xlfn.SWITCH($A$2,"average", AVERAGE(Instances!GQ12:Instances!GQ12),"median", MEDIAN(Instances!GQ12:Instances!GQ12),"min", MIN(Instances!GQ12:Instances!GQ12),"max", MAX(Instances!GQ12:Instances!GQ12),"diff", MAX(Instances!GQ12:Instances!GQ12)-MIN(Instances!GQ12:Instances!GQ12))</f>
        <v>0</v>
      </c>
      <c r="GR12" s="1" cm="1">
        <f t="array" ref="GR12">_xlfn.SWITCH($A$2,"average", AVERAGE(Instances!GR12:Instances!GR12),"median", MEDIAN(Instances!GR12:Instances!GR12),"min", MIN(Instances!GR12:Instances!GR12),"max", MAX(Instances!GR12:Instances!GR12),"diff", MAX(Instances!GR12:Instances!GR12)-MIN(Instances!GR12:Instances!GR12))</f>
        <v>0</v>
      </c>
      <c r="GS12" s="1" cm="1">
        <f t="array" ref="GS12">_xlfn.SWITCH($A$2,"average", AVERAGE(Instances!GS12:Instances!GS12),"median", MEDIAN(Instances!GS12:Instances!GS12),"min", MIN(Instances!GS12:Instances!GS12),"max", MAX(Instances!GS12:Instances!GS12),"diff", MAX(Instances!GS12:Instances!GS12)-MIN(Instances!GS12:Instances!GS12))</f>
        <v>0</v>
      </c>
      <c r="GT12" s="1" cm="1">
        <f t="array" ref="GT12">_xlfn.SWITCH($A$2,"average", AVERAGE(Instances!GT12:Instances!GT12),"median", MEDIAN(Instances!GT12:Instances!GT12),"min", MIN(Instances!GT12:Instances!GT12),"max", MAX(Instances!GT12:Instances!GT12),"diff", MAX(Instances!GT12:Instances!GT12)-MIN(Instances!GT12:Instances!GT12))</f>
        <v>0</v>
      </c>
      <c r="GU12" s="1" cm="1">
        <f t="array" ref="GU12">_xlfn.SWITCH($A$2,"average", AVERAGE(Instances!GU12:Instances!GU12),"median", MEDIAN(Instances!GU12:Instances!GU12),"min", MIN(Instances!GU12:Instances!GU12),"max", MAX(Instances!GU12:Instances!GU12),"diff", MAX(Instances!GU12:Instances!GU12)-MIN(Instances!GU12:Instances!GU12))</f>
        <v>0</v>
      </c>
      <c r="GV12" s="1" cm="1">
        <f t="array" ref="GV12">_xlfn.SWITCH($A$2,"average", AVERAGE(Instances!GV12:Instances!GV12),"median", MEDIAN(Instances!GV12:Instances!GV12),"min", MIN(Instances!GV12:Instances!GV12),"max", MAX(Instances!GV12:Instances!GV12),"diff", MAX(Instances!GV12:Instances!GV12)-MIN(Instances!GV12:Instances!GV12))</f>
        <v>0</v>
      </c>
      <c r="GW12" s="1" cm="1">
        <f t="array" ref="GW12">_xlfn.SWITCH($A$2,"average", AVERAGE(Instances!GW12:Instances!GW12),"median", MEDIAN(Instances!GW12:Instances!GW12),"min", MIN(Instances!GW12:Instances!GW12),"max", MAX(Instances!GW12:Instances!GW12),"diff", MAX(Instances!GW12:Instances!GW12)-MIN(Instances!GW12:Instances!GW12))</f>
        <v>0</v>
      </c>
      <c r="GX12" s="1" cm="1">
        <f t="array" ref="GX12">_xlfn.SWITCH($A$2,"average", AVERAGE(Instances!GX12:Instances!GX12),"median", MEDIAN(Instances!GX12:Instances!GX12),"min", MIN(Instances!GX12:Instances!GX12),"max", MAX(Instances!GX12:Instances!GX12),"diff", MAX(Instances!GX12:Instances!GX12)-MIN(Instances!GX12:Instances!GX12))</f>
        <v>0</v>
      </c>
      <c r="GY12" s="1" cm="1">
        <f t="array" ref="GY12">_xlfn.SWITCH($A$2,"average", AVERAGE(Instances!GY12:Instances!GY12),"median", MEDIAN(Instances!GY12:Instances!GY12),"min", MIN(Instances!GY12:Instances!GY12),"max", MAX(Instances!GY12:Instances!GY12),"diff", MAX(Instances!GY12:Instances!GY12)-MIN(Instances!GY12:Instances!GY12))</f>
        <v>0</v>
      </c>
      <c r="GZ12" s="1" cm="1">
        <f t="array" ref="GZ12">_xlfn.SWITCH($A$2,"average", AVERAGE(Instances!GZ12:Instances!GZ12),"median", MEDIAN(Instances!GZ12:Instances!GZ12),"min", MIN(Instances!GZ12:Instances!GZ12),"max", MAX(Instances!GZ12:Instances!GZ12),"diff", MAX(Instances!GZ12:Instances!GZ12)-MIN(Instances!GZ12:Instances!GZ12))</f>
        <v>0</v>
      </c>
      <c r="HA12" s="1" cm="1">
        <f t="array" ref="HA12">_xlfn.SWITCH($A$2,"average", AVERAGE(Instances!HA12:Instances!HA12),"median", MEDIAN(Instances!HA12:Instances!HA12),"min", MIN(Instances!HA12:Instances!HA12),"max", MAX(Instances!HA12:Instances!HA12),"diff", MAX(Instances!HA12:Instances!HA12)-MIN(Instances!HA12:Instances!HA12))</f>
        <v>0</v>
      </c>
      <c r="HB12" s="1" cm="1">
        <f t="array" ref="HB12">_xlfn.SWITCH($A$2,"average", AVERAGE(Instances!HB12:Instances!HB12),"median", MEDIAN(Instances!HB12:Instances!HB12),"min", MIN(Instances!HB12:Instances!HB12),"max", MAX(Instances!HB12:Instances!HB12),"diff", MAX(Instances!HB12:Instances!HB12)-MIN(Instances!HB12:Instances!HB12))</f>
        <v>0</v>
      </c>
      <c r="HC12" s="1" cm="1">
        <f t="array" ref="HC12">_xlfn.SWITCH($A$2,"average", AVERAGE(Instances!HC12:Instances!HC12),"median", MEDIAN(Instances!HC12:Instances!HC12),"min", MIN(Instances!HC12:Instances!HC12),"max", MAX(Instances!HC12:Instances!HC12),"diff", MAX(Instances!HC12:Instances!HC12)-MIN(Instances!HC12:Instances!HC12))</f>
        <v>0</v>
      </c>
      <c r="HD12" s="1" cm="1">
        <f t="array" ref="HD12">_xlfn.SWITCH($A$2,"average", AVERAGE(Instances!HD12:Instances!HD12),"median", MEDIAN(Instances!HD12:Instances!HD12),"min", MIN(Instances!HD12:Instances!HD12),"max", MAX(Instances!HD12:Instances!HD12),"diff", MAX(Instances!HD12:Instances!HD12)-MIN(Instances!HD12:Instances!HD12))</f>
        <v>0</v>
      </c>
      <c r="HE12" s="1" cm="1">
        <f t="array" ref="HE12">_xlfn.SWITCH($A$2,"average", AVERAGE(Instances!HE12:Instances!HE12),"median", MEDIAN(Instances!HE12:Instances!HE12),"min", MIN(Instances!HE12:Instances!HE12),"max", MAX(Instances!HE12:Instances!HE12),"diff", MAX(Instances!HE12:Instances!HE12)-MIN(Instances!HE12:Instances!HE12))</f>
        <v>0</v>
      </c>
      <c r="HF12" s="1"/>
      <c r="HG12" s="1" cm="1">
        <f t="array" ref="HG12">_xlfn.SWITCH($A$2,"average", AVERAGE(Instances!HG12:Instances!HG12),"median", MEDIAN(Instances!HG12:Instances!HG12),"min", MIN(Instances!HG12:Instances!HG12),"max", MAX(Instances!HG12:Instances!HG12),"diff", MAX(Instances!HG12:Instances!HG12)-MIN(Instances!HG12:Instances!HG12))</f>
        <v>0</v>
      </c>
      <c r="HH12" s="1" cm="1">
        <f t="array" ref="HH12">_xlfn.SWITCH($A$2,"average", AVERAGE(Instances!HH12:Instances!HH12),"median", MEDIAN(Instances!HH12:Instances!HH12),"min", MIN(Instances!HH12:Instances!HH12),"max", MAX(Instances!HH12:Instances!HH12),"diff", MAX(Instances!HH12:Instances!HH12)-MIN(Instances!HH12:Instances!HH12))</f>
        <v>0</v>
      </c>
      <c r="HI12" s="1" cm="1">
        <f t="array" ref="HI12">_xlfn.SWITCH($A$2,"average", AVERAGE(Instances!HI12:Instances!HI12),"median", MEDIAN(Instances!HI12:Instances!HI12),"min", MIN(Instances!HI12:Instances!HI12),"max", MAX(Instances!HI12:Instances!HI12),"diff", MAX(Instances!HI12:Instances!HI12)-MIN(Instances!HI12:Instances!HI12))</f>
        <v>0</v>
      </c>
      <c r="HJ12" s="1" cm="1">
        <f t="array" ref="HJ12">_xlfn.SWITCH($A$2,"average", AVERAGE(Instances!HJ12:Instances!HJ12),"median", MEDIAN(Instances!HJ12:Instances!HJ12),"min", MIN(Instances!HJ12:Instances!HJ12),"max", MAX(Instances!HJ12:Instances!HJ12),"diff", MAX(Instances!HJ12:Instances!HJ12)-MIN(Instances!HJ12:Instances!HJ12))</f>
        <v>0</v>
      </c>
      <c r="HK12" s="1" cm="1">
        <f t="array" ref="HK12">_xlfn.SWITCH($A$2,"average", AVERAGE(Instances!HK12:Instances!HK12),"median", MEDIAN(Instances!HK12:Instances!HK12),"min", MIN(Instances!HK12:Instances!HK12),"max", MAX(Instances!HK12:Instances!HK12),"diff", MAX(Instances!HK12:Instances!HK12)-MIN(Instances!HK12:Instances!HK12))</f>
        <v>0</v>
      </c>
      <c r="HL12" s="1" cm="1">
        <f t="array" ref="HL12">_xlfn.SWITCH($A$2,"average", AVERAGE(Instances!HL12:Instances!HL12),"median", MEDIAN(Instances!HL12:Instances!HL12),"min", MIN(Instances!HL12:Instances!HL12),"max", MAX(Instances!HL12:Instances!HL12),"diff", MAX(Instances!HL12:Instances!HL12)-MIN(Instances!HL12:Instances!HL12))</f>
        <v>0</v>
      </c>
      <c r="HM12" s="1" cm="1">
        <f t="array" ref="HM12">_xlfn.SWITCH($A$2,"average", AVERAGE(Instances!HM12:Instances!HM12),"median", MEDIAN(Instances!HM12:Instances!HM12),"min", MIN(Instances!HM12:Instances!HM12),"max", MAX(Instances!HM12:Instances!HM12),"diff", MAX(Instances!HM12:Instances!HM12)-MIN(Instances!HM12:Instances!HM12))</f>
        <v>0</v>
      </c>
      <c r="HN12" s="1" cm="1">
        <f t="array" ref="HN12">_xlfn.SWITCH($A$2,"average", AVERAGE(Instances!HN12:Instances!HN12),"median", MEDIAN(Instances!HN12:Instances!HN12),"min", MIN(Instances!HN12:Instances!HN12),"max", MAX(Instances!HN12:Instances!HN12),"diff", MAX(Instances!HN12:Instances!HN12)-MIN(Instances!HN12:Instances!HN12))</f>
        <v>0</v>
      </c>
      <c r="HO12" s="1" cm="1">
        <f t="array" ref="HO12">_xlfn.SWITCH($A$2,"average", AVERAGE(Instances!HO12:Instances!HO12),"median", MEDIAN(Instances!HO12:Instances!HO12),"min", MIN(Instances!HO12:Instances!HO12),"max", MAX(Instances!HO12:Instances!HO12),"diff", MAX(Instances!HO12:Instances!HO12)-MIN(Instances!HO12:Instances!HO12))</f>
        <v>0</v>
      </c>
      <c r="HP12" s="1" cm="1">
        <f t="array" ref="HP12">_xlfn.SWITCH($A$2,"average", AVERAGE(Instances!HP12:Instances!HP12),"median", MEDIAN(Instances!HP12:Instances!HP12),"min", MIN(Instances!HP12:Instances!HP12),"max", MAX(Instances!HP12:Instances!HP12),"diff", MAX(Instances!HP12:Instances!HP12)-MIN(Instances!HP12:Instances!HP12))</f>
        <v>0</v>
      </c>
      <c r="HQ12" s="1" cm="1">
        <f t="array" ref="HQ12">_xlfn.SWITCH($A$2,"average", AVERAGE(Instances!HQ12:Instances!HQ12),"median", MEDIAN(Instances!HQ12:Instances!HQ12),"min", MIN(Instances!HQ12:Instances!HQ12),"max", MAX(Instances!HQ12:Instances!HQ12),"diff", MAX(Instances!HQ12:Instances!HQ12)-MIN(Instances!HQ12:Instances!HQ12))</f>
        <v>0</v>
      </c>
      <c r="HR12" s="1" cm="1">
        <f t="array" ref="HR12">_xlfn.SWITCH($A$2,"average", AVERAGE(Instances!HR12:Instances!HR12),"median", MEDIAN(Instances!HR12:Instances!HR12),"min", MIN(Instances!HR12:Instances!HR12),"max", MAX(Instances!HR12:Instances!HR12),"diff", MAX(Instances!HR12:Instances!HR12)-MIN(Instances!HR12:Instances!HR12))</f>
        <v>0</v>
      </c>
      <c r="HS12" s="1" cm="1">
        <f t="array" ref="HS12">_xlfn.SWITCH($A$2,"average", AVERAGE(Instances!HS12:Instances!HS12),"median", MEDIAN(Instances!HS12:Instances!HS12),"min", MIN(Instances!HS12:Instances!HS12),"max", MAX(Instances!HS12:Instances!HS12),"diff", MAX(Instances!HS12:Instances!HS12)-MIN(Instances!HS12:Instances!HS12))</f>
        <v>0</v>
      </c>
      <c r="HT12" s="1" cm="1">
        <f t="array" ref="HT12">_xlfn.SWITCH($A$2,"average", AVERAGE(Instances!HT12:Instances!HT12),"median", MEDIAN(Instances!HT12:Instances!HT12),"min", MIN(Instances!HT12:Instances!HT12),"max", MAX(Instances!HT12:Instances!HT12),"diff", MAX(Instances!HT12:Instances!HT12)-MIN(Instances!HT12:Instances!HT12))</f>
        <v>0</v>
      </c>
      <c r="HU12" s="1" cm="1">
        <f t="array" ref="HU12">_xlfn.SWITCH($A$2,"average", AVERAGE(Instances!HU12:Instances!HU12),"median", MEDIAN(Instances!HU12:Instances!HU12),"min", MIN(Instances!HU12:Instances!HU12),"max", MAX(Instances!HU12:Instances!HU12),"diff", MAX(Instances!HU12:Instances!HU12)-MIN(Instances!HU12:Instances!HU12))</f>
        <v>0</v>
      </c>
      <c r="HV12" s="1" cm="1">
        <f t="array" ref="HV12">_xlfn.SWITCH($A$2,"average", AVERAGE(Instances!HV12:Instances!HV12),"median", MEDIAN(Instances!HV12:Instances!HV12),"min", MIN(Instances!HV12:Instances!HV12),"max", MAX(Instances!HV12:Instances!HV12),"diff", MAX(Instances!HV12:Instances!HV12)-MIN(Instances!HV12:Instances!HV12))</f>
        <v>0</v>
      </c>
      <c r="HW12" s="1" cm="1">
        <f t="array" ref="HW12">_xlfn.SWITCH($A$2,"average", AVERAGE(Instances!HW12:Instances!HW12),"median", MEDIAN(Instances!HW12:Instances!HW12),"min", MIN(Instances!HW12:Instances!HW12),"max", MAX(Instances!HW12:Instances!HW12),"diff", MAX(Instances!HW12:Instances!HW12)-MIN(Instances!HW12:Instances!HW12))</f>
        <v>0</v>
      </c>
      <c r="HX12" s="1"/>
      <c r="HY12" s="1" cm="1">
        <f t="array" ref="HY12">_xlfn.SWITCH($A$2,"average", AVERAGE(Instances!HY12:Instances!HY12),"median", MEDIAN(Instances!HY12:Instances!HY12),"min", MIN(Instances!HY12:Instances!HY12),"max", MAX(Instances!HY12:Instances!HY12),"diff", MAX(Instances!HY12:Instances!HY12)-MIN(Instances!HY12:Instances!HY12))</f>
        <v>0</v>
      </c>
      <c r="HZ12" s="1" cm="1">
        <f t="array" ref="HZ12">_xlfn.SWITCH($A$2,"average", AVERAGE(Instances!HZ12:Instances!HZ12),"median", MEDIAN(Instances!HZ12:Instances!HZ12),"min", MIN(Instances!HZ12:Instances!HZ12),"max", MAX(Instances!HZ12:Instances!HZ12),"diff", MAX(Instances!HZ12:Instances!HZ12)-MIN(Instances!HZ12:Instances!HZ12))</f>
        <v>0</v>
      </c>
      <c r="IA12" s="1" cm="1">
        <f t="array" ref="IA12">_xlfn.SWITCH($A$2,"average", AVERAGE(Instances!IA12:Instances!IA12),"median", MEDIAN(Instances!IA12:Instances!IA12),"min", MIN(Instances!IA12:Instances!IA12),"max", MAX(Instances!IA12:Instances!IA12),"diff", MAX(Instances!IA12:Instances!IA12)-MIN(Instances!IA12:Instances!IA12))</f>
        <v>0</v>
      </c>
      <c r="IB12" s="1" cm="1">
        <f t="array" ref="IB12">_xlfn.SWITCH($A$2,"average", AVERAGE(Instances!IB12:Instances!IB12),"median", MEDIAN(Instances!IB12:Instances!IB12),"min", MIN(Instances!IB12:Instances!IB12),"max", MAX(Instances!IB12:Instances!IB12),"diff", MAX(Instances!IB12:Instances!IB12)-MIN(Instances!IB12:Instances!IB12))</f>
        <v>0</v>
      </c>
      <c r="IC12" s="1" cm="1">
        <f t="array" ref="IC12">_xlfn.SWITCH($A$2,"average", AVERAGE(Instances!IC12:Instances!IC12),"median", MEDIAN(Instances!IC12:Instances!IC12),"min", MIN(Instances!IC12:Instances!IC12),"max", MAX(Instances!IC12:Instances!IC12),"diff", MAX(Instances!IC12:Instances!IC12)-MIN(Instances!IC12:Instances!IC12))</f>
        <v>0</v>
      </c>
      <c r="ID12" s="1" cm="1">
        <f t="array" ref="ID12">_xlfn.SWITCH($A$2,"average", AVERAGE(Instances!ID12:Instances!ID12),"median", MEDIAN(Instances!ID12:Instances!ID12),"min", MIN(Instances!ID12:Instances!ID12),"max", MAX(Instances!ID12:Instances!ID12),"diff", MAX(Instances!ID12:Instances!ID12)-MIN(Instances!ID12:Instances!ID12))</f>
        <v>0</v>
      </c>
      <c r="IE12" s="1" cm="1">
        <f t="array" ref="IE12">_xlfn.SWITCH($A$2,"average", AVERAGE(Instances!IE12:Instances!IE12),"median", MEDIAN(Instances!IE12:Instances!IE12),"min", MIN(Instances!IE12:Instances!IE12),"max", MAX(Instances!IE12:Instances!IE12),"diff", MAX(Instances!IE12:Instances!IE12)-MIN(Instances!IE12:Instances!IE12))</f>
        <v>0</v>
      </c>
      <c r="IF12" s="1" cm="1">
        <f t="array" ref="IF12">_xlfn.SWITCH($A$2,"average", AVERAGE(Instances!IF12:Instances!IF12),"median", MEDIAN(Instances!IF12:Instances!IF12),"min", MIN(Instances!IF12:Instances!IF12),"max", MAX(Instances!IF12:Instances!IF12),"diff", MAX(Instances!IF12:Instances!IF12)-MIN(Instances!IF12:Instances!IF12))</f>
        <v>0</v>
      </c>
      <c r="IG12" s="1" cm="1">
        <f t="array" ref="IG12">_xlfn.SWITCH($A$2,"average", AVERAGE(Instances!IG12:Instances!IG12),"median", MEDIAN(Instances!IG12:Instances!IG12),"min", MIN(Instances!IG12:Instances!IG12),"max", MAX(Instances!IG12:Instances!IG12),"diff", MAX(Instances!IG12:Instances!IG12)-MIN(Instances!IG12:Instances!IG12))</f>
        <v>0</v>
      </c>
      <c r="IH12" s="1" cm="1">
        <f t="array" ref="IH12">_xlfn.SWITCH($A$2,"average", AVERAGE(Instances!IH12:Instances!IH12),"median", MEDIAN(Instances!IH12:Instances!IH12),"min", MIN(Instances!IH12:Instances!IH12),"max", MAX(Instances!IH12:Instances!IH12),"diff", MAX(Instances!IH12:Instances!IH12)-MIN(Instances!IH12:Instances!IH12))</f>
        <v>0</v>
      </c>
      <c r="II12" s="1" cm="1">
        <f t="array" ref="II12">_xlfn.SWITCH($A$2,"average", AVERAGE(Instances!II12:Instances!II12),"median", MEDIAN(Instances!II12:Instances!II12),"min", MIN(Instances!II12:Instances!II12),"max", MAX(Instances!II12:Instances!II12),"diff", MAX(Instances!II12:Instances!II12)-MIN(Instances!II12:Instances!II12))</f>
        <v>0</v>
      </c>
      <c r="IJ12" s="1" cm="1">
        <f t="array" ref="IJ12">_xlfn.SWITCH($A$2,"average", AVERAGE(Instances!IJ12:Instances!IJ12),"median", MEDIAN(Instances!IJ12:Instances!IJ12),"min", MIN(Instances!IJ12:Instances!IJ12),"max", MAX(Instances!IJ12:Instances!IJ12),"diff", MAX(Instances!IJ12:Instances!IJ12)-MIN(Instances!IJ12:Instances!IJ12))</f>
        <v>0</v>
      </c>
      <c r="IK12" s="1" cm="1">
        <f t="array" ref="IK12">_xlfn.SWITCH($A$2,"average", AVERAGE(Instances!IK12:Instances!IK12),"median", MEDIAN(Instances!IK12:Instances!IK12),"min", MIN(Instances!IK12:Instances!IK12),"max", MAX(Instances!IK12:Instances!IK12),"diff", MAX(Instances!IK12:Instances!IK12)-MIN(Instances!IK12:Instances!IK12))</f>
        <v>0</v>
      </c>
      <c r="IL12" s="1" cm="1">
        <f t="array" ref="IL12">_xlfn.SWITCH($A$2,"average", AVERAGE(Instances!IL12:Instances!IL12),"median", MEDIAN(Instances!IL12:Instances!IL12),"min", MIN(Instances!IL12:Instances!IL12),"max", MAX(Instances!IL12:Instances!IL12),"diff", MAX(Instances!IL12:Instances!IL12)-MIN(Instances!IL12:Instances!IL12))</f>
        <v>0</v>
      </c>
      <c r="IM12" s="1" cm="1">
        <f t="array" ref="IM12">_xlfn.SWITCH($A$2,"average", AVERAGE(Instances!IM12:Instances!IM12),"median", MEDIAN(Instances!IM12:Instances!IM12),"min", MIN(Instances!IM12:Instances!IM12),"max", MAX(Instances!IM12:Instances!IM12),"diff", MAX(Instances!IM12:Instances!IM12)-MIN(Instances!IM12:Instances!IM12))</f>
        <v>0</v>
      </c>
      <c r="IN12" s="1" cm="1">
        <f t="array" ref="IN12">_xlfn.SWITCH($A$2,"average", AVERAGE(Instances!IN12:Instances!IN12),"median", MEDIAN(Instances!IN12:Instances!IN12),"min", MIN(Instances!IN12:Instances!IN12),"max", MAX(Instances!IN12:Instances!IN12),"diff", MAX(Instances!IN12:Instances!IN12)-MIN(Instances!IN12:Instances!IN12))</f>
        <v>0</v>
      </c>
      <c r="IO12" s="1" cm="1">
        <f t="array" ref="IO12">_xlfn.SWITCH($A$2,"average", AVERAGE(Instances!IO12:Instances!IO12),"median", MEDIAN(Instances!IO12:Instances!IO12),"min", MIN(Instances!IO12:Instances!IO12),"max", MAX(Instances!IO12:Instances!IO12),"diff", MAX(Instances!IO12:Instances!IO12)-MIN(Instances!IO12:Instances!IO12))</f>
        <v>0</v>
      </c>
      <c r="IP12" s="1"/>
      <c r="IQ12" s="1" cm="1">
        <f t="array" ref="IQ12">_xlfn.SWITCH($A$2,"average", AVERAGE(Instances!IQ12:Instances!IQ12),"median", MEDIAN(Instances!IQ12:Instances!IQ12),"min", MIN(Instances!IQ12:Instances!IQ12),"max", MAX(Instances!IQ12:Instances!IQ12),"diff", MAX(Instances!IQ12:Instances!IQ12)-MIN(Instances!IQ12:Instances!IQ12))</f>
        <v>0</v>
      </c>
      <c r="IR12" s="1" cm="1">
        <f t="array" ref="IR12">_xlfn.SWITCH($A$2,"average", AVERAGE(Instances!IR12:Instances!IR12),"median", MEDIAN(Instances!IR12:Instances!IR12),"min", MIN(Instances!IR12:Instances!IR12),"max", MAX(Instances!IR12:Instances!IR12),"diff", MAX(Instances!IR12:Instances!IR12)-MIN(Instances!IR12:Instances!IR12))</f>
        <v>0</v>
      </c>
      <c r="IS12" s="1" cm="1">
        <f t="array" ref="IS12">_xlfn.SWITCH($A$2,"average", AVERAGE(Instances!IS12:Instances!IS12),"median", MEDIAN(Instances!IS12:Instances!IS12),"min", MIN(Instances!IS12:Instances!IS12),"max", MAX(Instances!IS12:Instances!IS12),"diff", MAX(Instances!IS12:Instances!IS12)-MIN(Instances!IS12:Instances!IS12))</f>
        <v>0</v>
      </c>
      <c r="IT12" s="1" cm="1">
        <f t="array" ref="IT12">_xlfn.SWITCH($A$2,"average", AVERAGE(Instances!IT12:Instances!IT12),"median", MEDIAN(Instances!IT12:Instances!IT12),"min", MIN(Instances!IT12:Instances!IT12),"max", MAX(Instances!IT12:Instances!IT12),"diff", MAX(Instances!IT12:Instances!IT12)-MIN(Instances!IT12:Instances!IT12))</f>
        <v>0</v>
      </c>
      <c r="IU12" s="1" cm="1">
        <f t="array" ref="IU12">_xlfn.SWITCH($A$2,"average", AVERAGE(Instances!IU12:Instances!IU12),"median", MEDIAN(Instances!IU12:Instances!IU12),"min", MIN(Instances!IU12:Instances!IU12),"max", MAX(Instances!IU12:Instances!IU12),"diff", MAX(Instances!IU12:Instances!IU12)-MIN(Instances!IU12:Instances!IU12))</f>
        <v>0</v>
      </c>
      <c r="IV12" s="1" cm="1">
        <f t="array" ref="IV12">_xlfn.SWITCH($A$2,"average", AVERAGE(Instances!IV12:Instances!IV12),"median", MEDIAN(Instances!IV12:Instances!IV12),"min", MIN(Instances!IV12:Instances!IV12),"max", MAX(Instances!IV12:Instances!IV12),"diff", MAX(Instances!IV12:Instances!IV12)-MIN(Instances!IV12:Instances!IV12))</f>
        <v>0</v>
      </c>
      <c r="IW12" s="1" cm="1">
        <f t="array" ref="IW12">_xlfn.SWITCH($A$2,"average", AVERAGE(Instances!IW12:Instances!IW12),"median", MEDIAN(Instances!IW12:Instances!IW12),"min", MIN(Instances!IW12:Instances!IW12),"max", MAX(Instances!IW12:Instances!IW12),"diff", MAX(Instances!IW12:Instances!IW12)-MIN(Instances!IW12:Instances!IW12))</f>
        <v>0</v>
      </c>
      <c r="IX12" s="1" cm="1">
        <f t="array" ref="IX12">_xlfn.SWITCH($A$2,"average", AVERAGE(Instances!IX12:Instances!IX12),"median", MEDIAN(Instances!IX12:Instances!IX12),"min", MIN(Instances!IX12:Instances!IX12),"max", MAX(Instances!IX12:Instances!IX12),"diff", MAX(Instances!IX12:Instances!IX12)-MIN(Instances!IX12:Instances!IX12))</f>
        <v>0</v>
      </c>
      <c r="IY12" s="1" cm="1">
        <f t="array" ref="IY12">_xlfn.SWITCH($A$2,"average", AVERAGE(Instances!IY12:Instances!IY12),"median", MEDIAN(Instances!IY12:Instances!IY12),"min", MIN(Instances!IY12:Instances!IY12),"max", MAX(Instances!IY12:Instances!IY12),"diff", MAX(Instances!IY12:Instances!IY12)-MIN(Instances!IY12:Instances!IY12))</f>
        <v>0</v>
      </c>
      <c r="IZ12" s="1" cm="1">
        <f t="array" ref="IZ12">_xlfn.SWITCH($A$2,"average", AVERAGE(Instances!IZ12:Instances!IZ12),"median", MEDIAN(Instances!IZ12:Instances!IZ12),"min", MIN(Instances!IZ12:Instances!IZ12),"max", MAX(Instances!IZ12:Instances!IZ12),"diff", MAX(Instances!IZ12:Instances!IZ12)-MIN(Instances!IZ12:Instances!IZ12))</f>
        <v>0</v>
      </c>
      <c r="JA12" s="1" cm="1">
        <f t="array" ref="JA12">_xlfn.SWITCH($A$2,"average", AVERAGE(Instances!JA12:Instances!JA12),"median", MEDIAN(Instances!JA12:Instances!JA12),"min", MIN(Instances!JA12:Instances!JA12),"max", MAX(Instances!JA12:Instances!JA12),"diff", MAX(Instances!JA12:Instances!JA12)-MIN(Instances!JA12:Instances!JA12))</f>
        <v>0</v>
      </c>
      <c r="JB12" s="1" cm="1">
        <f t="array" ref="JB12">_xlfn.SWITCH($A$2,"average", AVERAGE(Instances!JB12:Instances!JB12),"median", MEDIAN(Instances!JB12:Instances!JB12),"min", MIN(Instances!JB12:Instances!JB12),"max", MAX(Instances!JB12:Instances!JB12),"diff", MAX(Instances!JB12:Instances!JB12)-MIN(Instances!JB12:Instances!JB12))</f>
        <v>0</v>
      </c>
      <c r="JC12" s="1" cm="1">
        <f t="array" ref="JC12">_xlfn.SWITCH($A$2,"average", AVERAGE(Instances!JC12:Instances!JC12),"median", MEDIAN(Instances!JC12:Instances!JC12),"min", MIN(Instances!JC12:Instances!JC12),"max", MAX(Instances!JC12:Instances!JC12),"diff", MAX(Instances!JC12:Instances!JC12)-MIN(Instances!JC12:Instances!JC12))</f>
        <v>0</v>
      </c>
      <c r="JD12" s="1" cm="1">
        <f t="array" ref="JD12">_xlfn.SWITCH($A$2,"average", AVERAGE(Instances!JD12:Instances!JD12),"median", MEDIAN(Instances!JD12:Instances!JD12),"min", MIN(Instances!JD12:Instances!JD12),"max", MAX(Instances!JD12:Instances!JD12),"diff", MAX(Instances!JD12:Instances!JD12)-MIN(Instances!JD12:Instances!JD12))</f>
        <v>0</v>
      </c>
      <c r="JE12" s="1" cm="1">
        <f t="array" ref="JE12">_xlfn.SWITCH($A$2,"average", AVERAGE(Instances!JE12:Instances!JE12),"median", MEDIAN(Instances!JE12:Instances!JE12),"min", MIN(Instances!JE12:Instances!JE12),"max", MAX(Instances!JE12:Instances!JE12),"diff", MAX(Instances!JE12:Instances!JE12)-MIN(Instances!JE12:Instances!JE12))</f>
        <v>0</v>
      </c>
      <c r="JF12" s="1" cm="1">
        <f t="array" ref="JF12">_xlfn.SWITCH($A$2,"average", AVERAGE(Instances!JF12:Instances!JF12),"median", MEDIAN(Instances!JF12:Instances!JF12),"min", MIN(Instances!JF12:Instances!JF12),"max", MAX(Instances!JF12:Instances!JF12),"diff", MAX(Instances!JF12:Instances!JF12)-MIN(Instances!JF12:Instances!JF12))</f>
        <v>0</v>
      </c>
      <c r="JG12" s="1" cm="1">
        <f t="array" ref="JG12">_xlfn.SWITCH($A$2,"average", AVERAGE(Instances!JG12:Instances!JG12),"median", MEDIAN(Instances!JG12:Instances!JG12),"min", MIN(Instances!JG12:Instances!JG12),"max", MAX(Instances!JG12:Instances!JG12),"diff", MAX(Instances!JG12:Instances!JG12)-MIN(Instances!JG12:Instances!JG12))</f>
        <v>0</v>
      </c>
      <c r="JH12" s="1"/>
      <c r="JI12" s="1" cm="1">
        <f t="array" ref="JI12">_xlfn.SWITCH($A$2,"average", AVERAGE(Instances!JI12:Instances!JI12),"median", MEDIAN(Instances!JI12:Instances!JI12),"min", MIN(Instances!JI12:Instances!JI12),"max", MAX(Instances!JI12:Instances!JI12),"diff", MAX(Instances!JI12:Instances!JI12)-MIN(Instances!JI12:Instances!JI12))</f>
        <v>0</v>
      </c>
      <c r="JJ12" s="1" cm="1">
        <f t="array" ref="JJ12">_xlfn.SWITCH($A$2,"average", AVERAGE(Instances!JJ12:Instances!JJ12),"median", MEDIAN(Instances!JJ12:Instances!JJ12),"min", MIN(Instances!JJ12:Instances!JJ12),"max", MAX(Instances!JJ12:Instances!JJ12),"diff", MAX(Instances!JJ12:Instances!JJ12)-MIN(Instances!JJ12:Instances!JJ12))</f>
        <v>0</v>
      </c>
      <c r="JK12" s="1" cm="1">
        <f t="array" ref="JK12">_xlfn.SWITCH($A$2,"average", AVERAGE(Instances!JK12:Instances!JK12),"median", MEDIAN(Instances!JK12:Instances!JK12),"min", MIN(Instances!JK12:Instances!JK12),"max", MAX(Instances!JK12:Instances!JK12),"diff", MAX(Instances!JK12:Instances!JK12)-MIN(Instances!JK12:Instances!JK12))</f>
        <v>0</v>
      </c>
      <c r="JL12" s="1" cm="1">
        <f t="array" ref="JL12">_xlfn.SWITCH($A$2,"average", AVERAGE(Instances!JL12:Instances!JL12),"median", MEDIAN(Instances!JL12:Instances!JL12),"min", MIN(Instances!JL12:Instances!JL12),"max", MAX(Instances!JL12:Instances!JL12),"diff", MAX(Instances!JL12:Instances!JL12)-MIN(Instances!JL12:Instances!JL12))</f>
        <v>0</v>
      </c>
      <c r="JM12" s="1" cm="1">
        <f t="array" ref="JM12">_xlfn.SWITCH($A$2,"average", AVERAGE(Instances!JM12:Instances!JM12),"median", MEDIAN(Instances!JM12:Instances!JM12),"min", MIN(Instances!JM12:Instances!JM12),"max", MAX(Instances!JM12:Instances!JM12),"diff", MAX(Instances!JM12:Instances!JM12)-MIN(Instances!JM12:Instances!JM12))</f>
        <v>0</v>
      </c>
      <c r="JN12" s="1" cm="1">
        <f t="array" ref="JN12">_xlfn.SWITCH($A$2,"average", AVERAGE(Instances!JN12:Instances!JN12),"median", MEDIAN(Instances!JN12:Instances!JN12),"min", MIN(Instances!JN12:Instances!JN12),"max", MAX(Instances!JN12:Instances!JN12),"diff", MAX(Instances!JN12:Instances!JN12)-MIN(Instances!JN12:Instances!JN12))</f>
        <v>0</v>
      </c>
      <c r="JO12" s="1" cm="1">
        <f t="array" ref="JO12">_xlfn.SWITCH($A$2,"average", AVERAGE(Instances!JO12:Instances!JO12),"median", MEDIAN(Instances!JO12:Instances!JO12),"min", MIN(Instances!JO12:Instances!JO12),"max", MAX(Instances!JO12:Instances!JO12),"diff", MAX(Instances!JO12:Instances!JO12)-MIN(Instances!JO12:Instances!JO12))</f>
        <v>0</v>
      </c>
      <c r="JP12" s="1" cm="1">
        <f t="array" ref="JP12">_xlfn.SWITCH($A$2,"average", AVERAGE(Instances!JP12:Instances!JP12),"median", MEDIAN(Instances!JP12:Instances!JP12),"min", MIN(Instances!JP12:Instances!JP12),"max", MAX(Instances!JP12:Instances!JP12),"diff", MAX(Instances!JP12:Instances!JP12)-MIN(Instances!JP12:Instances!JP12))</f>
        <v>0</v>
      </c>
      <c r="JQ12" s="1" cm="1">
        <f t="array" ref="JQ12">_xlfn.SWITCH($A$2,"average", AVERAGE(Instances!JQ12:Instances!JQ12),"median", MEDIAN(Instances!JQ12:Instances!JQ12),"min", MIN(Instances!JQ12:Instances!JQ12),"max", MAX(Instances!JQ12:Instances!JQ12),"diff", MAX(Instances!JQ12:Instances!JQ12)-MIN(Instances!JQ12:Instances!JQ12))</f>
        <v>0</v>
      </c>
      <c r="JR12" s="1" cm="1">
        <f t="array" ref="JR12">_xlfn.SWITCH($A$2,"average", AVERAGE(Instances!JR12:Instances!JR12),"median", MEDIAN(Instances!JR12:Instances!JR12),"min", MIN(Instances!JR12:Instances!JR12),"max", MAX(Instances!JR12:Instances!JR12),"diff", MAX(Instances!JR12:Instances!JR12)-MIN(Instances!JR12:Instances!JR12))</f>
        <v>0</v>
      </c>
      <c r="JS12" s="1" cm="1">
        <f t="array" ref="JS12">_xlfn.SWITCH($A$2,"average", AVERAGE(Instances!JS12:Instances!JS12),"median", MEDIAN(Instances!JS12:Instances!JS12),"min", MIN(Instances!JS12:Instances!JS12),"max", MAX(Instances!JS12:Instances!JS12),"diff", MAX(Instances!JS12:Instances!JS12)-MIN(Instances!JS12:Instances!JS12))</f>
        <v>0</v>
      </c>
      <c r="JT12" s="1" cm="1">
        <f t="array" ref="JT12">_xlfn.SWITCH($A$2,"average", AVERAGE(Instances!JT12:Instances!JT12),"median", MEDIAN(Instances!JT12:Instances!JT12),"min", MIN(Instances!JT12:Instances!JT12),"max", MAX(Instances!JT12:Instances!JT12),"diff", MAX(Instances!JT12:Instances!JT12)-MIN(Instances!JT12:Instances!JT12))</f>
        <v>0</v>
      </c>
      <c r="JU12" s="1" cm="1">
        <f t="array" ref="JU12">_xlfn.SWITCH($A$2,"average", AVERAGE(Instances!JU12:Instances!JU12),"median", MEDIAN(Instances!JU12:Instances!JU12),"min", MIN(Instances!JU12:Instances!JU12),"max", MAX(Instances!JU12:Instances!JU12),"diff", MAX(Instances!JU12:Instances!JU12)-MIN(Instances!JU12:Instances!JU12))</f>
        <v>0</v>
      </c>
      <c r="JV12" s="1" cm="1">
        <f t="array" ref="JV12">_xlfn.SWITCH($A$2,"average", AVERAGE(Instances!JV12:Instances!JV12),"median", MEDIAN(Instances!JV12:Instances!JV12),"min", MIN(Instances!JV12:Instances!JV12),"max", MAX(Instances!JV12:Instances!JV12),"diff", MAX(Instances!JV12:Instances!JV12)-MIN(Instances!JV12:Instances!JV12))</f>
        <v>0</v>
      </c>
      <c r="JW12" s="1" cm="1">
        <f t="array" ref="JW12">_xlfn.SWITCH($A$2,"average", AVERAGE(Instances!JW12:Instances!JW12),"median", MEDIAN(Instances!JW12:Instances!JW12),"min", MIN(Instances!JW12:Instances!JW12),"max", MAX(Instances!JW12:Instances!JW12),"diff", MAX(Instances!JW12:Instances!JW12)-MIN(Instances!JW12:Instances!JW12))</f>
        <v>0</v>
      </c>
      <c r="JX12" s="1" cm="1">
        <f t="array" ref="JX12">_xlfn.SWITCH($A$2,"average", AVERAGE(Instances!JX12:Instances!JX12),"median", MEDIAN(Instances!JX12:Instances!JX12),"min", MIN(Instances!JX12:Instances!JX12),"max", MAX(Instances!JX12:Instances!JX12),"diff", MAX(Instances!JX12:Instances!JX12)-MIN(Instances!JX12:Instances!JX12))</f>
        <v>0</v>
      </c>
      <c r="JY12" s="1" cm="1">
        <f t="array" ref="JY12">_xlfn.SWITCH($A$2,"average", AVERAGE(Instances!JY12:Instances!JY12),"median", MEDIAN(Instances!JY12:Instances!JY12),"min", MIN(Instances!JY12:Instances!JY12),"max", MAX(Instances!JY12:Instances!JY12),"diff", MAX(Instances!JY12:Instances!JY12)-MIN(Instances!JY12:Instances!JY12))</f>
        <v>0</v>
      </c>
      <c r="JZ12" s="1"/>
      <c r="KA12" s="1" cm="1">
        <f t="array" ref="KA12">_xlfn.SWITCH($A$2,"average", AVERAGE(Instances!KA12:Instances!KA12),"median", MEDIAN(Instances!KA12:Instances!KA12),"min", MIN(Instances!KA12:Instances!KA12),"max", MAX(Instances!KA12:Instances!KA12),"diff", MAX(Instances!KA12:Instances!KA12)-MIN(Instances!KA12:Instances!KA12))</f>
        <v>0</v>
      </c>
      <c r="KB12" s="1" cm="1">
        <f t="array" ref="KB12">_xlfn.SWITCH($A$2,"average", AVERAGE(Instances!KB12:Instances!KB12),"median", MEDIAN(Instances!KB12:Instances!KB12),"min", MIN(Instances!KB12:Instances!KB12),"max", MAX(Instances!KB12:Instances!KB12),"diff", MAX(Instances!KB12:Instances!KB12)-MIN(Instances!KB12:Instances!KB12))</f>
        <v>0</v>
      </c>
      <c r="KC12" s="1" cm="1">
        <f t="array" ref="KC12">_xlfn.SWITCH($A$2,"average", AVERAGE(Instances!KC12:Instances!KC12),"median", MEDIAN(Instances!KC12:Instances!KC12),"min", MIN(Instances!KC12:Instances!KC12),"max", MAX(Instances!KC12:Instances!KC12),"diff", MAX(Instances!KC12:Instances!KC12)-MIN(Instances!KC12:Instances!KC12))</f>
        <v>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 cm="1">
        <f t="array" ref="L13">_xlfn.SWITCH($A$2,"average", AVERAGE(Instances!L13:Instances!L13),"median", MEDIAN(Instances!L13:Instances!L13),"min", MIN(Instances!L13:Instances!L13),"max", MAX(Instances!L13:Instances!L13),"diff", MAX(Instances!L13:Instances!L13)-MIN(Instances!L13:Instances!L13))</f>
        <v>0</v>
      </c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 cm="1">
        <f t="array" ref="O13">_xlfn.SWITCH($A$2,"average", AVERAGE(Instances!O13:Instances!O13),"median", MEDIAN(Instances!O13:Instances!O13),"min", MIN(Instances!O13:Instances!O13),"max", MAX(Instances!O13:Instances!O13),"diff", MAX(Instances!O13:Instances!O13)-MIN(Instances!O13:Instances!O13))</f>
        <v>0</v>
      </c>
      <c r="P13" s="1"/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 cm="1">
        <f t="array" ref="S13">_xlfn.SWITCH($A$2,"average", AVERAGE(Instances!S13:Instances!S13),"median", MEDIAN(Instances!S13:Instances!S13),"min", MIN(Instances!S13:Instances!S13),"max", MAX(Instances!S13:Instances!S13),"diff", MAX(Instances!S13:Instances!S13)-MIN(Instances!S13:Instances!S13))</f>
        <v>0</v>
      </c>
      <c r="T13" s="1" cm="1">
        <f t="array" ref="T13">_xlfn.SWITCH($A$2,"average", AVERAGE(Instances!T13:Instances!T13),"median", MEDIAN(Instances!T13:Instances!T13),"min", MIN(Instances!T13:Instances!T13),"max", MAX(Instances!T13:Instances!T13),"diff", MAX(Instances!T13:Instances!T13)-MIN(Instances!T13:Instances!T13))</f>
        <v>0</v>
      </c>
      <c r="U13" s="1" cm="1">
        <f t="array" ref="U13">_xlfn.SWITCH($A$2,"average", AVERAGE(Instances!U13:Instances!U13),"median", MEDIAN(Instances!U13:Instances!U13),"min", MIN(Instances!U13:Instances!U13),"max", MAX(Instances!U13:Instances!U13),"diff", MAX(Instances!U13:Instances!U13)-MIN(Instances!U13:Instances!U13))</f>
        <v>0</v>
      </c>
      <c r="V13" s="1" cm="1">
        <f t="array" ref="V13">_xlfn.SWITCH($A$2,"average", AVERAGE(Instances!V13:Instances!V13),"median", MEDIAN(Instances!V13:Instances!V13),"min", MIN(Instances!V13:Instances!V13),"max", MAX(Instances!V13:Instances!V13),"diff", MAX(Instances!V13:Instances!V13)-MIN(Instances!V13:Instances!V13))</f>
        <v>0</v>
      </c>
      <c r="W13" s="1" cm="1">
        <f t="array" ref="W13">_xlfn.SWITCH($A$2,"average", AVERAGE(Instances!W13:Instances!W13),"median", MEDIAN(Instances!W13:Instances!W13),"min", MIN(Instances!W13:Instances!W13),"max", MAX(Instances!W13:Instances!W13),"diff", MAX(Instances!W13:Instances!W13)-MIN(Instances!W13:Instances!W13))</f>
        <v>0</v>
      </c>
      <c r="X13" s="1" cm="1">
        <f t="array" ref="X13">_xlfn.SWITCH($A$2,"average", AVERAGE(Instances!X13:Instances!X13),"median", MEDIAN(Instances!X13:Instances!X13),"min", MIN(Instances!X13:Instances!X13),"max", MAX(Instances!X13:Instances!X13),"diff", MAX(Instances!X13:Instances!X13)-MIN(Instances!X13:Instances!X13))</f>
        <v>0</v>
      </c>
      <c r="Y13" s="1" cm="1">
        <f t="array" ref="Y13">_xlfn.SWITCH($A$2,"average", AVERAGE(Instances!Y13:Instances!Y13),"median", MEDIAN(Instances!Y13:Instances!Y13),"min", MIN(Instances!Y13:Instances!Y13),"max", MAX(Instances!Y13:Instances!Y13),"diff", MAX(Instances!Y13:Instances!Y13)-MIN(Instances!Y13:Instances!Y13))</f>
        <v>0</v>
      </c>
      <c r="Z13" s="1" cm="1">
        <f t="array" ref="Z13">_xlfn.SWITCH($A$2,"average", AVERAGE(Instances!Z13:Instances!Z13),"median", MEDIAN(Instances!Z13:Instances!Z13),"min", MIN(Instances!Z13:Instances!Z13),"max", MAX(Instances!Z13:Instances!Z13),"diff", MAX(Instances!Z13:Instances!Z13)-MIN(Instances!Z13:Instances!Z13))</f>
        <v>0</v>
      </c>
      <c r="AA13" s="1" cm="1">
        <f t="array" ref="AA13">_xlfn.SWITCH($A$2,"average", AVERAGE(Instances!AA13:Instances!AA13),"median", MEDIAN(Instances!AA13:Instances!AA13),"min", MIN(Instances!AA13:Instances!AA13),"max", MAX(Instances!AA13:Instances!AA13),"diff", MAX(Instances!AA13:Instances!AA13)-MIN(Instances!AA13:Instances!AA13))</f>
        <v>0</v>
      </c>
      <c r="AB13" s="1" cm="1">
        <f t="array" ref="AB13">_xlfn.SWITCH($A$2,"average", AVERAGE(Instances!AB13:Instances!AB13),"median", MEDIAN(Instances!AB13:Instances!AB13),"min", MIN(Instances!AB13:Instances!AB13),"max", MAX(Instances!AB13:Instances!AB13),"diff", MAX(Instances!AB13:Instances!AB13)-MIN(Instances!AB13:Instances!AB13))</f>
        <v>0</v>
      </c>
      <c r="AC13" s="1" cm="1">
        <f t="array" ref="AC13">_xlfn.SWITCH($A$2,"average", AVERAGE(Instances!AC13:Instances!AC13),"median", MEDIAN(Instances!AC13:Instances!AC13),"min", MIN(Instances!AC13:Instances!AC13),"max", MAX(Instances!AC13:Instances!AC13),"diff", MAX(Instances!AC13:Instances!AC13)-MIN(Instances!AC13:Instances!AC13))</f>
        <v>0</v>
      </c>
      <c r="AD13" s="1" cm="1">
        <f t="array" ref="AD13">_xlfn.SWITCH($A$2,"average", AVERAGE(Instances!AD13:Instances!AD13),"median", MEDIAN(Instances!AD13:Instances!AD13),"min", MIN(Instances!AD13:Instances!AD13),"max", MAX(Instances!AD13:Instances!AD13),"diff", MAX(Instances!AD13:Instances!AD13)-MIN(Instances!AD13:Instances!AD13))</f>
        <v>0</v>
      </c>
      <c r="AE13" s="1" cm="1">
        <f t="array" ref="AE13">_xlfn.SWITCH($A$2,"average", AVERAGE(Instances!AE13:Instances!AE13),"median", MEDIAN(Instances!AE13:Instances!AE13),"min", MIN(Instances!AE13:Instances!AE13),"max", MAX(Instances!AE13:Instances!AE13),"diff", MAX(Instances!AE13:Instances!AE13)-MIN(Instances!AE13:Instances!AE13))</f>
        <v>0</v>
      </c>
      <c r="AF13" s="1" cm="1">
        <f t="array" ref="AF13">_xlfn.SWITCH($A$2,"average", AVERAGE(Instances!AF13:Instances!AF13),"median", MEDIAN(Instances!AF13:Instances!AF13),"min", MIN(Instances!AF13:Instances!AF13),"max", MAX(Instances!AF13:Instances!AF13),"diff", MAX(Instances!AF13:Instances!AF13)-MIN(Instances!AF13:Instances!AF13))</f>
        <v>0</v>
      </c>
      <c r="AG13" s="1" cm="1">
        <f t="array" ref="AG13">_xlfn.SWITCH($A$2,"average", AVERAGE(Instances!AG13:Instances!AG13),"median", MEDIAN(Instances!AG13:Instances!AG13),"min", MIN(Instances!AG13:Instances!AG13),"max", MAX(Instances!AG13:Instances!AG13),"diff", MAX(Instances!AG13:Instances!AG13)-MIN(Instances!AG13:Instances!AG13))</f>
        <v>0</v>
      </c>
      <c r="AH13" s="1"/>
      <c r="AI13" s="1" cm="1">
        <f t="array" ref="AI13">_xlfn.SWITCH($A$2,"average", AVERAGE(Instances!AI13:Instances!AI13),"median", MEDIAN(Instances!AI13:Instances!AI13),"min", MIN(Instances!AI13:Instances!AI13),"max", MAX(Instances!AI13:Instances!AI13),"diff", MAX(Instances!AI13:Instances!AI13)-MIN(Instances!AI13:Instances!AI13))</f>
        <v>0</v>
      </c>
      <c r="AJ13" s="1" cm="1">
        <f t="array" ref="AJ13">_xlfn.SWITCH($A$2,"average", AVERAGE(Instances!AJ13:Instances!AJ13),"median", MEDIAN(Instances!AJ13:Instances!AJ13),"min", MIN(Instances!AJ13:Instances!AJ13),"max", MAX(Instances!AJ13:Instances!AJ13),"diff", MAX(Instances!AJ13:Instances!AJ13)-MIN(Instances!AJ13:Instances!AJ13))</f>
        <v>0</v>
      </c>
      <c r="AK13" s="1" cm="1">
        <f t="array" ref="AK13">_xlfn.SWITCH($A$2,"average", AVERAGE(Instances!AK13:Instances!AK13),"median", MEDIAN(Instances!AK13:Instances!AK13),"min", MIN(Instances!AK13:Instances!AK13),"max", MAX(Instances!AK13:Instances!AK13),"diff", MAX(Instances!AK13:Instances!AK13)-MIN(Instances!AK13:Instances!AK13))</f>
        <v>0</v>
      </c>
      <c r="AL13" s="1" cm="1">
        <f t="array" ref="AL13">_xlfn.SWITCH($A$2,"average", AVERAGE(Instances!AL13:Instances!AL13),"median", MEDIAN(Instances!AL13:Instances!AL13),"min", MIN(Instances!AL13:Instances!AL13),"max", MAX(Instances!AL13:Instances!AL13),"diff", MAX(Instances!AL13:Instances!AL13)-MIN(Instances!AL13:Instances!AL13))</f>
        <v>0</v>
      </c>
      <c r="AM13" s="1" cm="1">
        <f t="array" ref="AM13">_xlfn.SWITCH($A$2,"average", AVERAGE(Instances!AM13:Instances!AM13),"median", MEDIAN(Instances!AM13:Instances!AM13),"min", MIN(Instances!AM13:Instances!AM13),"max", MAX(Instances!AM13:Instances!AM13),"diff", MAX(Instances!AM13:Instances!AM13)-MIN(Instances!AM13:Instances!AM13))</f>
        <v>0</v>
      </c>
      <c r="AN13" s="1" cm="1">
        <f t="array" ref="AN13">_xlfn.SWITCH($A$2,"average", AVERAGE(Instances!AN13:Instances!AN13),"median", MEDIAN(Instances!AN13:Instances!AN13),"min", MIN(Instances!AN13:Instances!AN13),"max", MAX(Instances!AN13:Instances!AN13),"diff", MAX(Instances!AN13:Instances!AN13)-MIN(Instances!AN13:Instances!AN13))</f>
        <v>0</v>
      </c>
      <c r="AO13" s="1" cm="1">
        <f t="array" ref="AO13">_xlfn.SWITCH($A$2,"average", AVERAGE(Instances!AO13:Instances!AO13),"median", MEDIAN(Instances!AO13:Instances!AO13),"min", MIN(Instances!AO13:Instances!AO13),"max", MAX(Instances!AO13:Instances!AO13),"diff", MAX(Instances!AO13:Instances!AO13)-MIN(Instances!AO13:Instances!AO13))</f>
        <v>0</v>
      </c>
      <c r="AP13" s="1" cm="1">
        <f t="array" ref="AP13">_xlfn.SWITCH($A$2,"average", AVERAGE(Instances!AP13:Instances!AP13),"median", MEDIAN(Instances!AP13:Instances!AP13),"min", MIN(Instances!AP13:Instances!AP13),"max", MAX(Instances!AP13:Instances!AP13),"diff", MAX(Instances!AP13:Instances!AP13)-MIN(Instances!AP13:Instances!AP13))</f>
        <v>0</v>
      </c>
      <c r="AQ13" s="1" cm="1">
        <f t="array" ref="AQ13">_xlfn.SWITCH($A$2,"average", AVERAGE(Instances!AQ13:Instances!AQ13),"median", MEDIAN(Instances!AQ13:Instances!AQ13),"min", MIN(Instances!AQ13:Instances!AQ13),"max", MAX(Instances!AQ13:Instances!AQ13),"diff", MAX(Instances!AQ13:Instances!AQ13)-MIN(Instances!AQ13:Instances!AQ13))</f>
        <v>0</v>
      </c>
      <c r="AR13" s="1" cm="1">
        <f t="array" ref="AR13">_xlfn.SWITCH($A$2,"average", AVERAGE(Instances!AR13:Instances!AR13),"median", MEDIAN(Instances!AR13:Instances!AR13),"min", MIN(Instances!AR13:Instances!AR13),"max", MAX(Instances!AR13:Instances!AR13),"diff", MAX(Instances!AR13:Instances!AR13)-MIN(Instances!AR13:Instances!AR13))</f>
        <v>0</v>
      </c>
      <c r="AS13" s="1" cm="1">
        <f t="array" ref="AS13">_xlfn.SWITCH($A$2,"average", AVERAGE(Instances!AS13:Instances!AS13),"median", MEDIAN(Instances!AS13:Instances!AS13),"min", MIN(Instances!AS13:Instances!AS13),"max", MAX(Instances!AS13:Instances!AS13),"diff", MAX(Instances!AS13:Instances!AS13)-MIN(Instances!AS13:Instances!AS13))</f>
        <v>0</v>
      </c>
      <c r="AT13" s="1" cm="1">
        <f t="array" ref="AT13">_xlfn.SWITCH($A$2,"average", AVERAGE(Instances!AT13:Instances!AT13),"median", MEDIAN(Instances!AT13:Instances!AT13),"min", MIN(Instances!AT13:Instances!AT13),"max", MAX(Instances!AT13:Instances!AT13),"diff", MAX(Instances!AT13:Instances!AT13)-MIN(Instances!AT13:Instances!AT13))</f>
        <v>0</v>
      </c>
      <c r="AU13" s="1" cm="1">
        <f t="array" ref="AU13">_xlfn.SWITCH($A$2,"average", AVERAGE(Instances!AU13:Instances!AU13),"median", MEDIAN(Instances!AU13:Instances!AU13),"min", MIN(Instances!AU13:Instances!AU13),"max", MAX(Instances!AU13:Instances!AU13),"diff", MAX(Instances!AU13:Instances!AU13)-MIN(Instances!AU13:Instances!AU13))</f>
        <v>0</v>
      </c>
      <c r="AV13" s="1" cm="1">
        <f t="array" ref="AV13">_xlfn.SWITCH($A$2,"average", AVERAGE(Instances!AV13:Instances!AV13),"median", MEDIAN(Instances!AV13:Instances!AV13),"min", MIN(Instances!AV13:Instances!AV13),"max", MAX(Instances!AV13:Instances!AV13),"diff", MAX(Instances!AV13:Instances!AV13)-MIN(Instances!AV13:Instances!AV13))</f>
        <v>0</v>
      </c>
      <c r="AW13" s="1" cm="1">
        <f t="array" ref="AW13">_xlfn.SWITCH($A$2,"average", AVERAGE(Instances!AW13:Instances!AW13),"median", MEDIAN(Instances!AW13:Instances!AW13),"min", MIN(Instances!AW13:Instances!AW13),"max", MAX(Instances!AW13:Instances!AW13),"diff", MAX(Instances!AW13:Instances!AW13)-MIN(Instances!AW13:Instances!AW13))</f>
        <v>0</v>
      </c>
      <c r="AX13" s="1" cm="1">
        <f t="array" ref="AX13">_xlfn.SWITCH($A$2,"average", AVERAGE(Instances!AX13:Instances!AX13),"median", MEDIAN(Instances!AX13:Instances!AX13),"min", MIN(Instances!AX13:Instances!AX13),"max", MAX(Instances!AX13:Instances!AX13),"diff", MAX(Instances!AX13:Instances!AX13)-MIN(Instances!AX13:Instances!AX13))</f>
        <v>0</v>
      </c>
      <c r="AY13" s="1" cm="1">
        <f t="array" ref="AY13">_xlfn.SWITCH($A$2,"average", AVERAGE(Instances!AY13:Instances!AY13),"median", MEDIAN(Instances!AY13:Instances!AY13),"min", MIN(Instances!AY13:Instances!AY13),"max", MAX(Instances!AY13:Instances!AY13),"diff", MAX(Instances!AY13:Instances!AY13)-MIN(Instances!AY13:Instances!AY13))</f>
        <v>0</v>
      </c>
      <c r="AZ13" s="1"/>
      <c r="BA13" s="1" cm="1">
        <f t="array" ref="BA13">_xlfn.SWITCH($A$2,"average", AVERAGE(Instances!BA13:Instances!BA13),"median", MEDIAN(Instances!BA13:Instances!BA13),"min", MIN(Instances!BA13:Instances!BA13),"max", MAX(Instances!BA13:Instances!BA13),"diff", MAX(Instances!BA13:Instances!BA13)-MIN(Instances!BA13:Instances!BA13))</f>
        <v>0</v>
      </c>
      <c r="BB13" s="1" cm="1">
        <f t="array" ref="BB13">_xlfn.SWITCH($A$2,"average", AVERAGE(Instances!BB13:Instances!BB13),"median", MEDIAN(Instances!BB13:Instances!BB13),"min", MIN(Instances!BB13:Instances!BB13),"max", MAX(Instances!BB13:Instances!BB13),"diff", MAX(Instances!BB13:Instances!BB13)-MIN(Instances!BB13:Instances!BB13))</f>
        <v>0</v>
      </c>
      <c r="BC13" s="1" cm="1">
        <f t="array" ref="BC13">_xlfn.SWITCH($A$2,"average", AVERAGE(Instances!BC13:Instances!BC13),"median", MEDIAN(Instances!BC13:Instances!BC13),"min", MIN(Instances!BC13:Instances!BC13),"max", MAX(Instances!BC13:Instances!BC13),"diff", MAX(Instances!BC13:Instances!BC13)-MIN(Instances!BC13:Instances!BC13))</f>
        <v>0</v>
      </c>
      <c r="BD13" s="1" cm="1">
        <f t="array" ref="BD13">_xlfn.SWITCH($A$2,"average", AVERAGE(Instances!BD13:Instances!BD13),"median", MEDIAN(Instances!BD13:Instances!BD13),"min", MIN(Instances!BD13:Instances!BD13),"max", MAX(Instances!BD13:Instances!BD13),"diff", MAX(Instances!BD13:Instances!BD13)-MIN(Instances!BD13:Instances!BD13))</f>
        <v>0</v>
      </c>
      <c r="BE13" s="1" cm="1">
        <f t="array" ref="BE13">_xlfn.SWITCH($A$2,"average", AVERAGE(Instances!BE13:Instances!BE13),"median", MEDIAN(Instances!BE13:Instances!BE13),"min", MIN(Instances!BE13:Instances!BE13),"max", MAX(Instances!BE13:Instances!BE13),"diff", MAX(Instances!BE13:Instances!BE13)-MIN(Instances!BE13:Instances!BE13))</f>
        <v>0</v>
      </c>
      <c r="BF13" s="1" cm="1">
        <f t="array" ref="BF13">_xlfn.SWITCH($A$2,"average", AVERAGE(Instances!BF13:Instances!BF13),"median", MEDIAN(Instances!BF13:Instances!BF13),"min", MIN(Instances!BF13:Instances!BF13),"max", MAX(Instances!BF13:Instances!BF13),"diff", MAX(Instances!BF13:Instances!BF13)-MIN(Instances!BF13:Instances!BF13))</f>
        <v>0</v>
      </c>
      <c r="BG13" s="1" cm="1">
        <f t="array" ref="BG13">_xlfn.SWITCH($A$2,"average", AVERAGE(Instances!BG13:Instances!BG13),"median", MEDIAN(Instances!BG13:Instances!BG13),"min", MIN(Instances!BG13:Instances!BG13),"max", MAX(Instances!BG13:Instances!BG13),"diff", MAX(Instances!BG13:Instances!BG13)-MIN(Instances!BG13:Instances!BG13))</f>
        <v>0</v>
      </c>
      <c r="BH13" s="1" cm="1">
        <f t="array" ref="BH13">_xlfn.SWITCH($A$2,"average", AVERAGE(Instances!BH13:Instances!BH13),"median", MEDIAN(Instances!BH13:Instances!BH13),"min", MIN(Instances!BH13:Instances!BH13),"max", MAX(Instances!BH13:Instances!BH13),"diff", MAX(Instances!BH13:Instances!BH13)-MIN(Instances!BH13:Instances!BH13))</f>
        <v>0</v>
      </c>
      <c r="BI13" s="1" cm="1">
        <f t="array" ref="BI13">_xlfn.SWITCH($A$2,"average", AVERAGE(Instances!BI13:Instances!BI13),"median", MEDIAN(Instances!BI13:Instances!BI13),"min", MIN(Instances!BI13:Instances!BI13),"max", MAX(Instances!BI13:Instances!BI13),"diff", MAX(Instances!BI13:Instances!BI13)-MIN(Instances!BI13:Instances!BI13))</f>
        <v>0</v>
      </c>
      <c r="BJ13" s="1" cm="1">
        <f t="array" ref="BJ13">_xlfn.SWITCH($A$2,"average", AVERAGE(Instances!BJ13:Instances!BJ13),"median", MEDIAN(Instances!BJ13:Instances!BJ13),"min", MIN(Instances!BJ13:Instances!BJ13),"max", MAX(Instances!BJ13:Instances!BJ13),"diff", MAX(Instances!BJ13:Instances!BJ13)-MIN(Instances!BJ13:Instances!BJ13))</f>
        <v>0</v>
      </c>
      <c r="BK13" s="1" cm="1">
        <f t="array" ref="BK13">_xlfn.SWITCH($A$2,"average", AVERAGE(Instances!BK13:Instances!BK13),"median", MEDIAN(Instances!BK13:Instances!BK13),"min", MIN(Instances!BK13:Instances!BK13),"max", MAX(Instances!BK13:Instances!BK13),"diff", MAX(Instances!BK13:Instances!BK13)-MIN(Instances!BK13:Instances!BK13))</f>
        <v>0</v>
      </c>
      <c r="BL13" s="1" cm="1">
        <f t="array" ref="BL13">_xlfn.SWITCH($A$2,"average", AVERAGE(Instances!BL13:Instances!BL13),"median", MEDIAN(Instances!BL13:Instances!BL13),"min", MIN(Instances!BL13:Instances!BL13),"max", MAX(Instances!BL13:Instances!BL13),"diff", MAX(Instances!BL13:Instances!BL13)-MIN(Instances!BL13:Instances!BL13))</f>
        <v>0</v>
      </c>
      <c r="BM13" s="1" cm="1">
        <f t="array" ref="BM13">_xlfn.SWITCH($A$2,"average", AVERAGE(Instances!BM13:Instances!BM13),"median", MEDIAN(Instances!BM13:Instances!BM13),"min", MIN(Instances!BM13:Instances!BM13),"max", MAX(Instances!BM13:Instances!BM13),"diff", MAX(Instances!BM13:Instances!BM13)-MIN(Instances!BM13:Instances!BM13))</f>
        <v>0</v>
      </c>
      <c r="BN13" s="1" cm="1">
        <f t="array" ref="BN13">_xlfn.SWITCH($A$2,"average", AVERAGE(Instances!BN13:Instances!BN13),"median", MEDIAN(Instances!BN13:Instances!BN13),"min", MIN(Instances!BN13:Instances!BN13),"max", MAX(Instances!BN13:Instances!BN13),"diff", MAX(Instances!BN13:Instances!BN13)-MIN(Instances!BN13:Instances!BN13))</f>
        <v>0</v>
      </c>
      <c r="BO13" s="1" cm="1">
        <f t="array" ref="BO13">_xlfn.SWITCH($A$2,"average", AVERAGE(Instances!BO13:Instances!BO13),"median", MEDIAN(Instances!BO13:Instances!BO13),"min", MIN(Instances!BO13:Instances!BO13),"max", MAX(Instances!BO13:Instances!BO13),"diff", MAX(Instances!BO13:Instances!BO13)-MIN(Instances!BO13:Instances!BO13))</f>
        <v>0</v>
      </c>
      <c r="BP13" s="1" cm="1">
        <f t="array" ref="BP13">_xlfn.SWITCH($A$2,"average", AVERAGE(Instances!BP13:Instances!BP13),"median", MEDIAN(Instances!BP13:Instances!BP13),"min", MIN(Instances!BP13:Instances!BP13),"max", MAX(Instances!BP13:Instances!BP13),"diff", MAX(Instances!BP13:Instances!BP13)-MIN(Instances!BP13:Instances!BP13))</f>
        <v>0</v>
      </c>
      <c r="BQ13" s="1" cm="1">
        <f t="array" ref="BQ13">_xlfn.SWITCH($A$2,"average", AVERAGE(Instances!BQ13:Instances!BQ13),"median", MEDIAN(Instances!BQ13:Instances!BQ13),"min", MIN(Instances!BQ13:Instances!BQ13),"max", MAX(Instances!BQ13:Instances!BQ13),"diff", MAX(Instances!BQ13:Instances!BQ13)-MIN(Instances!BQ13:Instances!BQ13))</f>
        <v>0</v>
      </c>
      <c r="BR13" s="1"/>
      <c r="BS13" s="1" cm="1">
        <f t="array" ref="BS13">_xlfn.SWITCH($A$2,"average", AVERAGE(Instances!BS13:Instances!BS13),"median", MEDIAN(Instances!BS13:Instances!BS13),"min", MIN(Instances!BS13:Instances!BS13),"max", MAX(Instances!BS13:Instances!BS13),"diff", MAX(Instances!BS13:Instances!BS13)-MIN(Instances!BS13:Instances!BS13))</f>
        <v>0</v>
      </c>
      <c r="BT13" s="1" cm="1">
        <f t="array" ref="BT13">_xlfn.SWITCH($A$2,"average", AVERAGE(Instances!BT13:Instances!BT13),"median", MEDIAN(Instances!BT13:Instances!BT13),"min", MIN(Instances!BT13:Instances!BT13),"max", MAX(Instances!BT13:Instances!BT13),"diff", MAX(Instances!BT13:Instances!BT13)-MIN(Instances!BT13:Instances!BT13))</f>
        <v>0</v>
      </c>
      <c r="BU13" s="1" cm="1">
        <f t="array" ref="BU13">_xlfn.SWITCH($A$2,"average", AVERAGE(Instances!BU13:Instances!BU13),"median", MEDIAN(Instances!BU13:Instances!BU13),"min", MIN(Instances!BU13:Instances!BU13),"max", MAX(Instances!BU13:Instances!BU13),"diff", MAX(Instances!BU13:Instances!BU13)-MIN(Instances!BU13:Instances!BU13))</f>
        <v>0</v>
      </c>
      <c r="BV13" s="1" cm="1">
        <f t="array" ref="BV13">_xlfn.SWITCH($A$2,"average", AVERAGE(Instances!BV13:Instances!BV13),"median", MEDIAN(Instances!BV13:Instances!BV13),"min", MIN(Instances!BV13:Instances!BV13),"max", MAX(Instances!BV13:Instances!BV13),"diff", MAX(Instances!BV13:Instances!BV13)-MIN(Instances!BV13:Instances!BV13))</f>
        <v>0</v>
      </c>
      <c r="BW13" s="1" cm="1">
        <f t="array" ref="BW13">_xlfn.SWITCH($A$2,"average", AVERAGE(Instances!BW13:Instances!BW13),"median", MEDIAN(Instances!BW13:Instances!BW13),"min", MIN(Instances!BW13:Instances!BW13),"max", MAX(Instances!BW13:Instances!BW13),"diff", MAX(Instances!BW13:Instances!BW13)-MIN(Instances!BW13:Instances!BW13))</f>
        <v>0</v>
      </c>
      <c r="BX13" s="1" cm="1">
        <f t="array" ref="BX13">_xlfn.SWITCH($A$2,"average", AVERAGE(Instances!BX13:Instances!BX13),"median", MEDIAN(Instances!BX13:Instances!BX13),"min", MIN(Instances!BX13:Instances!BX13),"max", MAX(Instances!BX13:Instances!BX13),"diff", MAX(Instances!BX13:Instances!BX13)-MIN(Instances!BX13:Instances!BX13))</f>
        <v>0</v>
      </c>
      <c r="BY13" s="1" cm="1">
        <f t="array" ref="BY13">_xlfn.SWITCH($A$2,"average", AVERAGE(Instances!BY13:Instances!BY13),"median", MEDIAN(Instances!BY13:Instances!BY13),"min", MIN(Instances!BY13:Instances!BY13),"max", MAX(Instances!BY13:Instances!BY13),"diff", MAX(Instances!BY13:Instances!BY13)-MIN(Instances!BY13:Instances!BY13))</f>
        <v>0</v>
      </c>
      <c r="BZ13" s="1" cm="1">
        <f t="array" ref="BZ13">_xlfn.SWITCH($A$2,"average", AVERAGE(Instances!BZ13:Instances!BZ13),"median", MEDIAN(Instances!BZ13:Instances!BZ13),"min", MIN(Instances!BZ13:Instances!BZ13),"max", MAX(Instances!BZ13:Instances!BZ13),"diff", MAX(Instances!BZ13:Instances!BZ13)-MIN(Instances!BZ13:Instances!BZ13))</f>
        <v>0</v>
      </c>
      <c r="CA13" s="1" cm="1">
        <f t="array" ref="CA13">_xlfn.SWITCH($A$2,"average", AVERAGE(Instances!CA13:Instances!CA13),"median", MEDIAN(Instances!CA13:Instances!CA13),"min", MIN(Instances!CA13:Instances!CA13),"max", MAX(Instances!CA13:Instances!CA13),"diff", MAX(Instances!CA13:Instances!CA13)-MIN(Instances!CA13:Instances!CA13))</f>
        <v>0</v>
      </c>
      <c r="CB13" s="1" cm="1">
        <f t="array" ref="CB13">_xlfn.SWITCH($A$2,"average", AVERAGE(Instances!CB13:Instances!CB13),"median", MEDIAN(Instances!CB13:Instances!CB13),"min", MIN(Instances!CB13:Instances!CB13),"max", MAX(Instances!CB13:Instances!CB13),"diff", MAX(Instances!CB13:Instances!CB13)-MIN(Instances!CB13:Instances!CB13))</f>
        <v>0</v>
      </c>
      <c r="CC13" s="1" cm="1">
        <f t="array" ref="CC13">_xlfn.SWITCH($A$2,"average", AVERAGE(Instances!CC13:Instances!CC13),"median", MEDIAN(Instances!CC13:Instances!CC13),"min", MIN(Instances!CC13:Instances!CC13),"max", MAX(Instances!CC13:Instances!CC13),"diff", MAX(Instances!CC13:Instances!CC13)-MIN(Instances!CC13:Instances!CC13))</f>
        <v>0</v>
      </c>
      <c r="CD13" s="1" cm="1">
        <f t="array" ref="CD13">_xlfn.SWITCH($A$2,"average", AVERAGE(Instances!CD13:Instances!CD13),"median", MEDIAN(Instances!CD13:Instances!CD13),"min", MIN(Instances!CD13:Instances!CD13),"max", MAX(Instances!CD13:Instances!CD13),"diff", MAX(Instances!CD13:Instances!CD13)-MIN(Instances!CD13:Instances!CD13))</f>
        <v>0</v>
      </c>
      <c r="CE13" s="1" cm="1">
        <f t="array" ref="CE13">_xlfn.SWITCH($A$2,"average", AVERAGE(Instances!CE13:Instances!CE13),"median", MEDIAN(Instances!CE13:Instances!CE13),"min", MIN(Instances!CE13:Instances!CE13),"max", MAX(Instances!CE13:Instances!CE13),"diff", MAX(Instances!CE13:Instances!CE13)-MIN(Instances!CE13:Instances!CE13))</f>
        <v>0</v>
      </c>
      <c r="CF13" s="1" cm="1">
        <f t="array" ref="CF13">_xlfn.SWITCH($A$2,"average", AVERAGE(Instances!CF13:Instances!CF13),"median", MEDIAN(Instances!CF13:Instances!CF13),"min", MIN(Instances!CF13:Instances!CF13),"max", MAX(Instances!CF13:Instances!CF13),"diff", MAX(Instances!CF13:Instances!CF13)-MIN(Instances!CF13:Instances!CF13))</f>
        <v>0</v>
      </c>
      <c r="CG13" s="1" cm="1">
        <f t="array" ref="CG13">_xlfn.SWITCH($A$2,"average", AVERAGE(Instances!CG13:Instances!CG13),"median", MEDIAN(Instances!CG13:Instances!CG13),"min", MIN(Instances!CG13:Instances!CG13),"max", MAX(Instances!CG13:Instances!CG13),"diff", MAX(Instances!CG13:Instances!CG13)-MIN(Instances!CG13:Instances!CG13))</f>
        <v>0</v>
      </c>
      <c r="CH13" s="1" cm="1">
        <f t="array" ref="CH13">_xlfn.SWITCH($A$2,"average", AVERAGE(Instances!CH13:Instances!CH13),"median", MEDIAN(Instances!CH13:Instances!CH13),"min", MIN(Instances!CH13:Instances!CH13),"max", MAX(Instances!CH13:Instances!CH13),"diff", MAX(Instances!CH13:Instances!CH13)-MIN(Instances!CH13:Instances!CH13))</f>
        <v>0</v>
      </c>
      <c r="CI13" s="1" cm="1">
        <f t="array" ref="CI13">_xlfn.SWITCH($A$2,"average", AVERAGE(Instances!CI13:Instances!CI13),"median", MEDIAN(Instances!CI13:Instances!CI13),"min", MIN(Instances!CI13:Instances!CI13),"max", MAX(Instances!CI13:Instances!CI13),"diff", MAX(Instances!CI13:Instances!CI13)-MIN(Instances!CI13:Instances!CI13))</f>
        <v>0</v>
      </c>
      <c r="CJ13" s="1"/>
      <c r="CK13" s="1" cm="1">
        <f t="array" ref="CK13">_xlfn.SWITCH($A$2,"average", AVERAGE(Instances!CK13:Instances!CK13),"median", MEDIAN(Instances!CK13:Instances!CK13),"min", MIN(Instances!CK13:Instances!CK13),"max", MAX(Instances!CK13:Instances!CK13),"diff", MAX(Instances!CK13:Instances!CK13)-MIN(Instances!CK13:Instances!CK13))</f>
        <v>0</v>
      </c>
      <c r="CL13" s="1" cm="1">
        <f t="array" ref="CL13">_xlfn.SWITCH($A$2,"average", AVERAGE(Instances!CL13:Instances!CL13),"median", MEDIAN(Instances!CL13:Instances!CL13),"min", MIN(Instances!CL13:Instances!CL13),"max", MAX(Instances!CL13:Instances!CL13),"diff", MAX(Instances!CL13:Instances!CL13)-MIN(Instances!CL13:Instances!CL13))</f>
        <v>0</v>
      </c>
      <c r="CM13" s="1" cm="1">
        <f t="array" ref="CM13">_xlfn.SWITCH($A$2,"average", AVERAGE(Instances!CM13:Instances!CM13),"median", MEDIAN(Instances!CM13:Instances!CM13),"min", MIN(Instances!CM13:Instances!CM13),"max", MAX(Instances!CM13:Instances!CM13),"diff", MAX(Instances!CM13:Instances!CM13)-MIN(Instances!CM13:Instances!CM13))</f>
        <v>0</v>
      </c>
      <c r="CN13" s="1" cm="1">
        <f t="array" ref="CN13">_xlfn.SWITCH($A$2,"average", AVERAGE(Instances!CN13:Instances!CN13),"median", MEDIAN(Instances!CN13:Instances!CN13),"min", MIN(Instances!CN13:Instances!CN13),"max", MAX(Instances!CN13:Instances!CN13),"diff", MAX(Instances!CN13:Instances!CN13)-MIN(Instances!CN13:Instances!CN13))</f>
        <v>0</v>
      </c>
      <c r="CO13" s="1" cm="1">
        <f t="array" ref="CO13">_xlfn.SWITCH($A$2,"average", AVERAGE(Instances!CO13:Instances!CO13),"median", MEDIAN(Instances!CO13:Instances!CO13),"min", MIN(Instances!CO13:Instances!CO13),"max", MAX(Instances!CO13:Instances!CO13),"diff", MAX(Instances!CO13:Instances!CO13)-MIN(Instances!CO13:Instances!CO13))</f>
        <v>0</v>
      </c>
      <c r="CP13" s="1" cm="1">
        <f t="array" ref="CP13">_xlfn.SWITCH($A$2,"average", AVERAGE(Instances!CP13:Instances!CP13),"median", MEDIAN(Instances!CP13:Instances!CP13),"min", MIN(Instances!CP13:Instances!CP13),"max", MAX(Instances!CP13:Instances!CP13),"diff", MAX(Instances!CP13:Instances!CP13)-MIN(Instances!CP13:Instances!CP13))</f>
        <v>0</v>
      </c>
      <c r="CQ13" s="1" cm="1">
        <f t="array" ref="CQ13">_xlfn.SWITCH($A$2,"average", AVERAGE(Instances!CQ13:Instances!CQ13),"median", MEDIAN(Instances!CQ13:Instances!CQ13),"min", MIN(Instances!CQ13:Instances!CQ13),"max", MAX(Instances!CQ13:Instances!CQ13),"diff", MAX(Instances!CQ13:Instances!CQ13)-MIN(Instances!CQ13:Instances!CQ13))</f>
        <v>0</v>
      </c>
      <c r="CR13" s="1" cm="1">
        <f t="array" ref="CR13">_xlfn.SWITCH($A$2,"average", AVERAGE(Instances!CR13:Instances!CR13),"median", MEDIAN(Instances!CR13:Instances!CR13),"min", MIN(Instances!CR13:Instances!CR13),"max", MAX(Instances!CR13:Instances!CR13),"diff", MAX(Instances!CR13:Instances!CR13)-MIN(Instances!CR13:Instances!CR13))</f>
        <v>0</v>
      </c>
      <c r="CS13" s="1" cm="1">
        <f t="array" ref="CS13">_xlfn.SWITCH($A$2,"average", AVERAGE(Instances!CS13:Instances!CS13),"median", MEDIAN(Instances!CS13:Instances!CS13),"min", MIN(Instances!CS13:Instances!CS13),"max", MAX(Instances!CS13:Instances!CS13),"diff", MAX(Instances!CS13:Instances!CS13)-MIN(Instances!CS13:Instances!CS13))</f>
        <v>0</v>
      </c>
      <c r="CT13" s="1" cm="1">
        <f t="array" ref="CT13">_xlfn.SWITCH($A$2,"average", AVERAGE(Instances!CT13:Instances!CT13),"median", MEDIAN(Instances!CT13:Instances!CT13),"min", MIN(Instances!CT13:Instances!CT13),"max", MAX(Instances!CT13:Instances!CT13),"diff", MAX(Instances!CT13:Instances!CT13)-MIN(Instances!CT13:Instances!CT13))</f>
        <v>0</v>
      </c>
      <c r="CU13" s="1" cm="1">
        <f t="array" ref="CU13">_xlfn.SWITCH($A$2,"average", AVERAGE(Instances!CU13:Instances!CU13),"median", MEDIAN(Instances!CU13:Instances!CU13),"min", MIN(Instances!CU13:Instances!CU13),"max", MAX(Instances!CU13:Instances!CU13),"diff", MAX(Instances!CU13:Instances!CU13)-MIN(Instances!CU13:Instances!CU13))</f>
        <v>0</v>
      </c>
      <c r="CV13" s="1" cm="1">
        <f t="array" ref="CV13">_xlfn.SWITCH($A$2,"average", AVERAGE(Instances!CV13:Instances!CV13),"median", MEDIAN(Instances!CV13:Instances!CV13),"min", MIN(Instances!CV13:Instances!CV13),"max", MAX(Instances!CV13:Instances!CV13),"diff", MAX(Instances!CV13:Instances!CV13)-MIN(Instances!CV13:Instances!CV13))</f>
        <v>0</v>
      </c>
      <c r="CW13" s="1" cm="1">
        <f t="array" ref="CW13">_xlfn.SWITCH($A$2,"average", AVERAGE(Instances!CW13:Instances!CW13),"median", MEDIAN(Instances!CW13:Instances!CW13),"min", MIN(Instances!CW13:Instances!CW13),"max", MAX(Instances!CW13:Instances!CW13),"diff", MAX(Instances!CW13:Instances!CW13)-MIN(Instances!CW13:Instances!CW13))</f>
        <v>0</v>
      </c>
      <c r="CX13" s="1" cm="1">
        <f t="array" ref="CX13">_xlfn.SWITCH($A$2,"average", AVERAGE(Instances!CX13:Instances!CX13),"median", MEDIAN(Instances!CX13:Instances!CX13),"min", MIN(Instances!CX13:Instances!CX13),"max", MAX(Instances!CX13:Instances!CX13),"diff", MAX(Instances!CX13:Instances!CX13)-MIN(Instances!CX13:Instances!CX13))</f>
        <v>0</v>
      </c>
      <c r="CY13" s="1" cm="1">
        <f t="array" ref="CY13">_xlfn.SWITCH($A$2,"average", AVERAGE(Instances!CY13:Instances!CY13),"median", MEDIAN(Instances!CY13:Instances!CY13),"min", MIN(Instances!CY13:Instances!CY13),"max", MAX(Instances!CY13:Instances!CY13),"diff", MAX(Instances!CY13:Instances!CY13)-MIN(Instances!CY13:Instances!CY13))</f>
        <v>0</v>
      </c>
      <c r="CZ13" s="1" cm="1">
        <f t="array" ref="CZ13">_xlfn.SWITCH($A$2,"average", AVERAGE(Instances!CZ13:Instances!CZ13),"median", MEDIAN(Instances!CZ13:Instances!CZ13),"min", MIN(Instances!CZ13:Instances!CZ13),"max", MAX(Instances!CZ13:Instances!CZ13),"diff", MAX(Instances!CZ13:Instances!CZ13)-MIN(Instances!CZ13:Instances!CZ13))</f>
        <v>0</v>
      </c>
      <c r="DA13" s="1" cm="1">
        <f t="array" ref="DA13">_xlfn.SWITCH($A$2,"average", AVERAGE(Instances!DA13:Instances!DA13),"median", MEDIAN(Instances!DA13:Instances!DA13),"min", MIN(Instances!DA13:Instances!DA13),"max", MAX(Instances!DA13:Instances!DA13),"diff", MAX(Instances!DA13:Instances!DA13)-MIN(Instances!DA13:Instances!DA13))</f>
        <v>0</v>
      </c>
      <c r="DB13" s="1"/>
      <c r="DC13" s="1" cm="1">
        <f t="array" ref="DC13">_xlfn.SWITCH($A$2,"average", AVERAGE(Instances!DC13:Instances!DC13),"median", MEDIAN(Instances!DC13:Instances!DC13),"min", MIN(Instances!DC13:Instances!DC13),"max", MAX(Instances!DC13:Instances!DC13),"diff", MAX(Instances!DC13:Instances!DC13)-MIN(Instances!DC13:Instances!DC13))</f>
        <v>0</v>
      </c>
      <c r="DD13" s="1" cm="1">
        <f t="array" ref="DD13">_xlfn.SWITCH($A$2,"average", AVERAGE(Instances!DD13:Instances!DD13),"median", MEDIAN(Instances!DD13:Instances!DD13),"min", MIN(Instances!DD13:Instances!DD13),"max", MAX(Instances!DD13:Instances!DD13),"diff", MAX(Instances!DD13:Instances!DD13)-MIN(Instances!DD13:Instances!DD13))</f>
        <v>0</v>
      </c>
      <c r="DE13" s="1" cm="1">
        <f t="array" ref="DE13">_xlfn.SWITCH($A$2,"average", AVERAGE(Instances!DE13:Instances!DE13),"median", MEDIAN(Instances!DE13:Instances!DE13),"min", MIN(Instances!DE13:Instances!DE13),"max", MAX(Instances!DE13:Instances!DE13),"diff", MAX(Instances!DE13:Instances!DE13)-MIN(Instances!DE13:Instances!DE13))</f>
        <v>0</v>
      </c>
      <c r="DF13" s="1" cm="1">
        <f t="array" ref="DF13">_xlfn.SWITCH($A$2,"average", AVERAGE(Instances!DF13:Instances!DF13),"median", MEDIAN(Instances!DF13:Instances!DF13),"min", MIN(Instances!DF13:Instances!DF13),"max", MAX(Instances!DF13:Instances!DF13),"diff", MAX(Instances!DF13:Instances!DF13)-MIN(Instances!DF13:Instances!DF13))</f>
        <v>0</v>
      </c>
      <c r="DG13" s="1" cm="1">
        <f t="array" ref="DG13">_xlfn.SWITCH($A$2,"average", AVERAGE(Instances!DG13:Instances!DG13),"median", MEDIAN(Instances!DG13:Instances!DG13),"min", MIN(Instances!DG13:Instances!DG13),"max", MAX(Instances!DG13:Instances!DG13),"diff", MAX(Instances!DG13:Instances!DG13)-MIN(Instances!DG13:Instances!DG13))</f>
        <v>0</v>
      </c>
      <c r="DH13" s="1" cm="1">
        <f t="array" ref="DH13">_xlfn.SWITCH($A$2,"average", AVERAGE(Instances!DH13:Instances!DH13),"median", MEDIAN(Instances!DH13:Instances!DH13),"min", MIN(Instances!DH13:Instances!DH13),"max", MAX(Instances!DH13:Instances!DH13),"diff", MAX(Instances!DH13:Instances!DH13)-MIN(Instances!DH13:Instances!DH13))</f>
        <v>0</v>
      </c>
      <c r="DI13" s="1" cm="1">
        <f t="array" ref="DI13">_xlfn.SWITCH($A$2,"average", AVERAGE(Instances!DI13:Instances!DI13),"median", MEDIAN(Instances!DI13:Instances!DI13),"min", MIN(Instances!DI13:Instances!DI13),"max", MAX(Instances!DI13:Instances!DI13),"diff", MAX(Instances!DI13:Instances!DI13)-MIN(Instances!DI13:Instances!DI13))</f>
        <v>0</v>
      </c>
      <c r="DJ13" s="1" cm="1">
        <f t="array" ref="DJ13">_xlfn.SWITCH($A$2,"average", AVERAGE(Instances!DJ13:Instances!DJ13),"median", MEDIAN(Instances!DJ13:Instances!DJ13),"min", MIN(Instances!DJ13:Instances!DJ13),"max", MAX(Instances!DJ13:Instances!DJ13),"diff", MAX(Instances!DJ13:Instances!DJ13)-MIN(Instances!DJ13:Instances!DJ13))</f>
        <v>0</v>
      </c>
      <c r="DK13" s="1" cm="1">
        <f t="array" ref="DK13">_xlfn.SWITCH($A$2,"average", AVERAGE(Instances!DK13:Instances!DK13),"median", MEDIAN(Instances!DK13:Instances!DK13),"min", MIN(Instances!DK13:Instances!DK13),"max", MAX(Instances!DK13:Instances!DK13),"diff", MAX(Instances!DK13:Instances!DK13)-MIN(Instances!DK13:Instances!DK13))</f>
        <v>0</v>
      </c>
      <c r="DL13" s="1" cm="1">
        <f t="array" ref="DL13">_xlfn.SWITCH($A$2,"average", AVERAGE(Instances!DL13:Instances!DL13),"median", MEDIAN(Instances!DL13:Instances!DL13),"min", MIN(Instances!DL13:Instances!DL13),"max", MAX(Instances!DL13:Instances!DL13),"diff", MAX(Instances!DL13:Instances!DL13)-MIN(Instances!DL13:Instances!DL13))</f>
        <v>0</v>
      </c>
      <c r="DM13" s="1" cm="1">
        <f t="array" ref="DM13">_xlfn.SWITCH($A$2,"average", AVERAGE(Instances!DM13:Instances!DM13),"median", MEDIAN(Instances!DM13:Instances!DM13),"min", MIN(Instances!DM13:Instances!DM13),"max", MAX(Instances!DM13:Instances!DM13),"diff", MAX(Instances!DM13:Instances!DM13)-MIN(Instances!DM13:Instances!DM13))</f>
        <v>0</v>
      </c>
      <c r="DN13" s="1" cm="1">
        <f t="array" ref="DN13">_xlfn.SWITCH($A$2,"average", AVERAGE(Instances!DN13:Instances!DN13),"median", MEDIAN(Instances!DN13:Instances!DN13),"min", MIN(Instances!DN13:Instances!DN13),"max", MAX(Instances!DN13:Instances!DN13),"diff", MAX(Instances!DN13:Instances!DN13)-MIN(Instances!DN13:Instances!DN13))</f>
        <v>0</v>
      </c>
      <c r="DO13" s="1" cm="1">
        <f t="array" ref="DO13">_xlfn.SWITCH($A$2,"average", AVERAGE(Instances!DO13:Instances!DO13),"median", MEDIAN(Instances!DO13:Instances!DO13),"min", MIN(Instances!DO13:Instances!DO13),"max", MAX(Instances!DO13:Instances!DO13),"diff", MAX(Instances!DO13:Instances!DO13)-MIN(Instances!DO13:Instances!DO13))</f>
        <v>0</v>
      </c>
      <c r="DP13" s="1" cm="1">
        <f t="array" ref="DP13">_xlfn.SWITCH($A$2,"average", AVERAGE(Instances!DP13:Instances!DP13),"median", MEDIAN(Instances!DP13:Instances!DP13),"min", MIN(Instances!DP13:Instances!DP13),"max", MAX(Instances!DP13:Instances!DP13),"diff", MAX(Instances!DP13:Instances!DP13)-MIN(Instances!DP13:Instances!DP13))</f>
        <v>0</v>
      </c>
      <c r="DQ13" s="1" cm="1">
        <f t="array" ref="DQ13">_xlfn.SWITCH($A$2,"average", AVERAGE(Instances!DQ13:Instances!DQ13),"median", MEDIAN(Instances!DQ13:Instances!DQ13),"min", MIN(Instances!DQ13:Instances!DQ13),"max", MAX(Instances!DQ13:Instances!DQ13),"diff", MAX(Instances!DQ13:Instances!DQ13)-MIN(Instances!DQ13:Instances!DQ13))</f>
        <v>0</v>
      </c>
      <c r="DR13" s="1" cm="1">
        <f t="array" ref="DR13">_xlfn.SWITCH($A$2,"average", AVERAGE(Instances!DR13:Instances!DR13),"median", MEDIAN(Instances!DR13:Instances!DR13),"min", MIN(Instances!DR13:Instances!DR13),"max", MAX(Instances!DR13:Instances!DR13),"diff", MAX(Instances!DR13:Instances!DR13)-MIN(Instances!DR13:Instances!DR13))</f>
        <v>0</v>
      </c>
      <c r="DS13" s="1" cm="1">
        <f t="array" ref="DS13">_xlfn.SWITCH($A$2,"average", AVERAGE(Instances!DS13:Instances!DS13),"median", MEDIAN(Instances!DS13:Instances!DS13),"min", MIN(Instances!DS13:Instances!DS13),"max", MAX(Instances!DS13:Instances!DS13),"diff", MAX(Instances!DS13:Instances!DS13)-MIN(Instances!DS13:Instances!DS13))</f>
        <v>0</v>
      </c>
      <c r="DT13" s="1"/>
      <c r="DU13" s="1" cm="1">
        <f t="array" ref="DU13">_xlfn.SWITCH($A$2,"average", AVERAGE(Instances!DU13:Instances!DU13),"median", MEDIAN(Instances!DU13:Instances!DU13),"min", MIN(Instances!DU13:Instances!DU13),"max", MAX(Instances!DU13:Instances!DU13),"diff", MAX(Instances!DU13:Instances!DU13)-MIN(Instances!DU13:Instances!DU13))</f>
        <v>0</v>
      </c>
      <c r="DV13" s="1" cm="1">
        <f t="array" ref="DV13">_xlfn.SWITCH($A$2,"average", AVERAGE(Instances!DV13:Instances!DV13),"median", MEDIAN(Instances!DV13:Instances!DV13),"min", MIN(Instances!DV13:Instances!DV13),"max", MAX(Instances!DV13:Instances!DV13),"diff", MAX(Instances!DV13:Instances!DV13)-MIN(Instances!DV13:Instances!DV13))</f>
        <v>0</v>
      </c>
      <c r="DW13" s="1" cm="1">
        <f t="array" ref="DW13">_xlfn.SWITCH($A$2,"average", AVERAGE(Instances!DW13:Instances!DW13),"median", MEDIAN(Instances!DW13:Instances!DW13),"min", MIN(Instances!DW13:Instances!DW13),"max", MAX(Instances!DW13:Instances!DW13),"diff", MAX(Instances!DW13:Instances!DW13)-MIN(Instances!DW13:Instances!DW13))</f>
        <v>0</v>
      </c>
      <c r="DX13" s="1" cm="1">
        <f t="array" ref="DX13">_xlfn.SWITCH($A$2,"average", AVERAGE(Instances!DX13:Instances!DX13),"median", MEDIAN(Instances!DX13:Instances!DX13),"min", MIN(Instances!DX13:Instances!DX13),"max", MAX(Instances!DX13:Instances!DX13),"diff", MAX(Instances!DX13:Instances!DX13)-MIN(Instances!DX13:Instances!DX13))</f>
        <v>0</v>
      </c>
      <c r="DY13" s="1" cm="1">
        <f t="array" ref="DY13">_xlfn.SWITCH($A$2,"average", AVERAGE(Instances!DY13:Instances!DY13),"median", MEDIAN(Instances!DY13:Instances!DY13),"min", MIN(Instances!DY13:Instances!DY13),"max", MAX(Instances!DY13:Instances!DY13),"diff", MAX(Instances!DY13:Instances!DY13)-MIN(Instances!DY13:Instances!DY13))</f>
        <v>0</v>
      </c>
      <c r="DZ13" s="1" cm="1">
        <f t="array" ref="DZ13">_xlfn.SWITCH($A$2,"average", AVERAGE(Instances!DZ13:Instances!DZ13),"median", MEDIAN(Instances!DZ13:Instances!DZ13),"min", MIN(Instances!DZ13:Instances!DZ13),"max", MAX(Instances!DZ13:Instances!DZ13),"diff", MAX(Instances!DZ13:Instances!DZ13)-MIN(Instances!DZ13:Instances!DZ13))</f>
        <v>0</v>
      </c>
      <c r="EA13" s="1" cm="1">
        <f t="array" ref="EA13">_xlfn.SWITCH($A$2,"average", AVERAGE(Instances!EA13:Instances!EA13),"median", MEDIAN(Instances!EA13:Instances!EA13),"min", MIN(Instances!EA13:Instances!EA13),"max", MAX(Instances!EA13:Instances!EA13),"diff", MAX(Instances!EA13:Instances!EA13)-MIN(Instances!EA13:Instances!EA13))</f>
        <v>0</v>
      </c>
      <c r="EB13" s="1" cm="1">
        <f t="array" ref="EB13">_xlfn.SWITCH($A$2,"average", AVERAGE(Instances!EB13:Instances!EB13),"median", MEDIAN(Instances!EB13:Instances!EB13),"min", MIN(Instances!EB13:Instances!EB13),"max", MAX(Instances!EB13:Instances!EB13),"diff", MAX(Instances!EB13:Instances!EB13)-MIN(Instances!EB13:Instances!EB13))</f>
        <v>0</v>
      </c>
      <c r="EC13" s="1" cm="1">
        <f t="array" ref="EC13">_xlfn.SWITCH($A$2,"average", AVERAGE(Instances!EC13:Instances!EC13),"median", MEDIAN(Instances!EC13:Instances!EC13),"min", MIN(Instances!EC13:Instances!EC13),"max", MAX(Instances!EC13:Instances!EC13),"diff", MAX(Instances!EC13:Instances!EC13)-MIN(Instances!EC13:Instances!EC13))</f>
        <v>0</v>
      </c>
      <c r="ED13" s="1" cm="1">
        <f t="array" ref="ED13">_xlfn.SWITCH($A$2,"average", AVERAGE(Instances!ED13:Instances!ED13),"median", MEDIAN(Instances!ED13:Instances!ED13),"min", MIN(Instances!ED13:Instances!ED13),"max", MAX(Instances!ED13:Instances!ED13),"diff", MAX(Instances!ED13:Instances!ED13)-MIN(Instances!ED13:Instances!ED13))</f>
        <v>0</v>
      </c>
      <c r="EE13" s="1" cm="1">
        <f t="array" ref="EE13">_xlfn.SWITCH($A$2,"average", AVERAGE(Instances!EE13:Instances!EE13),"median", MEDIAN(Instances!EE13:Instances!EE13),"min", MIN(Instances!EE13:Instances!EE13),"max", MAX(Instances!EE13:Instances!EE13),"diff", MAX(Instances!EE13:Instances!EE13)-MIN(Instances!EE13:Instances!EE13))</f>
        <v>0</v>
      </c>
      <c r="EF13" s="1" cm="1">
        <f t="array" ref="EF13">_xlfn.SWITCH($A$2,"average", AVERAGE(Instances!EF13:Instances!EF13),"median", MEDIAN(Instances!EF13:Instances!EF13),"min", MIN(Instances!EF13:Instances!EF13),"max", MAX(Instances!EF13:Instances!EF13),"diff", MAX(Instances!EF13:Instances!EF13)-MIN(Instances!EF13:Instances!EF13))</f>
        <v>0</v>
      </c>
      <c r="EG13" s="1" cm="1">
        <f t="array" ref="EG13">_xlfn.SWITCH($A$2,"average", AVERAGE(Instances!EG13:Instances!EG13),"median", MEDIAN(Instances!EG13:Instances!EG13),"min", MIN(Instances!EG13:Instances!EG13),"max", MAX(Instances!EG13:Instances!EG13),"diff", MAX(Instances!EG13:Instances!EG13)-MIN(Instances!EG13:Instances!EG13))</f>
        <v>0</v>
      </c>
      <c r="EH13" s="1" cm="1">
        <f t="array" ref="EH13">_xlfn.SWITCH($A$2,"average", AVERAGE(Instances!EH13:Instances!EH13),"median", MEDIAN(Instances!EH13:Instances!EH13),"min", MIN(Instances!EH13:Instances!EH13),"max", MAX(Instances!EH13:Instances!EH13),"diff", MAX(Instances!EH13:Instances!EH13)-MIN(Instances!EH13:Instances!EH13))</f>
        <v>0</v>
      </c>
      <c r="EI13" s="1" cm="1">
        <f t="array" ref="EI13">_xlfn.SWITCH($A$2,"average", AVERAGE(Instances!EI13:Instances!EI13),"median", MEDIAN(Instances!EI13:Instances!EI13),"min", MIN(Instances!EI13:Instances!EI13),"max", MAX(Instances!EI13:Instances!EI13),"diff", MAX(Instances!EI13:Instances!EI13)-MIN(Instances!EI13:Instances!EI13))</f>
        <v>0</v>
      </c>
      <c r="EJ13" s="1" cm="1">
        <f t="array" ref="EJ13">_xlfn.SWITCH($A$2,"average", AVERAGE(Instances!EJ13:Instances!EJ13),"median", MEDIAN(Instances!EJ13:Instances!EJ13),"min", MIN(Instances!EJ13:Instances!EJ13),"max", MAX(Instances!EJ13:Instances!EJ13),"diff", MAX(Instances!EJ13:Instances!EJ13)-MIN(Instances!EJ13:Instances!EJ13))</f>
        <v>0</v>
      </c>
      <c r="EK13" s="1" cm="1">
        <f t="array" ref="EK13">_xlfn.SWITCH($A$2,"average", AVERAGE(Instances!EK13:Instances!EK13),"median", MEDIAN(Instances!EK13:Instances!EK13),"min", MIN(Instances!EK13:Instances!EK13),"max", MAX(Instances!EK13:Instances!EK13),"diff", MAX(Instances!EK13:Instances!EK13)-MIN(Instances!EK13:Instances!EK13))</f>
        <v>0</v>
      </c>
      <c r="EL13" s="1"/>
      <c r="EM13" s="1" cm="1">
        <f t="array" ref="EM13">_xlfn.SWITCH($A$2,"average", AVERAGE(Instances!EM13:Instances!EM13),"median", MEDIAN(Instances!EM13:Instances!EM13),"min", MIN(Instances!EM13:Instances!EM13),"max", MAX(Instances!EM13:Instances!EM13),"diff", MAX(Instances!EM13:Instances!EM13)-MIN(Instances!EM13:Instances!EM13))</f>
        <v>0</v>
      </c>
      <c r="EN13" s="1" cm="1">
        <f t="array" ref="EN13">_xlfn.SWITCH($A$2,"average", AVERAGE(Instances!EN13:Instances!EN13),"median", MEDIAN(Instances!EN13:Instances!EN13),"min", MIN(Instances!EN13:Instances!EN13),"max", MAX(Instances!EN13:Instances!EN13),"diff", MAX(Instances!EN13:Instances!EN13)-MIN(Instances!EN13:Instances!EN13))</f>
        <v>0</v>
      </c>
      <c r="EO13" s="1" cm="1">
        <f t="array" ref="EO13">_xlfn.SWITCH($A$2,"average", AVERAGE(Instances!EO13:Instances!EO13),"median", MEDIAN(Instances!EO13:Instances!EO13),"min", MIN(Instances!EO13:Instances!EO13),"max", MAX(Instances!EO13:Instances!EO13),"diff", MAX(Instances!EO13:Instances!EO13)-MIN(Instances!EO13:Instances!EO13))</f>
        <v>0</v>
      </c>
      <c r="EP13" s="1" cm="1">
        <f t="array" ref="EP13">_xlfn.SWITCH($A$2,"average", AVERAGE(Instances!EP13:Instances!EP13),"median", MEDIAN(Instances!EP13:Instances!EP13),"min", MIN(Instances!EP13:Instances!EP13),"max", MAX(Instances!EP13:Instances!EP13),"diff", MAX(Instances!EP13:Instances!EP13)-MIN(Instances!EP13:Instances!EP13))</f>
        <v>0</v>
      </c>
      <c r="EQ13" s="1" cm="1">
        <f t="array" ref="EQ13">_xlfn.SWITCH($A$2,"average", AVERAGE(Instances!EQ13:Instances!EQ13),"median", MEDIAN(Instances!EQ13:Instances!EQ13),"min", MIN(Instances!EQ13:Instances!EQ13),"max", MAX(Instances!EQ13:Instances!EQ13),"diff", MAX(Instances!EQ13:Instances!EQ13)-MIN(Instances!EQ13:Instances!EQ13))</f>
        <v>0</v>
      </c>
      <c r="ER13" s="1" cm="1">
        <f t="array" ref="ER13">_xlfn.SWITCH($A$2,"average", AVERAGE(Instances!ER13:Instances!ER13),"median", MEDIAN(Instances!ER13:Instances!ER13),"min", MIN(Instances!ER13:Instances!ER13),"max", MAX(Instances!ER13:Instances!ER13),"diff", MAX(Instances!ER13:Instances!ER13)-MIN(Instances!ER13:Instances!ER13))</f>
        <v>0</v>
      </c>
      <c r="ES13" s="1" cm="1">
        <f t="array" ref="ES13">_xlfn.SWITCH($A$2,"average", AVERAGE(Instances!ES13:Instances!ES13),"median", MEDIAN(Instances!ES13:Instances!ES13),"min", MIN(Instances!ES13:Instances!ES13),"max", MAX(Instances!ES13:Instances!ES13),"diff", MAX(Instances!ES13:Instances!ES13)-MIN(Instances!ES13:Instances!ES13))</f>
        <v>0</v>
      </c>
      <c r="ET13" s="1" cm="1">
        <f t="array" ref="ET13">_xlfn.SWITCH($A$2,"average", AVERAGE(Instances!ET13:Instances!ET13),"median", MEDIAN(Instances!ET13:Instances!ET13),"min", MIN(Instances!ET13:Instances!ET13),"max", MAX(Instances!ET13:Instances!ET13),"diff", MAX(Instances!ET13:Instances!ET13)-MIN(Instances!ET13:Instances!ET13))</f>
        <v>0</v>
      </c>
      <c r="EU13" s="1" cm="1">
        <f t="array" ref="EU13">_xlfn.SWITCH($A$2,"average", AVERAGE(Instances!EU13:Instances!EU13),"median", MEDIAN(Instances!EU13:Instances!EU13),"min", MIN(Instances!EU13:Instances!EU13),"max", MAX(Instances!EU13:Instances!EU13),"diff", MAX(Instances!EU13:Instances!EU13)-MIN(Instances!EU13:Instances!EU13))</f>
        <v>0</v>
      </c>
      <c r="EV13" s="1" cm="1">
        <f t="array" ref="EV13">_xlfn.SWITCH($A$2,"average", AVERAGE(Instances!EV13:Instances!EV13),"median", MEDIAN(Instances!EV13:Instances!EV13),"min", MIN(Instances!EV13:Instances!EV13),"max", MAX(Instances!EV13:Instances!EV13),"diff", MAX(Instances!EV13:Instances!EV13)-MIN(Instances!EV13:Instances!EV13))</f>
        <v>0</v>
      </c>
      <c r="EW13" s="1" cm="1">
        <f t="array" ref="EW13">_xlfn.SWITCH($A$2,"average", AVERAGE(Instances!EW13:Instances!EW13),"median", MEDIAN(Instances!EW13:Instances!EW13),"min", MIN(Instances!EW13:Instances!EW13),"max", MAX(Instances!EW13:Instances!EW13),"diff", MAX(Instances!EW13:Instances!EW13)-MIN(Instances!EW13:Instances!EW13))</f>
        <v>0</v>
      </c>
      <c r="EX13" s="1" cm="1">
        <f t="array" ref="EX13">_xlfn.SWITCH($A$2,"average", AVERAGE(Instances!EX13:Instances!EX13),"median", MEDIAN(Instances!EX13:Instances!EX13),"min", MIN(Instances!EX13:Instances!EX13),"max", MAX(Instances!EX13:Instances!EX13),"diff", MAX(Instances!EX13:Instances!EX13)-MIN(Instances!EX13:Instances!EX13))</f>
        <v>0</v>
      </c>
      <c r="EY13" s="1" cm="1">
        <f t="array" ref="EY13">_xlfn.SWITCH($A$2,"average", AVERAGE(Instances!EY13:Instances!EY13),"median", MEDIAN(Instances!EY13:Instances!EY13),"min", MIN(Instances!EY13:Instances!EY13),"max", MAX(Instances!EY13:Instances!EY13),"diff", MAX(Instances!EY13:Instances!EY13)-MIN(Instances!EY13:Instances!EY13))</f>
        <v>0</v>
      </c>
      <c r="EZ13" s="1" cm="1">
        <f t="array" ref="EZ13">_xlfn.SWITCH($A$2,"average", AVERAGE(Instances!EZ13:Instances!EZ13),"median", MEDIAN(Instances!EZ13:Instances!EZ13),"min", MIN(Instances!EZ13:Instances!EZ13),"max", MAX(Instances!EZ13:Instances!EZ13),"diff", MAX(Instances!EZ13:Instances!EZ13)-MIN(Instances!EZ13:Instances!EZ13))</f>
        <v>0</v>
      </c>
      <c r="FA13" s="1" cm="1">
        <f t="array" ref="FA13">_xlfn.SWITCH($A$2,"average", AVERAGE(Instances!FA13:Instances!FA13),"median", MEDIAN(Instances!FA13:Instances!FA13),"min", MIN(Instances!FA13:Instances!FA13),"max", MAX(Instances!FA13:Instances!FA13),"diff", MAX(Instances!FA13:Instances!FA13)-MIN(Instances!FA13:Instances!FA13))</f>
        <v>0</v>
      </c>
      <c r="FB13" s="1" cm="1">
        <f t="array" ref="FB13">_xlfn.SWITCH($A$2,"average", AVERAGE(Instances!FB13:Instances!FB13),"median", MEDIAN(Instances!FB13:Instances!FB13),"min", MIN(Instances!FB13:Instances!FB13),"max", MAX(Instances!FB13:Instances!FB13),"diff", MAX(Instances!FB13:Instances!FB13)-MIN(Instances!FB13:Instances!FB13))</f>
        <v>0</v>
      </c>
      <c r="FC13" s="1" cm="1">
        <f t="array" ref="FC13">_xlfn.SWITCH($A$2,"average", AVERAGE(Instances!FC13:Instances!FC13),"median", MEDIAN(Instances!FC13:Instances!FC13),"min", MIN(Instances!FC13:Instances!FC13),"max", MAX(Instances!FC13:Instances!FC13),"diff", MAX(Instances!FC13:Instances!FC13)-MIN(Instances!FC13:Instances!FC13))</f>
        <v>0</v>
      </c>
      <c r="FD13" s="1"/>
      <c r="FE13" s="1" cm="1">
        <f t="array" ref="FE13">_xlfn.SWITCH($A$2,"average", AVERAGE(Instances!FE13:Instances!FE13),"median", MEDIAN(Instances!FE13:Instances!FE13),"min", MIN(Instances!FE13:Instances!FE13),"max", MAX(Instances!FE13:Instances!FE13),"diff", MAX(Instances!FE13:Instances!FE13)-MIN(Instances!FE13:Instances!FE13))</f>
        <v>0</v>
      </c>
      <c r="FF13" s="1" cm="1">
        <f t="array" ref="FF13">_xlfn.SWITCH($A$2,"average", AVERAGE(Instances!FF13:Instances!FF13),"median", MEDIAN(Instances!FF13:Instances!FF13),"min", MIN(Instances!FF13:Instances!FF13),"max", MAX(Instances!FF13:Instances!FF13),"diff", MAX(Instances!FF13:Instances!FF13)-MIN(Instances!FF13:Instances!FF13))</f>
        <v>0</v>
      </c>
      <c r="FG13" s="1" cm="1">
        <f t="array" ref="FG13">_xlfn.SWITCH($A$2,"average", AVERAGE(Instances!FG13:Instances!FG13),"median", MEDIAN(Instances!FG13:Instances!FG13),"min", MIN(Instances!FG13:Instances!FG13),"max", MAX(Instances!FG13:Instances!FG13),"diff", MAX(Instances!FG13:Instances!FG13)-MIN(Instances!FG13:Instances!FG13))</f>
        <v>0</v>
      </c>
      <c r="FH13" s="1" cm="1">
        <f t="array" ref="FH13">_xlfn.SWITCH($A$2,"average", AVERAGE(Instances!FH13:Instances!FH13),"median", MEDIAN(Instances!FH13:Instances!FH13),"min", MIN(Instances!FH13:Instances!FH13),"max", MAX(Instances!FH13:Instances!FH13),"diff", MAX(Instances!FH13:Instances!FH13)-MIN(Instances!FH13:Instances!FH13))</f>
        <v>0</v>
      </c>
      <c r="FI13" s="1" cm="1">
        <f t="array" ref="FI13">_xlfn.SWITCH($A$2,"average", AVERAGE(Instances!FI13:Instances!FI13),"median", MEDIAN(Instances!FI13:Instances!FI13),"min", MIN(Instances!FI13:Instances!FI13),"max", MAX(Instances!FI13:Instances!FI13),"diff", MAX(Instances!FI13:Instances!FI13)-MIN(Instances!FI13:Instances!FI13))</f>
        <v>0</v>
      </c>
      <c r="FJ13" s="1" cm="1">
        <f t="array" ref="FJ13">_xlfn.SWITCH($A$2,"average", AVERAGE(Instances!FJ13:Instances!FJ13),"median", MEDIAN(Instances!FJ13:Instances!FJ13),"min", MIN(Instances!FJ13:Instances!FJ13),"max", MAX(Instances!FJ13:Instances!FJ13),"diff", MAX(Instances!FJ13:Instances!FJ13)-MIN(Instances!FJ13:Instances!FJ13))</f>
        <v>0</v>
      </c>
      <c r="FK13" s="1" cm="1">
        <f t="array" ref="FK13">_xlfn.SWITCH($A$2,"average", AVERAGE(Instances!FK13:Instances!FK13),"median", MEDIAN(Instances!FK13:Instances!FK13),"min", MIN(Instances!FK13:Instances!FK13),"max", MAX(Instances!FK13:Instances!FK13),"diff", MAX(Instances!FK13:Instances!FK13)-MIN(Instances!FK13:Instances!FK13))</f>
        <v>0</v>
      </c>
      <c r="FL13" s="1" cm="1">
        <f t="array" ref="FL13">_xlfn.SWITCH($A$2,"average", AVERAGE(Instances!FL13:Instances!FL13),"median", MEDIAN(Instances!FL13:Instances!FL13),"min", MIN(Instances!FL13:Instances!FL13),"max", MAX(Instances!FL13:Instances!FL13),"diff", MAX(Instances!FL13:Instances!FL13)-MIN(Instances!FL13:Instances!FL13))</f>
        <v>0</v>
      </c>
      <c r="FM13" s="1" cm="1">
        <f t="array" ref="FM13">_xlfn.SWITCH($A$2,"average", AVERAGE(Instances!FM13:Instances!FM13),"median", MEDIAN(Instances!FM13:Instances!FM13),"min", MIN(Instances!FM13:Instances!FM13),"max", MAX(Instances!FM13:Instances!FM13),"diff", MAX(Instances!FM13:Instances!FM13)-MIN(Instances!FM13:Instances!FM13))</f>
        <v>0</v>
      </c>
      <c r="FN13" s="1" cm="1">
        <f t="array" ref="FN13">_xlfn.SWITCH($A$2,"average", AVERAGE(Instances!FN13:Instances!FN13),"median", MEDIAN(Instances!FN13:Instances!FN13),"min", MIN(Instances!FN13:Instances!FN13),"max", MAX(Instances!FN13:Instances!FN13),"diff", MAX(Instances!FN13:Instances!FN13)-MIN(Instances!FN13:Instances!FN13))</f>
        <v>0</v>
      </c>
      <c r="FO13" s="1" cm="1">
        <f t="array" ref="FO13">_xlfn.SWITCH($A$2,"average", AVERAGE(Instances!FO13:Instances!FO13),"median", MEDIAN(Instances!FO13:Instances!FO13),"min", MIN(Instances!FO13:Instances!FO13),"max", MAX(Instances!FO13:Instances!FO13),"diff", MAX(Instances!FO13:Instances!FO13)-MIN(Instances!FO13:Instances!FO13))</f>
        <v>0</v>
      </c>
      <c r="FP13" s="1" cm="1">
        <f t="array" ref="FP13">_xlfn.SWITCH($A$2,"average", AVERAGE(Instances!FP13:Instances!FP13),"median", MEDIAN(Instances!FP13:Instances!FP13),"min", MIN(Instances!FP13:Instances!FP13),"max", MAX(Instances!FP13:Instances!FP13),"diff", MAX(Instances!FP13:Instances!FP13)-MIN(Instances!FP13:Instances!FP13))</f>
        <v>0</v>
      </c>
      <c r="FQ13" s="1" cm="1">
        <f t="array" ref="FQ13">_xlfn.SWITCH($A$2,"average", AVERAGE(Instances!FQ13:Instances!FQ13),"median", MEDIAN(Instances!FQ13:Instances!FQ13),"min", MIN(Instances!FQ13:Instances!FQ13),"max", MAX(Instances!FQ13:Instances!FQ13),"diff", MAX(Instances!FQ13:Instances!FQ13)-MIN(Instances!FQ13:Instances!FQ13))</f>
        <v>0</v>
      </c>
      <c r="FR13" s="1" cm="1">
        <f t="array" ref="FR13">_xlfn.SWITCH($A$2,"average", AVERAGE(Instances!FR13:Instances!FR13),"median", MEDIAN(Instances!FR13:Instances!FR13),"min", MIN(Instances!FR13:Instances!FR13),"max", MAX(Instances!FR13:Instances!FR13),"diff", MAX(Instances!FR13:Instances!FR13)-MIN(Instances!FR13:Instances!FR13))</f>
        <v>0</v>
      </c>
      <c r="FS13" s="1" cm="1">
        <f t="array" ref="FS13">_xlfn.SWITCH($A$2,"average", AVERAGE(Instances!FS13:Instances!FS13),"median", MEDIAN(Instances!FS13:Instances!FS13),"min", MIN(Instances!FS13:Instances!FS13),"max", MAX(Instances!FS13:Instances!FS13),"diff", MAX(Instances!FS13:Instances!FS13)-MIN(Instances!FS13:Instances!FS13))</f>
        <v>0</v>
      </c>
      <c r="FT13" s="1" cm="1">
        <f t="array" ref="FT13">_xlfn.SWITCH($A$2,"average", AVERAGE(Instances!FT13:Instances!FT13),"median", MEDIAN(Instances!FT13:Instances!FT13),"min", MIN(Instances!FT13:Instances!FT13),"max", MAX(Instances!FT13:Instances!FT13),"diff", MAX(Instances!FT13:Instances!FT13)-MIN(Instances!FT13:Instances!FT13))</f>
        <v>0</v>
      </c>
      <c r="FU13" s="1" cm="1">
        <f t="array" ref="FU13">_xlfn.SWITCH($A$2,"average", AVERAGE(Instances!FU13:Instances!FU13),"median", MEDIAN(Instances!FU13:Instances!FU13),"min", MIN(Instances!FU13:Instances!FU13),"max", MAX(Instances!FU13:Instances!FU13),"diff", MAX(Instances!FU13:Instances!FU13)-MIN(Instances!FU13:Instances!FU13))</f>
        <v>0</v>
      </c>
      <c r="FV13" s="1"/>
      <c r="FW13" s="1" cm="1">
        <f t="array" ref="FW13">_xlfn.SWITCH($A$2,"average", AVERAGE(Instances!FW13:Instances!FW13),"median", MEDIAN(Instances!FW13:Instances!FW13),"min", MIN(Instances!FW13:Instances!FW13),"max", MAX(Instances!FW13:Instances!FW13),"diff", MAX(Instances!FW13:Instances!FW13)-MIN(Instances!FW13:Instances!FW13))</f>
        <v>0</v>
      </c>
      <c r="FX13" s="1" cm="1">
        <f t="array" ref="FX13">_xlfn.SWITCH($A$2,"average", AVERAGE(Instances!FX13:Instances!FX13),"median", MEDIAN(Instances!FX13:Instances!FX13),"min", MIN(Instances!FX13:Instances!FX13),"max", MAX(Instances!FX13:Instances!FX13),"diff", MAX(Instances!FX13:Instances!FX13)-MIN(Instances!FX13:Instances!FX13))</f>
        <v>0</v>
      </c>
      <c r="FY13" s="1" cm="1">
        <f t="array" ref="FY13">_xlfn.SWITCH($A$2,"average", AVERAGE(Instances!FY13:Instances!FY13),"median", MEDIAN(Instances!FY13:Instances!FY13),"min", MIN(Instances!FY13:Instances!FY13),"max", MAX(Instances!FY13:Instances!FY13),"diff", MAX(Instances!FY13:Instances!FY13)-MIN(Instances!FY13:Instances!FY13))</f>
        <v>0</v>
      </c>
      <c r="FZ13" s="1" cm="1">
        <f t="array" ref="FZ13">_xlfn.SWITCH($A$2,"average", AVERAGE(Instances!FZ13:Instances!FZ13),"median", MEDIAN(Instances!FZ13:Instances!FZ13),"min", MIN(Instances!FZ13:Instances!FZ13),"max", MAX(Instances!FZ13:Instances!FZ13),"diff", MAX(Instances!FZ13:Instances!FZ13)-MIN(Instances!FZ13:Instances!FZ13))</f>
        <v>0</v>
      </c>
      <c r="GA13" s="1" cm="1">
        <f t="array" ref="GA13">_xlfn.SWITCH($A$2,"average", AVERAGE(Instances!GA13:Instances!GA13),"median", MEDIAN(Instances!GA13:Instances!GA13),"min", MIN(Instances!GA13:Instances!GA13),"max", MAX(Instances!GA13:Instances!GA13),"diff", MAX(Instances!GA13:Instances!GA13)-MIN(Instances!GA13:Instances!GA13))</f>
        <v>0</v>
      </c>
      <c r="GB13" s="1" cm="1">
        <f t="array" ref="GB13">_xlfn.SWITCH($A$2,"average", AVERAGE(Instances!GB13:Instances!GB13),"median", MEDIAN(Instances!GB13:Instances!GB13),"min", MIN(Instances!GB13:Instances!GB13),"max", MAX(Instances!GB13:Instances!GB13),"diff", MAX(Instances!GB13:Instances!GB13)-MIN(Instances!GB13:Instances!GB13))</f>
        <v>0</v>
      </c>
      <c r="GC13" s="1" cm="1">
        <f t="array" ref="GC13">_xlfn.SWITCH($A$2,"average", AVERAGE(Instances!GC13:Instances!GC13),"median", MEDIAN(Instances!GC13:Instances!GC13),"min", MIN(Instances!GC13:Instances!GC13),"max", MAX(Instances!GC13:Instances!GC13),"diff", MAX(Instances!GC13:Instances!GC13)-MIN(Instances!GC13:Instances!GC13))</f>
        <v>0</v>
      </c>
      <c r="GD13" s="1" cm="1">
        <f t="array" ref="GD13">_xlfn.SWITCH($A$2,"average", AVERAGE(Instances!GD13:Instances!GD13),"median", MEDIAN(Instances!GD13:Instances!GD13),"min", MIN(Instances!GD13:Instances!GD13),"max", MAX(Instances!GD13:Instances!GD13),"diff", MAX(Instances!GD13:Instances!GD13)-MIN(Instances!GD13:Instances!GD13))</f>
        <v>0</v>
      </c>
      <c r="GE13" s="1" cm="1">
        <f t="array" ref="GE13">_xlfn.SWITCH($A$2,"average", AVERAGE(Instances!GE13:Instances!GE13),"median", MEDIAN(Instances!GE13:Instances!GE13),"min", MIN(Instances!GE13:Instances!GE13),"max", MAX(Instances!GE13:Instances!GE13),"diff", MAX(Instances!GE13:Instances!GE13)-MIN(Instances!GE13:Instances!GE13))</f>
        <v>0</v>
      </c>
      <c r="GF13" s="1" cm="1">
        <f t="array" ref="GF13">_xlfn.SWITCH($A$2,"average", AVERAGE(Instances!GF13:Instances!GF13),"median", MEDIAN(Instances!GF13:Instances!GF13),"min", MIN(Instances!GF13:Instances!GF13),"max", MAX(Instances!GF13:Instances!GF13),"diff", MAX(Instances!GF13:Instances!GF13)-MIN(Instances!GF13:Instances!GF13))</f>
        <v>0</v>
      </c>
      <c r="GG13" s="1" cm="1">
        <f t="array" ref="GG13">_xlfn.SWITCH($A$2,"average", AVERAGE(Instances!GG13:Instances!GG13),"median", MEDIAN(Instances!GG13:Instances!GG13),"min", MIN(Instances!GG13:Instances!GG13),"max", MAX(Instances!GG13:Instances!GG13),"diff", MAX(Instances!GG13:Instances!GG13)-MIN(Instances!GG13:Instances!GG13))</f>
        <v>0</v>
      </c>
      <c r="GH13" s="1" cm="1">
        <f t="array" ref="GH13">_xlfn.SWITCH($A$2,"average", AVERAGE(Instances!GH13:Instances!GH13),"median", MEDIAN(Instances!GH13:Instances!GH13),"min", MIN(Instances!GH13:Instances!GH13),"max", MAX(Instances!GH13:Instances!GH13),"diff", MAX(Instances!GH13:Instances!GH13)-MIN(Instances!GH13:Instances!GH13))</f>
        <v>0</v>
      </c>
      <c r="GI13" s="1" cm="1">
        <f t="array" ref="GI13">_xlfn.SWITCH($A$2,"average", AVERAGE(Instances!GI13:Instances!GI13),"median", MEDIAN(Instances!GI13:Instances!GI13),"min", MIN(Instances!GI13:Instances!GI13),"max", MAX(Instances!GI13:Instances!GI13),"diff", MAX(Instances!GI13:Instances!GI13)-MIN(Instances!GI13:Instances!GI13))</f>
        <v>0</v>
      </c>
      <c r="GJ13" s="1" cm="1">
        <f t="array" ref="GJ13">_xlfn.SWITCH($A$2,"average", AVERAGE(Instances!GJ13:Instances!GJ13),"median", MEDIAN(Instances!GJ13:Instances!GJ13),"min", MIN(Instances!GJ13:Instances!GJ13),"max", MAX(Instances!GJ13:Instances!GJ13),"diff", MAX(Instances!GJ13:Instances!GJ13)-MIN(Instances!GJ13:Instances!GJ13))</f>
        <v>0</v>
      </c>
      <c r="GK13" s="1" cm="1">
        <f t="array" ref="GK13">_xlfn.SWITCH($A$2,"average", AVERAGE(Instances!GK13:Instances!GK13),"median", MEDIAN(Instances!GK13:Instances!GK13),"min", MIN(Instances!GK13:Instances!GK13),"max", MAX(Instances!GK13:Instances!GK13),"diff", MAX(Instances!GK13:Instances!GK13)-MIN(Instances!GK13:Instances!GK13))</f>
        <v>0</v>
      </c>
      <c r="GL13" s="1" cm="1">
        <f t="array" ref="GL13">_xlfn.SWITCH($A$2,"average", AVERAGE(Instances!GL13:Instances!GL13),"median", MEDIAN(Instances!GL13:Instances!GL13),"min", MIN(Instances!GL13:Instances!GL13),"max", MAX(Instances!GL13:Instances!GL13),"diff", MAX(Instances!GL13:Instances!GL13)-MIN(Instances!GL13:Instances!GL13))</f>
        <v>0</v>
      </c>
      <c r="GM13" s="1" cm="1">
        <f t="array" ref="GM13">_xlfn.SWITCH($A$2,"average", AVERAGE(Instances!GM13:Instances!GM13),"median", MEDIAN(Instances!GM13:Instances!GM13),"min", MIN(Instances!GM13:Instances!GM13),"max", MAX(Instances!GM13:Instances!GM13),"diff", MAX(Instances!GM13:Instances!GM13)-MIN(Instances!GM13:Instances!GM13))</f>
        <v>0</v>
      </c>
      <c r="GN13" s="1"/>
      <c r="GO13" s="1" cm="1">
        <f t="array" ref="GO13">_xlfn.SWITCH($A$2,"average", AVERAGE(Instances!GO13:Instances!GO13),"median", MEDIAN(Instances!GO13:Instances!GO13),"min", MIN(Instances!GO13:Instances!GO13),"max", MAX(Instances!GO13:Instances!GO13),"diff", MAX(Instances!GO13:Instances!GO13)-MIN(Instances!GO13:Instances!GO13))</f>
        <v>0</v>
      </c>
      <c r="GP13" s="1" cm="1">
        <f t="array" ref="GP13">_xlfn.SWITCH($A$2,"average", AVERAGE(Instances!GP13:Instances!GP13),"median", MEDIAN(Instances!GP13:Instances!GP13),"min", MIN(Instances!GP13:Instances!GP13),"max", MAX(Instances!GP13:Instances!GP13),"diff", MAX(Instances!GP13:Instances!GP13)-MIN(Instances!GP13:Instances!GP13))</f>
        <v>0</v>
      </c>
      <c r="GQ13" s="1" cm="1">
        <f t="array" ref="GQ13">_xlfn.SWITCH($A$2,"average", AVERAGE(Instances!GQ13:Instances!GQ13),"median", MEDIAN(Instances!GQ13:Instances!GQ13),"min", MIN(Instances!GQ13:Instances!GQ13),"max", MAX(Instances!GQ13:Instances!GQ13),"diff", MAX(Instances!GQ13:Instances!GQ13)-MIN(Instances!GQ13:Instances!GQ13))</f>
        <v>0</v>
      </c>
      <c r="GR13" s="1" cm="1">
        <f t="array" ref="GR13">_xlfn.SWITCH($A$2,"average", AVERAGE(Instances!GR13:Instances!GR13),"median", MEDIAN(Instances!GR13:Instances!GR13),"min", MIN(Instances!GR13:Instances!GR13),"max", MAX(Instances!GR13:Instances!GR13),"diff", MAX(Instances!GR13:Instances!GR13)-MIN(Instances!GR13:Instances!GR13))</f>
        <v>0</v>
      </c>
      <c r="GS13" s="1" cm="1">
        <f t="array" ref="GS13">_xlfn.SWITCH($A$2,"average", AVERAGE(Instances!GS13:Instances!GS13),"median", MEDIAN(Instances!GS13:Instances!GS13),"min", MIN(Instances!GS13:Instances!GS13),"max", MAX(Instances!GS13:Instances!GS13),"diff", MAX(Instances!GS13:Instances!GS13)-MIN(Instances!GS13:Instances!GS13))</f>
        <v>0</v>
      </c>
      <c r="GT13" s="1" cm="1">
        <f t="array" ref="GT13">_xlfn.SWITCH($A$2,"average", AVERAGE(Instances!GT13:Instances!GT13),"median", MEDIAN(Instances!GT13:Instances!GT13),"min", MIN(Instances!GT13:Instances!GT13),"max", MAX(Instances!GT13:Instances!GT13),"diff", MAX(Instances!GT13:Instances!GT13)-MIN(Instances!GT13:Instances!GT13))</f>
        <v>0</v>
      </c>
      <c r="GU13" s="1" cm="1">
        <f t="array" ref="GU13">_xlfn.SWITCH($A$2,"average", AVERAGE(Instances!GU13:Instances!GU13),"median", MEDIAN(Instances!GU13:Instances!GU13),"min", MIN(Instances!GU13:Instances!GU13),"max", MAX(Instances!GU13:Instances!GU13),"diff", MAX(Instances!GU13:Instances!GU13)-MIN(Instances!GU13:Instances!GU13))</f>
        <v>0</v>
      </c>
      <c r="GV13" s="1" cm="1">
        <f t="array" ref="GV13">_xlfn.SWITCH($A$2,"average", AVERAGE(Instances!GV13:Instances!GV13),"median", MEDIAN(Instances!GV13:Instances!GV13),"min", MIN(Instances!GV13:Instances!GV13),"max", MAX(Instances!GV13:Instances!GV13),"diff", MAX(Instances!GV13:Instances!GV13)-MIN(Instances!GV13:Instances!GV13))</f>
        <v>0</v>
      </c>
      <c r="GW13" s="1" cm="1">
        <f t="array" ref="GW13">_xlfn.SWITCH($A$2,"average", AVERAGE(Instances!GW13:Instances!GW13),"median", MEDIAN(Instances!GW13:Instances!GW13),"min", MIN(Instances!GW13:Instances!GW13),"max", MAX(Instances!GW13:Instances!GW13),"diff", MAX(Instances!GW13:Instances!GW13)-MIN(Instances!GW13:Instances!GW13))</f>
        <v>0</v>
      </c>
      <c r="GX13" s="1" cm="1">
        <f t="array" ref="GX13">_xlfn.SWITCH($A$2,"average", AVERAGE(Instances!GX13:Instances!GX13),"median", MEDIAN(Instances!GX13:Instances!GX13),"min", MIN(Instances!GX13:Instances!GX13),"max", MAX(Instances!GX13:Instances!GX13),"diff", MAX(Instances!GX13:Instances!GX13)-MIN(Instances!GX13:Instances!GX13))</f>
        <v>0</v>
      </c>
      <c r="GY13" s="1" cm="1">
        <f t="array" ref="GY13">_xlfn.SWITCH($A$2,"average", AVERAGE(Instances!GY13:Instances!GY13),"median", MEDIAN(Instances!GY13:Instances!GY13),"min", MIN(Instances!GY13:Instances!GY13),"max", MAX(Instances!GY13:Instances!GY13),"diff", MAX(Instances!GY13:Instances!GY13)-MIN(Instances!GY13:Instances!GY13))</f>
        <v>0</v>
      </c>
      <c r="GZ13" s="1" cm="1">
        <f t="array" ref="GZ13">_xlfn.SWITCH($A$2,"average", AVERAGE(Instances!GZ13:Instances!GZ13),"median", MEDIAN(Instances!GZ13:Instances!GZ13),"min", MIN(Instances!GZ13:Instances!GZ13),"max", MAX(Instances!GZ13:Instances!GZ13),"diff", MAX(Instances!GZ13:Instances!GZ13)-MIN(Instances!GZ13:Instances!GZ13))</f>
        <v>0</v>
      </c>
      <c r="HA13" s="1" cm="1">
        <f t="array" ref="HA13">_xlfn.SWITCH($A$2,"average", AVERAGE(Instances!HA13:Instances!HA13),"median", MEDIAN(Instances!HA13:Instances!HA13),"min", MIN(Instances!HA13:Instances!HA13),"max", MAX(Instances!HA13:Instances!HA13),"diff", MAX(Instances!HA13:Instances!HA13)-MIN(Instances!HA13:Instances!HA13))</f>
        <v>0</v>
      </c>
      <c r="HB13" s="1" cm="1">
        <f t="array" ref="HB13">_xlfn.SWITCH($A$2,"average", AVERAGE(Instances!HB13:Instances!HB13),"median", MEDIAN(Instances!HB13:Instances!HB13),"min", MIN(Instances!HB13:Instances!HB13),"max", MAX(Instances!HB13:Instances!HB13),"diff", MAX(Instances!HB13:Instances!HB13)-MIN(Instances!HB13:Instances!HB13))</f>
        <v>0</v>
      </c>
      <c r="HC13" s="1" cm="1">
        <f t="array" ref="HC13">_xlfn.SWITCH($A$2,"average", AVERAGE(Instances!HC13:Instances!HC13),"median", MEDIAN(Instances!HC13:Instances!HC13),"min", MIN(Instances!HC13:Instances!HC13),"max", MAX(Instances!HC13:Instances!HC13),"diff", MAX(Instances!HC13:Instances!HC13)-MIN(Instances!HC13:Instances!HC13))</f>
        <v>0</v>
      </c>
      <c r="HD13" s="1" cm="1">
        <f t="array" ref="HD13">_xlfn.SWITCH($A$2,"average", AVERAGE(Instances!HD13:Instances!HD13),"median", MEDIAN(Instances!HD13:Instances!HD13),"min", MIN(Instances!HD13:Instances!HD13),"max", MAX(Instances!HD13:Instances!HD13),"diff", MAX(Instances!HD13:Instances!HD13)-MIN(Instances!HD13:Instances!HD13))</f>
        <v>0</v>
      </c>
      <c r="HE13" s="1" cm="1">
        <f t="array" ref="HE13">_xlfn.SWITCH($A$2,"average", AVERAGE(Instances!HE13:Instances!HE13),"median", MEDIAN(Instances!HE13:Instances!HE13),"min", MIN(Instances!HE13:Instances!HE13),"max", MAX(Instances!HE13:Instances!HE13),"diff", MAX(Instances!HE13:Instances!HE13)-MIN(Instances!HE13:Instances!HE13))</f>
        <v>0</v>
      </c>
      <c r="HF13" s="1"/>
      <c r="HG13" s="1" cm="1">
        <f t="array" ref="HG13">_xlfn.SWITCH($A$2,"average", AVERAGE(Instances!HG13:Instances!HG13),"median", MEDIAN(Instances!HG13:Instances!HG13),"min", MIN(Instances!HG13:Instances!HG13),"max", MAX(Instances!HG13:Instances!HG13),"diff", MAX(Instances!HG13:Instances!HG13)-MIN(Instances!HG13:Instances!HG13))</f>
        <v>0</v>
      </c>
      <c r="HH13" s="1" cm="1">
        <f t="array" ref="HH13">_xlfn.SWITCH($A$2,"average", AVERAGE(Instances!HH13:Instances!HH13),"median", MEDIAN(Instances!HH13:Instances!HH13),"min", MIN(Instances!HH13:Instances!HH13),"max", MAX(Instances!HH13:Instances!HH13),"diff", MAX(Instances!HH13:Instances!HH13)-MIN(Instances!HH13:Instances!HH13))</f>
        <v>0</v>
      </c>
      <c r="HI13" s="1" cm="1">
        <f t="array" ref="HI13">_xlfn.SWITCH($A$2,"average", AVERAGE(Instances!HI13:Instances!HI13),"median", MEDIAN(Instances!HI13:Instances!HI13),"min", MIN(Instances!HI13:Instances!HI13),"max", MAX(Instances!HI13:Instances!HI13),"diff", MAX(Instances!HI13:Instances!HI13)-MIN(Instances!HI13:Instances!HI13))</f>
        <v>0</v>
      </c>
      <c r="HJ13" s="1" cm="1">
        <f t="array" ref="HJ13">_xlfn.SWITCH($A$2,"average", AVERAGE(Instances!HJ13:Instances!HJ13),"median", MEDIAN(Instances!HJ13:Instances!HJ13),"min", MIN(Instances!HJ13:Instances!HJ13),"max", MAX(Instances!HJ13:Instances!HJ13),"diff", MAX(Instances!HJ13:Instances!HJ13)-MIN(Instances!HJ13:Instances!HJ13))</f>
        <v>0</v>
      </c>
      <c r="HK13" s="1" cm="1">
        <f t="array" ref="HK13">_xlfn.SWITCH($A$2,"average", AVERAGE(Instances!HK13:Instances!HK13),"median", MEDIAN(Instances!HK13:Instances!HK13),"min", MIN(Instances!HK13:Instances!HK13),"max", MAX(Instances!HK13:Instances!HK13),"diff", MAX(Instances!HK13:Instances!HK13)-MIN(Instances!HK13:Instances!HK13))</f>
        <v>0</v>
      </c>
      <c r="HL13" s="1" cm="1">
        <f t="array" ref="HL13">_xlfn.SWITCH($A$2,"average", AVERAGE(Instances!HL13:Instances!HL13),"median", MEDIAN(Instances!HL13:Instances!HL13),"min", MIN(Instances!HL13:Instances!HL13),"max", MAX(Instances!HL13:Instances!HL13),"diff", MAX(Instances!HL13:Instances!HL13)-MIN(Instances!HL13:Instances!HL13))</f>
        <v>0</v>
      </c>
      <c r="HM13" s="1" cm="1">
        <f t="array" ref="HM13">_xlfn.SWITCH($A$2,"average", AVERAGE(Instances!HM13:Instances!HM13),"median", MEDIAN(Instances!HM13:Instances!HM13),"min", MIN(Instances!HM13:Instances!HM13),"max", MAX(Instances!HM13:Instances!HM13),"diff", MAX(Instances!HM13:Instances!HM13)-MIN(Instances!HM13:Instances!HM13))</f>
        <v>0</v>
      </c>
      <c r="HN13" s="1" cm="1">
        <f t="array" ref="HN13">_xlfn.SWITCH($A$2,"average", AVERAGE(Instances!HN13:Instances!HN13),"median", MEDIAN(Instances!HN13:Instances!HN13),"min", MIN(Instances!HN13:Instances!HN13),"max", MAX(Instances!HN13:Instances!HN13),"diff", MAX(Instances!HN13:Instances!HN13)-MIN(Instances!HN13:Instances!HN13))</f>
        <v>0</v>
      </c>
      <c r="HO13" s="1" cm="1">
        <f t="array" ref="HO13">_xlfn.SWITCH($A$2,"average", AVERAGE(Instances!HO13:Instances!HO13),"median", MEDIAN(Instances!HO13:Instances!HO13),"min", MIN(Instances!HO13:Instances!HO13),"max", MAX(Instances!HO13:Instances!HO13),"diff", MAX(Instances!HO13:Instances!HO13)-MIN(Instances!HO13:Instances!HO13))</f>
        <v>0</v>
      </c>
      <c r="HP13" s="1" cm="1">
        <f t="array" ref="HP13">_xlfn.SWITCH($A$2,"average", AVERAGE(Instances!HP13:Instances!HP13),"median", MEDIAN(Instances!HP13:Instances!HP13),"min", MIN(Instances!HP13:Instances!HP13),"max", MAX(Instances!HP13:Instances!HP13),"diff", MAX(Instances!HP13:Instances!HP13)-MIN(Instances!HP13:Instances!HP13))</f>
        <v>0</v>
      </c>
      <c r="HQ13" s="1" cm="1">
        <f t="array" ref="HQ13">_xlfn.SWITCH($A$2,"average", AVERAGE(Instances!HQ13:Instances!HQ13),"median", MEDIAN(Instances!HQ13:Instances!HQ13),"min", MIN(Instances!HQ13:Instances!HQ13),"max", MAX(Instances!HQ13:Instances!HQ13),"diff", MAX(Instances!HQ13:Instances!HQ13)-MIN(Instances!HQ13:Instances!HQ13))</f>
        <v>0</v>
      </c>
      <c r="HR13" s="1" cm="1">
        <f t="array" ref="HR13">_xlfn.SWITCH($A$2,"average", AVERAGE(Instances!HR13:Instances!HR13),"median", MEDIAN(Instances!HR13:Instances!HR13),"min", MIN(Instances!HR13:Instances!HR13),"max", MAX(Instances!HR13:Instances!HR13),"diff", MAX(Instances!HR13:Instances!HR13)-MIN(Instances!HR13:Instances!HR13))</f>
        <v>0</v>
      </c>
      <c r="HS13" s="1" cm="1">
        <f t="array" ref="HS13">_xlfn.SWITCH($A$2,"average", AVERAGE(Instances!HS13:Instances!HS13),"median", MEDIAN(Instances!HS13:Instances!HS13),"min", MIN(Instances!HS13:Instances!HS13),"max", MAX(Instances!HS13:Instances!HS13),"diff", MAX(Instances!HS13:Instances!HS13)-MIN(Instances!HS13:Instances!HS13))</f>
        <v>0</v>
      </c>
      <c r="HT13" s="1" cm="1">
        <f t="array" ref="HT13">_xlfn.SWITCH($A$2,"average", AVERAGE(Instances!HT13:Instances!HT13),"median", MEDIAN(Instances!HT13:Instances!HT13),"min", MIN(Instances!HT13:Instances!HT13),"max", MAX(Instances!HT13:Instances!HT13),"diff", MAX(Instances!HT13:Instances!HT13)-MIN(Instances!HT13:Instances!HT13))</f>
        <v>0</v>
      </c>
      <c r="HU13" s="1" cm="1">
        <f t="array" ref="HU13">_xlfn.SWITCH($A$2,"average", AVERAGE(Instances!HU13:Instances!HU13),"median", MEDIAN(Instances!HU13:Instances!HU13),"min", MIN(Instances!HU13:Instances!HU13),"max", MAX(Instances!HU13:Instances!HU13),"diff", MAX(Instances!HU13:Instances!HU13)-MIN(Instances!HU13:Instances!HU13))</f>
        <v>0</v>
      </c>
      <c r="HV13" s="1" cm="1">
        <f t="array" ref="HV13">_xlfn.SWITCH($A$2,"average", AVERAGE(Instances!HV13:Instances!HV13),"median", MEDIAN(Instances!HV13:Instances!HV13),"min", MIN(Instances!HV13:Instances!HV13),"max", MAX(Instances!HV13:Instances!HV13),"diff", MAX(Instances!HV13:Instances!HV13)-MIN(Instances!HV13:Instances!HV13))</f>
        <v>0</v>
      </c>
      <c r="HW13" s="1" cm="1">
        <f t="array" ref="HW13">_xlfn.SWITCH($A$2,"average", AVERAGE(Instances!HW13:Instances!HW13),"median", MEDIAN(Instances!HW13:Instances!HW13),"min", MIN(Instances!HW13:Instances!HW13),"max", MAX(Instances!HW13:Instances!HW13),"diff", MAX(Instances!HW13:Instances!HW13)-MIN(Instances!HW13:Instances!HW13))</f>
        <v>0</v>
      </c>
      <c r="HX13" s="1"/>
      <c r="HY13" s="1" cm="1">
        <f t="array" ref="HY13">_xlfn.SWITCH($A$2,"average", AVERAGE(Instances!HY13:Instances!HY13),"median", MEDIAN(Instances!HY13:Instances!HY13),"min", MIN(Instances!HY13:Instances!HY13),"max", MAX(Instances!HY13:Instances!HY13),"diff", MAX(Instances!HY13:Instances!HY13)-MIN(Instances!HY13:Instances!HY13))</f>
        <v>0</v>
      </c>
      <c r="HZ13" s="1" cm="1">
        <f t="array" ref="HZ13">_xlfn.SWITCH($A$2,"average", AVERAGE(Instances!HZ13:Instances!HZ13),"median", MEDIAN(Instances!HZ13:Instances!HZ13),"min", MIN(Instances!HZ13:Instances!HZ13),"max", MAX(Instances!HZ13:Instances!HZ13),"diff", MAX(Instances!HZ13:Instances!HZ13)-MIN(Instances!HZ13:Instances!HZ13))</f>
        <v>0</v>
      </c>
      <c r="IA13" s="1" cm="1">
        <f t="array" ref="IA13">_xlfn.SWITCH($A$2,"average", AVERAGE(Instances!IA13:Instances!IA13),"median", MEDIAN(Instances!IA13:Instances!IA13),"min", MIN(Instances!IA13:Instances!IA13),"max", MAX(Instances!IA13:Instances!IA13),"diff", MAX(Instances!IA13:Instances!IA13)-MIN(Instances!IA13:Instances!IA13))</f>
        <v>0</v>
      </c>
      <c r="IB13" s="1" cm="1">
        <f t="array" ref="IB13">_xlfn.SWITCH($A$2,"average", AVERAGE(Instances!IB13:Instances!IB13),"median", MEDIAN(Instances!IB13:Instances!IB13),"min", MIN(Instances!IB13:Instances!IB13),"max", MAX(Instances!IB13:Instances!IB13),"diff", MAX(Instances!IB13:Instances!IB13)-MIN(Instances!IB13:Instances!IB13))</f>
        <v>0</v>
      </c>
      <c r="IC13" s="1" cm="1">
        <f t="array" ref="IC13">_xlfn.SWITCH($A$2,"average", AVERAGE(Instances!IC13:Instances!IC13),"median", MEDIAN(Instances!IC13:Instances!IC13),"min", MIN(Instances!IC13:Instances!IC13),"max", MAX(Instances!IC13:Instances!IC13),"diff", MAX(Instances!IC13:Instances!IC13)-MIN(Instances!IC13:Instances!IC13))</f>
        <v>0</v>
      </c>
      <c r="ID13" s="1" cm="1">
        <f t="array" ref="ID13">_xlfn.SWITCH($A$2,"average", AVERAGE(Instances!ID13:Instances!ID13),"median", MEDIAN(Instances!ID13:Instances!ID13),"min", MIN(Instances!ID13:Instances!ID13),"max", MAX(Instances!ID13:Instances!ID13),"diff", MAX(Instances!ID13:Instances!ID13)-MIN(Instances!ID13:Instances!ID13))</f>
        <v>0</v>
      </c>
      <c r="IE13" s="1" cm="1">
        <f t="array" ref="IE13">_xlfn.SWITCH($A$2,"average", AVERAGE(Instances!IE13:Instances!IE13),"median", MEDIAN(Instances!IE13:Instances!IE13),"min", MIN(Instances!IE13:Instances!IE13),"max", MAX(Instances!IE13:Instances!IE13),"diff", MAX(Instances!IE13:Instances!IE13)-MIN(Instances!IE13:Instances!IE13))</f>
        <v>0</v>
      </c>
      <c r="IF13" s="1" cm="1">
        <f t="array" ref="IF13">_xlfn.SWITCH($A$2,"average", AVERAGE(Instances!IF13:Instances!IF13),"median", MEDIAN(Instances!IF13:Instances!IF13),"min", MIN(Instances!IF13:Instances!IF13),"max", MAX(Instances!IF13:Instances!IF13),"diff", MAX(Instances!IF13:Instances!IF13)-MIN(Instances!IF13:Instances!IF13))</f>
        <v>0</v>
      </c>
      <c r="IG13" s="1" cm="1">
        <f t="array" ref="IG13">_xlfn.SWITCH($A$2,"average", AVERAGE(Instances!IG13:Instances!IG13),"median", MEDIAN(Instances!IG13:Instances!IG13),"min", MIN(Instances!IG13:Instances!IG13),"max", MAX(Instances!IG13:Instances!IG13),"diff", MAX(Instances!IG13:Instances!IG13)-MIN(Instances!IG13:Instances!IG13))</f>
        <v>0</v>
      </c>
      <c r="IH13" s="1" cm="1">
        <f t="array" ref="IH13">_xlfn.SWITCH($A$2,"average", AVERAGE(Instances!IH13:Instances!IH13),"median", MEDIAN(Instances!IH13:Instances!IH13),"min", MIN(Instances!IH13:Instances!IH13),"max", MAX(Instances!IH13:Instances!IH13),"diff", MAX(Instances!IH13:Instances!IH13)-MIN(Instances!IH13:Instances!IH13))</f>
        <v>0</v>
      </c>
      <c r="II13" s="1" cm="1">
        <f t="array" ref="II13">_xlfn.SWITCH($A$2,"average", AVERAGE(Instances!II13:Instances!II13),"median", MEDIAN(Instances!II13:Instances!II13),"min", MIN(Instances!II13:Instances!II13),"max", MAX(Instances!II13:Instances!II13),"diff", MAX(Instances!II13:Instances!II13)-MIN(Instances!II13:Instances!II13))</f>
        <v>0</v>
      </c>
      <c r="IJ13" s="1" cm="1">
        <f t="array" ref="IJ13">_xlfn.SWITCH($A$2,"average", AVERAGE(Instances!IJ13:Instances!IJ13),"median", MEDIAN(Instances!IJ13:Instances!IJ13),"min", MIN(Instances!IJ13:Instances!IJ13),"max", MAX(Instances!IJ13:Instances!IJ13),"diff", MAX(Instances!IJ13:Instances!IJ13)-MIN(Instances!IJ13:Instances!IJ13))</f>
        <v>0</v>
      </c>
      <c r="IK13" s="1" cm="1">
        <f t="array" ref="IK13">_xlfn.SWITCH($A$2,"average", AVERAGE(Instances!IK13:Instances!IK13),"median", MEDIAN(Instances!IK13:Instances!IK13),"min", MIN(Instances!IK13:Instances!IK13),"max", MAX(Instances!IK13:Instances!IK13),"diff", MAX(Instances!IK13:Instances!IK13)-MIN(Instances!IK13:Instances!IK13))</f>
        <v>0</v>
      </c>
      <c r="IL13" s="1" cm="1">
        <f t="array" ref="IL13">_xlfn.SWITCH($A$2,"average", AVERAGE(Instances!IL13:Instances!IL13),"median", MEDIAN(Instances!IL13:Instances!IL13),"min", MIN(Instances!IL13:Instances!IL13),"max", MAX(Instances!IL13:Instances!IL13),"diff", MAX(Instances!IL13:Instances!IL13)-MIN(Instances!IL13:Instances!IL13))</f>
        <v>0</v>
      </c>
      <c r="IM13" s="1" cm="1">
        <f t="array" ref="IM13">_xlfn.SWITCH($A$2,"average", AVERAGE(Instances!IM13:Instances!IM13),"median", MEDIAN(Instances!IM13:Instances!IM13),"min", MIN(Instances!IM13:Instances!IM13),"max", MAX(Instances!IM13:Instances!IM13),"diff", MAX(Instances!IM13:Instances!IM13)-MIN(Instances!IM13:Instances!IM13))</f>
        <v>0</v>
      </c>
      <c r="IN13" s="1" cm="1">
        <f t="array" ref="IN13">_xlfn.SWITCH($A$2,"average", AVERAGE(Instances!IN13:Instances!IN13),"median", MEDIAN(Instances!IN13:Instances!IN13),"min", MIN(Instances!IN13:Instances!IN13),"max", MAX(Instances!IN13:Instances!IN13),"diff", MAX(Instances!IN13:Instances!IN13)-MIN(Instances!IN13:Instances!IN13))</f>
        <v>0</v>
      </c>
      <c r="IO13" s="1" cm="1">
        <f t="array" ref="IO13">_xlfn.SWITCH($A$2,"average", AVERAGE(Instances!IO13:Instances!IO13),"median", MEDIAN(Instances!IO13:Instances!IO13),"min", MIN(Instances!IO13:Instances!IO13),"max", MAX(Instances!IO13:Instances!IO13),"diff", MAX(Instances!IO13:Instances!IO13)-MIN(Instances!IO13:Instances!IO13))</f>
        <v>0</v>
      </c>
      <c r="IP13" s="1"/>
      <c r="IQ13" s="1" cm="1">
        <f t="array" ref="IQ13">_xlfn.SWITCH($A$2,"average", AVERAGE(Instances!IQ13:Instances!IQ13),"median", MEDIAN(Instances!IQ13:Instances!IQ13),"min", MIN(Instances!IQ13:Instances!IQ13),"max", MAX(Instances!IQ13:Instances!IQ13),"diff", MAX(Instances!IQ13:Instances!IQ13)-MIN(Instances!IQ13:Instances!IQ13))</f>
        <v>0</v>
      </c>
      <c r="IR13" s="1" cm="1">
        <f t="array" ref="IR13">_xlfn.SWITCH($A$2,"average", AVERAGE(Instances!IR13:Instances!IR13),"median", MEDIAN(Instances!IR13:Instances!IR13),"min", MIN(Instances!IR13:Instances!IR13),"max", MAX(Instances!IR13:Instances!IR13),"diff", MAX(Instances!IR13:Instances!IR13)-MIN(Instances!IR13:Instances!IR13))</f>
        <v>0</v>
      </c>
      <c r="IS13" s="1" cm="1">
        <f t="array" ref="IS13">_xlfn.SWITCH($A$2,"average", AVERAGE(Instances!IS13:Instances!IS13),"median", MEDIAN(Instances!IS13:Instances!IS13),"min", MIN(Instances!IS13:Instances!IS13),"max", MAX(Instances!IS13:Instances!IS13),"diff", MAX(Instances!IS13:Instances!IS13)-MIN(Instances!IS13:Instances!IS13))</f>
        <v>0</v>
      </c>
      <c r="IT13" s="1" cm="1">
        <f t="array" ref="IT13">_xlfn.SWITCH($A$2,"average", AVERAGE(Instances!IT13:Instances!IT13),"median", MEDIAN(Instances!IT13:Instances!IT13),"min", MIN(Instances!IT13:Instances!IT13),"max", MAX(Instances!IT13:Instances!IT13),"diff", MAX(Instances!IT13:Instances!IT13)-MIN(Instances!IT13:Instances!IT13))</f>
        <v>0</v>
      </c>
      <c r="IU13" s="1" cm="1">
        <f t="array" ref="IU13">_xlfn.SWITCH($A$2,"average", AVERAGE(Instances!IU13:Instances!IU13),"median", MEDIAN(Instances!IU13:Instances!IU13),"min", MIN(Instances!IU13:Instances!IU13),"max", MAX(Instances!IU13:Instances!IU13),"diff", MAX(Instances!IU13:Instances!IU13)-MIN(Instances!IU13:Instances!IU13))</f>
        <v>0</v>
      </c>
      <c r="IV13" s="1" cm="1">
        <f t="array" ref="IV13">_xlfn.SWITCH($A$2,"average", AVERAGE(Instances!IV13:Instances!IV13),"median", MEDIAN(Instances!IV13:Instances!IV13),"min", MIN(Instances!IV13:Instances!IV13),"max", MAX(Instances!IV13:Instances!IV13),"diff", MAX(Instances!IV13:Instances!IV13)-MIN(Instances!IV13:Instances!IV13))</f>
        <v>0</v>
      </c>
      <c r="IW13" s="1" cm="1">
        <f t="array" ref="IW13">_xlfn.SWITCH($A$2,"average", AVERAGE(Instances!IW13:Instances!IW13),"median", MEDIAN(Instances!IW13:Instances!IW13),"min", MIN(Instances!IW13:Instances!IW13),"max", MAX(Instances!IW13:Instances!IW13),"diff", MAX(Instances!IW13:Instances!IW13)-MIN(Instances!IW13:Instances!IW13))</f>
        <v>0</v>
      </c>
      <c r="IX13" s="1" cm="1">
        <f t="array" ref="IX13">_xlfn.SWITCH($A$2,"average", AVERAGE(Instances!IX13:Instances!IX13),"median", MEDIAN(Instances!IX13:Instances!IX13),"min", MIN(Instances!IX13:Instances!IX13),"max", MAX(Instances!IX13:Instances!IX13),"diff", MAX(Instances!IX13:Instances!IX13)-MIN(Instances!IX13:Instances!IX13))</f>
        <v>0</v>
      </c>
      <c r="IY13" s="1" cm="1">
        <f t="array" ref="IY13">_xlfn.SWITCH($A$2,"average", AVERAGE(Instances!IY13:Instances!IY13),"median", MEDIAN(Instances!IY13:Instances!IY13),"min", MIN(Instances!IY13:Instances!IY13),"max", MAX(Instances!IY13:Instances!IY13),"diff", MAX(Instances!IY13:Instances!IY13)-MIN(Instances!IY13:Instances!IY13))</f>
        <v>0</v>
      </c>
      <c r="IZ13" s="1" cm="1">
        <f t="array" ref="IZ13">_xlfn.SWITCH($A$2,"average", AVERAGE(Instances!IZ13:Instances!IZ13),"median", MEDIAN(Instances!IZ13:Instances!IZ13),"min", MIN(Instances!IZ13:Instances!IZ13),"max", MAX(Instances!IZ13:Instances!IZ13),"diff", MAX(Instances!IZ13:Instances!IZ13)-MIN(Instances!IZ13:Instances!IZ13))</f>
        <v>0</v>
      </c>
      <c r="JA13" s="1" cm="1">
        <f t="array" ref="JA13">_xlfn.SWITCH($A$2,"average", AVERAGE(Instances!JA13:Instances!JA13),"median", MEDIAN(Instances!JA13:Instances!JA13),"min", MIN(Instances!JA13:Instances!JA13),"max", MAX(Instances!JA13:Instances!JA13),"diff", MAX(Instances!JA13:Instances!JA13)-MIN(Instances!JA13:Instances!JA13))</f>
        <v>0</v>
      </c>
      <c r="JB13" s="1" cm="1">
        <f t="array" ref="JB13">_xlfn.SWITCH($A$2,"average", AVERAGE(Instances!JB13:Instances!JB13),"median", MEDIAN(Instances!JB13:Instances!JB13),"min", MIN(Instances!JB13:Instances!JB13),"max", MAX(Instances!JB13:Instances!JB13),"diff", MAX(Instances!JB13:Instances!JB13)-MIN(Instances!JB13:Instances!JB13))</f>
        <v>0</v>
      </c>
      <c r="JC13" s="1" cm="1">
        <f t="array" ref="JC13">_xlfn.SWITCH($A$2,"average", AVERAGE(Instances!JC13:Instances!JC13),"median", MEDIAN(Instances!JC13:Instances!JC13),"min", MIN(Instances!JC13:Instances!JC13),"max", MAX(Instances!JC13:Instances!JC13),"diff", MAX(Instances!JC13:Instances!JC13)-MIN(Instances!JC13:Instances!JC13))</f>
        <v>0</v>
      </c>
      <c r="JD13" s="1" cm="1">
        <f t="array" ref="JD13">_xlfn.SWITCH($A$2,"average", AVERAGE(Instances!JD13:Instances!JD13),"median", MEDIAN(Instances!JD13:Instances!JD13),"min", MIN(Instances!JD13:Instances!JD13),"max", MAX(Instances!JD13:Instances!JD13),"diff", MAX(Instances!JD13:Instances!JD13)-MIN(Instances!JD13:Instances!JD13))</f>
        <v>0</v>
      </c>
      <c r="JE13" s="1" cm="1">
        <f t="array" ref="JE13">_xlfn.SWITCH($A$2,"average", AVERAGE(Instances!JE13:Instances!JE13),"median", MEDIAN(Instances!JE13:Instances!JE13),"min", MIN(Instances!JE13:Instances!JE13),"max", MAX(Instances!JE13:Instances!JE13),"diff", MAX(Instances!JE13:Instances!JE13)-MIN(Instances!JE13:Instances!JE13))</f>
        <v>0</v>
      </c>
      <c r="JF13" s="1" cm="1">
        <f t="array" ref="JF13">_xlfn.SWITCH($A$2,"average", AVERAGE(Instances!JF13:Instances!JF13),"median", MEDIAN(Instances!JF13:Instances!JF13),"min", MIN(Instances!JF13:Instances!JF13),"max", MAX(Instances!JF13:Instances!JF13),"diff", MAX(Instances!JF13:Instances!JF13)-MIN(Instances!JF13:Instances!JF13))</f>
        <v>0</v>
      </c>
      <c r="JG13" s="1" cm="1">
        <f t="array" ref="JG13">_xlfn.SWITCH($A$2,"average", AVERAGE(Instances!JG13:Instances!JG13),"median", MEDIAN(Instances!JG13:Instances!JG13),"min", MIN(Instances!JG13:Instances!JG13),"max", MAX(Instances!JG13:Instances!JG13),"diff", MAX(Instances!JG13:Instances!JG13)-MIN(Instances!JG13:Instances!JG13))</f>
        <v>0</v>
      </c>
      <c r="JH13" s="1"/>
      <c r="JI13" s="1" cm="1">
        <f t="array" ref="JI13">_xlfn.SWITCH($A$2,"average", AVERAGE(Instances!JI13:Instances!JI13),"median", MEDIAN(Instances!JI13:Instances!JI13),"min", MIN(Instances!JI13:Instances!JI13),"max", MAX(Instances!JI13:Instances!JI13),"diff", MAX(Instances!JI13:Instances!JI13)-MIN(Instances!JI13:Instances!JI13))</f>
        <v>0</v>
      </c>
      <c r="JJ13" s="1" cm="1">
        <f t="array" ref="JJ13">_xlfn.SWITCH($A$2,"average", AVERAGE(Instances!JJ13:Instances!JJ13),"median", MEDIAN(Instances!JJ13:Instances!JJ13),"min", MIN(Instances!JJ13:Instances!JJ13),"max", MAX(Instances!JJ13:Instances!JJ13),"diff", MAX(Instances!JJ13:Instances!JJ13)-MIN(Instances!JJ13:Instances!JJ13))</f>
        <v>0</v>
      </c>
      <c r="JK13" s="1" cm="1">
        <f t="array" ref="JK13">_xlfn.SWITCH($A$2,"average", AVERAGE(Instances!JK13:Instances!JK13),"median", MEDIAN(Instances!JK13:Instances!JK13),"min", MIN(Instances!JK13:Instances!JK13),"max", MAX(Instances!JK13:Instances!JK13),"diff", MAX(Instances!JK13:Instances!JK13)-MIN(Instances!JK13:Instances!JK13))</f>
        <v>0</v>
      </c>
      <c r="JL13" s="1" cm="1">
        <f t="array" ref="JL13">_xlfn.SWITCH($A$2,"average", AVERAGE(Instances!JL13:Instances!JL13),"median", MEDIAN(Instances!JL13:Instances!JL13),"min", MIN(Instances!JL13:Instances!JL13),"max", MAX(Instances!JL13:Instances!JL13),"diff", MAX(Instances!JL13:Instances!JL13)-MIN(Instances!JL13:Instances!JL13))</f>
        <v>0</v>
      </c>
      <c r="JM13" s="1" cm="1">
        <f t="array" ref="JM13">_xlfn.SWITCH($A$2,"average", AVERAGE(Instances!JM13:Instances!JM13),"median", MEDIAN(Instances!JM13:Instances!JM13),"min", MIN(Instances!JM13:Instances!JM13),"max", MAX(Instances!JM13:Instances!JM13),"diff", MAX(Instances!JM13:Instances!JM13)-MIN(Instances!JM13:Instances!JM13))</f>
        <v>0</v>
      </c>
      <c r="JN13" s="1" cm="1">
        <f t="array" ref="JN13">_xlfn.SWITCH($A$2,"average", AVERAGE(Instances!JN13:Instances!JN13),"median", MEDIAN(Instances!JN13:Instances!JN13),"min", MIN(Instances!JN13:Instances!JN13),"max", MAX(Instances!JN13:Instances!JN13),"diff", MAX(Instances!JN13:Instances!JN13)-MIN(Instances!JN13:Instances!JN13))</f>
        <v>0</v>
      </c>
      <c r="JO13" s="1" cm="1">
        <f t="array" ref="JO13">_xlfn.SWITCH($A$2,"average", AVERAGE(Instances!JO13:Instances!JO13),"median", MEDIAN(Instances!JO13:Instances!JO13),"min", MIN(Instances!JO13:Instances!JO13),"max", MAX(Instances!JO13:Instances!JO13),"diff", MAX(Instances!JO13:Instances!JO13)-MIN(Instances!JO13:Instances!JO13))</f>
        <v>0</v>
      </c>
      <c r="JP13" s="1" cm="1">
        <f t="array" ref="JP13">_xlfn.SWITCH($A$2,"average", AVERAGE(Instances!JP13:Instances!JP13),"median", MEDIAN(Instances!JP13:Instances!JP13),"min", MIN(Instances!JP13:Instances!JP13),"max", MAX(Instances!JP13:Instances!JP13),"diff", MAX(Instances!JP13:Instances!JP13)-MIN(Instances!JP13:Instances!JP13))</f>
        <v>0</v>
      </c>
      <c r="JQ13" s="1" cm="1">
        <f t="array" ref="JQ13">_xlfn.SWITCH($A$2,"average", AVERAGE(Instances!JQ13:Instances!JQ13),"median", MEDIAN(Instances!JQ13:Instances!JQ13),"min", MIN(Instances!JQ13:Instances!JQ13),"max", MAX(Instances!JQ13:Instances!JQ13),"diff", MAX(Instances!JQ13:Instances!JQ13)-MIN(Instances!JQ13:Instances!JQ13))</f>
        <v>0</v>
      </c>
      <c r="JR13" s="1" cm="1">
        <f t="array" ref="JR13">_xlfn.SWITCH($A$2,"average", AVERAGE(Instances!JR13:Instances!JR13),"median", MEDIAN(Instances!JR13:Instances!JR13),"min", MIN(Instances!JR13:Instances!JR13),"max", MAX(Instances!JR13:Instances!JR13),"diff", MAX(Instances!JR13:Instances!JR13)-MIN(Instances!JR13:Instances!JR13))</f>
        <v>0</v>
      </c>
      <c r="JS13" s="1" cm="1">
        <f t="array" ref="JS13">_xlfn.SWITCH($A$2,"average", AVERAGE(Instances!JS13:Instances!JS13),"median", MEDIAN(Instances!JS13:Instances!JS13),"min", MIN(Instances!JS13:Instances!JS13),"max", MAX(Instances!JS13:Instances!JS13),"diff", MAX(Instances!JS13:Instances!JS13)-MIN(Instances!JS13:Instances!JS13))</f>
        <v>0</v>
      </c>
      <c r="JT13" s="1" cm="1">
        <f t="array" ref="JT13">_xlfn.SWITCH($A$2,"average", AVERAGE(Instances!JT13:Instances!JT13),"median", MEDIAN(Instances!JT13:Instances!JT13),"min", MIN(Instances!JT13:Instances!JT13),"max", MAX(Instances!JT13:Instances!JT13),"diff", MAX(Instances!JT13:Instances!JT13)-MIN(Instances!JT13:Instances!JT13))</f>
        <v>0</v>
      </c>
      <c r="JU13" s="1" cm="1">
        <f t="array" ref="JU13">_xlfn.SWITCH($A$2,"average", AVERAGE(Instances!JU13:Instances!JU13),"median", MEDIAN(Instances!JU13:Instances!JU13),"min", MIN(Instances!JU13:Instances!JU13),"max", MAX(Instances!JU13:Instances!JU13),"diff", MAX(Instances!JU13:Instances!JU13)-MIN(Instances!JU13:Instances!JU13))</f>
        <v>0</v>
      </c>
      <c r="JV13" s="1" cm="1">
        <f t="array" ref="JV13">_xlfn.SWITCH($A$2,"average", AVERAGE(Instances!JV13:Instances!JV13),"median", MEDIAN(Instances!JV13:Instances!JV13),"min", MIN(Instances!JV13:Instances!JV13),"max", MAX(Instances!JV13:Instances!JV13),"diff", MAX(Instances!JV13:Instances!JV13)-MIN(Instances!JV13:Instances!JV13))</f>
        <v>0</v>
      </c>
      <c r="JW13" s="1" cm="1">
        <f t="array" ref="JW13">_xlfn.SWITCH($A$2,"average", AVERAGE(Instances!JW13:Instances!JW13),"median", MEDIAN(Instances!JW13:Instances!JW13),"min", MIN(Instances!JW13:Instances!JW13),"max", MAX(Instances!JW13:Instances!JW13),"diff", MAX(Instances!JW13:Instances!JW13)-MIN(Instances!JW13:Instances!JW13))</f>
        <v>0</v>
      </c>
      <c r="JX13" s="1" cm="1">
        <f t="array" ref="JX13">_xlfn.SWITCH($A$2,"average", AVERAGE(Instances!JX13:Instances!JX13),"median", MEDIAN(Instances!JX13:Instances!JX13),"min", MIN(Instances!JX13:Instances!JX13),"max", MAX(Instances!JX13:Instances!JX13),"diff", MAX(Instances!JX13:Instances!JX13)-MIN(Instances!JX13:Instances!JX13))</f>
        <v>0</v>
      </c>
      <c r="JY13" s="1" cm="1">
        <f t="array" ref="JY13">_xlfn.SWITCH($A$2,"average", AVERAGE(Instances!JY13:Instances!JY13),"median", MEDIAN(Instances!JY13:Instances!JY13),"min", MIN(Instances!JY13:Instances!JY13),"max", MAX(Instances!JY13:Instances!JY13),"diff", MAX(Instances!JY13:Instances!JY13)-MIN(Instances!JY13:Instances!JY13))</f>
        <v>0</v>
      </c>
      <c r="JZ13" s="1"/>
      <c r="KA13" s="1" cm="1">
        <f t="array" ref="KA13">_xlfn.SWITCH($A$2,"average", AVERAGE(Instances!KA13:Instances!KA13),"median", MEDIAN(Instances!KA13:Instances!KA13),"min", MIN(Instances!KA13:Instances!KA13),"max", MAX(Instances!KA13:Instances!KA13),"diff", MAX(Instances!KA13:Instances!KA13)-MIN(Instances!KA13:Instances!KA13))</f>
        <v>0</v>
      </c>
      <c r="KB13" s="1" cm="1">
        <f t="array" ref="KB13">_xlfn.SWITCH($A$2,"average", AVERAGE(Instances!KB13:Instances!KB13),"median", MEDIAN(Instances!KB13:Instances!KB13),"min", MIN(Instances!KB13:Instances!KB13),"max", MAX(Instances!KB13:Instances!KB13),"diff", MAX(Instances!KB13:Instances!KB13)-MIN(Instances!KB13:Instances!KB13))</f>
        <v>0</v>
      </c>
      <c r="KC13" s="1" cm="1">
        <f t="array" ref="KC13">_xlfn.SWITCH($A$2,"average", AVERAGE(Instances!KC13:Instances!KC13),"median", MEDIAN(Instances!KC13:Instances!KC13),"min", MIN(Instances!KC13:Instances!KC13),"max", MAX(Instances!KC13:Instances!KC13),"diff", MAX(Instances!KC13:Instances!KC13)-MIN(Instances!KC13:Instances!KC13))</f>
        <v>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 cm="1">
        <f t="array" ref="L14">_xlfn.SWITCH($A$2,"average", AVERAGE(Instances!L14:Instances!L14),"median", MEDIAN(Instances!L14:Instances!L14),"min", MIN(Instances!L14:Instances!L14),"max", MAX(Instances!L14:Instances!L14),"diff", MAX(Instances!L14:Instances!L14)-MIN(Instances!L14:Instances!L14))</f>
        <v>0</v>
      </c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 cm="1">
        <f t="array" ref="O14">_xlfn.SWITCH($A$2,"average", AVERAGE(Instances!O14:Instances!O14),"median", MEDIAN(Instances!O14:Instances!O14),"min", MIN(Instances!O14:Instances!O14),"max", MAX(Instances!O14:Instances!O14),"diff", MAX(Instances!O14:Instances!O14)-MIN(Instances!O14:Instances!O14))</f>
        <v>0</v>
      </c>
      <c r="P14" s="1"/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 cm="1">
        <f t="array" ref="S14">_xlfn.SWITCH($A$2,"average", AVERAGE(Instances!S14:Instances!S14),"median", MEDIAN(Instances!S14:Instances!S14),"min", MIN(Instances!S14:Instances!S14),"max", MAX(Instances!S14:Instances!S14),"diff", MAX(Instances!S14:Instances!S14)-MIN(Instances!S14:Instances!S14))</f>
        <v>0</v>
      </c>
      <c r="T14" s="1" cm="1">
        <f t="array" ref="T14">_xlfn.SWITCH($A$2,"average", AVERAGE(Instances!T14:Instances!T14),"median", MEDIAN(Instances!T14:Instances!T14),"min", MIN(Instances!T14:Instances!T14),"max", MAX(Instances!T14:Instances!T14),"diff", MAX(Instances!T14:Instances!T14)-MIN(Instances!T14:Instances!T14))</f>
        <v>0</v>
      </c>
      <c r="U14" s="1" cm="1">
        <f t="array" ref="U14">_xlfn.SWITCH($A$2,"average", AVERAGE(Instances!U14:Instances!U14),"median", MEDIAN(Instances!U14:Instances!U14),"min", MIN(Instances!U14:Instances!U14),"max", MAX(Instances!U14:Instances!U14),"diff", MAX(Instances!U14:Instances!U14)-MIN(Instances!U14:Instances!U14))</f>
        <v>0</v>
      </c>
      <c r="V14" s="1" cm="1">
        <f t="array" ref="V14">_xlfn.SWITCH($A$2,"average", AVERAGE(Instances!V14:Instances!V14),"median", MEDIAN(Instances!V14:Instances!V14),"min", MIN(Instances!V14:Instances!V14),"max", MAX(Instances!V14:Instances!V14),"diff", MAX(Instances!V14:Instances!V14)-MIN(Instances!V14:Instances!V14))</f>
        <v>0</v>
      </c>
      <c r="W14" s="1" cm="1">
        <f t="array" ref="W14">_xlfn.SWITCH($A$2,"average", AVERAGE(Instances!W14:Instances!W14),"median", MEDIAN(Instances!W14:Instances!W14),"min", MIN(Instances!W14:Instances!W14),"max", MAX(Instances!W14:Instances!W14),"diff", MAX(Instances!W14:Instances!W14)-MIN(Instances!W14:Instances!W14))</f>
        <v>0</v>
      </c>
      <c r="X14" s="1" cm="1">
        <f t="array" ref="X14">_xlfn.SWITCH($A$2,"average", AVERAGE(Instances!X14:Instances!X14),"median", MEDIAN(Instances!X14:Instances!X14),"min", MIN(Instances!X14:Instances!X14),"max", MAX(Instances!X14:Instances!X14),"diff", MAX(Instances!X14:Instances!X14)-MIN(Instances!X14:Instances!X14))</f>
        <v>0</v>
      </c>
      <c r="Y14" s="1" cm="1">
        <f t="array" ref="Y14">_xlfn.SWITCH($A$2,"average", AVERAGE(Instances!Y14:Instances!Y14),"median", MEDIAN(Instances!Y14:Instances!Y14),"min", MIN(Instances!Y14:Instances!Y14),"max", MAX(Instances!Y14:Instances!Y14),"diff", MAX(Instances!Y14:Instances!Y14)-MIN(Instances!Y14:Instances!Y14))</f>
        <v>0</v>
      </c>
      <c r="Z14" s="1" cm="1">
        <f t="array" ref="Z14">_xlfn.SWITCH($A$2,"average", AVERAGE(Instances!Z14:Instances!Z14),"median", MEDIAN(Instances!Z14:Instances!Z14),"min", MIN(Instances!Z14:Instances!Z14),"max", MAX(Instances!Z14:Instances!Z14),"diff", MAX(Instances!Z14:Instances!Z14)-MIN(Instances!Z14:Instances!Z14))</f>
        <v>0</v>
      </c>
      <c r="AA14" s="1" cm="1">
        <f t="array" ref="AA14">_xlfn.SWITCH($A$2,"average", AVERAGE(Instances!AA14:Instances!AA14),"median", MEDIAN(Instances!AA14:Instances!AA14),"min", MIN(Instances!AA14:Instances!AA14),"max", MAX(Instances!AA14:Instances!AA14),"diff", MAX(Instances!AA14:Instances!AA14)-MIN(Instances!AA14:Instances!AA14))</f>
        <v>0</v>
      </c>
      <c r="AB14" s="1" cm="1">
        <f t="array" ref="AB14">_xlfn.SWITCH($A$2,"average", AVERAGE(Instances!AB14:Instances!AB14),"median", MEDIAN(Instances!AB14:Instances!AB14),"min", MIN(Instances!AB14:Instances!AB14),"max", MAX(Instances!AB14:Instances!AB14),"diff", MAX(Instances!AB14:Instances!AB14)-MIN(Instances!AB14:Instances!AB14))</f>
        <v>0</v>
      </c>
      <c r="AC14" s="1" cm="1">
        <f t="array" ref="AC14">_xlfn.SWITCH($A$2,"average", AVERAGE(Instances!AC14:Instances!AC14),"median", MEDIAN(Instances!AC14:Instances!AC14),"min", MIN(Instances!AC14:Instances!AC14),"max", MAX(Instances!AC14:Instances!AC14),"diff", MAX(Instances!AC14:Instances!AC14)-MIN(Instances!AC14:Instances!AC14))</f>
        <v>0</v>
      </c>
      <c r="AD14" s="1" cm="1">
        <f t="array" ref="AD14">_xlfn.SWITCH($A$2,"average", AVERAGE(Instances!AD14:Instances!AD14),"median", MEDIAN(Instances!AD14:Instances!AD14),"min", MIN(Instances!AD14:Instances!AD14),"max", MAX(Instances!AD14:Instances!AD14),"diff", MAX(Instances!AD14:Instances!AD14)-MIN(Instances!AD14:Instances!AD14))</f>
        <v>0</v>
      </c>
      <c r="AE14" s="1" cm="1">
        <f t="array" ref="AE14">_xlfn.SWITCH($A$2,"average", AVERAGE(Instances!AE14:Instances!AE14),"median", MEDIAN(Instances!AE14:Instances!AE14),"min", MIN(Instances!AE14:Instances!AE14),"max", MAX(Instances!AE14:Instances!AE14),"diff", MAX(Instances!AE14:Instances!AE14)-MIN(Instances!AE14:Instances!AE14))</f>
        <v>0</v>
      </c>
      <c r="AF14" s="1" cm="1">
        <f t="array" ref="AF14">_xlfn.SWITCH($A$2,"average", AVERAGE(Instances!AF14:Instances!AF14),"median", MEDIAN(Instances!AF14:Instances!AF14),"min", MIN(Instances!AF14:Instances!AF14),"max", MAX(Instances!AF14:Instances!AF14),"diff", MAX(Instances!AF14:Instances!AF14)-MIN(Instances!AF14:Instances!AF14))</f>
        <v>0</v>
      </c>
      <c r="AG14" s="1" cm="1">
        <f t="array" ref="AG14">_xlfn.SWITCH($A$2,"average", AVERAGE(Instances!AG14:Instances!AG14),"median", MEDIAN(Instances!AG14:Instances!AG14),"min", MIN(Instances!AG14:Instances!AG14),"max", MAX(Instances!AG14:Instances!AG14),"diff", MAX(Instances!AG14:Instances!AG14)-MIN(Instances!AG14:Instances!AG14))</f>
        <v>0</v>
      </c>
      <c r="AH14" s="1"/>
      <c r="AI14" s="1" cm="1">
        <f t="array" ref="AI14">_xlfn.SWITCH($A$2,"average", AVERAGE(Instances!AI14:Instances!AI14),"median", MEDIAN(Instances!AI14:Instances!AI14),"min", MIN(Instances!AI14:Instances!AI14),"max", MAX(Instances!AI14:Instances!AI14),"diff", MAX(Instances!AI14:Instances!AI14)-MIN(Instances!AI14:Instances!AI14))</f>
        <v>0</v>
      </c>
      <c r="AJ14" s="1" cm="1">
        <f t="array" ref="AJ14">_xlfn.SWITCH($A$2,"average", AVERAGE(Instances!AJ14:Instances!AJ14),"median", MEDIAN(Instances!AJ14:Instances!AJ14),"min", MIN(Instances!AJ14:Instances!AJ14),"max", MAX(Instances!AJ14:Instances!AJ14),"diff", MAX(Instances!AJ14:Instances!AJ14)-MIN(Instances!AJ14:Instances!AJ14))</f>
        <v>0</v>
      </c>
      <c r="AK14" s="1" cm="1">
        <f t="array" ref="AK14">_xlfn.SWITCH($A$2,"average", AVERAGE(Instances!AK14:Instances!AK14),"median", MEDIAN(Instances!AK14:Instances!AK14),"min", MIN(Instances!AK14:Instances!AK14),"max", MAX(Instances!AK14:Instances!AK14),"diff", MAX(Instances!AK14:Instances!AK14)-MIN(Instances!AK14:Instances!AK14))</f>
        <v>0</v>
      </c>
      <c r="AL14" s="1" cm="1">
        <f t="array" ref="AL14">_xlfn.SWITCH($A$2,"average", AVERAGE(Instances!AL14:Instances!AL14),"median", MEDIAN(Instances!AL14:Instances!AL14),"min", MIN(Instances!AL14:Instances!AL14),"max", MAX(Instances!AL14:Instances!AL14),"diff", MAX(Instances!AL14:Instances!AL14)-MIN(Instances!AL14:Instances!AL14))</f>
        <v>0</v>
      </c>
      <c r="AM14" s="1" cm="1">
        <f t="array" ref="AM14">_xlfn.SWITCH($A$2,"average", AVERAGE(Instances!AM14:Instances!AM14),"median", MEDIAN(Instances!AM14:Instances!AM14),"min", MIN(Instances!AM14:Instances!AM14),"max", MAX(Instances!AM14:Instances!AM14),"diff", MAX(Instances!AM14:Instances!AM14)-MIN(Instances!AM14:Instances!AM14))</f>
        <v>0</v>
      </c>
      <c r="AN14" s="1" cm="1">
        <f t="array" ref="AN14">_xlfn.SWITCH($A$2,"average", AVERAGE(Instances!AN14:Instances!AN14),"median", MEDIAN(Instances!AN14:Instances!AN14),"min", MIN(Instances!AN14:Instances!AN14),"max", MAX(Instances!AN14:Instances!AN14),"diff", MAX(Instances!AN14:Instances!AN14)-MIN(Instances!AN14:Instances!AN14))</f>
        <v>0</v>
      </c>
      <c r="AO14" s="1" cm="1">
        <f t="array" ref="AO14">_xlfn.SWITCH($A$2,"average", AVERAGE(Instances!AO14:Instances!AO14),"median", MEDIAN(Instances!AO14:Instances!AO14),"min", MIN(Instances!AO14:Instances!AO14),"max", MAX(Instances!AO14:Instances!AO14),"diff", MAX(Instances!AO14:Instances!AO14)-MIN(Instances!AO14:Instances!AO14))</f>
        <v>0</v>
      </c>
      <c r="AP14" s="1" cm="1">
        <f t="array" ref="AP14">_xlfn.SWITCH($A$2,"average", AVERAGE(Instances!AP14:Instances!AP14),"median", MEDIAN(Instances!AP14:Instances!AP14),"min", MIN(Instances!AP14:Instances!AP14),"max", MAX(Instances!AP14:Instances!AP14),"diff", MAX(Instances!AP14:Instances!AP14)-MIN(Instances!AP14:Instances!AP14))</f>
        <v>0</v>
      </c>
      <c r="AQ14" s="1" cm="1">
        <f t="array" ref="AQ14">_xlfn.SWITCH($A$2,"average", AVERAGE(Instances!AQ14:Instances!AQ14),"median", MEDIAN(Instances!AQ14:Instances!AQ14),"min", MIN(Instances!AQ14:Instances!AQ14),"max", MAX(Instances!AQ14:Instances!AQ14),"diff", MAX(Instances!AQ14:Instances!AQ14)-MIN(Instances!AQ14:Instances!AQ14))</f>
        <v>0</v>
      </c>
      <c r="AR14" s="1" cm="1">
        <f t="array" ref="AR14">_xlfn.SWITCH($A$2,"average", AVERAGE(Instances!AR14:Instances!AR14),"median", MEDIAN(Instances!AR14:Instances!AR14),"min", MIN(Instances!AR14:Instances!AR14),"max", MAX(Instances!AR14:Instances!AR14),"diff", MAX(Instances!AR14:Instances!AR14)-MIN(Instances!AR14:Instances!AR14))</f>
        <v>0</v>
      </c>
      <c r="AS14" s="1" cm="1">
        <f t="array" ref="AS14">_xlfn.SWITCH($A$2,"average", AVERAGE(Instances!AS14:Instances!AS14),"median", MEDIAN(Instances!AS14:Instances!AS14),"min", MIN(Instances!AS14:Instances!AS14),"max", MAX(Instances!AS14:Instances!AS14),"diff", MAX(Instances!AS14:Instances!AS14)-MIN(Instances!AS14:Instances!AS14))</f>
        <v>0</v>
      </c>
      <c r="AT14" s="1" cm="1">
        <f t="array" ref="AT14">_xlfn.SWITCH($A$2,"average", AVERAGE(Instances!AT14:Instances!AT14),"median", MEDIAN(Instances!AT14:Instances!AT14),"min", MIN(Instances!AT14:Instances!AT14),"max", MAX(Instances!AT14:Instances!AT14),"diff", MAX(Instances!AT14:Instances!AT14)-MIN(Instances!AT14:Instances!AT14))</f>
        <v>0</v>
      </c>
      <c r="AU14" s="1" cm="1">
        <f t="array" ref="AU14">_xlfn.SWITCH($A$2,"average", AVERAGE(Instances!AU14:Instances!AU14),"median", MEDIAN(Instances!AU14:Instances!AU14),"min", MIN(Instances!AU14:Instances!AU14),"max", MAX(Instances!AU14:Instances!AU14),"diff", MAX(Instances!AU14:Instances!AU14)-MIN(Instances!AU14:Instances!AU14))</f>
        <v>0</v>
      </c>
      <c r="AV14" s="1" cm="1">
        <f t="array" ref="AV14">_xlfn.SWITCH($A$2,"average", AVERAGE(Instances!AV14:Instances!AV14),"median", MEDIAN(Instances!AV14:Instances!AV14),"min", MIN(Instances!AV14:Instances!AV14),"max", MAX(Instances!AV14:Instances!AV14),"diff", MAX(Instances!AV14:Instances!AV14)-MIN(Instances!AV14:Instances!AV14))</f>
        <v>0</v>
      </c>
      <c r="AW14" s="1" cm="1">
        <f t="array" ref="AW14">_xlfn.SWITCH($A$2,"average", AVERAGE(Instances!AW14:Instances!AW14),"median", MEDIAN(Instances!AW14:Instances!AW14),"min", MIN(Instances!AW14:Instances!AW14),"max", MAX(Instances!AW14:Instances!AW14),"diff", MAX(Instances!AW14:Instances!AW14)-MIN(Instances!AW14:Instances!AW14))</f>
        <v>0</v>
      </c>
      <c r="AX14" s="1" cm="1">
        <f t="array" ref="AX14">_xlfn.SWITCH($A$2,"average", AVERAGE(Instances!AX14:Instances!AX14),"median", MEDIAN(Instances!AX14:Instances!AX14),"min", MIN(Instances!AX14:Instances!AX14),"max", MAX(Instances!AX14:Instances!AX14),"diff", MAX(Instances!AX14:Instances!AX14)-MIN(Instances!AX14:Instances!AX14))</f>
        <v>0</v>
      </c>
      <c r="AY14" s="1" cm="1">
        <f t="array" ref="AY14">_xlfn.SWITCH($A$2,"average", AVERAGE(Instances!AY14:Instances!AY14),"median", MEDIAN(Instances!AY14:Instances!AY14),"min", MIN(Instances!AY14:Instances!AY14),"max", MAX(Instances!AY14:Instances!AY14),"diff", MAX(Instances!AY14:Instances!AY14)-MIN(Instances!AY14:Instances!AY14))</f>
        <v>0</v>
      </c>
      <c r="AZ14" s="1"/>
      <c r="BA14" s="1" cm="1">
        <f t="array" ref="BA14">_xlfn.SWITCH($A$2,"average", AVERAGE(Instances!BA14:Instances!BA14),"median", MEDIAN(Instances!BA14:Instances!BA14),"min", MIN(Instances!BA14:Instances!BA14),"max", MAX(Instances!BA14:Instances!BA14),"diff", MAX(Instances!BA14:Instances!BA14)-MIN(Instances!BA14:Instances!BA14))</f>
        <v>0</v>
      </c>
      <c r="BB14" s="1" cm="1">
        <f t="array" ref="BB14">_xlfn.SWITCH($A$2,"average", AVERAGE(Instances!BB14:Instances!BB14),"median", MEDIAN(Instances!BB14:Instances!BB14),"min", MIN(Instances!BB14:Instances!BB14),"max", MAX(Instances!BB14:Instances!BB14),"diff", MAX(Instances!BB14:Instances!BB14)-MIN(Instances!BB14:Instances!BB14))</f>
        <v>0</v>
      </c>
      <c r="BC14" s="1" cm="1">
        <f t="array" ref="BC14">_xlfn.SWITCH($A$2,"average", AVERAGE(Instances!BC14:Instances!BC14),"median", MEDIAN(Instances!BC14:Instances!BC14),"min", MIN(Instances!BC14:Instances!BC14),"max", MAX(Instances!BC14:Instances!BC14),"diff", MAX(Instances!BC14:Instances!BC14)-MIN(Instances!BC14:Instances!BC14))</f>
        <v>0</v>
      </c>
      <c r="BD14" s="1" cm="1">
        <f t="array" ref="BD14">_xlfn.SWITCH($A$2,"average", AVERAGE(Instances!BD14:Instances!BD14),"median", MEDIAN(Instances!BD14:Instances!BD14),"min", MIN(Instances!BD14:Instances!BD14),"max", MAX(Instances!BD14:Instances!BD14),"diff", MAX(Instances!BD14:Instances!BD14)-MIN(Instances!BD14:Instances!BD14))</f>
        <v>0</v>
      </c>
      <c r="BE14" s="1" cm="1">
        <f t="array" ref="BE14">_xlfn.SWITCH($A$2,"average", AVERAGE(Instances!BE14:Instances!BE14),"median", MEDIAN(Instances!BE14:Instances!BE14),"min", MIN(Instances!BE14:Instances!BE14),"max", MAX(Instances!BE14:Instances!BE14),"diff", MAX(Instances!BE14:Instances!BE14)-MIN(Instances!BE14:Instances!BE14))</f>
        <v>0</v>
      </c>
      <c r="BF14" s="1" cm="1">
        <f t="array" ref="BF14">_xlfn.SWITCH($A$2,"average", AVERAGE(Instances!BF14:Instances!BF14),"median", MEDIAN(Instances!BF14:Instances!BF14),"min", MIN(Instances!BF14:Instances!BF14),"max", MAX(Instances!BF14:Instances!BF14),"diff", MAX(Instances!BF14:Instances!BF14)-MIN(Instances!BF14:Instances!BF14))</f>
        <v>0</v>
      </c>
      <c r="BG14" s="1" cm="1">
        <f t="array" ref="BG14">_xlfn.SWITCH($A$2,"average", AVERAGE(Instances!BG14:Instances!BG14),"median", MEDIAN(Instances!BG14:Instances!BG14),"min", MIN(Instances!BG14:Instances!BG14),"max", MAX(Instances!BG14:Instances!BG14),"diff", MAX(Instances!BG14:Instances!BG14)-MIN(Instances!BG14:Instances!BG14))</f>
        <v>0</v>
      </c>
      <c r="BH14" s="1" cm="1">
        <f t="array" ref="BH14">_xlfn.SWITCH($A$2,"average", AVERAGE(Instances!BH14:Instances!BH14),"median", MEDIAN(Instances!BH14:Instances!BH14),"min", MIN(Instances!BH14:Instances!BH14),"max", MAX(Instances!BH14:Instances!BH14),"diff", MAX(Instances!BH14:Instances!BH14)-MIN(Instances!BH14:Instances!BH14))</f>
        <v>0</v>
      </c>
      <c r="BI14" s="1" cm="1">
        <f t="array" ref="BI14">_xlfn.SWITCH($A$2,"average", AVERAGE(Instances!BI14:Instances!BI14),"median", MEDIAN(Instances!BI14:Instances!BI14),"min", MIN(Instances!BI14:Instances!BI14),"max", MAX(Instances!BI14:Instances!BI14),"diff", MAX(Instances!BI14:Instances!BI14)-MIN(Instances!BI14:Instances!BI14))</f>
        <v>0</v>
      </c>
      <c r="BJ14" s="1" cm="1">
        <f t="array" ref="BJ14">_xlfn.SWITCH($A$2,"average", AVERAGE(Instances!BJ14:Instances!BJ14),"median", MEDIAN(Instances!BJ14:Instances!BJ14),"min", MIN(Instances!BJ14:Instances!BJ14),"max", MAX(Instances!BJ14:Instances!BJ14),"diff", MAX(Instances!BJ14:Instances!BJ14)-MIN(Instances!BJ14:Instances!BJ14))</f>
        <v>0</v>
      </c>
      <c r="BK14" s="1" cm="1">
        <f t="array" ref="BK14">_xlfn.SWITCH($A$2,"average", AVERAGE(Instances!BK14:Instances!BK14),"median", MEDIAN(Instances!BK14:Instances!BK14),"min", MIN(Instances!BK14:Instances!BK14),"max", MAX(Instances!BK14:Instances!BK14),"diff", MAX(Instances!BK14:Instances!BK14)-MIN(Instances!BK14:Instances!BK14))</f>
        <v>0</v>
      </c>
      <c r="BL14" s="1" cm="1">
        <f t="array" ref="BL14">_xlfn.SWITCH($A$2,"average", AVERAGE(Instances!BL14:Instances!BL14),"median", MEDIAN(Instances!BL14:Instances!BL14),"min", MIN(Instances!BL14:Instances!BL14),"max", MAX(Instances!BL14:Instances!BL14),"diff", MAX(Instances!BL14:Instances!BL14)-MIN(Instances!BL14:Instances!BL14))</f>
        <v>0</v>
      </c>
      <c r="BM14" s="1" cm="1">
        <f t="array" ref="BM14">_xlfn.SWITCH($A$2,"average", AVERAGE(Instances!BM14:Instances!BM14),"median", MEDIAN(Instances!BM14:Instances!BM14),"min", MIN(Instances!BM14:Instances!BM14),"max", MAX(Instances!BM14:Instances!BM14),"diff", MAX(Instances!BM14:Instances!BM14)-MIN(Instances!BM14:Instances!BM14))</f>
        <v>0</v>
      </c>
      <c r="BN14" s="1" cm="1">
        <f t="array" ref="BN14">_xlfn.SWITCH($A$2,"average", AVERAGE(Instances!BN14:Instances!BN14),"median", MEDIAN(Instances!BN14:Instances!BN14),"min", MIN(Instances!BN14:Instances!BN14),"max", MAX(Instances!BN14:Instances!BN14),"diff", MAX(Instances!BN14:Instances!BN14)-MIN(Instances!BN14:Instances!BN14))</f>
        <v>0</v>
      </c>
      <c r="BO14" s="1" cm="1">
        <f t="array" ref="BO14">_xlfn.SWITCH($A$2,"average", AVERAGE(Instances!BO14:Instances!BO14),"median", MEDIAN(Instances!BO14:Instances!BO14),"min", MIN(Instances!BO14:Instances!BO14),"max", MAX(Instances!BO14:Instances!BO14),"diff", MAX(Instances!BO14:Instances!BO14)-MIN(Instances!BO14:Instances!BO14))</f>
        <v>0</v>
      </c>
      <c r="BP14" s="1" cm="1">
        <f t="array" ref="BP14">_xlfn.SWITCH($A$2,"average", AVERAGE(Instances!BP14:Instances!BP14),"median", MEDIAN(Instances!BP14:Instances!BP14),"min", MIN(Instances!BP14:Instances!BP14),"max", MAX(Instances!BP14:Instances!BP14),"diff", MAX(Instances!BP14:Instances!BP14)-MIN(Instances!BP14:Instances!BP14))</f>
        <v>0</v>
      </c>
      <c r="BQ14" s="1" cm="1">
        <f t="array" ref="BQ14">_xlfn.SWITCH($A$2,"average", AVERAGE(Instances!BQ14:Instances!BQ14),"median", MEDIAN(Instances!BQ14:Instances!BQ14),"min", MIN(Instances!BQ14:Instances!BQ14),"max", MAX(Instances!BQ14:Instances!BQ14),"diff", MAX(Instances!BQ14:Instances!BQ14)-MIN(Instances!BQ14:Instances!BQ14))</f>
        <v>0</v>
      </c>
      <c r="BR14" s="1"/>
      <c r="BS14" s="1" cm="1">
        <f t="array" ref="BS14">_xlfn.SWITCH($A$2,"average", AVERAGE(Instances!BS14:Instances!BS14),"median", MEDIAN(Instances!BS14:Instances!BS14),"min", MIN(Instances!BS14:Instances!BS14),"max", MAX(Instances!BS14:Instances!BS14),"diff", MAX(Instances!BS14:Instances!BS14)-MIN(Instances!BS14:Instances!BS14))</f>
        <v>0</v>
      </c>
      <c r="BT14" s="1" cm="1">
        <f t="array" ref="BT14">_xlfn.SWITCH($A$2,"average", AVERAGE(Instances!BT14:Instances!BT14),"median", MEDIAN(Instances!BT14:Instances!BT14),"min", MIN(Instances!BT14:Instances!BT14),"max", MAX(Instances!BT14:Instances!BT14),"diff", MAX(Instances!BT14:Instances!BT14)-MIN(Instances!BT14:Instances!BT14))</f>
        <v>0</v>
      </c>
      <c r="BU14" s="1" cm="1">
        <f t="array" ref="BU14">_xlfn.SWITCH($A$2,"average", AVERAGE(Instances!BU14:Instances!BU14),"median", MEDIAN(Instances!BU14:Instances!BU14),"min", MIN(Instances!BU14:Instances!BU14),"max", MAX(Instances!BU14:Instances!BU14),"diff", MAX(Instances!BU14:Instances!BU14)-MIN(Instances!BU14:Instances!BU14))</f>
        <v>0</v>
      </c>
      <c r="BV14" s="1" cm="1">
        <f t="array" ref="BV14">_xlfn.SWITCH($A$2,"average", AVERAGE(Instances!BV14:Instances!BV14),"median", MEDIAN(Instances!BV14:Instances!BV14),"min", MIN(Instances!BV14:Instances!BV14),"max", MAX(Instances!BV14:Instances!BV14),"diff", MAX(Instances!BV14:Instances!BV14)-MIN(Instances!BV14:Instances!BV14))</f>
        <v>0</v>
      </c>
      <c r="BW14" s="1" cm="1">
        <f t="array" ref="BW14">_xlfn.SWITCH($A$2,"average", AVERAGE(Instances!BW14:Instances!BW14),"median", MEDIAN(Instances!BW14:Instances!BW14),"min", MIN(Instances!BW14:Instances!BW14),"max", MAX(Instances!BW14:Instances!BW14),"diff", MAX(Instances!BW14:Instances!BW14)-MIN(Instances!BW14:Instances!BW14))</f>
        <v>0</v>
      </c>
      <c r="BX14" s="1" cm="1">
        <f t="array" ref="BX14">_xlfn.SWITCH($A$2,"average", AVERAGE(Instances!BX14:Instances!BX14),"median", MEDIAN(Instances!BX14:Instances!BX14),"min", MIN(Instances!BX14:Instances!BX14),"max", MAX(Instances!BX14:Instances!BX14),"diff", MAX(Instances!BX14:Instances!BX14)-MIN(Instances!BX14:Instances!BX14))</f>
        <v>0</v>
      </c>
      <c r="BY14" s="1" cm="1">
        <f t="array" ref="BY14">_xlfn.SWITCH($A$2,"average", AVERAGE(Instances!BY14:Instances!BY14),"median", MEDIAN(Instances!BY14:Instances!BY14),"min", MIN(Instances!BY14:Instances!BY14),"max", MAX(Instances!BY14:Instances!BY14),"diff", MAX(Instances!BY14:Instances!BY14)-MIN(Instances!BY14:Instances!BY14))</f>
        <v>0</v>
      </c>
      <c r="BZ14" s="1" cm="1">
        <f t="array" ref="BZ14">_xlfn.SWITCH($A$2,"average", AVERAGE(Instances!BZ14:Instances!BZ14),"median", MEDIAN(Instances!BZ14:Instances!BZ14),"min", MIN(Instances!BZ14:Instances!BZ14),"max", MAX(Instances!BZ14:Instances!BZ14),"diff", MAX(Instances!BZ14:Instances!BZ14)-MIN(Instances!BZ14:Instances!BZ14))</f>
        <v>0</v>
      </c>
      <c r="CA14" s="1" cm="1">
        <f t="array" ref="CA14">_xlfn.SWITCH($A$2,"average", AVERAGE(Instances!CA14:Instances!CA14),"median", MEDIAN(Instances!CA14:Instances!CA14),"min", MIN(Instances!CA14:Instances!CA14),"max", MAX(Instances!CA14:Instances!CA14),"diff", MAX(Instances!CA14:Instances!CA14)-MIN(Instances!CA14:Instances!CA14))</f>
        <v>0</v>
      </c>
      <c r="CB14" s="1" cm="1">
        <f t="array" ref="CB14">_xlfn.SWITCH($A$2,"average", AVERAGE(Instances!CB14:Instances!CB14),"median", MEDIAN(Instances!CB14:Instances!CB14),"min", MIN(Instances!CB14:Instances!CB14),"max", MAX(Instances!CB14:Instances!CB14),"diff", MAX(Instances!CB14:Instances!CB14)-MIN(Instances!CB14:Instances!CB14))</f>
        <v>0</v>
      </c>
      <c r="CC14" s="1" cm="1">
        <f t="array" ref="CC14">_xlfn.SWITCH($A$2,"average", AVERAGE(Instances!CC14:Instances!CC14),"median", MEDIAN(Instances!CC14:Instances!CC14),"min", MIN(Instances!CC14:Instances!CC14),"max", MAX(Instances!CC14:Instances!CC14),"diff", MAX(Instances!CC14:Instances!CC14)-MIN(Instances!CC14:Instances!CC14))</f>
        <v>0</v>
      </c>
      <c r="CD14" s="1" cm="1">
        <f t="array" ref="CD14">_xlfn.SWITCH($A$2,"average", AVERAGE(Instances!CD14:Instances!CD14),"median", MEDIAN(Instances!CD14:Instances!CD14),"min", MIN(Instances!CD14:Instances!CD14),"max", MAX(Instances!CD14:Instances!CD14),"diff", MAX(Instances!CD14:Instances!CD14)-MIN(Instances!CD14:Instances!CD14))</f>
        <v>0</v>
      </c>
      <c r="CE14" s="1" cm="1">
        <f t="array" ref="CE14">_xlfn.SWITCH($A$2,"average", AVERAGE(Instances!CE14:Instances!CE14),"median", MEDIAN(Instances!CE14:Instances!CE14),"min", MIN(Instances!CE14:Instances!CE14),"max", MAX(Instances!CE14:Instances!CE14),"diff", MAX(Instances!CE14:Instances!CE14)-MIN(Instances!CE14:Instances!CE14))</f>
        <v>0</v>
      </c>
      <c r="CF14" s="1" cm="1">
        <f t="array" ref="CF14">_xlfn.SWITCH($A$2,"average", AVERAGE(Instances!CF14:Instances!CF14),"median", MEDIAN(Instances!CF14:Instances!CF14),"min", MIN(Instances!CF14:Instances!CF14),"max", MAX(Instances!CF14:Instances!CF14),"diff", MAX(Instances!CF14:Instances!CF14)-MIN(Instances!CF14:Instances!CF14))</f>
        <v>0</v>
      </c>
      <c r="CG14" s="1" cm="1">
        <f t="array" ref="CG14">_xlfn.SWITCH($A$2,"average", AVERAGE(Instances!CG14:Instances!CG14),"median", MEDIAN(Instances!CG14:Instances!CG14),"min", MIN(Instances!CG14:Instances!CG14),"max", MAX(Instances!CG14:Instances!CG14),"diff", MAX(Instances!CG14:Instances!CG14)-MIN(Instances!CG14:Instances!CG14))</f>
        <v>0</v>
      </c>
      <c r="CH14" s="1" cm="1">
        <f t="array" ref="CH14">_xlfn.SWITCH($A$2,"average", AVERAGE(Instances!CH14:Instances!CH14),"median", MEDIAN(Instances!CH14:Instances!CH14),"min", MIN(Instances!CH14:Instances!CH14),"max", MAX(Instances!CH14:Instances!CH14),"diff", MAX(Instances!CH14:Instances!CH14)-MIN(Instances!CH14:Instances!CH14))</f>
        <v>0</v>
      </c>
      <c r="CI14" s="1" cm="1">
        <f t="array" ref="CI14">_xlfn.SWITCH($A$2,"average", AVERAGE(Instances!CI14:Instances!CI14),"median", MEDIAN(Instances!CI14:Instances!CI14),"min", MIN(Instances!CI14:Instances!CI14),"max", MAX(Instances!CI14:Instances!CI14),"diff", MAX(Instances!CI14:Instances!CI14)-MIN(Instances!CI14:Instances!CI14))</f>
        <v>0</v>
      </c>
      <c r="CJ14" s="1"/>
      <c r="CK14" s="1" cm="1">
        <f t="array" ref="CK14">_xlfn.SWITCH($A$2,"average", AVERAGE(Instances!CK14:Instances!CK14),"median", MEDIAN(Instances!CK14:Instances!CK14),"min", MIN(Instances!CK14:Instances!CK14),"max", MAX(Instances!CK14:Instances!CK14),"diff", MAX(Instances!CK14:Instances!CK14)-MIN(Instances!CK14:Instances!CK14))</f>
        <v>0</v>
      </c>
      <c r="CL14" s="1" cm="1">
        <f t="array" ref="CL14">_xlfn.SWITCH($A$2,"average", AVERAGE(Instances!CL14:Instances!CL14),"median", MEDIAN(Instances!CL14:Instances!CL14),"min", MIN(Instances!CL14:Instances!CL14),"max", MAX(Instances!CL14:Instances!CL14),"diff", MAX(Instances!CL14:Instances!CL14)-MIN(Instances!CL14:Instances!CL14))</f>
        <v>0</v>
      </c>
      <c r="CM14" s="1" cm="1">
        <f t="array" ref="CM14">_xlfn.SWITCH($A$2,"average", AVERAGE(Instances!CM14:Instances!CM14),"median", MEDIAN(Instances!CM14:Instances!CM14),"min", MIN(Instances!CM14:Instances!CM14),"max", MAX(Instances!CM14:Instances!CM14),"diff", MAX(Instances!CM14:Instances!CM14)-MIN(Instances!CM14:Instances!CM14))</f>
        <v>0</v>
      </c>
      <c r="CN14" s="1" cm="1">
        <f t="array" ref="CN14">_xlfn.SWITCH($A$2,"average", AVERAGE(Instances!CN14:Instances!CN14),"median", MEDIAN(Instances!CN14:Instances!CN14),"min", MIN(Instances!CN14:Instances!CN14),"max", MAX(Instances!CN14:Instances!CN14),"diff", MAX(Instances!CN14:Instances!CN14)-MIN(Instances!CN14:Instances!CN14))</f>
        <v>0</v>
      </c>
      <c r="CO14" s="1" cm="1">
        <f t="array" ref="CO14">_xlfn.SWITCH($A$2,"average", AVERAGE(Instances!CO14:Instances!CO14),"median", MEDIAN(Instances!CO14:Instances!CO14),"min", MIN(Instances!CO14:Instances!CO14),"max", MAX(Instances!CO14:Instances!CO14),"diff", MAX(Instances!CO14:Instances!CO14)-MIN(Instances!CO14:Instances!CO14))</f>
        <v>0</v>
      </c>
      <c r="CP14" s="1" cm="1">
        <f t="array" ref="CP14">_xlfn.SWITCH($A$2,"average", AVERAGE(Instances!CP14:Instances!CP14),"median", MEDIAN(Instances!CP14:Instances!CP14),"min", MIN(Instances!CP14:Instances!CP14),"max", MAX(Instances!CP14:Instances!CP14),"diff", MAX(Instances!CP14:Instances!CP14)-MIN(Instances!CP14:Instances!CP14))</f>
        <v>0</v>
      </c>
      <c r="CQ14" s="1" cm="1">
        <f t="array" ref="CQ14">_xlfn.SWITCH($A$2,"average", AVERAGE(Instances!CQ14:Instances!CQ14),"median", MEDIAN(Instances!CQ14:Instances!CQ14),"min", MIN(Instances!CQ14:Instances!CQ14),"max", MAX(Instances!CQ14:Instances!CQ14),"diff", MAX(Instances!CQ14:Instances!CQ14)-MIN(Instances!CQ14:Instances!CQ14))</f>
        <v>0</v>
      </c>
      <c r="CR14" s="1" cm="1">
        <f t="array" ref="CR14">_xlfn.SWITCH($A$2,"average", AVERAGE(Instances!CR14:Instances!CR14),"median", MEDIAN(Instances!CR14:Instances!CR14),"min", MIN(Instances!CR14:Instances!CR14),"max", MAX(Instances!CR14:Instances!CR14),"diff", MAX(Instances!CR14:Instances!CR14)-MIN(Instances!CR14:Instances!CR14))</f>
        <v>0</v>
      </c>
      <c r="CS14" s="1" cm="1">
        <f t="array" ref="CS14">_xlfn.SWITCH($A$2,"average", AVERAGE(Instances!CS14:Instances!CS14),"median", MEDIAN(Instances!CS14:Instances!CS14),"min", MIN(Instances!CS14:Instances!CS14),"max", MAX(Instances!CS14:Instances!CS14),"diff", MAX(Instances!CS14:Instances!CS14)-MIN(Instances!CS14:Instances!CS14))</f>
        <v>0</v>
      </c>
      <c r="CT14" s="1" cm="1">
        <f t="array" ref="CT14">_xlfn.SWITCH($A$2,"average", AVERAGE(Instances!CT14:Instances!CT14),"median", MEDIAN(Instances!CT14:Instances!CT14),"min", MIN(Instances!CT14:Instances!CT14),"max", MAX(Instances!CT14:Instances!CT14),"diff", MAX(Instances!CT14:Instances!CT14)-MIN(Instances!CT14:Instances!CT14))</f>
        <v>0</v>
      </c>
      <c r="CU14" s="1" cm="1">
        <f t="array" ref="CU14">_xlfn.SWITCH($A$2,"average", AVERAGE(Instances!CU14:Instances!CU14),"median", MEDIAN(Instances!CU14:Instances!CU14),"min", MIN(Instances!CU14:Instances!CU14),"max", MAX(Instances!CU14:Instances!CU14),"diff", MAX(Instances!CU14:Instances!CU14)-MIN(Instances!CU14:Instances!CU14))</f>
        <v>0</v>
      </c>
      <c r="CV14" s="1" cm="1">
        <f t="array" ref="CV14">_xlfn.SWITCH($A$2,"average", AVERAGE(Instances!CV14:Instances!CV14),"median", MEDIAN(Instances!CV14:Instances!CV14),"min", MIN(Instances!CV14:Instances!CV14),"max", MAX(Instances!CV14:Instances!CV14),"diff", MAX(Instances!CV14:Instances!CV14)-MIN(Instances!CV14:Instances!CV14))</f>
        <v>0</v>
      </c>
      <c r="CW14" s="1" cm="1">
        <f t="array" ref="CW14">_xlfn.SWITCH($A$2,"average", AVERAGE(Instances!CW14:Instances!CW14),"median", MEDIAN(Instances!CW14:Instances!CW14),"min", MIN(Instances!CW14:Instances!CW14),"max", MAX(Instances!CW14:Instances!CW14),"diff", MAX(Instances!CW14:Instances!CW14)-MIN(Instances!CW14:Instances!CW14))</f>
        <v>0</v>
      </c>
      <c r="CX14" s="1" cm="1">
        <f t="array" ref="CX14">_xlfn.SWITCH($A$2,"average", AVERAGE(Instances!CX14:Instances!CX14),"median", MEDIAN(Instances!CX14:Instances!CX14),"min", MIN(Instances!CX14:Instances!CX14),"max", MAX(Instances!CX14:Instances!CX14),"diff", MAX(Instances!CX14:Instances!CX14)-MIN(Instances!CX14:Instances!CX14))</f>
        <v>0</v>
      </c>
      <c r="CY14" s="1" cm="1">
        <f t="array" ref="CY14">_xlfn.SWITCH($A$2,"average", AVERAGE(Instances!CY14:Instances!CY14),"median", MEDIAN(Instances!CY14:Instances!CY14),"min", MIN(Instances!CY14:Instances!CY14),"max", MAX(Instances!CY14:Instances!CY14),"diff", MAX(Instances!CY14:Instances!CY14)-MIN(Instances!CY14:Instances!CY14))</f>
        <v>0</v>
      </c>
      <c r="CZ14" s="1" cm="1">
        <f t="array" ref="CZ14">_xlfn.SWITCH($A$2,"average", AVERAGE(Instances!CZ14:Instances!CZ14),"median", MEDIAN(Instances!CZ14:Instances!CZ14),"min", MIN(Instances!CZ14:Instances!CZ14),"max", MAX(Instances!CZ14:Instances!CZ14),"diff", MAX(Instances!CZ14:Instances!CZ14)-MIN(Instances!CZ14:Instances!CZ14))</f>
        <v>0</v>
      </c>
      <c r="DA14" s="1" cm="1">
        <f t="array" ref="DA14">_xlfn.SWITCH($A$2,"average", AVERAGE(Instances!DA14:Instances!DA14),"median", MEDIAN(Instances!DA14:Instances!DA14),"min", MIN(Instances!DA14:Instances!DA14),"max", MAX(Instances!DA14:Instances!DA14),"diff", MAX(Instances!DA14:Instances!DA14)-MIN(Instances!DA14:Instances!DA14))</f>
        <v>0</v>
      </c>
      <c r="DB14" s="1"/>
      <c r="DC14" s="1" cm="1">
        <f t="array" ref="DC14">_xlfn.SWITCH($A$2,"average", AVERAGE(Instances!DC14:Instances!DC14),"median", MEDIAN(Instances!DC14:Instances!DC14),"min", MIN(Instances!DC14:Instances!DC14),"max", MAX(Instances!DC14:Instances!DC14),"diff", MAX(Instances!DC14:Instances!DC14)-MIN(Instances!DC14:Instances!DC14))</f>
        <v>0</v>
      </c>
      <c r="DD14" s="1" cm="1">
        <f t="array" ref="DD14">_xlfn.SWITCH($A$2,"average", AVERAGE(Instances!DD14:Instances!DD14),"median", MEDIAN(Instances!DD14:Instances!DD14),"min", MIN(Instances!DD14:Instances!DD14),"max", MAX(Instances!DD14:Instances!DD14),"diff", MAX(Instances!DD14:Instances!DD14)-MIN(Instances!DD14:Instances!DD14))</f>
        <v>0</v>
      </c>
      <c r="DE14" s="1" cm="1">
        <f t="array" ref="DE14">_xlfn.SWITCH($A$2,"average", AVERAGE(Instances!DE14:Instances!DE14),"median", MEDIAN(Instances!DE14:Instances!DE14),"min", MIN(Instances!DE14:Instances!DE14),"max", MAX(Instances!DE14:Instances!DE14),"diff", MAX(Instances!DE14:Instances!DE14)-MIN(Instances!DE14:Instances!DE14))</f>
        <v>0</v>
      </c>
      <c r="DF14" s="1" cm="1">
        <f t="array" ref="DF14">_xlfn.SWITCH($A$2,"average", AVERAGE(Instances!DF14:Instances!DF14),"median", MEDIAN(Instances!DF14:Instances!DF14),"min", MIN(Instances!DF14:Instances!DF14),"max", MAX(Instances!DF14:Instances!DF14),"diff", MAX(Instances!DF14:Instances!DF14)-MIN(Instances!DF14:Instances!DF14))</f>
        <v>0</v>
      </c>
      <c r="DG14" s="1" cm="1">
        <f t="array" ref="DG14">_xlfn.SWITCH($A$2,"average", AVERAGE(Instances!DG14:Instances!DG14),"median", MEDIAN(Instances!DG14:Instances!DG14),"min", MIN(Instances!DG14:Instances!DG14),"max", MAX(Instances!DG14:Instances!DG14),"diff", MAX(Instances!DG14:Instances!DG14)-MIN(Instances!DG14:Instances!DG14))</f>
        <v>0</v>
      </c>
      <c r="DH14" s="1" cm="1">
        <f t="array" ref="DH14">_xlfn.SWITCH($A$2,"average", AVERAGE(Instances!DH14:Instances!DH14),"median", MEDIAN(Instances!DH14:Instances!DH14),"min", MIN(Instances!DH14:Instances!DH14),"max", MAX(Instances!DH14:Instances!DH14),"diff", MAX(Instances!DH14:Instances!DH14)-MIN(Instances!DH14:Instances!DH14))</f>
        <v>0</v>
      </c>
      <c r="DI14" s="1" cm="1">
        <f t="array" ref="DI14">_xlfn.SWITCH($A$2,"average", AVERAGE(Instances!DI14:Instances!DI14),"median", MEDIAN(Instances!DI14:Instances!DI14),"min", MIN(Instances!DI14:Instances!DI14),"max", MAX(Instances!DI14:Instances!DI14),"diff", MAX(Instances!DI14:Instances!DI14)-MIN(Instances!DI14:Instances!DI14))</f>
        <v>0</v>
      </c>
      <c r="DJ14" s="1" cm="1">
        <f t="array" ref="DJ14">_xlfn.SWITCH($A$2,"average", AVERAGE(Instances!DJ14:Instances!DJ14),"median", MEDIAN(Instances!DJ14:Instances!DJ14),"min", MIN(Instances!DJ14:Instances!DJ14),"max", MAX(Instances!DJ14:Instances!DJ14),"diff", MAX(Instances!DJ14:Instances!DJ14)-MIN(Instances!DJ14:Instances!DJ14))</f>
        <v>0</v>
      </c>
      <c r="DK14" s="1" cm="1">
        <f t="array" ref="DK14">_xlfn.SWITCH($A$2,"average", AVERAGE(Instances!DK14:Instances!DK14),"median", MEDIAN(Instances!DK14:Instances!DK14),"min", MIN(Instances!DK14:Instances!DK14),"max", MAX(Instances!DK14:Instances!DK14),"diff", MAX(Instances!DK14:Instances!DK14)-MIN(Instances!DK14:Instances!DK14))</f>
        <v>0</v>
      </c>
      <c r="DL14" s="1" cm="1">
        <f t="array" ref="DL14">_xlfn.SWITCH($A$2,"average", AVERAGE(Instances!DL14:Instances!DL14),"median", MEDIAN(Instances!DL14:Instances!DL14),"min", MIN(Instances!DL14:Instances!DL14),"max", MAX(Instances!DL14:Instances!DL14),"diff", MAX(Instances!DL14:Instances!DL14)-MIN(Instances!DL14:Instances!DL14))</f>
        <v>0</v>
      </c>
      <c r="DM14" s="1" cm="1">
        <f t="array" ref="DM14">_xlfn.SWITCH($A$2,"average", AVERAGE(Instances!DM14:Instances!DM14),"median", MEDIAN(Instances!DM14:Instances!DM14),"min", MIN(Instances!DM14:Instances!DM14),"max", MAX(Instances!DM14:Instances!DM14),"diff", MAX(Instances!DM14:Instances!DM14)-MIN(Instances!DM14:Instances!DM14))</f>
        <v>0</v>
      </c>
      <c r="DN14" s="1" cm="1">
        <f t="array" ref="DN14">_xlfn.SWITCH($A$2,"average", AVERAGE(Instances!DN14:Instances!DN14),"median", MEDIAN(Instances!DN14:Instances!DN14),"min", MIN(Instances!DN14:Instances!DN14),"max", MAX(Instances!DN14:Instances!DN14),"diff", MAX(Instances!DN14:Instances!DN14)-MIN(Instances!DN14:Instances!DN14))</f>
        <v>0</v>
      </c>
      <c r="DO14" s="1" cm="1">
        <f t="array" ref="DO14">_xlfn.SWITCH($A$2,"average", AVERAGE(Instances!DO14:Instances!DO14),"median", MEDIAN(Instances!DO14:Instances!DO14),"min", MIN(Instances!DO14:Instances!DO14),"max", MAX(Instances!DO14:Instances!DO14),"diff", MAX(Instances!DO14:Instances!DO14)-MIN(Instances!DO14:Instances!DO14))</f>
        <v>0</v>
      </c>
      <c r="DP14" s="1" cm="1">
        <f t="array" ref="DP14">_xlfn.SWITCH($A$2,"average", AVERAGE(Instances!DP14:Instances!DP14),"median", MEDIAN(Instances!DP14:Instances!DP14),"min", MIN(Instances!DP14:Instances!DP14),"max", MAX(Instances!DP14:Instances!DP14),"diff", MAX(Instances!DP14:Instances!DP14)-MIN(Instances!DP14:Instances!DP14))</f>
        <v>0</v>
      </c>
      <c r="DQ14" s="1" cm="1">
        <f t="array" ref="DQ14">_xlfn.SWITCH($A$2,"average", AVERAGE(Instances!DQ14:Instances!DQ14),"median", MEDIAN(Instances!DQ14:Instances!DQ14),"min", MIN(Instances!DQ14:Instances!DQ14),"max", MAX(Instances!DQ14:Instances!DQ14),"diff", MAX(Instances!DQ14:Instances!DQ14)-MIN(Instances!DQ14:Instances!DQ14))</f>
        <v>0</v>
      </c>
      <c r="DR14" s="1" cm="1">
        <f t="array" ref="DR14">_xlfn.SWITCH($A$2,"average", AVERAGE(Instances!DR14:Instances!DR14),"median", MEDIAN(Instances!DR14:Instances!DR14),"min", MIN(Instances!DR14:Instances!DR14),"max", MAX(Instances!DR14:Instances!DR14),"diff", MAX(Instances!DR14:Instances!DR14)-MIN(Instances!DR14:Instances!DR14))</f>
        <v>0</v>
      </c>
      <c r="DS14" s="1" cm="1">
        <f t="array" ref="DS14">_xlfn.SWITCH($A$2,"average", AVERAGE(Instances!DS14:Instances!DS14),"median", MEDIAN(Instances!DS14:Instances!DS14),"min", MIN(Instances!DS14:Instances!DS14),"max", MAX(Instances!DS14:Instances!DS14),"diff", MAX(Instances!DS14:Instances!DS14)-MIN(Instances!DS14:Instances!DS14))</f>
        <v>0</v>
      </c>
      <c r="DT14" s="1"/>
      <c r="DU14" s="1" cm="1">
        <f t="array" ref="DU14">_xlfn.SWITCH($A$2,"average", AVERAGE(Instances!DU14:Instances!DU14),"median", MEDIAN(Instances!DU14:Instances!DU14),"min", MIN(Instances!DU14:Instances!DU14),"max", MAX(Instances!DU14:Instances!DU14),"diff", MAX(Instances!DU14:Instances!DU14)-MIN(Instances!DU14:Instances!DU14))</f>
        <v>0</v>
      </c>
      <c r="DV14" s="1" cm="1">
        <f t="array" ref="DV14">_xlfn.SWITCH($A$2,"average", AVERAGE(Instances!DV14:Instances!DV14),"median", MEDIAN(Instances!DV14:Instances!DV14),"min", MIN(Instances!DV14:Instances!DV14),"max", MAX(Instances!DV14:Instances!DV14),"diff", MAX(Instances!DV14:Instances!DV14)-MIN(Instances!DV14:Instances!DV14))</f>
        <v>0</v>
      </c>
      <c r="DW14" s="1" cm="1">
        <f t="array" ref="DW14">_xlfn.SWITCH($A$2,"average", AVERAGE(Instances!DW14:Instances!DW14),"median", MEDIAN(Instances!DW14:Instances!DW14),"min", MIN(Instances!DW14:Instances!DW14),"max", MAX(Instances!DW14:Instances!DW14),"diff", MAX(Instances!DW14:Instances!DW14)-MIN(Instances!DW14:Instances!DW14))</f>
        <v>0</v>
      </c>
      <c r="DX14" s="1" cm="1">
        <f t="array" ref="DX14">_xlfn.SWITCH($A$2,"average", AVERAGE(Instances!DX14:Instances!DX14),"median", MEDIAN(Instances!DX14:Instances!DX14),"min", MIN(Instances!DX14:Instances!DX14),"max", MAX(Instances!DX14:Instances!DX14),"diff", MAX(Instances!DX14:Instances!DX14)-MIN(Instances!DX14:Instances!DX14))</f>
        <v>0</v>
      </c>
      <c r="DY14" s="1" cm="1">
        <f t="array" ref="DY14">_xlfn.SWITCH($A$2,"average", AVERAGE(Instances!DY14:Instances!DY14),"median", MEDIAN(Instances!DY14:Instances!DY14),"min", MIN(Instances!DY14:Instances!DY14),"max", MAX(Instances!DY14:Instances!DY14),"diff", MAX(Instances!DY14:Instances!DY14)-MIN(Instances!DY14:Instances!DY14))</f>
        <v>0</v>
      </c>
      <c r="DZ14" s="1" cm="1">
        <f t="array" ref="DZ14">_xlfn.SWITCH($A$2,"average", AVERAGE(Instances!DZ14:Instances!DZ14),"median", MEDIAN(Instances!DZ14:Instances!DZ14),"min", MIN(Instances!DZ14:Instances!DZ14),"max", MAX(Instances!DZ14:Instances!DZ14),"diff", MAX(Instances!DZ14:Instances!DZ14)-MIN(Instances!DZ14:Instances!DZ14))</f>
        <v>0</v>
      </c>
      <c r="EA14" s="1" cm="1">
        <f t="array" ref="EA14">_xlfn.SWITCH($A$2,"average", AVERAGE(Instances!EA14:Instances!EA14),"median", MEDIAN(Instances!EA14:Instances!EA14),"min", MIN(Instances!EA14:Instances!EA14),"max", MAX(Instances!EA14:Instances!EA14),"diff", MAX(Instances!EA14:Instances!EA14)-MIN(Instances!EA14:Instances!EA14))</f>
        <v>0</v>
      </c>
      <c r="EB14" s="1" cm="1">
        <f t="array" ref="EB14">_xlfn.SWITCH($A$2,"average", AVERAGE(Instances!EB14:Instances!EB14),"median", MEDIAN(Instances!EB14:Instances!EB14),"min", MIN(Instances!EB14:Instances!EB14),"max", MAX(Instances!EB14:Instances!EB14),"diff", MAX(Instances!EB14:Instances!EB14)-MIN(Instances!EB14:Instances!EB14))</f>
        <v>0</v>
      </c>
      <c r="EC14" s="1" cm="1">
        <f t="array" ref="EC14">_xlfn.SWITCH($A$2,"average", AVERAGE(Instances!EC14:Instances!EC14),"median", MEDIAN(Instances!EC14:Instances!EC14),"min", MIN(Instances!EC14:Instances!EC14),"max", MAX(Instances!EC14:Instances!EC14),"diff", MAX(Instances!EC14:Instances!EC14)-MIN(Instances!EC14:Instances!EC14))</f>
        <v>0</v>
      </c>
      <c r="ED14" s="1" cm="1">
        <f t="array" ref="ED14">_xlfn.SWITCH($A$2,"average", AVERAGE(Instances!ED14:Instances!ED14),"median", MEDIAN(Instances!ED14:Instances!ED14),"min", MIN(Instances!ED14:Instances!ED14),"max", MAX(Instances!ED14:Instances!ED14),"diff", MAX(Instances!ED14:Instances!ED14)-MIN(Instances!ED14:Instances!ED14))</f>
        <v>0</v>
      </c>
      <c r="EE14" s="1" cm="1">
        <f t="array" ref="EE14">_xlfn.SWITCH($A$2,"average", AVERAGE(Instances!EE14:Instances!EE14),"median", MEDIAN(Instances!EE14:Instances!EE14),"min", MIN(Instances!EE14:Instances!EE14),"max", MAX(Instances!EE14:Instances!EE14),"diff", MAX(Instances!EE14:Instances!EE14)-MIN(Instances!EE14:Instances!EE14))</f>
        <v>0</v>
      </c>
      <c r="EF14" s="1" cm="1">
        <f t="array" ref="EF14">_xlfn.SWITCH($A$2,"average", AVERAGE(Instances!EF14:Instances!EF14),"median", MEDIAN(Instances!EF14:Instances!EF14),"min", MIN(Instances!EF14:Instances!EF14),"max", MAX(Instances!EF14:Instances!EF14),"diff", MAX(Instances!EF14:Instances!EF14)-MIN(Instances!EF14:Instances!EF14))</f>
        <v>0</v>
      </c>
      <c r="EG14" s="1" cm="1">
        <f t="array" ref="EG14">_xlfn.SWITCH($A$2,"average", AVERAGE(Instances!EG14:Instances!EG14),"median", MEDIAN(Instances!EG14:Instances!EG14),"min", MIN(Instances!EG14:Instances!EG14),"max", MAX(Instances!EG14:Instances!EG14),"diff", MAX(Instances!EG14:Instances!EG14)-MIN(Instances!EG14:Instances!EG14))</f>
        <v>0</v>
      </c>
      <c r="EH14" s="1" cm="1">
        <f t="array" ref="EH14">_xlfn.SWITCH($A$2,"average", AVERAGE(Instances!EH14:Instances!EH14),"median", MEDIAN(Instances!EH14:Instances!EH14),"min", MIN(Instances!EH14:Instances!EH14),"max", MAX(Instances!EH14:Instances!EH14),"diff", MAX(Instances!EH14:Instances!EH14)-MIN(Instances!EH14:Instances!EH14))</f>
        <v>0</v>
      </c>
      <c r="EI14" s="1" cm="1">
        <f t="array" ref="EI14">_xlfn.SWITCH($A$2,"average", AVERAGE(Instances!EI14:Instances!EI14),"median", MEDIAN(Instances!EI14:Instances!EI14),"min", MIN(Instances!EI14:Instances!EI14),"max", MAX(Instances!EI14:Instances!EI14),"diff", MAX(Instances!EI14:Instances!EI14)-MIN(Instances!EI14:Instances!EI14))</f>
        <v>0</v>
      </c>
      <c r="EJ14" s="1" cm="1">
        <f t="array" ref="EJ14">_xlfn.SWITCH($A$2,"average", AVERAGE(Instances!EJ14:Instances!EJ14),"median", MEDIAN(Instances!EJ14:Instances!EJ14),"min", MIN(Instances!EJ14:Instances!EJ14),"max", MAX(Instances!EJ14:Instances!EJ14),"diff", MAX(Instances!EJ14:Instances!EJ14)-MIN(Instances!EJ14:Instances!EJ14))</f>
        <v>0</v>
      </c>
      <c r="EK14" s="1" cm="1">
        <f t="array" ref="EK14">_xlfn.SWITCH($A$2,"average", AVERAGE(Instances!EK14:Instances!EK14),"median", MEDIAN(Instances!EK14:Instances!EK14),"min", MIN(Instances!EK14:Instances!EK14),"max", MAX(Instances!EK14:Instances!EK14),"diff", MAX(Instances!EK14:Instances!EK14)-MIN(Instances!EK14:Instances!EK14))</f>
        <v>0</v>
      </c>
      <c r="EL14" s="1"/>
      <c r="EM14" s="1" cm="1">
        <f t="array" ref="EM14">_xlfn.SWITCH($A$2,"average", AVERAGE(Instances!EM14:Instances!EM14),"median", MEDIAN(Instances!EM14:Instances!EM14),"min", MIN(Instances!EM14:Instances!EM14),"max", MAX(Instances!EM14:Instances!EM14),"diff", MAX(Instances!EM14:Instances!EM14)-MIN(Instances!EM14:Instances!EM14))</f>
        <v>0</v>
      </c>
      <c r="EN14" s="1" cm="1">
        <f t="array" ref="EN14">_xlfn.SWITCH($A$2,"average", AVERAGE(Instances!EN14:Instances!EN14),"median", MEDIAN(Instances!EN14:Instances!EN14),"min", MIN(Instances!EN14:Instances!EN14),"max", MAX(Instances!EN14:Instances!EN14),"diff", MAX(Instances!EN14:Instances!EN14)-MIN(Instances!EN14:Instances!EN14))</f>
        <v>0</v>
      </c>
      <c r="EO14" s="1" cm="1">
        <f t="array" ref="EO14">_xlfn.SWITCH($A$2,"average", AVERAGE(Instances!EO14:Instances!EO14),"median", MEDIAN(Instances!EO14:Instances!EO14),"min", MIN(Instances!EO14:Instances!EO14),"max", MAX(Instances!EO14:Instances!EO14),"diff", MAX(Instances!EO14:Instances!EO14)-MIN(Instances!EO14:Instances!EO14))</f>
        <v>0</v>
      </c>
      <c r="EP14" s="1" cm="1">
        <f t="array" ref="EP14">_xlfn.SWITCH($A$2,"average", AVERAGE(Instances!EP14:Instances!EP14),"median", MEDIAN(Instances!EP14:Instances!EP14),"min", MIN(Instances!EP14:Instances!EP14),"max", MAX(Instances!EP14:Instances!EP14),"diff", MAX(Instances!EP14:Instances!EP14)-MIN(Instances!EP14:Instances!EP14))</f>
        <v>0</v>
      </c>
      <c r="EQ14" s="1" cm="1">
        <f t="array" ref="EQ14">_xlfn.SWITCH($A$2,"average", AVERAGE(Instances!EQ14:Instances!EQ14),"median", MEDIAN(Instances!EQ14:Instances!EQ14),"min", MIN(Instances!EQ14:Instances!EQ14),"max", MAX(Instances!EQ14:Instances!EQ14),"diff", MAX(Instances!EQ14:Instances!EQ14)-MIN(Instances!EQ14:Instances!EQ14))</f>
        <v>0</v>
      </c>
      <c r="ER14" s="1" cm="1">
        <f t="array" ref="ER14">_xlfn.SWITCH($A$2,"average", AVERAGE(Instances!ER14:Instances!ER14),"median", MEDIAN(Instances!ER14:Instances!ER14),"min", MIN(Instances!ER14:Instances!ER14),"max", MAX(Instances!ER14:Instances!ER14),"diff", MAX(Instances!ER14:Instances!ER14)-MIN(Instances!ER14:Instances!ER14))</f>
        <v>0</v>
      </c>
      <c r="ES14" s="1" cm="1">
        <f t="array" ref="ES14">_xlfn.SWITCH($A$2,"average", AVERAGE(Instances!ES14:Instances!ES14),"median", MEDIAN(Instances!ES14:Instances!ES14),"min", MIN(Instances!ES14:Instances!ES14),"max", MAX(Instances!ES14:Instances!ES14),"diff", MAX(Instances!ES14:Instances!ES14)-MIN(Instances!ES14:Instances!ES14))</f>
        <v>0</v>
      </c>
      <c r="ET14" s="1" cm="1">
        <f t="array" ref="ET14">_xlfn.SWITCH($A$2,"average", AVERAGE(Instances!ET14:Instances!ET14),"median", MEDIAN(Instances!ET14:Instances!ET14),"min", MIN(Instances!ET14:Instances!ET14),"max", MAX(Instances!ET14:Instances!ET14),"diff", MAX(Instances!ET14:Instances!ET14)-MIN(Instances!ET14:Instances!ET14))</f>
        <v>0</v>
      </c>
      <c r="EU14" s="1" cm="1">
        <f t="array" ref="EU14">_xlfn.SWITCH($A$2,"average", AVERAGE(Instances!EU14:Instances!EU14),"median", MEDIAN(Instances!EU14:Instances!EU14),"min", MIN(Instances!EU14:Instances!EU14),"max", MAX(Instances!EU14:Instances!EU14),"diff", MAX(Instances!EU14:Instances!EU14)-MIN(Instances!EU14:Instances!EU14))</f>
        <v>0</v>
      </c>
      <c r="EV14" s="1" cm="1">
        <f t="array" ref="EV14">_xlfn.SWITCH($A$2,"average", AVERAGE(Instances!EV14:Instances!EV14),"median", MEDIAN(Instances!EV14:Instances!EV14),"min", MIN(Instances!EV14:Instances!EV14),"max", MAX(Instances!EV14:Instances!EV14),"diff", MAX(Instances!EV14:Instances!EV14)-MIN(Instances!EV14:Instances!EV14))</f>
        <v>0</v>
      </c>
      <c r="EW14" s="1" cm="1">
        <f t="array" ref="EW14">_xlfn.SWITCH($A$2,"average", AVERAGE(Instances!EW14:Instances!EW14),"median", MEDIAN(Instances!EW14:Instances!EW14),"min", MIN(Instances!EW14:Instances!EW14),"max", MAX(Instances!EW14:Instances!EW14),"diff", MAX(Instances!EW14:Instances!EW14)-MIN(Instances!EW14:Instances!EW14))</f>
        <v>0</v>
      </c>
      <c r="EX14" s="1" cm="1">
        <f t="array" ref="EX14">_xlfn.SWITCH($A$2,"average", AVERAGE(Instances!EX14:Instances!EX14),"median", MEDIAN(Instances!EX14:Instances!EX14),"min", MIN(Instances!EX14:Instances!EX14),"max", MAX(Instances!EX14:Instances!EX14),"diff", MAX(Instances!EX14:Instances!EX14)-MIN(Instances!EX14:Instances!EX14))</f>
        <v>0</v>
      </c>
      <c r="EY14" s="1" cm="1">
        <f t="array" ref="EY14">_xlfn.SWITCH($A$2,"average", AVERAGE(Instances!EY14:Instances!EY14),"median", MEDIAN(Instances!EY14:Instances!EY14),"min", MIN(Instances!EY14:Instances!EY14),"max", MAX(Instances!EY14:Instances!EY14),"diff", MAX(Instances!EY14:Instances!EY14)-MIN(Instances!EY14:Instances!EY14))</f>
        <v>0</v>
      </c>
      <c r="EZ14" s="1" cm="1">
        <f t="array" ref="EZ14">_xlfn.SWITCH($A$2,"average", AVERAGE(Instances!EZ14:Instances!EZ14),"median", MEDIAN(Instances!EZ14:Instances!EZ14),"min", MIN(Instances!EZ14:Instances!EZ14),"max", MAX(Instances!EZ14:Instances!EZ14),"diff", MAX(Instances!EZ14:Instances!EZ14)-MIN(Instances!EZ14:Instances!EZ14))</f>
        <v>0</v>
      </c>
      <c r="FA14" s="1" cm="1">
        <f t="array" ref="FA14">_xlfn.SWITCH($A$2,"average", AVERAGE(Instances!FA14:Instances!FA14),"median", MEDIAN(Instances!FA14:Instances!FA14),"min", MIN(Instances!FA14:Instances!FA14),"max", MAX(Instances!FA14:Instances!FA14),"diff", MAX(Instances!FA14:Instances!FA14)-MIN(Instances!FA14:Instances!FA14))</f>
        <v>0</v>
      </c>
      <c r="FB14" s="1" cm="1">
        <f t="array" ref="FB14">_xlfn.SWITCH($A$2,"average", AVERAGE(Instances!FB14:Instances!FB14),"median", MEDIAN(Instances!FB14:Instances!FB14),"min", MIN(Instances!FB14:Instances!FB14),"max", MAX(Instances!FB14:Instances!FB14),"diff", MAX(Instances!FB14:Instances!FB14)-MIN(Instances!FB14:Instances!FB14))</f>
        <v>0</v>
      </c>
      <c r="FC14" s="1" cm="1">
        <f t="array" ref="FC14">_xlfn.SWITCH($A$2,"average", AVERAGE(Instances!FC14:Instances!FC14),"median", MEDIAN(Instances!FC14:Instances!FC14),"min", MIN(Instances!FC14:Instances!FC14),"max", MAX(Instances!FC14:Instances!FC14),"diff", MAX(Instances!FC14:Instances!FC14)-MIN(Instances!FC14:Instances!FC14))</f>
        <v>0</v>
      </c>
      <c r="FD14" s="1"/>
      <c r="FE14" s="1" cm="1">
        <f t="array" ref="FE14">_xlfn.SWITCH($A$2,"average", AVERAGE(Instances!FE14:Instances!FE14),"median", MEDIAN(Instances!FE14:Instances!FE14),"min", MIN(Instances!FE14:Instances!FE14),"max", MAX(Instances!FE14:Instances!FE14),"diff", MAX(Instances!FE14:Instances!FE14)-MIN(Instances!FE14:Instances!FE14))</f>
        <v>0</v>
      </c>
      <c r="FF14" s="1" cm="1">
        <f t="array" ref="FF14">_xlfn.SWITCH($A$2,"average", AVERAGE(Instances!FF14:Instances!FF14),"median", MEDIAN(Instances!FF14:Instances!FF14),"min", MIN(Instances!FF14:Instances!FF14),"max", MAX(Instances!FF14:Instances!FF14),"diff", MAX(Instances!FF14:Instances!FF14)-MIN(Instances!FF14:Instances!FF14))</f>
        <v>0</v>
      </c>
      <c r="FG14" s="1" cm="1">
        <f t="array" ref="FG14">_xlfn.SWITCH($A$2,"average", AVERAGE(Instances!FG14:Instances!FG14),"median", MEDIAN(Instances!FG14:Instances!FG14),"min", MIN(Instances!FG14:Instances!FG14),"max", MAX(Instances!FG14:Instances!FG14),"diff", MAX(Instances!FG14:Instances!FG14)-MIN(Instances!FG14:Instances!FG14))</f>
        <v>0</v>
      </c>
      <c r="FH14" s="1" cm="1">
        <f t="array" ref="FH14">_xlfn.SWITCH($A$2,"average", AVERAGE(Instances!FH14:Instances!FH14),"median", MEDIAN(Instances!FH14:Instances!FH14),"min", MIN(Instances!FH14:Instances!FH14),"max", MAX(Instances!FH14:Instances!FH14),"diff", MAX(Instances!FH14:Instances!FH14)-MIN(Instances!FH14:Instances!FH14))</f>
        <v>0</v>
      </c>
      <c r="FI14" s="1" cm="1">
        <f t="array" ref="FI14">_xlfn.SWITCH($A$2,"average", AVERAGE(Instances!FI14:Instances!FI14),"median", MEDIAN(Instances!FI14:Instances!FI14),"min", MIN(Instances!FI14:Instances!FI14),"max", MAX(Instances!FI14:Instances!FI14),"diff", MAX(Instances!FI14:Instances!FI14)-MIN(Instances!FI14:Instances!FI14))</f>
        <v>0</v>
      </c>
      <c r="FJ14" s="1" cm="1">
        <f t="array" ref="FJ14">_xlfn.SWITCH($A$2,"average", AVERAGE(Instances!FJ14:Instances!FJ14),"median", MEDIAN(Instances!FJ14:Instances!FJ14),"min", MIN(Instances!FJ14:Instances!FJ14),"max", MAX(Instances!FJ14:Instances!FJ14),"diff", MAX(Instances!FJ14:Instances!FJ14)-MIN(Instances!FJ14:Instances!FJ14))</f>
        <v>0</v>
      </c>
      <c r="FK14" s="1" cm="1">
        <f t="array" ref="FK14">_xlfn.SWITCH($A$2,"average", AVERAGE(Instances!FK14:Instances!FK14),"median", MEDIAN(Instances!FK14:Instances!FK14),"min", MIN(Instances!FK14:Instances!FK14),"max", MAX(Instances!FK14:Instances!FK14),"diff", MAX(Instances!FK14:Instances!FK14)-MIN(Instances!FK14:Instances!FK14))</f>
        <v>0</v>
      </c>
      <c r="FL14" s="1" cm="1">
        <f t="array" ref="FL14">_xlfn.SWITCH($A$2,"average", AVERAGE(Instances!FL14:Instances!FL14),"median", MEDIAN(Instances!FL14:Instances!FL14),"min", MIN(Instances!FL14:Instances!FL14),"max", MAX(Instances!FL14:Instances!FL14),"diff", MAX(Instances!FL14:Instances!FL14)-MIN(Instances!FL14:Instances!FL14))</f>
        <v>0</v>
      </c>
      <c r="FM14" s="1" cm="1">
        <f t="array" ref="FM14">_xlfn.SWITCH($A$2,"average", AVERAGE(Instances!FM14:Instances!FM14),"median", MEDIAN(Instances!FM14:Instances!FM14),"min", MIN(Instances!FM14:Instances!FM14),"max", MAX(Instances!FM14:Instances!FM14),"diff", MAX(Instances!FM14:Instances!FM14)-MIN(Instances!FM14:Instances!FM14))</f>
        <v>0</v>
      </c>
      <c r="FN14" s="1" cm="1">
        <f t="array" ref="FN14">_xlfn.SWITCH($A$2,"average", AVERAGE(Instances!FN14:Instances!FN14),"median", MEDIAN(Instances!FN14:Instances!FN14),"min", MIN(Instances!FN14:Instances!FN14),"max", MAX(Instances!FN14:Instances!FN14),"diff", MAX(Instances!FN14:Instances!FN14)-MIN(Instances!FN14:Instances!FN14))</f>
        <v>0</v>
      </c>
      <c r="FO14" s="1" cm="1">
        <f t="array" ref="FO14">_xlfn.SWITCH($A$2,"average", AVERAGE(Instances!FO14:Instances!FO14),"median", MEDIAN(Instances!FO14:Instances!FO14),"min", MIN(Instances!FO14:Instances!FO14),"max", MAX(Instances!FO14:Instances!FO14),"diff", MAX(Instances!FO14:Instances!FO14)-MIN(Instances!FO14:Instances!FO14))</f>
        <v>0</v>
      </c>
      <c r="FP14" s="1" cm="1">
        <f t="array" ref="FP14">_xlfn.SWITCH($A$2,"average", AVERAGE(Instances!FP14:Instances!FP14),"median", MEDIAN(Instances!FP14:Instances!FP14),"min", MIN(Instances!FP14:Instances!FP14),"max", MAX(Instances!FP14:Instances!FP14),"diff", MAX(Instances!FP14:Instances!FP14)-MIN(Instances!FP14:Instances!FP14))</f>
        <v>0</v>
      </c>
      <c r="FQ14" s="1" cm="1">
        <f t="array" ref="FQ14">_xlfn.SWITCH($A$2,"average", AVERAGE(Instances!FQ14:Instances!FQ14),"median", MEDIAN(Instances!FQ14:Instances!FQ14),"min", MIN(Instances!FQ14:Instances!FQ14),"max", MAX(Instances!FQ14:Instances!FQ14),"diff", MAX(Instances!FQ14:Instances!FQ14)-MIN(Instances!FQ14:Instances!FQ14))</f>
        <v>0</v>
      </c>
      <c r="FR14" s="1" cm="1">
        <f t="array" ref="FR14">_xlfn.SWITCH($A$2,"average", AVERAGE(Instances!FR14:Instances!FR14),"median", MEDIAN(Instances!FR14:Instances!FR14),"min", MIN(Instances!FR14:Instances!FR14),"max", MAX(Instances!FR14:Instances!FR14),"diff", MAX(Instances!FR14:Instances!FR14)-MIN(Instances!FR14:Instances!FR14))</f>
        <v>0</v>
      </c>
      <c r="FS14" s="1" cm="1">
        <f t="array" ref="FS14">_xlfn.SWITCH($A$2,"average", AVERAGE(Instances!FS14:Instances!FS14),"median", MEDIAN(Instances!FS14:Instances!FS14),"min", MIN(Instances!FS14:Instances!FS14),"max", MAX(Instances!FS14:Instances!FS14),"diff", MAX(Instances!FS14:Instances!FS14)-MIN(Instances!FS14:Instances!FS14))</f>
        <v>0</v>
      </c>
      <c r="FT14" s="1" cm="1">
        <f t="array" ref="FT14">_xlfn.SWITCH($A$2,"average", AVERAGE(Instances!FT14:Instances!FT14),"median", MEDIAN(Instances!FT14:Instances!FT14),"min", MIN(Instances!FT14:Instances!FT14),"max", MAX(Instances!FT14:Instances!FT14),"diff", MAX(Instances!FT14:Instances!FT14)-MIN(Instances!FT14:Instances!FT14))</f>
        <v>0</v>
      </c>
      <c r="FU14" s="1" cm="1">
        <f t="array" ref="FU14">_xlfn.SWITCH($A$2,"average", AVERAGE(Instances!FU14:Instances!FU14),"median", MEDIAN(Instances!FU14:Instances!FU14),"min", MIN(Instances!FU14:Instances!FU14),"max", MAX(Instances!FU14:Instances!FU14),"diff", MAX(Instances!FU14:Instances!FU14)-MIN(Instances!FU14:Instances!FU14))</f>
        <v>0</v>
      </c>
      <c r="FV14" s="1"/>
      <c r="FW14" s="1" cm="1">
        <f t="array" ref="FW14">_xlfn.SWITCH($A$2,"average", AVERAGE(Instances!FW14:Instances!FW14),"median", MEDIAN(Instances!FW14:Instances!FW14),"min", MIN(Instances!FW14:Instances!FW14),"max", MAX(Instances!FW14:Instances!FW14),"diff", MAX(Instances!FW14:Instances!FW14)-MIN(Instances!FW14:Instances!FW14))</f>
        <v>0</v>
      </c>
      <c r="FX14" s="1" cm="1">
        <f t="array" ref="FX14">_xlfn.SWITCH($A$2,"average", AVERAGE(Instances!FX14:Instances!FX14),"median", MEDIAN(Instances!FX14:Instances!FX14),"min", MIN(Instances!FX14:Instances!FX14),"max", MAX(Instances!FX14:Instances!FX14),"diff", MAX(Instances!FX14:Instances!FX14)-MIN(Instances!FX14:Instances!FX14))</f>
        <v>0</v>
      </c>
      <c r="FY14" s="1" cm="1">
        <f t="array" ref="FY14">_xlfn.SWITCH($A$2,"average", AVERAGE(Instances!FY14:Instances!FY14),"median", MEDIAN(Instances!FY14:Instances!FY14),"min", MIN(Instances!FY14:Instances!FY14),"max", MAX(Instances!FY14:Instances!FY14),"diff", MAX(Instances!FY14:Instances!FY14)-MIN(Instances!FY14:Instances!FY14))</f>
        <v>0</v>
      </c>
      <c r="FZ14" s="1" cm="1">
        <f t="array" ref="FZ14">_xlfn.SWITCH($A$2,"average", AVERAGE(Instances!FZ14:Instances!FZ14),"median", MEDIAN(Instances!FZ14:Instances!FZ14),"min", MIN(Instances!FZ14:Instances!FZ14),"max", MAX(Instances!FZ14:Instances!FZ14),"diff", MAX(Instances!FZ14:Instances!FZ14)-MIN(Instances!FZ14:Instances!FZ14))</f>
        <v>0</v>
      </c>
      <c r="GA14" s="1" cm="1">
        <f t="array" ref="GA14">_xlfn.SWITCH($A$2,"average", AVERAGE(Instances!GA14:Instances!GA14),"median", MEDIAN(Instances!GA14:Instances!GA14),"min", MIN(Instances!GA14:Instances!GA14),"max", MAX(Instances!GA14:Instances!GA14),"diff", MAX(Instances!GA14:Instances!GA14)-MIN(Instances!GA14:Instances!GA14))</f>
        <v>0</v>
      </c>
      <c r="GB14" s="1" cm="1">
        <f t="array" ref="GB14">_xlfn.SWITCH($A$2,"average", AVERAGE(Instances!GB14:Instances!GB14),"median", MEDIAN(Instances!GB14:Instances!GB14),"min", MIN(Instances!GB14:Instances!GB14),"max", MAX(Instances!GB14:Instances!GB14),"diff", MAX(Instances!GB14:Instances!GB14)-MIN(Instances!GB14:Instances!GB14))</f>
        <v>0</v>
      </c>
      <c r="GC14" s="1" cm="1">
        <f t="array" ref="GC14">_xlfn.SWITCH($A$2,"average", AVERAGE(Instances!GC14:Instances!GC14),"median", MEDIAN(Instances!GC14:Instances!GC14),"min", MIN(Instances!GC14:Instances!GC14),"max", MAX(Instances!GC14:Instances!GC14),"diff", MAX(Instances!GC14:Instances!GC14)-MIN(Instances!GC14:Instances!GC14))</f>
        <v>0</v>
      </c>
      <c r="GD14" s="1" cm="1">
        <f t="array" ref="GD14">_xlfn.SWITCH($A$2,"average", AVERAGE(Instances!GD14:Instances!GD14),"median", MEDIAN(Instances!GD14:Instances!GD14),"min", MIN(Instances!GD14:Instances!GD14),"max", MAX(Instances!GD14:Instances!GD14),"diff", MAX(Instances!GD14:Instances!GD14)-MIN(Instances!GD14:Instances!GD14))</f>
        <v>0</v>
      </c>
      <c r="GE14" s="1" cm="1">
        <f t="array" ref="GE14">_xlfn.SWITCH($A$2,"average", AVERAGE(Instances!GE14:Instances!GE14),"median", MEDIAN(Instances!GE14:Instances!GE14),"min", MIN(Instances!GE14:Instances!GE14),"max", MAX(Instances!GE14:Instances!GE14),"diff", MAX(Instances!GE14:Instances!GE14)-MIN(Instances!GE14:Instances!GE14))</f>
        <v>0</v>
      </c>
      <c r="GF14" s="1" cm="1">
        <f t="array" ref="GF14">_xlfn.SWITCH($A$2,"average", AVERAGE(Instances!GF14:Instances!GF14),"median", MEDIAN(Instances!GF14:Instances!GF14),"min", MIN(Instances!GF14:Instances!GF14),"max", MAX(Instances!GF14:Instances!GF14),"diff", MAX(Instances!GF14:Instances!GF14)-MIN(Instances!GF14:Instances!GF14))</f>
        <v>0</v>
      </c>
      <c r="GG14" s="1" cm="1">
        <f t="array" ref="GG14">_xlfn.SWITCH($A$2,"average", AVERAGE(Instances!GG14:Instances!GG14),"median", MEDIAN(Instances!GG14:Instances!GG14),"min", MIN(Instances!GG14:Instances!GG14),"max", MAX(Instances!GG14:Instances!GG14),"diff", MAX(Instances!GG14:Instances!GG14)-MIN(Instances!GG14:Instances!GG14))</f>
        <v>0</v>
      </c>
      <c r="GH14" s="1" cm="1">
        <f t="array" ref="GH14">_xlfn.SWITCH($A$2,"average", AVERAGE(Instances!GH14:Instances!GH14),"median", MEDIAN(Instances!GH14:Instances!GH14),"min", MIN(Instances!GH14:Instances!GH14),"max", MAX(Instances!GH14:Instances!GH14),"diff", MAX(Instances!GH14:Instances!GH14)-MIN(Instances!GH14:Instances!GH14))</f>
        <v>0</v>
      </c>
      <c r="GI14" s="1" cm="1">
        <f t="array" ref="GI14">_xlfn.SWITCH($A$2,"average", AVERAGE(Instances!GI14:Instances!GI14),"median", MEDIAN(Instances!GI14:Instances!GI14),"min", MIN(Instances!GI14:Instances!GI14),"max", MAX(Instances!GI14:Instances!GI14),"diff", MAX(Instances!GI14:Instances!GI14)-MIN(Instances!GI14:Instances!GI14))</f>
        <v>0</v>
      </c>
      <c r="GJ14" s="1" cm="1">
        <f t="array" ref="GJ14">_xlfn.SWITCH($A$2,"average", AVERAGE(Instances!GJ14:Instances!GJ14),"median", MEDIAN(Instances!GJ14:Instances!GJ14),"min", MIN(Instances!GJ14:Instances!GJ14),"max", MAX(Instances!GJ14:Instances!GJ14),"diff", MAX(Instances!GJ14:Instances!GJ14)-MIN(Instances!GJ14:Instances!GJ14))</f>
        <v>0</v>
      </c>
      <c r="GK14" s="1" cm="1">
        <f t="array" ref="GK14">_xlfn.SWITCH($A$2,"average", AVERAGE(Instances!GK14:Instances!GK14),"median", MEDIAN(Instances!GK14:Instances!GK14),"min", MIN(Instances!GK14:Instances!GK14),"max", MAX(Instances!GK14:Instances!GK14),"diff", MAX(Instances!GK14:Instances!GK14)-MIN(Instances!GK14:Instances!GK14))</f>
        <v>0</v>
      </c>
      <c r="GL14" s="1" cm="1">
        <f t="array" ref="GL14">_xlfn.SWITCH($A$2,"average", AVERAGE(Instances!GL14:Instances!GL14),"median", MEDIAN(Instances!GL14:Instances!GL14),"min", MIN(Instances!GL14:Instances!GL14),"max", MAX(Instances!GL14:Instances!GL14),"diff", MAX(Instances!GL14:Instances!GL14)-MIN(Instances!GL14:Instances!GL14))</f>
        <v>0</v>
      </c>
      <c r="GM14" s="1" cm="1">
        <f t="array" ref="GM14">_xlfn.SWITCH($A$2,"average", AVERAGE(Instances!GM14:Instances!GM14),"median", MEDIAN(Instances!GM14:Instances!GM14),"min", MIN(Instances!GM14:Instances!GM14),"max", MAX(Instances!GM14:Instances!GM14),"diff", MAX(Instances!GM14:Instances!GM14)-MIN(Instances!GM14:Instances!GM14))</f>
        <v>0</v>
      </c>
      <c r="GN14" s="1"/>
      <c r="GO14" s="1" cm="1">
        <f t="array" ref="GO14">_xlfn.SWITCH($A$2,"average", AVERAGE(Instances!GO14:Instances!GO14),"median", MEDIAN(Instances!GO14:Instances!GO14),"min", MIN(Instances!GO14:Instances!GO14),"max", MAX(Instances!GO14:Instances!GO14),"diff", MAX(Instances!GO14:Instances!GO14)-MIN(Instances!GO14:Instances!GO14))</f>
        <v>0</v>
      </c>
      <c r="GP14" s="1" cm="1">
        <f t="array" ref="GP14">_xlfn.SWITCH($A$2,"average", AVERAGE(Instances!GP14:Instances!GP14),"median", MEDIAN(Instances!GP14:Instances!GP14),"min", MIN(Instances!GP14:Instances!GP14),"max", MAX(Instances!GP14:Instances!GP14),"diff", MAX(Instances!GP14:Instances!GP14)-MIN(Instances!GP14:Instances!GP14))</f>
        <v>0</v>
      </c>
      <c r="GQ14" s="1" cm="1">
        <f t="array" ref="GQ14">_xlfn.SWITCH($A$2,"average", AVERAGE(Instances!GQ14:Instances!GQ14),"median", MEDIAN(Instances!GQ14:Instances!GQ14),"min", MIN(Instances!GQ14:Instances!GQ14),"max", MAX(Instances!GQ14:Instances!GQ14),"diff", MAX(Instances!GQ14:Instances!GQ14)-MIN(Instances!GQ14:Instances!GQ14))</f>
        <v>0</v>
      </c>
      <c r="GR14" s="1" cm="1">
        <f t="array" ref="GR14">_xlfn.SWITCH($A$2,"average", AVERAGE(Instances!GR14:Instances!GR14),"median", MEDIAN(Instances!GR14:Instances!GR14),"min", MIN(Instances!GR14:Instances!GR14),"max", MAX(Instances!GR14:Instances!GR14),"diff", MAX(Instances!GR14:Instances!GR14)-MIN(Instances!GR14:Instances!GR14))</f>
        <v>0</v>
      </c>
      <c r="GS14" s="1" cm="1">
        <f t="array" ref="GS14">_xlfn.SWITCH($A$2,"average", AVERAGE(Instances!GS14:Instances!GS14),"median", MEDIAN(Instances!GS14:Instances!GS14),"min", MIN(Instances!GS14:Instances!GS14),"max", MAX(Instances!GS14:Instances!GS14),"diff", MAX(Instances!GS14:Instances!GS14)-MIN(Instances!GS14:Instances!GS14))</f>
        <v>0</v>
      </c>
      <c r="GT14" s="1" cm="1">
        <f t="array" ref="GT14">_xlfn.SWITCH($A$2,"average", AVERAGE(Instances!GT14:Instances!GT14),"median", MEDIAN(Instances!GT14:Instances!GT14),"min", MIN(Instances!GT14:Instances!GT14),"max", MAX(Instances!GT14:Instances!GT14),"diff", MAX(Instances!GT14:Instances!GT14)-MIN(Instances!GT14:Instances!GT14))</f>
        <v>0</v>
      </c>
      <c r="GU14" s="1" cm="1">
        <f t="array" ref="GU14">_xlfn.SWITCH($A$2,"average", AVERAGE(Instances!GU14:Instances!GU14),"median", MEDIAN(Instances!GU14:Instances!GU14),"min", MIN(Instances!GU14:Instances!GU14),"max", MAX(Instances!GU14:Instances!GU14),"diff", MAX(Instances!GU14:Instances!GU14)-MIN(Instances!GU14:Instances!GU14))</f>
        <v>0</v>
      </c>
      <c r="GV14" s="1" cm="1">
        <f t="array" ref="GV14">_xlfn.SWITCH($A$2,"average", AVERAGE(Instances!GV14:Instances!GV14),"median", MEDIAN(Instances!GV14:Instances!GV14),"min", MIN(Instances!GV14:Instances!GV14),"max", MAX(Instances!GV14:Instances!GV14),"diff", MAX(Instances!GV14:Instances!GV14)-MIN(Instances!GV14:Instances!GV14))</f>
        <v>0</v>
      </c>
      <c r="GW14" s="1" cm="1">
        <f t="array" ref="GW14">_xlfn.SWITCH($A$2,"average", AVERAGE(Instances!GW14:Instances!GW14),"median", MEDIAN(Instances!GW14:Instances!GW14),"min", MIN(Instances!GW14:Instances!GW14),"max", MAX(Instances!GW14:Instances!GW14),"diff", MAX(Instances!GW14:Instances!GW14)-MIN(Instances!GW14:Instances!GW14))</f>
        <v>0</v>
      </c>
      <c r="GX14" s="1" cm="1">
        <f t="array" ref="GX14">_xlfn.SWITCH($A$2,"average", AVERAGE(Instances!GX14:Instances!GX14),"median", MEDIAN(Instances!GX14:Instances!GX14),"min", MIN(Instances!GX14:Instances!GX14),"max", MAX(Instances!GX14:Instances!GX14),"diff", MAX(Instances!GX14:Instances!GX14)-MIN(Instances!GX14:Instances!GX14))</f>
        <v>0</v>
      </c>
      <c r="GY14" s="1" cm="1">
        <f t="array" ref="GY14">_xlfn.SWITCH($A$2,"average", AVERAGE(Instances!GY14:Instances!GY14),"median", MEDIAN(Instances!GY14:Instances!GY14),"min", MIN(Instances!GY14:Instances!GY14),"max", MAX(Instances!GY14:Instances!GY14),"diff", MAX(Instances!GY14:Instances!GY14)-MIN(Instances!GY14:Instances!GY14))</f>
        <v>0</v>
      </c>
      <c r="GZ14" s="1" cm="1">
        <f t="array" ref="GZ14">_xlfn.SWITCH($A$2,"average", AVERAGE(Instances!GZ14:Instances!GZ14),"median", MEDIAN(Instances!GZ14:Instances!GZ14),"min", MIN(Instances!GZ14:Instances!GZ14),"max", MAX(Instances!GZ14:Instances!GZ14),"diff", MAX(Instances!GZ14:Instances!GZ14)-MIN(Instances!GZ14:Instances!GZ14))</f>
        <v>0</v>
      </c>
      <c r="HA14" s="1" cm="1">
        <f t="array" ref="HA14">_xlfn.SWITCH($A$2,"average", AVERAGE(Instances!HA14:Instances!HA14),"median", MEDIAN(Instances!HA14:Instances!HA14),"min", MIN(Instances!HA14:Instances!HA14),"max", MAX(Instances!HA14:Instances!HA14),"diff", MAX(Instances!HA14:Instances!HA14)-MIN(Instances!HA14:Instances!HA14))</f>
        <v>0</v>
      </c>
      <c r="HB14" s="1" cm="1">
        <f t="array" ref="HB14">_xlfn.SWITCH($A$2,"average", AVERAGE(Instances!HB14:Instances!HB14),"median", MEDIAN(Instances!HB14:Instances!HB14),"min", MIN(Instances!HB14:Instances!HB14),"max", MAX(Instances!HB14:Instances!HB14),"diff", MAX(Instances!HB14:Instances!HB14)-MIN(Instances!HB14:Instances!HB14))</f>
        <v>0</v>
      </c>
      <c r="HC14" s="1" cm="1">
        <f t="array" ref="HC14">_xlfn.SWITCH($A$2,"average", AVERAGE(Instances!HC14:Instances!HC14),"median", MEDIAN(Instances!HC14:Instances!HC14),"min", MIN(Instances!HC14:Instances!HC14),"max", MAX(Instances!HC14:Instances!HC14),"diff", MAX(Instances!HC14:Instances!HC14)-MIN(Instances!HC14:Instances!HC14))</f>
        <v>0</v>
      </c>
      <c r="HD14" s="1" cm="1">
        <f t="array" ref="HD14">_xlfn.SWITCH($A$2,"average", AVERAGE(Instances!HD14:Instances!HD14),"median", MEDIAN(Instances!HD14:Instances!HD14),"min", MIN(Instances!HD14:Instances!HD14),"max", MAX(Instances!HD14:Instances!HD14),"diff", MAX(Instances!HD14:Instances!HD14)-MIN(Instances!HD14:Instances!HD14))</f>
        <v>0</v>
      </c>
      <c r="HE14" s="1" cm="1">
        <f t="array" ref="HE14">_xlfn.SWITCH($A$2,"average", AVERAGE(Instances!HE14:Instances!HE14),"median", MEDIAN(Instances!HE14:Instances!HE14),"min", MIN(Instances!HE14:Instances!HE14),"max", MAX(Instances!HE14:Instances!HE14),"diff", MAX(Instances!HE14:Instances!HE14)-MIN(Instances!HE14:Instances!HE14))</f>
        <v>0</v>
      </c>
      <c r="HF14" s="1"/>
      <c r="HG14" s="1" cm="1">
        <f t="array" ref="HG14">_xlfn.SWITCH($A$2,"average", AVERAGE(Instances!HG14:Instances!HG14),"median", MEDIAN(Instances!HG14:Instances!HG14),"min", MIN(Instances!HG14:Instances!HG14),"max", MAX(Instances!HG14:Instances!HG14),"diff", MAX(Instances!HG14:Instances!HG14)-MIN(Instances!HG14:Instances!HG14))</f>
        <v>0</v>
      </c>
      <c r="HH14" s="1" cm="1">
        <f t="array" ref="HH14">_xlfn.SWITCH($A$2,"average", AVERAGE(Instances!HH14:Instances!HH14),"median", MEDIAN(Instances!HH14:Instances!HH14),"min", MIN(Instances!HH14:Instances!HH14),"max", MAX(Instances!HH14:Instances!HH14),"diff", MAX(Instances!HH14:Instances!HH14)-MIN(Instances!HH14:Instances!HH14))</f>
        <v>0</v>
      </c>
      <c r="HI14" s="1" cm="1">
        <f t="array" ref="HI14">_xlfn.SWITCH($A$2,"average", AVERAGE(Instances!HI14:Instances!HI14),"median", MEDIAN(Instances!HI14:Instances!HI14),"min", MIN(Instances!HI14:Instances!HI14),"max", MAX(Instances!HI14:Instances!HI14),"diff", MAX(Instances!HI14:Instances!HI14)-MIN(Instances!HI14:Instances!HI14))</f>
        <v>0</v>
      </c>
      <c r="HJ14" s="1" cm="1">
        <f t="array" ref="HJ14">_xlfn.SWITCH($A$2,"average", AVERAGE(Instances!HJ14:Instances!HJ14),"median", MEDIAN(Instances!HJ14:Instances!HJ14),"min", MIN(Instances!HJ14:Instances!HJ14),"max", MAX(Instances!HJ14:Instances!HJ14),"diff", MAX(Instances!HJ14:Instances!HJ14)-MIN(Instances!HJ14:Instances!HJ14))</f>
        <v>0</v>
      </c>
      <c r="HK14" s="1" cm="1">
        <f t="array" ref="HK14">_xlfn.SWITCH($A$2,"average", AVERAGE(Instances!HK14:Instances!HK14),"median", MEDIAN(Instances!HK14:Instances!HK14),"min", MIN(Instances!HK14:Instances!HK14),"max", MAX(Instances!HK14:Instances!HK14),"diff", MAX(Instances!HK14:Instances!HK14)-MIN(Instances!HK14:Instances!HK14))</f>
        <v>0</v>
      </c>
      <c r="HL14" s="1" cm="1">
        <f t="array" ref="HL14">_xlfn.SWITCH($A$2,"average", AVERAGE(Instances!HL14:Instances!HL14),"median", MEDIAN(Instances!HL14:Instances!HL14),"min", MIN(Instances!HL14:Instances!HL14),"max", MAX(Instances!HL14:Instances!HL14),"diff", MAX(Instances!HL14:Instances!HL14)-MIN(Instances!HL14:Instances!HL14))</f>
        <v>0</v>
      </c>
      <c r="HM14" s="1" cm="1">
        <f t="array" ref="HM14">_xlfn.SWITCH($A$2,"average", AVERAGE(Instances!HM14:Instances!HM14),"median", MEDIAN(Instances!HM14:Instances!HM14),"min", MIN(Instances!HM14:Instances!HM14),"max", MAX(Instances!HM14:Instances!HM14),"diff", MAX(Instances!HM14:Instances!HM14)-MIN(Instances!HM14:Instances!HM14))</f>
        <v>0</v>
      </c>
      <c r="HN14" s="1" cm="1">
        <f t="array" ref="HN14">_xlfn.SWITCH($A$2,"average", AVERAGE(Instances!HN14:Instances!HN14),"median", MEDIAN(Instances!HN14:Instances!HN14),"min", MIN(Instances!HN14:Instances!HN14),"max", MAX(Instances!HN14:Instances!HN14),"diff", MAX(Instances!HN14:Instances!HN14)-MIN(Instances!HN14:Instances!HN14))</f>
        <v>0</v>
      </c>
      <c r="HO14" s="1" cm="1">
        <f t="array" ref="HO14">_xlfn.SWITCH($A$2,"average", AVERAGE(Instances!HO14:Instances!HO14),"median", MEDIAN(Instances!HO14:Instances!HO14),"min", MIN(Instances!HO14:Instances!HO14),"max", MAX(Instances!HO14:Instances!HO14),"diff", MAX(Instances!HO14:Instances!HO14)-MIN(Instances!HO14:Instances!HO14))</f>
        <v>0</v>
      </c>
      <c r="HP14" s="1" cm="1">
        <f t="array" ref="HP14">_xlfn.SWITCH($A$2,"average", AVERAGE(Instances!HP14:Instances!HP14),"median", MEDIAN(Instances!HP14:Instances!HP14),"min", MIN(Instances!HP14:Instances!HP14),"max", MAX(Instances!HP14:Instances!HP14),"diff", MAX(Instances!HP14:Instances!HP14)-MIN(Instances!HP14:Instances!HP14))</f>
        <v>0</v>
      </c>
      <c r="HQ14" s="1" cm="1">
        <f t="array" ref="HQ14">_xlfn.SWITCH($A$2,"average", AVERAGE(Instances!HQ14:Instances!HQ14),"median", MEDIAN(Instances!HQ14:Instances!HQ14),"min", MIN(Instances!HQ14:Instances!HQ14),"max", MAX(Instances!HQ14:Instances!HQ14),"diff", MAX(Instances!HQ14:Instances!HQ14)-MIN(Instances!HQ14:Instances!HQ14))</f>
        <v>0</v>
      </c>
      <c r="HR14" s="1" cm="1">
        <f t="array" ref="HR14">_xlfn.SWITCH($A$2,"average", AVERAGE(Instances!HR14:Instances!HR14),"median", MEDIAN(Instances!HR14:Instances!HR14),"min", MIN(Instances!HR14:Instances!HR14),"max", MAX(Instances!HR14:Instances!HR14),"diff", MAX(Instances!HR14:Instances!HR14)-MIN(Instances!HR14:Instances!HR14))</f>
        <v>0</v>
      </c>
      <c r="HS14" s="1" cm="1">
        <f t="array" ref="HS14">_xlfn.SWITCH($A$2,"average", AVERAGE(Instances!HS14:Instances!HS14),"median", MEDIAN(Instances!HS14:Instances!HS14),"min", MIN(Instances!HS14:Instances!HS14),"max", MAX(Instances!HS14:Instances!HS14),"diff", MAX(Instances!HS14:Instances!HS14)-MIN(Instances!HS14:Instances!HS14))</f>
        <v>0</v>
      </c>
      <c r="HT14" s="1" cm="1">
        <f t="array" ref="HT14">_xlfn.SWITCH($A$2,"average", AVERAGE(Instances!HT14:Instances!HT14),"median", MEDIAN(Instances!HT14:Instances!HT14),"min", MIN(Instances!HT14:Instances!HT14),"max", MAX(Instances!HT14:Instances!HT14),"diff", MAX(Instances!HT14:Instances!HT14)-MIN(Instances!HT14:Instances!HT14))</f>
        <v>0</v>
      </c>
      <c r="HU14" s="1" cm="1">
        <f t="array" ref="HU14">_xlfn.SWITCH($A$2,"average", AVERAGE(Instances!HU14:Instances!HU14),"median", MEDIAN(Instances!HU14:Instances!HU14),"min", MIN(Instances!HU14:Instances!HU14),"max", MAX(Instances!HU14:Instances!HU14),"diff", MAX(Instances!HU14:Instances!HU14)-MIN(Instances!HU14:Instances!HU14))</f>
        <v>0</v>
      </c>
      <c r="HV14" s="1" cm="1">
        <f t="array" ref="HV14">_xlfn.SWITCH($A$2,"average", AVERAGE(Instances!HV14:Instances!HV14),"median", MEDIAN(Instances!HV14:Instances!HV14),"min", MIN(Instances!HV14:Instances!HV14),"max", MAX(Instances!HV14:Instances!HV14),"diff", MAX(Instances!HV14:Instances!HV14)-MIN(Instances!HV14:Instances!HV14))</f>
        <v>0</v>
      </c>
      <c r="HW14" s="1" cm="1">
        <f t="array" ref="HW14">_xlfn.SWITCH($A$2,"average", AVERAGE(Instances!HW14:Instances!HW14),"median", MEDIAN(Instances!HW14:Instances!HW14),"min", MIN(Instances!HW14:Instances!HW14),"max", MAX(Instances!HW14:Instances!HW14),"diff", MAX(Instances!HW14:Instances!HW14)-MIN(Instances!HW14:Instances!HW14))</f>
        <v>0</v>
      </c>
      <c r="HX14" s="1"/>
      <c r="HY14" s="1" cm="1">
        <f t="array" ref="HY14">_xlfn.SWITCH($A$2,"average", AVERAGE(Instances!HY14:Instances!HY14),"median", MEDIAN(Instances!HY14:Instances!HY14),"min", MIN(Instances!HY14:Instances!HY14),"max", MAX(Instances!HY14:Instances!HY14),"diff", MAX(Instances!HY14:Instances!HY14)-MIN(Instances!HY14:Instances!HY14))</f>
        <v>0</v>
      </c>
      <c r="HZ14" s="1" cm="1">
        <f t="array" ref="HZ14">_xlfn.SWITCH($A$2,"average", AVERAGE(Instances!HZ14:Instances!HZ14),"median", MEDIAN(Instances!HZ14:Instances!HZ14),"min", MIN(Instances!HZ14:Instances!HZ14),"max", MAX(Instances!HZ14:Instances!HZ14),"diff", MAX(Instances!HZ14:Instances!HZ14)-MIN(Instances!HZ14:Instances!HZ14))</f>
        <v>0</v>
      </c>
      <c r="IA14" s="1" cm="1">
        <f t="array" ref="IA14">_xlfn.SWITCH($A$2,"average", AVERAGE(Instances!IA14:Instances!IA14),"median", MEDIAN(Instances!IA14:Instances!IA14),"min", MIN(Instances!IA14:Instances!IA14),"max", MAX(Instances!IA14:Instances!IA14),"diff", MAX(Instances!IA14:Instances!IA14)-MIN(Instances!IA14:Instances!IA14))</f>
        <v>0</v>
      </c>
      <c r="IB14" s="1" cm="1">
        <f t="array" ref="IB14">_xlfn.SWITCH($A$2,"average", AVERAGE(Instances!IB14:Instances!IB14),"median", MEDIAN(Instances!IB14:Instances!IB14),"min", MIN(Instances!IB14:Instances!IB14),"max", MAX(Instances!IB14:Instances!IB14),"diff", MAX(Instances!IB14:Instances!IB14)-MIN(Instances!IB14:Instances!IB14))</f>
        <v>0</v>
      </c>
      <c r="IC14" s="1" cm="1">
        <f t="array" ref="IC14">_xlfn.SWITCH($A$2,"average", AVERAGE(Instances!IC14:Instances!IC14),"median", MEDIAN(Instances!IC14:Instances!IC14),"min", MIN(Instances!IC14:Instances!IC14),"max", MAX(Instances!IC14:Instances!IC14),"diff", MAX(Instances!IC14:Instances!IC14)-MIN(Instances!IC14:Instances!IC14))</f>
        <v>0</v>
      </c>
      <c r="ID14" s="1" cm="1">
        <f t="array" ref="ID14">_xlfn.SWITCH($A$2,"average", AVERAGE(Instances!ID14:Instances!ID14),"median", MEDIAN(Instances!ID14:Instances!ID14),"min", MIN(Instances!ID14:Instances!ID14),"max", MAX(Instances!ID14:Instances!ID14),"diff", MAX(Instances!ID14:Instances!ID14)-MIN(Instances!ID14:Instances!ID14))</f>
        <v>0</v>
      </c>
      <c r="IE14" s="1" cm="1">
        <f t="array" ref="IE14">_xlfn.SWITCH($A$2,"average", AVERAGE(Instances!IE14:Instances!IE14),"median", MEDIAN(Instances!IE14:Instances!IE14),"min", MIN(Instances!IE14:Instances!IE14),"max", MAX(Instances!IE14:Instances!IE14),"diff", MAX(Instances!IE14:Instances!IE14)-MIN(Instances!IE14:Instances!IE14))</f>
        <v>0</v>
      </c>
      <c r="IF14" s="1" cm="1">
        <f t="array" ref="IF14">_xlfn.SWITCH($A$2,"average", AVERAGE(Instances!IF14:Instances!IF14),"median", MEDIAN(Instances!IF14:Instances!IF14),"min", MIN(Instances!IF14:Instances!IF14),"max", MAX(Instances!IF14:Instances!IF14),"diff", MAX(Instances!IF14:Instances!IF14)-MIN(Instances!IF14:Instances!IF14))</f>
        <v>0</v>
      </c>
      <c r="IG14" s="1" cm="1">
        <f t="array" ref="IG14">_xlfn.SWITCH($A$2,"average", AVERAGE(Instances!IG14:Instances!IG14),"median", MEDIAN(Instances!IG14:Instances!IG14),"min", MIN(Instances!IG14:Instances!IG14),"max", MAX(Instances!IG14:Instances!IG14),"diff", MAX(Instances!IG14:Instances!IG14)-MIN(Instances!IG14:Instances!IG14))</f>
        <v>0</v>
      </c>
      <c r="IH14" s="1" cm="1">
        <f t="array" ref="IH14">_xlfn.SWITCH($A$2,"average", AVERAGE(Instances!IH14:Instances!IH14),"median", MEDIAN(Instances!IH14:Instances!IH14),"min", MIN(Instances!IH14:Instances!IH14),"max", MAX(Instances!IH14:Instances!IH14),"diff", MAX(Instances!IH14:Instances!IH14)-MIN(Instances!IH14:Instances!IH14))</f>
        <v>0</v>
      </c>
      <c r="II14" s="1" cm="1">
        <f t="array" ref="II14">_xlfn.SWITCH($A$2,"average", AVERAGE(Instances!II14:Instances!II14),"median", MEDIAN(Instances!II14:Instances!II14),"min", MIN(Instances!II14:Instances!II14),"max", MAX(Instances!II14:Instances!II14),"diff", MAX(Instances!II14:Instances!II14)-MIN(Instances!II14:Instances!II14))</f>
        <v>0</v>
      </c>
      <c r="IJ14" s="1" cm="1">
        <f t="array" ref="IJ14">_xlfn.SWITCH($A$2,"average", AVERAGE(Instances!IJ14:Instances!IJ14),"median", MEDIAN(Instances!IJ14:Instances!IJ14),"min", MIN(Instances!IJ14:Instances!IJ14),"max", MAX(Instances!IJ14:Instances!IJ14),"diff", MAX(Instances!IJ14:Instances!IJ14)-MIN(Instances!IJ14:Instances!IJ14))</f>
        <v>0</v>
      </c>
      <c r="IK14" s="1" cm="1">
        <f t="array" ref="IK14">_xlfn.SWITCH($A$2,"average", AVERAGE(Instances!IK14:Instances!IK14),"median", MEDIAN(Instances!IK14:Instances!IK14),"min", MIN(Instances!IK14:Instances!IK14),"max", MAX(Instances!IK14:Instances!IK14),"diff", MAX(Instances!IK14:Instances!IK14)-MIN(Instances!IK14:Instances!IK14))</f>
        <v>0</v>
      </c>
      <c r="IL14" s="1" cm="1">
        <f t="array" ref="IL14">_xlfn.SWITCH($A$2,"average", AVERAGE(Instances!IL14:Instances!IL14),"median", MEDIAN(Instances!IL14:Instances!IL14),"min", MIN(Instances!IL14:Instances!IL14),"max", MAX(Instances!IL14:Instances!IL14),"diff", MAX(Instances!IL14:Instances!IL14)-MIN(Instances!IL14:Instances!IL14))</f>
        <v>0</v>
      </c>
      <c r="IM14" s="1" cm="1">
        <f t="array" ref="IM14">_xlfn.SWITCH($A$2,"average", AVERAGE(Instances!IM14:Instances!IM14),"median", MEDIAN(Instances!IM14:Instances!IM14),"min", MIN(Instances!IM14:Instances!IM14),"max", MAX(Instances!IM14:Instances!IM14),"diff", MAX(Instances!IM14:Instances!IM14)-MIN(Instances!IM14:Instances!IM14))</f>
        <v>0</v>
      </c>
      <c r="IN14" s="1" cm="1">
        <f t="array" ref="IN14">_xlfn.SWITCH($A$2,"average", AVERAGE(Instances!IN14:Instances!IN14),"median", MEDIAN(Instances!IN14:Instances!IN14),"min", MIN(Instances!IN14:Instances!IN14),"max", MAX(Instances!IN14:Instances!IN14),"diff", MAX(Instances!IN14:Instances!IN14)-MIN(Instances!IN14:Instances!IN14))</f>
        <v>0</v>
      </c>
      <c r="IO14" s="1" cm="1">
        <f t="array" ref="IO14">_xlfn.SWITCH($A$2,"average", AVERAGE(Instances!IO14:Instances!IO14),"median", MEDIAN(Instances!IO14:Instances!IO14),"min", MIN(Instances!IO14:Instances!IO14),"max", MAX(Instances!IO14:Instances!IO14),"diff", MAX(Instances!IO14:Instances!IO14)-MIN(Instances!IO14:Instances!IO14))</f>
        <v>0</v>
      </c>
      <c r="IP14" s="1"/>
      <c r="IQ14" s="1" cm="1">
        <f t="array" ref="IQ14">_xlfn.SWITCH($A$2,"average", AVERAGE(Instances!IQ14:Instances!IQ14),"median", MEDIAN(Instances!IQ14:Instances!IQ14),"min", MIN(Instances!IQ14:Instances!IQ14),"max", MAX(Instances!IQ14:Instances!IQ14),"diff", MAX(Instances!IQ14:Instances!IQ14)-MIN(Instances!IQ14:Instances!IQ14))</f>
        <v>0</v>
      </c>
      <c r="IR14" s="1" cm="1">
        <f t="array" ref="IR14">_xlfn.SWITCH($A$2,"average", AVERAGE(Instances!IR14:Instances!IR14),"median", MEDIAN(Instances!IR14:Instances!IR14),"min", MIN(Instances!IR14:Instances!IR14),"max", MAX(Instances!IR14:Instances!IR14),"diff", MAX(Instances!IR14:Instances!IR14)-MIN(Instances!IR14:Instances!IR14))</f>
        <v>0</v>
      </c>
      <c r="IS14" s="1" cm="1">
        <f t="array" ref="IS14">_xlfn.SWITCH($A$2,"average", AVERAGE(Instances!IS14:Instances!IS14),"median", MEDIAN(Instances!IS14:Instances!IS14),"min", MIN(Instances!IS14:Instances!IS14),"max", MAX(Instances!IS14:Instances!IS14),"diff", MAX(Instances!IS14:Instances!IS14)-MIN(Instances!IS14:Instances!IS14))</f>
        <v>0</v>
      </c>
      <c r="IT14" s="1" cm="1">
        <f t="array" ref="IT14">_xlfn.SWITCH($A$2,"average", AVERAGE(Instances!IT14:Instances!IT14),"median", MEDIAN(Instances!IT14:Instances!IT14),"min", MIN(Instances!IT14:Instances!IT14),"max", MAX(Instances!IT14:Instances!IT14),"diff", MAX(Instances!IT14:Instances!IT14)-MIN(Instances!IT14:Instances!IT14))</f>
        <v>0</v>
      </c>
      <c r="IU14" s="1" cm="1">
        <f t="array" ref="IU14">_xlfn.SWITCH($A$2,"average", AVERAGE(Instances!IU14:Instances!IU14),"median", MEDIAN(Instances!IU14:Instances!IU14),"min", MIN(Instances!IU14:Instances!IU14),"max", MAX(Instances!IU14:Instances!IU14),"diff", MAX(Instances!IU14:Instances!IU14)-MIN(Instances!IU14:Instances!IU14))</f>
        <v>0</v>
      </c>
      <c r="IV14" s="1" cm="1">
        <f t="array" ref="IV14">_xlfn.SWITCH($A$2,"average", AVERAGE(Instances!IV14:Instances!IV14),"median", MEDIAN(Instances!IV14:Instances!IV14),"min", MIN(Instances!IV14:Instances!IV14),"max", MAX(Instances!IV14:Instances!IV14),"diff", MAX(Instances!IV14:Instances!IV14)-MIN(Instances!IV14:Instances!IV14))</f>
        <v>0</v>
      </c>
      <c r="IW14" s="1" cm="1">
        <f t="array" ref="IW14">_xlfn.SWITCH($A$2,"average", AVERAGE(Instances!IW14:Instances!IW14),"median", MEDIAN(Instances!IW14:Instances!IW14),"min", MIN(Instances!IW14:Instances!IW14),"max", MAX(Instances!IW14:Instances!IW14),"diff", MAX(Instances!IW14:Instances!IW14)-MIN(Instances!IW14:Instances!IW14))</f>
        <v>0</v>
      </c>
      <c r="IX14" s="1" cm="1">
        <f t="array" ref="IX14">_xlfn.SWITCH($A$2,"average", AVERAGE(Instances!IX14:Instances!IX14),"median", MEDIAN(Instances!IX14:Instances!IX14),"min", MIN(Instances!IX14:Instances!IX14),"max", MAX(Instances!IX14:Instances!IX14),"diff", MAX(Instances!IX14:Instances!IX14)-MIN(Instances!IX14:Instances!IX14))</f>
        <v>0</v>
      </c>
      <c r="IY14" s="1" cm="1">
        <f t="array" ref="IY14">_xlfn.SWITCH($A$2,"average", AVERAGE(Instances!IY14:Instances!IY14),"median", MEDIAN(Instances!IY14:Instances!IY14),"min", MIN(Instances!IY14:Instances!IY14),"max", MAX(Instances!IY14:Instances!IY14),"diff", MAX(Instances!IY14:Instances!IY14)-MIN(Instances!IY14:Instances!IY14))</f>
        <v>0</v>
      </c>
      <c r="IZ14" s="1" cm="1">
        <f t="array" ref="IZ14">_xlfn.SWITCH($A$2,"average", AVERAGE(Instances!IZ14:Instances!IZ14),"median", MEDIAN(Instances!IZ14:Instances!IZ14),"min", MIN(Instances!IZ14:Instances!IZ14),"max", MAX(Instances!IZ14:Instances!IZ14),"diff", MAX(Instances!IZ14:Instances!IZ14)-MIN(Instances!IZ14:Instances!IZ14))</f>
        <v>0</v>
      </c>
      <c r="JA14" s="1" cm="1">
        <f t="array" ref="JA14">_xlfn.SWITCH($A$2,"average", AVERAGE(Instances!JA14:Instances!JA14),"median", MEDIAN(Instances!JA14:Instances!JA14),"min", MIN(Instances!JA14:Instances!JA14),"max", MAX(Instances!JA14:Instances!JA14),"diff", MAX(Instances!JA14:Instances!JA14)-MIN(Instances!JA14:Instances!JA14))</f>
        <v>0</v>
      </c>
      <c r="JB14" s="1" cm="1">
        <f t="array" ref="JB14">_xlfn.SWITCH($A$2,"average", AVERAGE(Instances!JB14:Instances!JB14),"median", MEDIAN(Instances!JB14:Instances!JB14),"min", MIN(Instances!JB14:Instances!JB14),"max", MAX(Instances!JB14:Instances!JB14),"diff", MAX(Instances!JB14:Instances!JB14)-MIN(Instances!JB14:Instances!JB14))</f>
        <v>0</v>
      </c>
      <c r="JC14" s="1" cm="1">
        <f t="array" ref="JC14">_xlfn.SWITCH($A$2,"average", AVERAGE(Instances!JC14:Instances!JC14),"median", MEDIAN(Instances!JC14:Instances!JC14),"min", MIN(Instances!JC14:Instances!JC14),"max", MAX(Instances!JC14:Instances!JC14),"diff", MAX(Instances!JC14:Instances!JC14)-MIN(Instances!JC14:Instances!JC14))</f>
        <v>0</v>
      </c>
      <c r="JD14" s="1" cm="1">
        <f t="array" ref="JD14">_xlfn.SWITCH($A$2,"average", AVERAGE(Instances!JD14:Instances!JD14),"median", MEDIAN(Instances!JD14:Instances!JD14),"min", MIN(Instances!JD14:Instances!JD14),"max", MAX(Instances!JD14:Instances!JD14),"diff", MAX(Instances!JD14:Instances!JD14)-MIN(Instances!JD14:Instances!JD14))</f>
        <v>0</v>
      </c>
      <c r="JE14" s="1" cm="1">
        <f t="array" ref="JE14">_xlfn.SWITCH($A$2,"average", AVERAGE(Instances!JE14:Instances!JE14),"median", MEDIAN(Instances!JE14:Instances!JE14),"min", MIN(Instances!JE14:Instances!JE14),"max", MAX(Instances!JE14:Instances!JE14),"diff", MAX(Instances!JE14:Instances!JE14)-MIN(Instances!JE14:Instances!JE14))</f>
        <v>0</v>
      </c>
      <c r="JF14" s="1" cm="1">
        <f t="array" ref="JF14">_xlfn.SWITCH($A$2,"average", AVERAGE(Instances!JF14:Instances!JF14),"median", MEDIAN(Instances!JF14:Instances!JF14),"min", MIN(Instances!JF14:Instances!JF14),"max", MAX(Instances!JF14:Instances!JF14),"diff", MAX(Instances!JF14:Instances!JF14)-MIN(Instances!JF14:Instances!JF14))</f>
        <v>0</v>
      </c>
      <c r="JG14" s="1" cm="1">
        <f t="array" ref="JG14">_xlfn.SWITCH($A$2,"average", AVERAGE(Instances!JG14:Instances!JG14),"median", MEDIAN(Instances!JG14:Instances!JG14),"min", MIN(Instances!JG14:Instances!JG14),"max", MAX(Instances!JG14:Instances!JG14),"diff", MAX(Instances!JG14:Instances!JG14)-MIN(Instances!JG14:Instances!JG14))</f>
        <v>0</v>
      </c>
      <c r="JH14" s="1"/>
      <c r="JI14" s="1" cm="1">
        <f t="array" ref="JI14">_xlfn.SWITCH($A$2,"average", AVERAGE(Instances!JI14:Instances!JI14),"median", MEDIAN(Instances!JI14:Instances!JI14),"min", MIN(Instances!JI14:Instances!JI14),"max", MAX(Instances!JI14:Instances!JI14),"diff", MAX(Instances!JI14:Instances!JI14)-MIN(Instances!JI14:Instances!JI14))</f>
        <v>0</v>
      </c>
      <c r="JJ14" s="1" cm="1">
        <f t="array" ref="JJ14">_xlfn.SWITCH($A$2,"average", AVERAGE(Instances!JJ14:Instances!JJ14),"median", MEDIAN(Instances!JJ14:Instances!JJ14),"min", MIN(Instances!JJ14:Instances!JJ14),"max", MAX(Instances!JJ14:Instances!JJ14),"diff", MAX(Instances!JJ14:Instances!JJ14)-MIN(Instances!JJ14:Instances!JJ14))</f>
        <v>0</v>
      </c>
      <c r="JK14" s="1" cm="1">
        <f t="array" ref="JK14">_xlfn.SWITCH($A$2,"average", AVERAGE(Instances!JK14:Instances!JK14),"median", MEDIAN(Instances!JK14:Instances!JK14),"min", MIN(Instances!JK14:Instances!JK14),"max", MAX(Instances!JK14:Instances!JK14),"diff", MAX(Instances!JK14:Instances!JK14)-MIN(Instances!JK14:Instances!JK14))</f>
        <v>0</v>
      </c>
      <c r="JL14" s="1" cm="1">
        <f t="array" ref="JL14">_xlfn.SWITCH($A$2,"average", AVERAGE(Instances!JL14:Instances!JL14),"median", MEDIAN(Instances!JL14:Instances!JL14),"min", MIN(Instances!JL14:Instances!JL14),"max", MAX(Instances!JL14:Instances!JL14),"diff", MAX(Instances!JL14:Instances!JL14)-MIN(Instances!JL14:Instances!JL14))</f>
        <v>0</v>
      </c>
      <c r="JM14" s="1" cm="1">
        <f t="array" ref="JM14">_xlfn.SWITCH($A$2,"average", AVERAGE(Instances!JM14:Instances!JM14),"median", MEDIAN(Instances!JM14:Instances!JM14),"min", MIN(Instances!JM14:Instances!JM14),"max", MAX(Instances!JM14:Instances!JM14),"diff", MAX(Instances!JM14:Instances!JM14)-MIN(Instances!JM14:Instances!JM14))</f>
        <v>0</v>
      </c>
      <c r="JN14" s="1" cm="1">
        <f t="array" ref="JN14">_xlfn.SWITCH($A$2,"average", AVERAGE(Instances!JN14:Instances!JN14),"median", MEDIAN(Instances!JN14:Instances!JN14),"min", MIN(Instances!JN14:Instances!JN14),"max", MAX(Instances!JN14:Instances!JN14),"diff", MAX(Instances!JN14:Instances!JN14)-MIN(Instances!JN14:Instances!JN14))</f>
        <v>0</v>
      </c>
      <c r="JO14" s="1" cm="1">
        <f t="array" ref="JO14">_xlfn.SWITCH($A$2,"average", AVERAGE(Instances!JO14:Instances!JO14),"median", MEDIAN(Instances!JO14:Instances!JO14),"min", MIN(Instances!JO14:Instances!JO14),"max", MAX(Instances!JO14:Instances!JO14),"diff", MAX(Instances!JO14:Instances!JO14)-MIN(Instances!JO14:Instances!JO14))</f>
        <v>0</v>
      </c>
      <c r="JP14" s="1" cm="1">
        <f t="array" ref="JP14">_xlfn.SWITCH($A$2,"average", AVERAGE(Instances!JP14:Instances!JP14),"median", MEDIAN(Instances!JP14:Instances!JP14),"min", MIN(Instances!JP14:Instances!JP14),"max", MAX(Instances!JP14:Instances!JP14),"diff", MAX(Instances!JP14:Instances!JP14)-MIN(Instances!JP14:Instances!JP14))</f>
        <v>0</v>
      </c>
      <c r="JQ14" s="1" cm="1">
        <f t="array" ref="JQ14">_xlfn.SWITCH($A$2,"average", AVERAGE(Instances!JQ14:Instances!JQ14),"median", MEDIAN(Instances!JQ14:Instances!JQ14),"min", MIN(Instances!JQ14:Instances!JQ14),"max", MAX(Instances!JQ14:Instances!JQ14),"diff", MAX(Instances!JQ14:Instances!JQ14)-MIN(Instances!JQ14:Instances!JQ14))</f>
        <v>0</v>
      </c>
      <c r="JR14" s="1" cm="1">
        <f t="array" ref="JR14">_xlfn.SWITCH($A$2,"average", AVERAGE(Instances!JR14:Instances!JR14),"median", MEDIAN(Instances!JR14:Instances!JR14),"min", MIN(Instances!JR14:Instances!JR14),"max", MAX(Instances!JR14:Instances!JR14),"diff", MAX(Instances!JR14:Instances!JR14)-MIN(Instances!JR14:Instances!JR14))</f>
        <v>0</v>
      </c>
      <c r="JS14" s="1" cm="1">
        <f t="array" ref="JS14">_xlfn.SWITCH($A$2,"average", AVERAGE(Instances!JS14:Instances!JS14),"median", MEDIAN(Instances!JS14:Instances!JS14),"min", MIN(Instances!JS14:Instances!JS14),"max", MAX(Instances!JS14:Instances!JS14),"diff", MAX(Instances!JS14:Instances!JS14)-MIN(Instances!JS14:Instances!JS14))</f>
        <v>0</v>
      </c>
      <c r="JT14" s="1" cm="1">
        <f t="array" ref="JT14">_xlfn.SWITCH($A$2,"average", AVERAGE(Instances!JT14:Instances!JT14),"median", MEDIAN(Instances!JT14:Instances!JT14),"min", MIN(Instances!JT14:Instances!JT14),"max", MAX(Instances!JT14:Instances!JT14),"diff", MAX(Instances!JT14:Instances!JT14)-MIN(Instances!JT14:Instances!JT14))</f>
        <v>0</v>
      </c>
      <c r="JU14" s="1" cm="1">
        <f t="array" ref="JU14">_xlfn.SWITCH($A$2,"average", AVERAGE(Instances!JU14:Instances!JU14),"median", MEDIAN(Instances!JU14:Instances!JU14),"min", MIN(Instances!JU14:Instances!JU14),"max", MAX(Instances!JU14:Instances!JU14),"diff", MAX(Instances!JU14:Instances!JU14)-MIN(Instances!JU14:Instances!JU14))</f>
        <v>0</v>
      </c>
      <c r="JV14" s="1" cm="1">
        <f t="array" ref="JV14">_xlfn.SWITCH($A$2,"average", AVERAGE(Instances!JV14:Instances!JV14),"median", MEDIAN(Instances!JV14:Instances!JV14),"min", MIN(Instances!JV14:Instances!JV14),"max", MAX(Instances!JV14:Instances!JV14),"diff", MAX(Instances!JV14:Instances!JV14)-MIN(Instances!JV14:Instances!JV14))</f>
        <v>0</v>
      </c>
      <c r="JW14" s="1" cm="1">
        <f t="array" ref="JW14">_xlfn.SWITCH($A$2,"average", AVERAGE(Instances!JW14:Instances!JW14),"median", MEDIAN(Instances!JW14:Instances!JW14),"min", MIN(Instances!JW14:Instances!JW14),"max", MAX(Instances!JW14:Instances!JW14),"diff", MAX(Instances!JW14:Instances!JW14)-MIN(Instances!JW14:Instances!JW14))</f>
        <v>0</v>
      </c>
      <c r="JX14" s="1" cm="1">
        <f t="array" ref="JX14">_xlfn.SWITCH($A$2,"average", AVERAGE(Instances!JX14:Instances!JX14),"median", MEDIAN(Instances!JX14:Instances!JX14),"min", MIN(Instances!JX14:Instances!JX14),"max", MAX(Instances!JX14:Instances!JX14),"diff", MAX(Instances!JX14:Instances!JX14)-MIN(Instances!JX14:Instances!JX14))</f>
        <v>0</v>
      </c>
      <c r="JY14" s="1" cm="1">
        <f t="array" ref="JY14">_xlfn.SWITCH($A$2,"average", AVERAGE(Instances!JY14:Instances!JY14),"median", MEDIAN(Instances!JY14:Instances!JY14),"min", MIN(Instances!JY14:Instances!JY14),"max", MAX(Instances!JY14:Instances!JY14),"diff", MAX(Instances!JY14:Instances!JY14)-MIN(Instances!JY14:Instances!JY14))</f>
        <v>0</v>
      </c>
      <c r="JZ14" s="1"/>
      <c r="KA14" s="1" cm="1">
        <f t="array" ref="KA14">_xlfn.SWITCH($A$2,"average", AVERAGE(Instances!KA14:Instances!KA14),"median", MEDIAN(Instances!KA14:Instances!KA14),"min", MIN(Instances!KA14:Instances!KA14),"max", MAX(Instances!KA14:Instances!KA14),"diff", MAX(Instances!KA14:Instances!KA14)-MIN(Instances!KA14:Instances!KA14))</f>
        <v>0</v>
      </c>
      <c r="KB14" s="1" cm="1">
        <f t="array" ref="KB14">_xlfn.SWITCH($A$2,"average", AVERAGE(Instances!KB14:Instances!KB14),"median", MEDIAN(Instances!KB14:Instances!KB14),"min", MIN(Instances!KB14:Instances!KB14),"max", MAX(Instances!KB14:Instances!KB14),"diff", MAX(Instances!KB14:Instances!KB14)-MIN(Instances!KB14:Instances!KB14))</f>
        <v>0</v>
      </c>
      <c r="KC14" s="1" cm="1">
        <f t="array" ref="KC14">_xlfn.SWITCH($A$2,"average", AVERAGE(Instances!KC14:Instances!KC14),"median", MEDIAN(Instances!KC14:Instances!KC14),"min", MIN(Instances!KC14:Instances!KC14),"max", MAX(Instances!KC14:Instances!KC14),"diff", MAX(Instances!KC14:Instances!KC14)-MIN(Instances!KC14:Instances!KC14))</f>
        <v>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 cm="1">
        <f t="array" ref="L15">_xlfn.SWITCH($A$2,"average", AVERAGE(Instances!L15:Instances!L15),"median", MEDIAN(Instances!L15:Instances!L15),"min", MIN(Instances!L15:Instances!L15),"max", MAX(Instances!L15:Instances!L15),"diff", MAX(Instances!L15:Instances!L15)-MIN(Instances!L15:Instances!L15))</f>
        <v>0</v>
      </c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 cm="1">
        <f t="array" ref="O15">_xlfn.SWITCH($A$2,"average", AVERAGE(Instances!O15:Instances!O15),"median", MEDIAN(Instances!O15:Instances!O15),"min", MIN(Instances!O15:Instances!O15),"max", MAX(Instances!O15:Instances!O15),"diff", MAX(Instances!O15:Instances!O15)-MIN(Instances!O15:Instances!O15))</f>
        <v>0</v>
      </c>
      <c r="P15" s="1"/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 cm="1">
        <f t="array" ref="S15">_xlfn.SWITCH($A$2,"average", AVERAGE(Instances!S15:Instances!S15),"median", MEDIAN(Instances!S15:Instances!S15),"min", MIN(Instances!S15:Instances!S15),"max", MAX(Instances!S15:Instances!S15),"diff", MAX(Instances!S15:Instances!S15)-MIN(Instances!S15:Instances!S15))</f>
        <v>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 cm="1">
        <f t="array" ref="AL15">_xlfn.SWITCH($A$2,"average", AVERAGE(Instances!AL15:Instances!AL15),"median", MEDIAN(Instances!AL15:Instances!AL15),"min", MIN(Instances!AL15:Instances!AL15),"max", MAX(Instances!AL15:Instances!AL15),"diff", MAX(Instances!AL15:Instances!AL15)-MIN(Instances!AL15:Instances!AL15))</f>
        <v>0</v>
      </c>
      <c r="AM15" s="1" cm="1">
        <f t="array" ref="AM15">_xlfn.SWITCH($A$2,"average", AVERAGE(Instances!AM15:Instances!AM15),"median", MEDIAN(Instances!AM15:Instances!AM15),"min", MIN(Instances!AM15:Instances!AM15),"max", MAX(Instances!AM15:Instances!AM15),"diff", MAX(Instances!AM15:Instances!AM15)-MIN(Instances!AM15:Instances!AM15))</f>
        <v>0</v>
      </c>
      <c r="AN15" s="1" cm="1">
        <f t="array" ref="AN15">_xlfn.SWITCH($A$2,"average", AVERAGE(Instances!AN15:Instances!AN15),"median", MEDIAN(Instances!AN15:Instances!AN15),"min", MIN(Instances!AN15:Instances!AN15),"max", MAX(Instances!AN15:Instances!AN15),"diff", MAX(Instances!AN15:Instances!AN15)-MIN(Instances!AN15:Instances!AN15))</f>
        <v>0</v>
      </c>
      <c r="AO15" s="1" cm="1">
        <f t="array" ref="AO15">_xlfn.SWITCH($A$2,"average", AVERAGE(Instances!AO15:Instances!AO15),"median", MEDIAN(Instances!AO15:Instances!AO15),"min", MIN(Instances!AO15:Instances!AO15),"max", MAX(Instances!AO15:Instances!AO15),"diff", MAX(Instances!AO15:Instances!AO15)-MIN(Instances!AO15:Instances!AO15))</f>
        <v>0</v>
      </c>
      <c r="AP15" s="1" cm="1">
        <f t="array" ref="AP15">_xlfn.SWITCH($A$2,"average", AVERAGE(Instances!AP15:Instances!AP15),"median", MEDIAN(Instances!AP15:Instances!AP15),"min", MIN(Instances!AP15:Instances!AP15),"max", MAX(Instances!AP15:Instances!AP15),"diff", MAX(Instances!AP15:Instances!AP15)-MIN(Instances!AP15:Instances!AP15))</f>
        <v>0</v>
      </c>
      <c r="AQ15" s="1" cm="1">
        <f t="array" ref="AQ15">_xlfn.SWITCH($A$2,"average", AVERAGE(Instances!AQ15:Instances!AQ15),"median", MEDIAN(Instances!AQ15:Instances!AQ15),"min", MIN(Instances!AQ15:Instances!AQ15),"max", MAX(Instances!AQ15:Instances!AQ15),"diff", MAX(Instances!AQ15:Instances!AQ15)-MIN(Instances!AQ15:Instances!AQ15))</f>
        <v>0</v>
      </c>
      <c r="AR15" s="1" cm="1">
        <f t="array" ref="AR15">_xlfn.SWITCH($A$2,"average", AVERAGE(Instances!AR15:Instances!AR15),"median", MEDIAN(Instances!AR15:Instances!AR15),"min", MIN(Instances!AR15:Instances!AR15),"max", MAX(Instances!AR15:Instances!AR15),"diff", MAX(Instances!AR15:Instances!AR15)-MIN(Instances!AR15:Instances!AR15))</f>
        <v>0</v>
      </c>
      <c r="AS15" s="1" cm="1">
        <f t="array" ref="AS15">_xlfn.SWITCH($A$2,"average", AVERAGE(Instances!AS15:Instances!AS15),"median", MEDIAN(Instances!AS15:Instances!AS15),"min", MIN(Instances!AS15:Instances!AS15),"max", MAX(Instances!AS15:Instances!AS15),"diff", MAX(Instances!AS15:Instances!AS15)-MIN(Instances!AS15:Instances!AS15))</f>
        <v>0</v>
      </c>
      <c r="AT15" s="1" cm="1">
        <f t="array" ref="AT15">_xlfn.SWITCH($A$2,"average", AVERAGE(Instances!AT15:Instances!AT15),"median", MEDIAN(Instances!AT15:Instances!AT15),"min", MIN(Instances!AT15:Instances!AT15),"max", MAX(Instances!AT15:Instances!AT15),"diff", MAX(Instances!AT15:Instances!AT15)-MIN(Instances!AT15:Instances!AT15))</f>
        <v>0</v>
      </c>
      <c r="AU15" s="1" cm="1">
        <f t="array" ref="AU15">_xlfn.SWITCH($A$2,"average", AVERAGE(Instances!AU15:Instances!AU15),"median", MEDIAN(Instances!AU15:Instances!AU15),"min", MIN(Instances!AU15:Instances!AU15),"max", MAX(Instances!AU15:Instances!AU15),"diff", MAX(Instances!AU15:Instances!AU15)-MIN(Instances!AU15:Instances!AU15))</f>
        <v>0</v>
      </c>
      <c r="AV15" s="1" cm="1">
        <f t="array" ref="AV15">_xlfn.SWITCH($A$2,"average", AVERAGE(Instances!AV15:Instances!AV15),"median", MEDIAN(Instances!AV15:Instances!AV15),"min", MIN(Instances!AV15:Instances!AV15),"max", MAX(Instances!AV15:Instances!AV15),"diff", MAX(Instances!AV15:Instances!AV15)-MIN(Instances!AV15:Instances!AV15))</f>
        <v>0</v>
      </c>
      <c r="AW15" s="1" cm="1">
        <f t="array" ref="AW15">_xlfn.SWITCH($A$2,"average", AVERAGE(Instances!AW15:Instances!AW15),"median", MEDIAN(Instances!AW15:Instances!AW15),"min", MIN(Instances!AW15:Instances!AW15),"max", MAX(Instances!AW15:Instances!AW15),"diff", MAX(Instances!AW15:Instances!AW15)-MIN(Instances!AW15:Instances!AW15))</f>
        <v>0</v>
      </c>
      <c r="AX15" s="1" cm="1">
        <f t="array" ref="AX15">_xlfn.SWITCH($A$2,"average", AVERAGE(Instances!AX15:Instances!AX15),"median", MEDIAN(Instances!AX15:Instances!AX15),"min", MIN(Instances!AX15:Instances!AX15),"max", MAX(Instances!AX15:Instances!AX15),"diff", MAX(Instances!AX15:Instances!AX15)-MIN(Instances!AX15:Instances!AX15))</f>
        <v>0</v>
      </c>
      <c r="AY15" s="1" cm="1">
        <f t="array" ref="AY15">_xlfn.SWITCH($A$2,"average", AVERAGE(Instances!AY15:Instances!AY15),"median", MEDIAN(Instances!AY15:Instances!AY15),"min", MIN(Instances!AY15:Instances!AY15),"max", MAX(Instances!AY15:Instances!AY15),"diff", MAX(Instances!AY15:Instances!AY15)-MIN(Instances!AY15:Instances!AY15))</f>
        <v>0</v>
      </c>
      <c r="AZ15" s="1"/>
      <c r="BA15" s="1" cm="1">
        <f t="array" ref="BA15">_xlfn.SWITCH($A$2,"average", AVERAGE(Instances!BA15:Instances!BA15),"median", MEDIAN(Instances!BA15:Instances!BA15),"min", MIN(Instances!BA15:Instances!BA15),"max", MAX(Instances!BA15:Instances!BA15),"diff", MAX(Instances!BA15:Instances!BA15)-MIN(Instances!BA15:Instances!BA15))</f>
        <v>0</v>
      </c>
      <c r="BB15" s="1" cm="1">
        <f t="array" ref="BB15">_xlfn.SWITCH($A$2,"average", AVERAGE(Instances!BB15:Instances!BB15),"median", MEDIAN(Instances!BB15:Instances!BB15),"min", MIN(Instances!BB15:Instances!BB15),"max", MAX(Instances!BB15:Instances!BB15),"diff", MAX(Instances!BB15:Instances!BB15)-MIN(Instances!BB15:Instances!BB15))</f>
        <v>0</v>
      </c>
      <c r="BC15" s="1" cm="1">
        <f t="array" ref="BC15">_xlfn.SWITCH($A$2,"average", AVERAGE(Instances!BC15:Instances!BC15),"median", MEDIAN(Instances!BC15:Instances!BC15),"min", MIN(Instances!BC15:Instances!BC15),"max", MAX(Instances!BC15:Instances!BC15),"diff", MAX(Instances!BC15:Instances!BC15)-MIN(Instances!BC15:Instances!BC15))</f>
        <v>0</v>
      </c>
      <c r="BD15" s="1" cm="1">
        <f t="array" ref="BD15">_xlfn.SWITCH($A$2,"average", AVERAGE(Instances!BD15:Instances!BD15),"median", MEDIAN(Instances!BD15:Instances!BD15),"min", MIN(Instances!BD15:Instances!BD15),"max", MAX(Instances!BD15:Instances!BD15),"diff", MAX(Instances!BD15:Instances!BD15)-MIN(Instances!BD15:Instances!BD15))</f>
        <v>0</v>
      </c>
      <c r="BE15" s="1" cm="1">
        <f t="array" ref="BE15">_xlfn.SWITCH($A$2,"average", AVERAGE(Instances!BE15:Instances!BE15),"median", MEDIAN(Instances!BE15:Instances!BE15),"min", MIN(Instances!BE15:Instances!BE15),"max", MAX(Instances!BE15:Instances!BE15),"diff", MAX(Instances!BE15:Instances!BE15)-MIN(Instances!BE15:Instances!BE15))</f>
        <v>0</v>
      </c>
      <c r="BF15" s="1" cm="1">
        <f t="array" ref="BF15">_xlfn.SWITCH($A$2,"average", AVERAGE(Instances!BF15:Instances!BF15),"median", MEDIAN(Instances!BF15:Instances!BF15),"min", MIN(Instances!BF15:Instances!BF15),"max", MAX(Instances!BF15:Instances!BF15),"diff", MAX(Instances!BF15:Instances!BF15)-MIN(Instances!BF15:Instances!BF15))</f>
        <v>0</v>
      </c>
      <c r="BG15" s="1" cm="1">
        <f t="array" ref="BG15">_xlfn.SWITCH($A$2,"average", AVERAGE(Instances!BG15:Instances!BG15),"median", MEDIAN(Instances!BG15:Instances!BG15),"min", MIN(Instances!BG15:Instances!BG15),"max", MAX(Instances!BG15:Instances!BG15),"diff", MAX(Instances!BG15:Instances!BG15)-MIN(Instances!BG15:Instances!BG15))</f>
        <v>0</v>
      </c>
      <c r="BH15" s="1" cm="1">
        <f t="array" ref="BH15">_xlfn.SWITCH($A$2,"average", AVERAGE(Instances!BH15:Instances!BH15),"median", MEDIAN(Instances!BH15:Instances!BH15),"min", MIN(Instances!BH15:Instances!BH15),"max", MAX(Instances!BH15:Instances!BH15),"diff", MAX(Instances!BH15:Instances!BH15)-MIN(Instances!BH15:Instances!BH15))</f>
        <v>0</v>
      </c>
      <c r="BI15" s="1" cm="1">
        <f t="array" ref="BI15">_xlfn.SWITCH($A$2,"average", AVERAGE(Instances!BI15:Instances!BI15),"median", MEDIAN(Instances!BI15:Instances!BI15),"min", MIN(Instances!BI15:Instances!BI15),"max", MAX(Instances!BI15:Instances!BI15),"diff", MAX(Instances!BI15:Instances!BI15)-MIN(Instances!BI15:Instances!BI15))</f>
        <v>0</v>
      </c>
      <c r="BJ15" s="1" cm="1">
        <f t="array" ref="BJ15">_xlfn.SWITCH($A$2,"average", AVERAGE(Instances!BJ15:Instances!BJ15),"median", MEDIAN(Instances!BJ15:Instances!BJ15),"min", MIN(Instances!BJ15:Instances!BJ15),"max", MAX(Instances!BJ15:Instances!BJ15),"diff", MAX(Instances!BJ15:Instances!BJ15)-MIN(Instances!BJ15:Instances!BJ15))</f>
        <v>0</v>
      </c>
      <c r="BK15" s="1" cm="1">
        <f t="array" ref="BK15">_xlfn.SWITCH($A$2,"average", AVERAGE(Instances!BK15:Instances!BK15),"median", MEDIAN(Instances!BK15:Instances!BK15),"min", MIN(Instances!BK15:Instances!BK15),"max", MAX(Instances!BK15:Instances!BK15),"diff", MAX(Instances!BK15:Instances!BK15)-MIN(Instances!BK15:Instances!BK15))</f>
        <v>0</v>
      </c>
      <c r="BL15" s="1" cm="1">
        <f t="array" ref="BL15">_xlfn.SWITCH($A$2,"average", AVERAGE(Instances!BL15:Instances!BL15),"median", MEDIAN(Instances!BL15:Instances!BL15),"min", MIN(Instances!BL15:Instances!BL15),"max", MAX(Instances!BL15:Instances!BL15),"diff", MAX(Instances!BL15:Instances!BL15)-MIN(Instances!BL15:Instances!BL15))</f>
        <v>0</v>
      </c>
      <c r="BM15" s="1" cm="1">
        <f t="array" ref="BM15">_xlfn.SWITCH($A$2,"average", AVERAGE(Instances!BM15:Instances!BM15),"median", MEDIAN(Instances!BM15:Instances!BM15),"min", MIN(Instances!BM15:Instances!BM15),"max", MAX(Instances!BM15:Instances!BM15),"diff", MAX(Instances!BM15:Instances!BM15)-MIN(Instances!BM15:Instances!BM15))</f>
        <v>0</v>
      </c>
      <c r="BN15" s="1" cm="1">
        <f t="array" ref="BN15">_xlfn.SWITCH($A$2,"average", AVERAGE(Instances!BN15:Instances!BN15),"median", MEDIAN(Instances!BN15:Instances!BN15),"min", MIN(Instances!BN15:Instances!BN15),"max", MAX(Instances!BN15:Instances!BN15),"diff", MAX(Instances!BN15:Instances!BN15)-MIN(Instances!BN15:Instances!BN15))</f>
        <v>0</v>
      </c>
      <c r="BO15" s="1" cm="1">
        <f t="array" ref="BO15">_xlfn.SWITCH($A$2,"average", AVERAGE(Instances!BO15:Instances!BO15),"median", MEDIAN(Instances!BO15:Instances!BO15),"min", MIN(Instances!BO15:Instances!BO15),"max", MAX(Instances!BO15:Instances!BO15),"diff", MAX(Instances!BO15:Instances!BO15)-MIN(Instances!BO15:Instances!BO15))</f>
        <v>0</v>
      </c>
      <c r="BP15" s="1" cm="1">
        <f t="array" ref="BP15">_xlfn.SWITCH($A$2,"average", AVERAGE(Instances!BP15:Instances!BP15),"median", MEDIAN(Instances!BP15:Instances!BP15),"min", MIN(Instances!BP15:Instances!BP15),"max", MAX(Instances!BP15:Instances!BP15),"diff", MAX(Instances!BP15:Instances!BP15)-MIN(Instances!BP15:Instances!BP15))</f>
        <v>0</v>
      </c>
      <c r="BQ15" s="1" cm="1">
        <f t="array" ref="BQ15">_xlfn.SWITCH($A$2,"average", AVERAGE(Instances!BQ15:Instances!BQ15),"median", MEDIAN(Instances!BQ15:Instances!BQ15),"min", MIN(Instances!BQ15:Instances!BQ15),"max", MAX(Instances!BQ15:Instances!BQ15),"diff", MAX(Instances!BQ15:Instances!BQ15)-MIN(Instances!BQ15:Instances!BQ15))</f>
        <v>0</v>
      </c>
      <c r="BR15" s="1"/>
      <c r="BS15" s="1" cm="1">
        <f t="array" ref="BS15">_xlfn.SWITCH($A$2,"average", AVERAGE(Instances!BS15:Instances!BS15),"median", MEDIAN(Instances!BS15:Instances!BS15),"min", MIN(Instances!BS15:Instances!BS15),"max", MAX(Instances!BS15:Instances!BS15),"diff", MAX(Instances!BS15:Instances!BS15)-MIN(Instances!BS15:Instances!BS15))</f>
        <v>0</v>
      </c>
      <c r="BT15" s="1" cm="1">
        <f t="array" ref="BT15">_xlfn.SWITCH($A$2,"average", AVERAGE(Instances!BT15:Instances!BT15),"median", MEDIAN(Instances!BT15:Instances!BT15),"min", MIN(Instances!BT15:Instances!BT15),"max", MAX(Instances!BT15:Instances!BT15),"diff", MAX(Instances!BT15:Instances!BT15)-MIN(Instances!BT15:Instances!BT15))</f>
        <v>0</v>
      </c>
      <c r="BU15" s="1" cm="1">
        <f t="array" ref="BU15">_xlfn.SWITCH($A$2,"average", AVERAGE(Instances!BU15:Instances!BU15),"median", MEDIAN(Instances!BU15:Instances!BU15),"min", MIN(Instances!BU15:Instances!BU15),"max", MAX(Instances!BU15:Instances!BU15),"diff", MAX(Instances!BU15:Instances!BU15)-MIN(Instances!BU15:Instances!BU15))</f>
        <v>0</v>
      </c>
      <c r="BV15" s="1" cm="1">
        <f t="array" ref="BV15">_xlfn.SWITCH($A$2,"average", AVERAGE(Instances!BV15:Instances!BV15),"median", MEDIAN(Instances!BV15:Instances!BV15),"min", MIN(Instances!BV15:Instances!BV15),"max", MAX(Instances!BV15:Instances!BV15),"diff", MAX(Instances!BV15:Instances!BV15)-MIN(Instances!BV15:Instances!BV15))</f>
        <v>0</v>
      </c>
      <c r="BW15" s="1" cm="1">
        <f t="array" ref="BW15">_xlfn.SWITCH($A$2,"average", AVERAGE(Instances!BW15:Instances!BW15),"median", MEDIAN(Instances!BW15:Instances!BW15),"min", MIN(Instances!BW15:Instances!BW15),"max", MAX(Instances!BW15:Instances!BW15),"diff", MAX(Instances!BW15:Instances!BW15)-MIN(Instances!BW15:Instances!BW15))</f>
        <v>0</v>
      </c>
      <c r="BX15" s="1" cm="1">
        <f t="array" ref="BX15">_xlfn.SWITCH($A$2,"average", AVERAGE(Instances!BX15:Instances!BX15),"median", MEDIAN(Instances!BX15:Instances!BX15),"min", MIN(Instances!BX15:Instances!BX15),"max", MAX(Instances!BX15:Instances!BX15),"diff", MAX(Instances!BX15:Instances!BX15)-MIN(Instances!BX15:Instances!BX15))</f>
        <v>0</v>
      </c>
      <c r="BY15" s="1" cm="1">
        <f t="array" ref="BY15">_xlfn.SWITCH($A$2,"average", AVERAGE(Instances!BY15:Instances!BY15),"median", MEDIAN(Instances!BY15:Instances!BY15),"min", MIN(Instances!BY15:Instances!BY15),"max", MAX(Instances!BY15:Instances!BY15),"diff", MAX(Instances!BY15:Instances!BY15)-MIN(Instances!BY15:Instances!BY15))</f>
        <v>0</v>
      </c>
      <c r="BZ15" s="1" cm="1">
        <f t="array" ref="BZ15">_xlfn.SWITCH($A$2,"average", AVERAGE(Instances!BZ15:Instances!BZ15),"median", MEDIAN(Instances!BZ15:Instances!BZ15),"min", MIN(Instances!BZ15:Instances!BZ15),"max", MAX(Instances!BZ15:Instances!BZ15),"diff", MAX(Instances!BZ15:Instances!BZ15)-MIN(Instances!BZ15:Instances!BZ15))</f>
        <v>0</v>
      </c>
      <c r="CA15" s="1" cm="1">
        <f t="array" ref="CA15">_xlfn.SWITCH($A$2,"average", AVERAGE(Instances!CA15:Instances!CA15),"median", MEDIAN(Instances!CA15:Instances!CA15),"min", MIN(Instances!CA15:Instances!CA15),"max", MAX(Instances!CA15:Instances!CA15),"diff", MAX(Instances!CA15:Instances!CA15)-MIN(Instances!CA15:Instances!CA15))</f>
        <v>0</v>
      </c>
      <c r="CB15" s="1" cm="1">
        <f t="array" ref="CB15">_xlfn.SWITCH($A$2,"average", AVERAGE(Instances!CB15:Instances!CB15),"median", MEDIAN(Instances!CB15:Instances!CB15),"min", MIN(Instances!CB15:Instances!CB15),"max", MAX(Instances!CB15:Instances!CB15),"diff", MAX(Instances!CB15:Instances!CB15)-MIN(Instances!CB15:Instances!CB15))</f>
        <v>0</v>
      </c>
      <c r="CC15" s="1" cm="1">
        <f t="array" ref="CC15">_xlfn.SWITCH($A$2,"average", AVERAGE(Instances!CC15:Instances!CC15),"median", MEDIAN(Instances!CC15:Instances!CC15),"min", MIN(Instances!CC15:Instances!CC15),"max", MAX(Instances!CC15:Instances!CC15),"diff", MAX(Instances!CC15:Instances!CC15)-MIN(Instances!CC15:Instances!CC15))</f>
        <v>0</v>
      </c>
      <c r="CD15" s="1" cm="1">
        <f t="array" ref="CD15">_xlfn.SWITCH($A$2,"average", AVERAGE(Instances!CD15:Instances!CD15),"median", MEDIAN(Instances!CD15:Instances!CD15),"min", MIN(Instances!CD15:Instances!CD15),"max", MAX(Instances!CD15:Instances!CD15),"diff", MAX(Instances!CD15:Instances!CD15)-MIN(Instances!CD15:Instances!CD15))</f>
        <v>0</v>
      </c>
      <c r="CE15" s="1" cm="1">
        <f t="array" ref="CE15">_xlfn.SWITCH($A$2,"average", AVERAGE(Instances!CE15:Instances!CE15),"median", MEDIAN(Instances!CE15:Instances!CE15),"min", MIN(Instances!CE15:Instances!CE15),"max", MAX(Instances!CE15:Instances!CE15),"diff", MAX(Instances!CE15:Instances!CE15)-MIN(Instances!CE15:Instances!CE15))</f>
        <v>0</v>
      </c>
      <c r="CF15" s="1" cm="1">
        <f t="array" ref="CF15">_xlfn.SWITCH($A$2,"average", AVERAGE(Instances!CF15:Instances!CF15),"median", MEDIAN(Instances!CF15:Instances!CF15),"min", MIN(Instances!CF15:Instances!CF15),"max", MAX(Instances!CF15:Instances!CF15),"diff", MAX(Instances!CF15:Instances!CF15)-MIN(Instances!CF15:Instances!CF15))</f>
        <v>0</v>
      </c>
      <c r="CG15" s="1" cm="1">
        <f t="array" ref="CG15">_xlfn.SWITCH($A$2,"average", AVERAGE(Instances!CG15:Instances!CG15),"median", MEDIAN(Instances!CG15:Instances!CG15),"min", MIN(Instances!CG15:Instances!CG15),"max", MAX(Instances!CG15:Instances!CG15),"diff", MAX(Instances!CG15:Instances!CG15)-MIN(Instances!CG15:Instances!CG15))</f>
        <v>0</v>
      </c>
      <c r="CH15" s="1" cm="1">
        <f t="array" ref="CH15">_xlfn.SWITCH($A$2,"average", AVERAGE(Instances!CH15:Instances!CH15),"median", MEDIAN(Instances!CH15:Instances!CH15),"min", MIN(Instances!CH15:Instances!CH15),"max", MAX(Instances!CH15:Instances!CH15),"diff", MAX(Instances!CH15:Instances!CH15)-MIN(Instances!CH15:Instances!CH15))</f>
        <v>0</v>
      </c>
      <c r="CI15" s="1" cm="1">
        <f t="array" ref="CI15">_xlfn.SWITCH($A$2,"average", AVERAGE(Instances!CI15:Instances!CI15),"median", MEDIAN(Instances!CI15:Instances!CI15),"min", MIN(Instances!CI15:Instances!CI15),"max", MAX(Instances!CI15:Instances!CI15),"diff", MAX(Instances!CI15:Instances!CI15)-MIN(Instances!CI15:Instances!CI15))</f>
        <v>0</v>
      </c>
      <c r="CJ15" s="1"/>
      <c r="CK15" s="1" cm="1">
        <f t="array" ref="CK15">_xlfn.SWITCH($A$2,"average", AVERAGE(Instances!CK15:Instances!CK15),"median", MEDIAN(Instances!CK15:Instances!CK15),"min", MIN(Instances!CK15:Instances!CK15),"max", MAX(Instances!CK15:Instances!CK15),"diff", MAX(Instances!CK15:Instances!CK15)-MIN(Instances!CK15:Instances!CK15))</f>
        <v>0</v>
      </c>
      <c r="CL15" s="1" cm="1">
        <f t="array" ref="CL15">_xlfn.SWITCH($A$2,"average", AVERAGE(Instances!CL15:Instances!CL15),"median", MEDIAN(Instances!CL15:Instances!CL15),"min", MIN(Instances!CL15:Instances!CL15),"max", MAX(Instances!CL15:Instances!CL15),"diff", MAX(Instances!CL15:Instances!CL15)-MIN(Instances!CL15:Instances!CL15))</f>
        <v>0</v>
      </c>
      <c r="CM15" s="1" cm="1">
        <f t="array" ref="CM15">_xlfn.SWITCH($A$2,"average", AVERAGE(Instances!CM15:Instances!CM15),"median", MEDIAN(Instances!CM15:Instances!CM15),"min", MIN(Instances!CM15:Instances!CM15),"max", MAX(Instances!CM15:Instances!CM15),"diff", MAX(Instances!CM15:Instances!CM15)-MIN(Instances!CM15:Instances!CM15))</f>
        <v>0</v>
      </c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 cm="1">
        <f t="array" ref="DX15">_xlfn.SWITCH($A$2,"average", AVERAGE(Instances!DX15:Instances!DX15),"median", MEDIAN(Instances!DX15:Instances!DX15),"min", MIN(Instances!DX15:Instances!DX15),"max", MAX(Instances!DX15:Instances!DX15),"diff", MAX(Instances!DX15:Instances!DX15)-MIN(Instances!DX15:Instances!DX15))</f>
        <v>0</v>
      </c>
      <c r="DY15" s="1" cm="1">
        <f t="array" ref="DY15">_xlfn.SWITCH($A$2,"average", AVERAGE(Instances!DY15:Instances!DY15),"median", MEDIAN(Instances!DY15:Instances!DY15),"min", MIN(Instances!DY15:Instances!DY15),"max", MAX(Instances!DY15:Instances!DY15),"diff", MAX(Instances!DY15:Instances!DY15)-MIN(Instances!DY15:Instances!DY15))</f>
        <v>0</v>
      </c>
      <c r="DZ15" s="1" cm="1">
        <f t="array" ref="DZ15">_xlfn.SWITCH($A$2,"average", AVERAGE(Instances!DZ15:Instances!DZ15),"median", MEDIAN(Instances!DZ15:Instances!DZ15),"min", MIN(Instances!DZ15:Instances!DZ15),"max", MAX(Instances!DZ15:Instances!DZ15),"diff", MAX(Instances!DZ15:Instances!DZ15)-MIN(Instances!DZ15:Instances!DZ15))</f>
        <v>0</v>
      </c>
      <c r="EA15" s="1" cm="1">
        <f t="array" ref="EA15">_xlfn.SWITCH($A$2,"average", AVERAGE(Instances!EA15:Instances!EA15),"median", MEDIAN(Instances!EA15:Instances!EA15),"min", MIN(Instances!EA15:Instances!EA15),"max", MAX(Instances!EA15:Instances!EA15),"diff", MAX(Instances!EA15:Instances!EA15)-MIN(Instances!EA15:Instances!EA15))</f>
        <v>0</v>
      </c>
      <c r="EB15" s="1" cm="1">
        <f t="array" ref="EB15">_xlfn.SWITCH($A$2,"average", AVERAGE(Instances!EB15:Instances!EB15),"median", MEDIAN(Instances!EB15:Instances!EB15),"min", MIN(Instances!EB15:Instances!EB15),"max", MAX(Instances!EB15:Instances!EB15),"diff", MAX(Instances!EB15:Instances!EB15)-MIN(Instances!EB15:Instances!EB15))</f>
        <v>0</v>
      </c>
      <c r="EC15" s="1" cm="1">
        <f t="array" ref="EC15">_xlfn.SWITCH($A$2,"average", AVERAGE(Instances!EC15:Instances!EC15),"median", MEDIAN(Instances!EC15:Instances!EC15),"min", MIN(Instances!EC15:Instances!EC15),"max", MAX(Instances!EC15:Instances!EC15),"diff", MAX(Instances!EC15:Instances!EC15)-MIN(Instances!EC15:Instances!EC15))</f>
        <v>0</v>
      </c>
      <c r="ED15" s="1" cm="1">
        <f t="array" ref="ED15">_xlfn.SWITCH($A$2,"average", AVERAGE(Instances!ED15:Instances!ED15),"median", MEDIAN(Instances!ED15:Instances!ED15),"min", MIN(Instances!ED15:Instances!ED15),"max", MAX(Instances!ED15:Instances!ED15),"diff", MAX(Instances!ED15:Instances!ED15)-MIN(Instances!ED15:Instances!ED15))</f>
        <v>0</v>
      </c>
      <c r="EE15" s="1" cm="1">
        <f t="array" ref="EE15">_xlfn.SWITCH($A$2,"average", AVERAGE(Instances!EE15:Instances!EE15),"median", MEDIAN(Instances!EE15:Instances!EE15),"min", MIN(Instances!EE15:Instances!EE15),"max", MAX(Instances!EE15:Instances!EE15),"diff", MAX(Instances!EE15:Instances!EE15)-MIN(Instances!EE15:Instances!EE15))</f>
        <v>0</v>
      </c>
      <c r="EF15" s="1" cm="1">
        <f t="array" ref="EF15">_xlfn.SWITCH($A$2,"average", AVERAGE(Instances!EF15:Instances!EF15),"median", MEDIAN(Instances!EF15:Instances!EF15),"min", MIN(Instances!EF15:Instances!EF15),"max", MAX(Instances!EF15:Instances!EF15),"diff", MAX(Instances!EF15:Instances!EF15)-MIN(Instances!EF15:Instances!EF15))</f>
        <v>0</v>
      </c>
      <c r="EG15" s="1" cm="1">
        <f t="array" ref="EG15">_xlfn.SWITCH($A$2,"average", AVERAGE(Instances!EG15:Instances!EG15),"median", MEDIAN(Instances!EG15:Instances!EG15),"min", MIN(Instances!EG15:Instances!EG15),"max", MAX(Instances!EG15:Instances!EG15),"diff", MAX(Instances!EG15:Instances!EG15)-MIN(Instances!EG15:Instances!EG15))</f>
        <v>0</v>
      </c>
      <c r="EH15" s="1" cm="1">
        <f t="array" ref="EH15">_xlfn.SWITCH($A$2,"average", AVERAGE(Instances!EH15:Instances!EH15),"median", MEDIAN(Instances!EH15:Instances!EH15),"min", MIN(Instances!EH15:Instances!EH15),"max", MAX(Instances!EH15:Instances!EH15),"diff", MAX(Instances!EH15:Instances!EH15)-MIN(Instances!EH15:Instances!EH15))</f>
        <v>0</v>
      </c>
      <c r="EI15" s="1" cm="1">
        <f t="array" ref="EI15">_xlfn.SWITCH($A$2,"average", AVERAGE(Instances!EI15:Instances!EI15),"median", MEDIAN(Instances!EI15:Instances!EI15),"min", MIN(Instances!EI15:Instances!EI15),"max", MAX(Instances!EI15:Instances!EI15),"diff", MAX(Instances!EI15:Instances!EI15)-MIN(Instances!EI15:Instances!EI15))</f>
        <v>0</v>
      </c>
      <c r="EJ15" s="1" cm="1">
        <f t="array" ref="EJ15">_xlfn.SWITCH($A$2,"average", AVERAGE(Instances!EJ15:Instances!EJ15),"median", MEDIAN(Instances!EJ15:Instances!EJ15),"min", MIN(Instances!EJ15:Instances!EJ15),"max", MAX(Instances!EJ15:Instances!EJ15),"diff", MAX(Instances!EJ15:Instances!EJ15)-MIN(Instances!EJ15:Instances!EJ15))</f>
        <v>0</v>
      </c>
      <c r="EK15" s="1" cm="1">
        <f t="array" ref="EK15">_xlfn.SWITCH($A$2,"average", AVERAGE(Instances!EK15:Instances!EK15),"median", MEDIAN(Instances!EK15:Instances!EK15),"min", MIN(Instances!EK15:Instances!EK15),"max", MAX(Instances!EK15:Instances!EK15),"diff", MAX(Instances!EK15:Instances!EK15)-MIN(Instances!EK15:Instances!EK15))</f>
        <v>0</v>
      </c>
      <c r="EL15" s="1"/>
      <c r="EM15" s="1" cm="1">
        <f t="array" ref="EM15">_xlfn.SWITCH($A$2,"average", AVERAGE(Instances!EM15:Instances!EM15),"median", MEDIAN(Instances!EM15:Instances!EM15),"min", MIN(Instances!EM15:Instances!EM15),"max", MAX(Instances!EM15:Instances!EM15),"diff", MAX(Instances!EM15:Instances!EM15)-MIN(Instances!EM15:Instances!EM15))</f>
        <v>0</v>
      </c>
      <c r="EN15" s="1" cm="1">
        <f t="array" ref="EN15">_xlfn.SWITCH($A$2,"average", AVERAGE(Instances!EN15:Instances!EN15),"median", MEDIAN(Instances!EN15:Instances!EN15),"min", MIN(Instances!EN15:Instances!EN15),"max", MAX(Instances!EN15:Instances!EN15),"diff", MAX(Instances!EN15:Instances!EN15)-MIN(Instances!EN15:Instances!EN15))</f>
        <v>0</v>
      </c>
      <c r="EO15" s="1" cm="1">
        <f t="array" ref="EO15">_xlfn.SWITCH($A$2,"average", AVERAGE(Instances!EO15:Instances!EO15),"median", MEDIAN(Instances!EO15:Instances!EO15),"min", MIN(Instances!EO15:Instances!EO15),"max", MAX(Instances!EO15:Instances!EO15),"diff", MAX(Instances!EO15:Instances!EO15)-MIN(Instances!EO15:Instances!EO15))</f>
        <v>0</v>
      </c>
      <c r="EP15" s="1" cm="1">
        <f t="array" ref="EP15">_xlfn.SWITCH($A$2,"average", AVERAGE(Instances!EP15:Instances!EP15),"median", MEDIAN(Instances!EP15:Instances!EP15),"min", MIN(Instances!EP15:Instances!EP15),"max", MAX(Instances!EP15:Instances!EP15),"diff", MAX(Instances!EP15:Instances!EP15)-MIN(Instances!EP15:Instances!EP15))</f>
        <v>0</v>
      </c>
      <c r="EQ15" s="1" cm="1">
        <f t="array" ref="EQ15">_xlfn.SWITCH($A$2,"average", AVERAGE(Instances!EQ15:Instances!EQ15),"median", MEDIAN(Instances!EQ15:Instances!EQ15),"min", MIN(Instances!EQ15:Instances!EQ15),"max", MAX(Instances!EQ15:Instances!EQ15),"diff", MAX(Instances!EQ15:Instances!EQ15)-MIN(Instances!EQ15:Instances!EQ15))</f>
        <v>0</v>
      </c>
      <c r="ER15" s="1" cm="1">
        <f t="array" ref="ER15">_xlfn.SWITCH($A$2,"average", AVERAGE(Instances!ER15:Instances!ER15),"median", MEDIAN(Instances!ER15:Instances!ER15),"min", MIN(Instances!ER15:Instances!ER15),"max", MAX(Instances!ER15:Instances!ER15),"diff", MAX(Instances!ER15:Instances!ER15)-MIN(Instances!ER15:Instances!ER15))</f>
        <v>0</v>
      </c>
      <c r="ES15" s="1" cm="1">
        <f t="array" ref="ES15">_xlfn.SWITCH($A$2,"average", AVERAGE(Instances!ES15:Instances!ES15),"median", MEDIAN(Instances!ES15:Instances!ES15),"min", MIN(Instances!ES15:Instances!ES15),"max", MAX(Instances!ES15:Instances!ES15),"diff", MAX(Instances!ES15:Instances!ES15)-MIN(Instances!ES15:Instances!ES15))</f>
        <v>0</v>
      </c>
      <c r="ET15" s="1" cm="1">
        <f t="array" ref="ET15">_xlfn.SWITCH($A$2,"average", AVERAGE(Instances!ET15:Instances!ET15),"median", MEDIAN(Instances!ET15:Instances!ET15),"min", MIN(Instances!ET15:Instances!ET15),"max", MAX(Instances!ET15:Instances!ET15),"diff", MAX(Instances!ET15:Instances!ET15)-MIN(Instances!ET15:Instances!ET15))</f>
        <v>0</v>
      </c>
      <c r="EU15" s="1" cm="1">
        <f t="array" ref="EU15">_xlfn.SWITCH($A$2,"average", AVERAGE(Instances!EU15:Instances!EU15),"median", MEDIAN(Instances!EU15:Instances!EU15),"min", MIN(Instances!EU15:Instances!EU15),"max", MAX(Instances!EU15:Instances!EU15),"diff", MAX(Instances!EU15:Instances!EU15)-MIN(Instances!EU15:Instances!EU15))</f>
        <v>0</v>
      </c>
      <c r="EV15" s="1" cm="1">
        <f t="array" ref="EV15">_xlfn.SWITCH($A$2,"average", AVERAGE(Instances!EV15:Instances!EV15),"median", MEDIAN(Instances!EV15:Instances!EV15),"min", MIN(Instances!EV15:Instances!EV15),"max", MAX(Instances!EV15:Instances!EV15),"diff", MAX(Instances!EV15:Instances!EV15)-MIN(Instances!EV15:Instances!EV15))</f>
        <v>0</v>
      </c>
      <c r="EW15" s="1" cm="1">
        <f t="array" ref="EW15">_xlfn.SWITCH($A$2,"average", AVERAGE(Instances!EW15:Instances!EW15),"median", MEDIAN(Instances!EW15:Instances!EW15),"min", MIN(Instances!EW15:Instances!EW15),"max", MAX(Instances!EW15:Instances!EW15),"diff", MAX(Instances!EW15:Instances!EW15)-MIN(Instances!EW15:Instances!EW15))</f>
        <v>0</v>
      </c>
      <c r="EX15" s="1" cm="1">
        <f t="array" ref="EX15">_xlfn.SWITCH($A$2,"average", AVERAGE(Instances!EX15:Instances!EX15),"median", MEDIAN(Instances!EX15:Instances!EX15),"min", MIN(Instances!EX15:Instances!EX15),"max", MAX(Instances!EX15:Instances!EX15),"diff", MAX(Instances!EX15:Instances!EX15)-MIN(Instances!EX15:Instances!EX15))</f>
        <v>0</v>
      </c>
      <c r="EY15" s="1" cm="1">
        <f t="array" ref="EY15">_xlfn.SWITCH($A$2,"average", AVERAGE(Instances!EY15:Instances!EY15),"median", MEDIAN(Instances!EY15:Instances!EY15),"min", MIN(Instances!EY15:Instances!EY15),"max", MAX(Instances!EY15:Instances!EY15),"diff", MAX(Instances!EY15:Instances!EY15)-MIN(Instances!EY15:Instances!EY15))</f>
        <v>0</v>
      </c>
      <c r="EZ15" s="1" cm="1">
        <f t="array" ref="EZ15">_xlfn.SWITCH($A$2,"average", AVERAGE(Instances!EZ15:Instances!EZ15),"median", MEDIAN(Instances!EZ15:Instances!EZ15),"min", MIN(Instances!EZ15:Instances!EZ15),"max", MAX(Instances!EZ15:Instances!EZ15),"diff", MAX(Instances!EZ15:Instances!EZ15)-MIN(Instances!EZ15:Instances!EZ15))</f>
        <v>0</v>
      </c>
      <c r="FA15" s="1" cm="1">
        <f t="array" ref="FA15">_xlfn.SWITCH($A$2,"average", AVERAGE(Instances!FA15:Instances!FA15),"median", MEDIAN(Instances!FA15:Instances!FA15),"min", MIN(Instances!FA15:Instances!FA15),"max", MAX(Instances!FA15:Instances!FA15),"diff", MAX(Instances!FA15:Instances!FA15)-MIN(Instances!FA15:Instances!FA15))</f>
        <v>0</v>
      </c>
      <c r="FB15" s="1" cm="1">
        <f t="array" ref="FB15">_xlfn.SWITCH($A$2,"average", AVERAGE(Instances!FB15:Instances!FB15),"median", MEDIAN(Instances!FB15:Instances!FB15),"min", MIN(Instances!FB15:Instances!FB15),"max", MAX(Instances!FB15:Instances!FB15),"diff", MAX(Instances!FB15:Instances!FB15)-MIN(Instances!FB15:Instances!FB15))</f>
        <v>0</v>
      </c>
      <c r="FC15" s="1" cm="1">
        <f t="array" ref="FC15">_xlfn.SWITCH($A$2,"average", AVERAGE(Instances!FC15:Instances!FC15),"median", MEDIAN(Instances!FC15:Instances!FC15),"min", MIN(Instances!FC15:Instances!FC15),"max", MAX(Instances!FC15:Instances!FC15),"diff", MAX(Instances!FC15:Instances!FC15)-MIN(Instances!FC15:Instances!FC15))</f>
        <v>0</v>
      </c>
      <c r="FD15" s="1"/>
      <c r="FE15" s="1" cm="1">
        <f t="array" ref="FE15">_xlfn.SWITCH($A$2,"average", AVERAGE(Instances!FE15:Instances!FE15),"median", MEDIAN(Instances!FE15:Instances!FE15),"min", MIN(Instances!FE15:Instances!FE15),"max", MAX(Instances!FE15:Instances!FE15),"diff", MAX(Instances!FE15:Instances!FE15)-MIN(Instances!FE15:Instances!FE15))</f>
        <v>0</v>
      </c>
      <c r="FF15" s="1" cm="1">
        <f t="array" ref="FF15">_xlfn.SWITCH($A$2,"average", AVERAGE(Instances!FF15:Instances!FF15),"median", MEDIAN(Instances!FF15:Instances!FF15),"min", MIN(Instances!FF15:Instances!FF15),"max", MAX(Instances!FF15:Instances!FF15),"diff", MAX(Instances!FF15:Instances!FF15)-MIN(Instances!FF15:Instances!FF15))</f>
        <v>0</v>
      </c>
      <c r="FG15" s="1" cm="1">
        <f t="array" ref="FG15">_xlfn.SWITCH($A$2,"average", AVERAGE(Instances!FG15:Instances!FG15),"median", MEDIAN(Instances!FG15:Instances!FG15),"min", MIN(Instances!FG15:Instances!FG15),"max", MAX(Instances!FG15:Instances!FG15),"diff", MAX(Instances!FG15:Instances!FG15)-MIN(Instances!FG15:Instances!FG15))</f>
        <v>0</v>
      </c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 cm="1">
        <f t="array" ref="FZ15">_xlfn.SWITCH($A$2,"average", AVERAGE(Instances!FZ15:Instances!FZ15),"median", MEDIAN(Instances!FZ15:Instances!FZ15),"min", MIN(Instances!FZ15:Instances!FZ15),"max", MAX(Instances!FZ15:Instances!FZ15),"diff", MAX(Instances!FZ15:Instances!FZ15)-MIN(Instances!FZ15:Instances!FZ15))</f>
        <v>0</v>
      </c>
      <c r="GA15" s="1" cm="1">
        <f t="array" ref="GA15">_xlfn.SWITCH($A$2,"average", AVERAGE(Instances!GA15:Instances!GA15),"median", MEDIAN(Instances!GA15:Instances!GA15),"min", MIN(Instances!GA15:Instances!GA15),"max", MAX(Instances!GA15:Instances!GA15),"diff", MAX(Instances!GA15:Instances!GA15)-MIN(Instances!GA15:Instances!GA15))</f>
        <v>0</v>
      </c>
      <c r="GB15" s="1" cm="1">
        <f t="array" ref="GB15">_xlfn.SWITCH($A$2,"average", AVERAGE(Instances!GB15:Instances!GB15),"median", MEDIAN(Instances!GB15:Instances!GB15),"min", MIN(Instances!GB15:Instances!GB15),"max", MAX(Instances!GB15:Instances!GB15),"diff", MAX(Instances!GB15:Instances!GB15)-MIN(Instances!GB15:Instances!GB15))</f>
        <v>0</v>
      </c>
      <c r="GC15" s="1" cm="1">
        <f t="array" ref="GC15">_xlfn.SWITCH($A$2,"average", AVERAGE(Instances!GC15:Instances!GC15),"median", MEDIAN(Instances!GC15:Instances!GC15),"min", MIN(Instances!GC15:Instances!GC15),"max", MAX(Instances!GC15:Instances!GC15),"diff", MAX(Instances!GC15:Instances!GC15)-MIN(Instances!GC15:Instances!GC15))</f>
        <v>0</v>
      </c>
      <c r="GD15" s="1" cm="1">
        <f t="array" ref="GD15">_xlfn.SWITCH($A$2,"average", AVERAGE(Instances!GD15:Instances!GD15),"median", MEDIAN(Instances!GD15:Instances!GD15),"min", MIN(Instances!GD15:Instances!GD15),"max", MAX(Instances!GD15:Instances!GD15),"diff", MAX(Instances!GD15:Instances!GD15)-MIN(Instances!GD15:Instances!GD15))</f>
        <v>0</v>
      </c>
      <c r="GE15" s="1" cm="1">
        <f t="array" ref="GE15">_xlfn.SWITCH($A$2,"average", AVERAGE(Instances!GE15:Instances!GE15),"median", MEDIAN(Instances!GE15:Instances!GE15),"min", MIN(Instances!GE15:Instances!GE15),"max", MAX(Instances!GE15:Instances!GE15),"diff", MAX(Instances!GE15:Instances!GE15)-MIN(Instances!GE15:Instances!GE15))</f>
        <v>0</v>
      </c>
      <c r="GF15" s="1" cm="1">
        <f t="array" ref="GF15">_xlfn.SWITCH($A$2,"average", AVERAGE(Instances!GF15:Instances!GF15),"median", MEDIAN(Instances!GF15:Instances!GF15),"min", MIN(Instances!GF15:Instances!GF15),"max", MAX(Instances!GF15:Instances!GF15),"diff", MAX(Instances!GF15:Instances!GF15)-MIN(Instances!GF15:Instances!GF15))</f>
        <v>0</v>
      </c>
      <c r="GG15" s="1" cm="1">
        <f t="array" ref="GG15">_xlfn.SWITCH($A$2,"average", AVERAGE(Instances!GG15:Instances!GG15),"median", MEDIAN(Instances!GG15:Instances!GG15),"min", MIN(Instances!GG15:Instances!GG15),"max", MAX(Instances!GG15:Instances!GG15),"diff", MAX(Instances!GG15:Instances!GG15)-MIN(Instances!GG15:Instances!GG15))</f>
        <v>0</v>
      </c>
      <c r="GH15" s="1" cm="1">
        <f t="array" ref="GH15">_xlfn.SWITCH($A$2,"average", AVERAGE(Instances!GH15:Instances!GH15),"median", MEDIAN(Instances!GH15:Instances!GH15),"min", MIN(Instances!GH15:Instances!GH15),"max", MAX(Instances!GH15:Instances!GH15),"diff", MAX(Instances!GH15:Instances!GH15)-MIN(Instances!GH15:Instances!GH15))</f>
        <v>0</v>
      </c>
      <c r="GI15" s="1" cm="1">
        <f t="array" ref="GI15">_xlfn.SWITCH($A$2,"average", AVERAGE(Instances!GI15:Instances!GI15),"median", MEDIAN(Instances!GI15:Instances!GI15),"min", MIN(Instances!GI15:Instances!GI15),"max", MAX(Instances!GI15:Instances!GI15),"diff", MAX(Instances!GI15:Instances!GI15)-MIN(Instances!GI15:Instances!GI15))</f>
        <v>0</v>
      </c>
      <c r="GJ15" s="1" cm="1">
        <f t="array" ref="GJ15">_xlfn.SWITCH($A$2,"average", AVERAGE(Instances!GJ15:Instances!GJ15),"median", MEDIAN(Instances!GJ15:Instances!GJ15),"min", MIN(Instances!GJ15:Instances!GJ15),"max", MAX(Instances!GJ15:Instances!GJ15),"diff", MAX(Instances!GJ15:Instances!GJ15)-MIN(Instances!GJ15:Instances!GJ15))</f>
        <v>0</v>
      </c>
      <c r="GK15" s="1" cm="1">
        <f t="array" ref="GK15">_xlfn.SWITCH($A$2,"average", AVERAGE(Instances!GK15:Instances!GK15),"median", MEDIAN(Instances!GK15:Instances!GK15),"min", MIN(Instances!GK15:Instances!GK15),"max", MAX(Instances!GK15:Instances!GK15),"diff", MAX(Instances!GK15:Instances!GK15)-MIN(Instances!GK15:Instances!GK15))</f>
        <v>0</v>
      </c>
      <c r="GL15" s="1" cm="1">
        <f t="array" ref="GL15">_xlfn.SWITCH($A$2,"average", AVERAGE(Instances!GL15:Instances!GL15),"median", MEDIAN(Instances!GL15:Instances!GL15),"min", MIN(Instances!GL15:Instances!GL15),"max", MAX(Instances!GL15:Instances!GL15),"diff", MAX(Instances!GL15:Instances!GL15)-MIN(Instances!GL15:Instances!GL15))</f>
        <v>0</v>
      </c>
      <c r="GM15" s="1" cm="1">
        <f t="array" ref="GM15">_xlfn.SWITCH($A$2,"average", AVERAGE(Instances!GM15:Instances!GM15),"median", MEDIAN(Instances!GM15:Instances!GM15),"min", MIN(Instances!GM15:Instances!GM15),"max", MAX(Instances!GM15:Instances!GM15),"diff", MAX(Instances!GM15:Instances!GM15)-MIN(Instances!GM15:Instances!GM15))</f>
        <v>0</v>
      </c>
      <c r="GN15" s="1"/>
      <c r="GO15" s="1" cm="1">
        <f t="array" ref="GO15">_xlfn.SWITCH($A$2,"average", AVERAGE(Instances!GO15:Instances!GO15),"median", MEDIAN(Instances!GO15:Instances!GO15),"min", MIN(Instances!GO15:Instances!GO15),"max", MAX(Instances!GO15:Instances!GO15),"diff", MAX(Instances!GO15:Instances!GO15)-MIN(Instances!GO15:Instances!GO15))</f>
        <v>0</v>
      </c>
      <c r="GP15" s="1" cm="1">
        <f t="array" ref="GP15">_xlfn.SWITCH($A$2,"average", AVERAGE(Instances!GP15:Instances!GP15),"median", MEDIAN(Instances!GP15:Instances!GP15),"min", MIN(Instances!GP15:Instances!GP15),"max", MAX(Instances!GP15:Instances!GP15),"diff", MAX(Instances!GP15:Instances!GP15)-MIN(Instances!GP15:Instances!GP15))</f>
        <v>0</v>
      </c>
      <c r="GQ15" s="1" cm="1">
        <f t="array" ref="GQ15">_xlfn.SWITCH($A$2,"average", AVERAGE(Instances!GQ15:Instances!GQ15),"median", MEDIAN(Instances!GQ15:Instances!GQ15),"min", MIN(Instances!GQ15:Instances!GQ15),"max", MAX(Instances!GQ15:Instances!GQ15),"diff", MAX(Instances!GQ15:Instances!GQ15)-MIN(Instances!GQ15:Instances!GQ15))</f>
        <v>0</v>
      </c>
      <c r="GR15" s="1" cm="1">
        <f t="array" ref="GR15">_xlfn.SWITCH($A$2,"average", AVERAGE(Instances!GR15:Instances!GR15),"median", MEDIAN(Instances!GR15:Instances!GR15),"min", MIN(Instances!GR15:Instances!GR15),"max", MAX(Instances!GR15:Instances!GR15),"diff", MAX(Instances!GR15:Instances!GR15)-MIN(Instances!GR15:Instances!GR15))</f>
        <v>0</v>
      </c>
      <c r="GS15" s="1" cm="1">
        <f t="array" ref="GS15">_xlfn.SWITCH($A$2,"average", AVERAGE(Instances!GS15:Instances!GS15),"median", MEDIAN(Instances!GS15:Instances!GS15),"min", MIN(Instances!GS15:Instances!GS15),"max", MAX(Instances!GS15:Instances!GS15),"diff", MAX(Instances!GS15:Instances!GS15)-MIN(Instances!GS15:Instances!GS15))</f>
        <v>0</v>
      </c>
      <c r="GT15" s="1" cm="1">
        <f t="array" ref="GT15">_xlfn.SWITCH($A$2,"average", AVERAGE(Instances!GT15:Instances!GT15),"median", MEDIAN(Instances!GT15:Instances!GT15),"min", MIN(Instances!GT15:Instances!GT15),"max", MAX(Instances!GT15:Instances!GT15),"diff", MAX(Instances!GT15:Instances!GT15)-MIN(Instances!GT15:Instances!GT15))</f>
        <v>0</v>
      </c>
      <c r="GU15" s="1" cm="1">
        <f t="array" ref="GU15">_xlfn.SWITCH($A$2,"average", AVERAGE(Instances!GU15:Instances!GU15),"median", MEDIAN(Instances!GU15:Instances!GU15),"min", MIN(Instances!GU15:Instances!GU15),"max", MAX(Instances!GU15:Instances!GU15),"diff", MAX(Instances!GU15:Instances!GU15)-MIN(Instances!GU15:Instances!GU15))</f>
        <v>0</v>
      </c>
      <c r="GV15" s="1" cm="1">
        <f t="array" ref="GV15">_xlfn.SWITCH($A$2,"average", AVERAGE(Instances!GV15:Instances!GV15),"median", MEDIAN(Instances!GV15:Instances!GV15),"min", MIN(Instances!GV15:Instances!GV15),"max", MAX(Instances!GV15:Instances!GV15),"diff", MAX(Instances!GV15:Instances!GV15)-MIN(Instances!GV15:Instances!GV15))</f>
        <v>0</v>
      </c>
      <c r="GW15" s="1" cm="1">
        <f t="array" ref="GW15">_xlfn.SWITCH($A$2,"average", AVERAGE(Instances!GW15:Instances!GW15),"median", MEDIAN(Instances!GW15:Instances!GW15),"min", MIN(Instances!GW15:Instances!GW15),"max", MAX(Instances!GW15:Instances!GW15),"diff", MAX(Instances!GW15:Instances!GW15)-MIN(Instances!GW15:Instances!GW15))</f>
        <v>0</v>
      </c>
      <c r="GX15" s="1" cm="1">
        <f t="array" ref="GX15">_xlfn.SWITCH($A$2,"average", AVERAGE(Instances!GX15:Instances!GX15),"median", MEDIAN(Instances!GX15:Instances!GX15),"min", MIN(Instances!GX15:Instances!GX15),"max", MAX(Instances!GX15:Instances!GX15),"diff", MAX(Instances!GX15:Instances!GX15)-MIN(Instances!GX15:Instances!GX15))</f>
        <v>0</v>
      </c>
      <c r="GY15" s="1" cm="1">
        <f t="array" ref="GY15">_xlfn.SWITCH($A$2,"average", AVERAGE(Instances!GY15:Instances!GY15),"median", MEDIAN(Instances!GY15:Instances!GY15),"min", MIN(Instances!GY15:Instances!GY15),"max", MAX(Instances!GY15:Instances!GY15),"diff", MAX(Instances!GY15:Instances!GY15)-MIN(Instances!GY15:Instances!GY15))</f>
        <v>0</v>
      </c>
      <c r="GZ15" s="1" cm="1">
        <f t="array" ref="GZ15">_xlfn.SWITCH($A$2,"average", AVERAGE(Instances!GZ15:Instances!GZ15),"median", MEDIAN(Instances!GZ15:Instances!GZ15),"min", MIN(Instances!GZ15:Instances!GZ15),"max", MAX(Instances!GZ15:Instances!GZ15),"diff", MAX(Instances!GZ15:Instances!GZ15)-MIN(Instances!GZ15:Instances!GZ15))</f>
        <v>0</v>
      </c>
      <c r="HA15" s="1" cm="1">
        <f t="array" ref="HA15">_xlfn.SWITCH($A$2,"average", AVERAGE(Instances!HA15:Instances!HA15),"median", MEDIAN(Instances!HA15:Instances!HA15),"min", MIN(Instances!HA15:Instances!HA15),"max", MAX(Instances!HA15:Instances!HA15),"diff", MAX(Instances!HA15:Instances!HA15)-MIN(Instances!HA15:Instances!HA15))</f>
        <v>0</v>
      </c>
      <c r="HB15" s="1" cm="1">
        <f t="array" ref="HB15">_xlfn.SWITCH($A$2,"average", AVERAGE(Instances!HB15:Instances!HB15),"median", MEDIAN(Instances!HB15:Instances!HB15),"min", MIN(Instances!HB15:Instances!HB15),"max", MAX(Instances!HB15:Instances!HB15),"diff", MAX(Instances!HB15:Instances!HB15)-MIN(Instances!HB15:Instances!HB15))</f>
        <v>0</v>
      </c>
      <c r="HC15" s="1" cm="1">
        <f t="array" ref="HC15">_xlfn.SWITCH($A$2,"average", AVERAGE(Instances!HC15:Instances!HC15),"median", MEDIAN(Instances!HC15:Instances!HC15),"min", MIN(Instances!HC15:Instances!HC15),"max", MAX(Instances!HC15:Instances!HC15),"diff", MAX(Instances!HC15:Instances!HC15)-MIN(Instances!HC15:Instances!HC15))</f>
        <v>0</v>
      </c>
      <c r="HD15" s="1" cm="1">
        <f t="array" ref="HD15">_xlfn.SWITCH($A$2,"average", AVERAGE(Instances!HD15:Instances!HD15),"median", MEDIAN(Instances!HD15:Instances!HD15),"min", MIN(Instances!HD15:Instances!HD15),"max", MAX(Instances!HD15:Instances!HD15),"diff", MAX(Instances!HD15:Instances!HD15)-MIN(Instances!HD15:Instances!HD15))</f>
        <v>0</v>
      </c>
      <c r="HE15" s="1" cm="1">
        <f t="array" ref="HE15">_xlfn.SWITCH($A$2,"average", AVERAGE(Instances!HE15:Instances!HE15),"median", MEDIAN(Instances!HE15:Instances!HE15),"min", MIN(Instances!HE15:Instances!HE15),"max", MAX(Instances!HE15:Instances!HE15),"diff", MAX(Instances!HE15:Instances!HE15)-MIN(Instances!HE15:Instances!HE15))</f>
        <v>0</v>
      </c>
      <c r="HF15" s="1"/>
      <c r="HG15" s="1" cm="1">
        <f t="array" ref="HG15">_xlfn.SWITCH($A$2,"average", AVERAGE(Instances!HG15:Instances!HG15),"median", MEDIAN(Instances!HG15:Instances!HG15),"min", MIN(Instances!HG15:Instances!HG15),"max", MAX(Instances!HG15:Instances!HG15),"diff", MAX(Instances!HG15:Instances!HG15)-MIN(Instances!HG15:Instances!HG15))</f>
        <v>0</v>
      </c>
      <c r="HH15" s="1" cm="1">
        <f t="array" ref="HH15">_xlfn.SWITCH($A$2,"average", AVERAGE(Instances!HH15:Instances!HH15),"median", MEDIAN(Instances!HH15:Instances!HH15),"min", MIN(Instances!HH15:Instances!HH15),"max", MAX(Instances!HH15:Instances!HH15),"diff", MAX(Instances!HH15:Instances!HH15)-MIN(Instances!HH15:Instances!HH15))</f>
        <v>0</v>
      </c>
      <c r="HI15" s="1" cm="1">
        <f t="array" ref="HI15">_xlfn.SWITCH($A$2,"average", AVERAGE(Instances!HI15:Instances!HI15),"median", MEDIAN(Instances!HI15:Instances!HI15),"min", MIN(Instances!HI15:Instances!HI15),"max", MAX(Instances!HI15:Instances!HI15),"diff", MAX(Instances!HI15:Instances!HI15)-MIN(Instances!HI15:Instances!HI15))</f>
        <v>0</v>
      </c>
      <c r="HJ15" s="1" cm="1">
        <f t="array" ref="HJ15">_xlfn.SWITCH($A$2,"average", AVERAGE(Instances!HJ15:Instances!HJ15),"median", MEDIAN(Instances!HJ15:Instances!HJ15),"min", MIN(Instances!HJ15:Instances!HJ15),"max", MAX(Instances!HJ15:Instances!HJ15),"diff", MAX(Instances!HJ15:Instances!HJ15)-MIN(Instances!HJ15:Instances!HJ15))</f>
        <v>0</v>
      </c>
      <c r="HK15" s="1" cm="1">
        <f t="array" ref="HK15">_xlfn.SWITCH($A$2,"average", AVERAGE(Instances!HK15:Instances!HK15),"median", MEDIAN(Instances!HK15:Instances!HK15),"min", MIN(Instances!HK15:Instances!HK15),"max", MAX(Instances!HK15:Instances!HK15),"diff", MAX(Instances!HK15:Instances!HK15)-MIN(Instances!HK15:Instances!HK15))</f>
        <v>0</v>
      </c>
      <c r="HL15" s="1" cm="1">
        <f t="array" ref="HL15">_xlfn.SWITCH($A$2,"average", AVERAGE(Instances!HL15:Instances!HL15),"median", MEDIAN(Instances!HL15:Instances!HL15),"min", MIN(Instances!HL15:Instances!HL15),"max", MAX(Instances!HL15:Instances!HL15),"diff", MAX(Instances!HL15:Instances!HL15)-MIN(Instances!HL15:Instances!HL15))</f>
        <v>0</v>
      </c>
      <c r="HM15" s="1" cm="1">
        <f t="array" ref="HM15">_xlfn.SWITCH($A$2,"average", AVERAGE(Instances!HM15:Instances!HM15),"median", MEDIAN(Instances!HM15:Instances!HM15),"min", MIN(Instances!HM15:Instances!HM15),"max", MAX(Instances!HM15:Instances!HM15),"diff", MAX(Instances!HM15:Instances!HM15)-MIN(Instances!HM15:Instances!HM15))</f>
        <v>0</v>
      </c>
      <c r="HN15" s="1" cm="1">
        <f t="array" ref="HN15">_xlfn.SWITCH($A$2,"average", AVERAGE(Instances!HN15:Instances!HN15),"median", MEDIAN(Instances!HN15:Instances!HN15),"min", MIN(Instances!HN15:Instances!HN15),"max", MAX(Instances!HN15:Instances!HN15),"diff", MAX(Instances!HN15:Instances!HN15)-MIN(Instances!HN15:Instances!HN15))</f>
        <v>0</v>
      </c>
      <c r="HO15" s="1" cm="1">
        <f t="array" ref="HO15">_xlfn.SWITCH($A$2,"average", AVERAGE(Instances!HO15:Instances!HO15),"median", MEDIAN(Instances!HO15:Instances!HO15),"min", MIN(Instances!HO15:Instances!HO15),"max", MAX(Instances!HO15:Instances!HO15),"diff", MAX(Instances!HO15:Instances!HO15)-MIN(Instances!HO15:Instances!HO15))</f>
        <v>0</v>
      </c>
      <c r="HP15" s="1" cm="1">
        <f t="array" ref="HP15">_xlfn.SWITCH($A$2,"average", AVERAGE(Instances!HP15:Instances!HP15),"median", MEDIAN(Instances!HP15:Instances!HP15),"min", MIN(Instances!HP15:Instances!HP15),"max", MAX(Instances!HP15:Instances!HP15),"diff", MAX(Instances!HP15:Instances!HP15)-MIN(Instances!HP15:Instances!HP15))</f>
        <v>0</v>
      </c>
      <c r="HQ15" s="1" cm="1">
        <f t="array" ref="HQ15">_xlfn.SWITCH($A$2,"average", AVERAGE(Instances!HQ15:Instances!HQ15),"median", MEDIAN(Instances!HQ15:Instances!HQ15),"min", MIN(Instances!HQ15:Instances!HQ15),"max", MAX(Instances!HQ15:Instances!HQ15),"diff", MAX(Instances!HQ15:Instances!HQ15)-MIN(Instances!HQ15:Instances!HQ15))</f>
        <v>0</v>
      </c>
      <c r="HR15" s="1" cm="1">
        <f t="array" ref="HR15">_xlfn.SWITCH($A$2,"average", AVERAGE(Instances!HR15:Instances!HR15),"median", MEDIAN(Instances!HR15:Instances!HR15),"min", MIN(Instances!HR15:Instances!HR15),"max", MAX(Instances!HR15:Instances!HR15),"diff", MAX(Instances!HR15:Instances!HR15)-MIN(Instances!HR15:Instances!HR15))</f>
        <v>0</v>
      </c>
      <c r="HS15" s="1" cm="1">
        <f t="array" ref="HS15">_xlfn.SWITCH($A$2,"average", AVERAGE(Instances!HS15:Instances!HS15),"median", MEDIAN(Instances!HS15:Instances!HS15),"min", MIN(Instances!HS15:Instances!HS15),"max", MAX(Instances!HS15:Instances!HS15),"diff", MAX(Instances!HS15:Instances!HS15)-MIN(Instances!HS15:Instances!HS15))</f>
        <v>0</v>
      </c>
      <c r="HT15" s="1" cm="1">
        <f t="array" ref="HT15">_xlfn.SWITCH($A$2,"average", AVERAGE(Instances!HT15:Instances!HT15),"median", MEDIAN(Instances!HT15:Instances!HT15),"min", MIN(Instances!HT15:Instances!HT15),"max", MAX(Instances!HT15:Instances!HT15),"diff", MAX(Instances!HT15:Instances!HT15)-MIN(Instances!HT15:Instances!HT15))</f>
        <v>0</v>
      </c>
      <c r="HU15" s="1" cm="1">
        <f t="array" ref="HU15">_xlfn.SWITCH($A$2,"average", AVERAGE(Instances!HU15:Instances!HU15),"median", MEDIAN(Instances!HU15:Instances!HU15),"min", MIN(Instances!HU15:Instances!HU15),"max", MAX(Instances!HU15:Instances!HU15),"diff", MAX(Instances!HU15:Instances!HU15)-MIN(Instances!HU15:Instances!HU15))</f>
        <v>0</v>
      </c>
      <c r="HV15" s="1" cm="1">
        <f t="array" ref="HV15">_xlfn.SWITCH($A$2,"average", AVERAGE(Instances!HV15:Instances!HV15),"median", MEDIAN(Instances!HV15:Instances!HV15),"min", MIN(Instances!HV15:Instances!HV15),"max", MAX(Instances!HV15:Instances!HV15),"diff", MAX(Instances!HV15:Instances!HV15)-MIN(Instances!HV15:Instances!HV15))</f>
        <v>0</v>
      </c>
      <c r="HW15" s="1" cm="1">
        <f t="array" ref="HW15">_xlfn.SWITCH($A$2,"average", AVERAGE(Instances!HW15:Instances!HW15),"median", MEDIAN(Instances!HW15:Instances!HW15),"min", MIN(Instances!HW15:Instances!HW15),"max", MAX(Instances!HW15:Instances!HW15),"diff", MAX(Instances!HW15:Instances!HW15)-MIN(Instances!HW15:Instances!HW15))</f>
        <v>0</v>
      </c>
      <c r="HX15" s="1"/>
      <c r="HY15" s="1" cm="1">
        <f t="array" ref="HY15">_xlfn.SWITCH($A$2,"average", AVERAGE(Instances!HY15:Instances!HY15),"median", MEDIAN(Instances!HY15:Instances!HY15),"min", MIN(Instances!HY15:Instances!HY15),"max", MAX(Instances!HY15:Instances!HY15),"diff", MAX(Instances!HY15:Instances!HY15)-MIN(Instances!HY15:Instances!HY15))</f>
        <v>0</v>
      </c>
      <c r="HZ15" s="1" cm="1">
        <f t="array" ref="HZ15">_xlfn.SWITCH($A$2,"average", AVERAGE(Instances!HZ15:Instances!HZ15),"median", MEDIAN(Instances!HZ15:Instances!HZ15),"min", MIN(Instances!HZ15:Instances!HZ15),"max", MAX(Instances!HZ15:Instances!HZ15),"diff", MAX(Instances!HZ15:Instances!HZ15)-MIN(Instances!HZ15:Instances!HZ15))</f>
        <v>0</v>
      </c>
      <c r="IA15" s="1" cm="1">
        <f t="array" ref="IA15">_xlfn.SWITCH($A$2,"average", AVERAGE(Instances!IA15:Instances!IA15),"median", MEDIAN(Instances!IA15:Instances!IA15),"min", MIN(Instances!IA15:Instances!IA15),"max", MAX(Instances!IA15:Instances!IA15),"diff", MAX(Instances!IA15:Instances!IA15)-MIN(Instances!IA15:Instances!IA15))</f>
        <v>0</v>
      </c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 cm="1">
        <f t="array" ref="JL15">_xlfn.SWITCH($A$2,"average", AVERAGE(Instances!JL15:Instances!JL15),"median", MEDIAN(Instances!JL15:Instances!JL15),"min", MIN(Instances!JL15:Instances!JL15),"max", MAX(Instances!JL15:Instances!JL15),"diff", MAX(Instances!JL15:Instances!JL15)-MIN(Instances!JL15:Instances!JL15))</f>
        <v>0</v>
      </c>
      <c r="JM15" s="1" cm="1">
        <f t="array" ref="JM15">_xlfn.SWITCH($A$2,"average", AVERAGE(Instances!JM15:Instances!JM15),"median", MEDIAN(Instances!JM15:Instances!JM15),"min", MIN(Instances!JM15:Instances!JM15),"max", MAX(Instances!JM15:Instances!JM15),"diff", MAX(Instances!JM15:Instances!JM15)-MIN(Instances!JM15:Instances!JM15))</f>
        <v>0</v>
      </c>
      <c r="JN15" s="1" cm="1">
        <f t="array" ref="JN15">_xlfn.SWITCH($A$2,"average", AVERAGE(Instances!JN15:Instances!JN15),"median", MEDIAN(Instances!JN15:Instances!JN15),"min", MIN(Instances!JN15:Instances!JN15),"max", MAX(Instances!JN15:Instances!JN15),"diff", MAX(Instances!JN15:Instances!JN15)-MIN(Instances!JN15:Instances!JN15))</f>
        <v>0</v>
      </c>
      <c r="JO15" s="1" cm="1">
        <f t="array" ref="JO15">_xlfn.SWITCH($A$2,"average", AVERAGE(Instances!JO15:Instances!JO15),"median", MEDIAN(Instances!JO15:Instances!JO15),"min", MIN(Instances!JO15:Instances!JO15),"max", MAX(Instances!JO15:Instances!JO15),"diff", MAX(Instances!JO15:Instances!JO15)-MIN(Instances!JO15:Instances!JO15))</f>
        <v>0</v>
      </c>
      <c r="JP15" s="1" cm="1">
        <f t="array" ref="JP15">_xlfn.SWITCH($A$2,"average", AVERAGE(Instances!JP15:Instances!JP15),"median", MEDIAN(Instances!JP15:Instances!JP15),"min", MIN(Instances!JP15:Instances!JP15),"max", MAX(Instances!JP15:Instances!JP15),"diff", MAX(Instances!JP15:Instances!JP15)-MIN(Instances!JP15:Instances!JP15))</f>
        <v>0</v>
      </c>
      <c r="JQ15" s="1" cm="1">
        <f t="array" ref="JQ15">_xlfn.SWITCH($A$2,"average", AVERAGE(Instances!JQ15:Instances!JQ15),"median", MEDIAN(Instances!JQ15:Instances!JQ15),"min", MIN(Instances!JQ15:Instances!JQ15),"max", MAX(Instances!JQ15:Instances!JQ15),"diff", MAX(Instances!JQ15:Instances!JQ15)-MIN(Instances!JQ15:Instances!JQ15))</f>
        <v>0</v>
      </c>
      <c r="JR15" s="1" cm="1">
        <f t="array" ref="JR15">_xlfn.SWITCH($A$2,"average", AVERAGE(Instances!JR15:Instances!JR15),"median", MEDIAN(Instances!JR15:Instances!JR15),"min", MIN(Instances!JR15:Instances!JR15),"max", MAX(Instances!JR15:Instances!JR15),"diff", MAX(Instances!JR15:Instances!JR15)-MIN(Instances!JR15:Instances!JR15))</f>
        <v>0</v>
      </c>
      <c r="JS15" s="1" cm="1">
        <f t="array" ref="JS15">_xlfn.SWITCH($A$2,"average", AVERAGE(Instances!JS15:Instances!JS15),"median", MEDIAN(Instances!JS15:Instances!JS15),"min", MIN(Instances!JS15:Instances!JS15),"max", MAX(Instances!JS15:Instances!JS15),"diff", MAX(Instances!JS15:Instances!JS15)-MIN(Instances!JS15:Instances!JS15))</f>
        <v>0</v>
      </c>
      <c r="JT15" s="1" cm="1">
        <f t="array" ref="JT15">_xlfn.SWITCH($A$2,"average", AVERAGE(Instances!JT15:Instances!JT15),"median", MEDIAN(Instances!JT15:Instances!JT15),"min", MIN(Instances!JT15:Instances!JT15),"max", MAX(Instances!JT15:Instances!JT15),"diff", MAX(Instances!JT15:Instances!JT15)-MIN(Instances!JT15:Instances!JT15))</f>
        <v>0</v>
      </c>
      <c r="JU15" s="1" cm="1">
        <f t="array" ref="JU15">_xlfn.SWITCH($A$2,"average", AVERAGE(Instances!JU15:Instances!JU15),"median", MEDIAN(Instances!JU15:Instances!JU15),"min", MIN(Instances!JU15:Instances!JU15),"max", MAX(Instances!JU15:Instances!JU15),"diff", MAX(Instances!JU15:Instances!JU15)-MIN(Instances!JU15:Instances!JU15))</f>
        <v>0</v>
      </c>
      <c r="JV15" s="1" cm="1">
        <f t="array" ref="JV15">_xlfn.SWITCH($A$2,"average", AVERAGE(Instances!JV15:Instances!JV15),"median", MEDIAN(Instances!JV15:Instances!JV15),"min", MIN(Instances!JV15:Instances!JV15),"max", MAX(Instances!JV15:Instances!JV15),"diff", MAX(Instances!JV15:Instances!JV15)-MIN(Instances!JV15:Instances!JV15))</f>
        <v>0</v>
      </c>
      <c r="JW15" s="1" cm="1">
        <f t="array" ref="JW15">_xlfn.SWITCH($A$2,"average", AVERAGE(Instances!JW15:Instances!JW15),"median", MEDIAN(Instances!JW15:Instances!JW15),"min", MIN(Instances!JW15:Instances!JW15),"max", MAX(Instances!JW15:Instances!JW15),"diff", MAX(Instances!JW15:Instances!JW15)-MIN(Instances!JW15:Instances!JW15))</f>
        <v>0</v>
      </c>
      <c r="JX15" s="1" cm="1">
        <f t="array" ref="JX15">_xlfn.SWITCH($A$2,"average", AVERAGE(Instances!JX15:Instances!JX15),"median", MEDIAN(Instances!JX15:Instances!JX15),"min", MIN(Instances!JX15:Instances!JX15),"max", MAX(Instances!JX15:Instances!JX15),"diff", MAX(Instances!JX15:Instances!JX15)-MIN(Instances!JX15:Instances!JX15))</f>
        <v>0</v>
      </c>
      <c r="JY15" s="1" cm="1">
        <f t="array" ref="JY15">_xlfn.SWITCH($A$2,"average", AVERAGE(Instances!JY15:Instances!JY15),"median", MEDIAN(Instances!JY15:Instances!JY15),"min", MIN(Instances!JY15:Instances!JY15),"max", MAX(Instances!JY15:Instances!JY15),"diff", MAX(Instances!JY15:Instances!JY15)-MIN(Instances!JY15:Instances!JY15))</f>
        <v>0</v>
      </c>
      <c r="JZ15" s="1"/>
      <c r="KA15" s="1" cm="1">
        <f t="array" ref="KA15">_xlfn.SWITCH($A$2,"average", AVERAGE(Instances!KA15:Instances!KA15),"median", MEDIAN(Instances!KA15:Instances!KA15),"min", MIN(Instances!KA15:Instances!KA15),"max", MAX(Instances!KA15:Instances!KA15),"diff", MAX(Instances!KA15:Instances!KA15)-MIN(Instances!KA15:Instances!KA15))</f>
        <v>0</v>
      </c>
      <c r="KB15" s="1" cm="1">
        <f t="array" ref="KB15">_xlfn.SWITCH($A$2,"average", AVERAGE(Instances!KB15:Instances!KB15),"median", MEDIAN(Instances!KB15:Instances!KB15),"min", MIN(Instances!KB15:Instances!KB15),"max", MAX(Instances!KB15:Instances!KB15),"diff", MAX(Instances!KB15:Instances!KB15)-MIN(Instances!KB15:Instances!KB15))</f>
        <v>0</v>
      </c>
      <c r="KC15" s="1" cm="1">
        <f t="array" ref="KC15">_xlfn.SWITCH($A$2,"average", AVERAGE(Instances!KC15:Instances!KC15),"median", MEDIAN(Instances!KC15:Instances!KC15),"min", MIN(Instances!KC15:Instances!KC15),"max", MAX(Instances!KC15:Instances!KC15),"diff", MAX(Instances!KC15:Instances!KC15)-MIN(Instances!KC15:Instances!KC15))</f>
        <v>0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 cm="1">
        <f t="array" ref="L16">_xlfn.SWITCH($A$2,"average", AVERAGE(Instances!L16:Instances!L16),"median", MEDIAN(Instances!L16:Instances!L16),"min", MIN(Instances!L16:Instances!L16),"max", MAX(Instances!L16:Instances!L16),"diff", MAX(Instances!L16:Instances!L16)-MIN(Instances!L16:Instances!L16))</f>
        <v>0</v>
      </c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 cm="1">
        <f t="array" ref="O16">_xlfn.SWITCH($A$2,"average", AVERAGE(Instances!O16:Instances!O16),"median", MEDIAN(Instances!O16:Instances!O16),"min", MIN(Instances!O16:Instances!O16),"max", MAX(Instances!O16:Instances!O16),"diff", MAX(Instances!O16:Instances!O16)-MIN(Instances!O16:Instances!O16))</f>
        <v>0</v>
      </c>
      <c r="P16" s="1"/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 cm="1">
        <f t="array" ref="S16">_xlfn.SWITCH($A$2,"average", AVERAGE(Instances!S16:Instances!S16),"median", MEDIAN(Instances!S16:Instances!S16),"min", MIN(Instances!S16:Instances!S16),"max", MAX(Instances!S16:Instances!S16),"diff", MAX(Instances!S16:Instances!S16)-MIN(Instances!S16:Instances!S16))</f>
        <v>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 cm="1">
        <f t="array" ref="AL16">_xlfn.SWITCH($A$2,"average", AVERAGE(Instances!AL16:Instances!AL16),"median", MEDIAN(Instances!AL16:Instances!AL16),"min", MIN(Instances!AL16:Instances!AL16),"max", MAX(Instances!AL16:Instances!AL16),"diff", MAX(Instances!AL16:Instances!AL16)-MIN(Instances!AL16:Instances!AL16))</f>
        <v>0</v>
      </c>
      <c r="AM16" s="1" cm="1">
        <f t="array" ref="AM16">_xlfn.SWITCH($A$2,"average", AVERAGE(Instances!AM16:Instances!AM16),"median", MEDIAN(Instances!AM16:Instances!AM16),"min", MIN(Instances!AM16:Instances!AM16),"max", MAX(Instances!AM16:Instances!AM16),"diff", MAX(Instances!AM16:Instances!AM16)-MIN(Instances!AM16:Instances!AM16))</f>
        <v>0</v>
      </c>
      <c r="AN16" s="1" cm="1">
        <f t="array" ref="AN16">_xlfn.SWITCH($A$2,"average", AVERAGE(Instances!AN16:Instances!AN16),"median", MEDIAN(Instances!AN16:Instances!AN16),"min", MIN(Instances!AN16:Instances!AN16),"max", MAX(Instances!AN16:Instances!AN16),"diff", MAX(Instances!AN16:Instances!AN16)-MIN(Instances!AN16:Instances!AN16))</f>
        <v>0</v>
      </c>
      <c r="AO16" s="1" cm="1">
        <f t="array" ref="AO16">_xlfn.SWITCH($A$2,"average", AVERAGE(Instances!AO16:Instances!AO16),"median", MEDIAN(Instances!AO16:Instances!AO16),"min", MIN(Instances!AO16:Instances!AO16),"max", MAX(Instances!AO16:Instances!AO16),"diff", MAX(Instances!AO16:Instances!AO16)-MIN(Instances!AO16:Instances!AO16))</f>
        <v>0</v>
      </c>
      <c r="AP16" s="1" cm="1">
        <f t="array" ref="AP16">_xlfn.SWITCH($A$2,"average", AVERAGE(Instances!AP16:Instances!AP16),"median", MEDIAN(Instances!AP16:Instances!AP16),"min", MIN(Instances!AP16:Instances!AP16),"max", MAX(Instances!AP16:Instances!AP16),"diff", MAX(Instances!AP16:Instances!AP16)-MIN(Instances!AP16:Instances!AP16))</f>
        <v>0</v>
      </c>
      <c r="AQ16" s="1" cm="1">
        <f t="array" ref="AQ16">_xlfn.SWITCH($A$2,"average", AVERAGE(Instances!AQ16:Instances!AQ16),"median", MEDIAN(Instances!AQ16:Instances!AQ16),"min", MIN(Instances!AQ16:Instances!AQ16),"max", MAX(Instances!AQ16:Instances!AQ16),"diff", MAX(Instances!AQ16:Instances!AQ16)-MIN(Instances!AQ16:Instances!AQ16))</f>
        <v>0</v>
      </c>
      <c r="AR16" s="1" cm="1">
        <f t="array" ref="AR16">_xlfn.SWITCH($A$2,"average", AVERAGE(Instances!AR16:Instances!AR16),"median", MEDIAN(Instances!AR16:Instances!AR16),"min", MIN(Instances!AR16:Instances!AR16),"max", MAX(Instances!AR16:Instances!AR16),"diff", MAX(Instances!AR16:Instances!AR16)-MIN(Instances!AR16:Instances!AR16))</f>
        <v>0</v>
      </c>
      <c r="AS16" s="1" cm="1">
        <f t="array" ref="AS16">_xlfn.SWITCH($A$2,"average", AVERAGE(Instances!AS16:Instances!AS16),"median", MEDIAN(Instances!AS16:Instances!AS16),"min", MIN(Instances!AS16:Instances!AS16),"max", MAX(Instances!AS16:Instances!AS16),"diff", MAX(Instances!AS16:Instances!AS16)-MIN(Instances!AS16:Instances!AS16))</f>
        <v>0</v>
      </c>
      <c r="AT16" s="1" cm="1">
        <f t="array" ref="AT16">_xlfn.SWITCH($A$2,"average", AVERAGE(Instances!AT16:Instances!AT16),"median", MEDIAN(Instances!AT16:Instances!AT16),"min", MIN(Instances!AT16:Instances!AT16),"max", MAX(Instances!AT16:Instances!AT16),"diff", MAX(Instances!AT16:Instances!AT16)-MIN(Instances!AT16:Instances!AT16))</f>
        <v>0</v>
      </c>
      <c r="AU16" s="1" cm="1">
        <f t="array" ref="AU16">_xlfn.SWITCH($A$2,"average", AVERAGE(Instances!AU16:Instances!AU16),"median", MEDIAN(Instances!AU16:Instances!AU16),"min", MIN(Instances!AU16:Instances!AU16),"max", MAX(Instances!AU16:Instances!AU16),"diff", MAX(Instances!AU16:Instances!AU16)-MIN(Instances!AU16:Instances!AU16))</f>
        <v>0</v>
      </c>
      <c r="AV16" s="1" cm="1">
        <f t="array" ref="AV16">_xlfn.SWITCH($A$2,"average", AVERAGE(Instances!AV16:Instances!AV16),"median", MEDIAN(Instances!AV16:Instances!AV16),"min", MIN(Instances!AV16:Instances!AV16),"max", MAX(Instances!AV16:Instances!AV16),"diff", MAX(Instances!AV16:Instances!AV16)-MIN(Instances!AV16:Instances!AV16))</f>
        <v>0</v>
      </c>
      <c r="AW16" s="1" cm="1">
        <f t="array" ref="AW16">_xlfn.SWITCH($A$2,"average", AVERAGE(Instances!AW16:Instances!AW16),"median", MEDIAN(Instances!AW16:Instances!AW16),"min", MIN(Instances!AW16:Instances!AW16),"max", MAX(Instances!AW16:Instances!AW16),"diff", MAX(Instances!AW16:Instances!AW16)-MIN(Instances!AW16:Instances!AW16))</f>
        <v>0</v>
      </c>
      <c r="AX16" s="1" cm="1">
        <f t="array" ref="AX16">_xlfn.SWITCH($A$2,"average", AVERAGE(Instances!AX16:Instances!AX16),"median", MEDIAN(Instances!AX16:Instances!AX16),"min", MIN(Instances!AX16:Instances!AX16),"max", MAX(Instances!AX16:Instances!AX16),"diff", MAX(Instances!AX16:Instances!AX16)-MIN(Instances!AX16:Instances!AX16))</f>
        <v>0</v>
      </c>
      <c r="AY16" s="1" cm="1">
        <f t="array" ref="AY16">_xlfn.SWITCH($A$2,"average", AVERAGE(Instances!AY16:Instances!AY16),"median", MEDIAN(Instances!AY16:Instances!AY16),"min", MIN(Instances!AY16:Instances!AY16),"max", MAX(Instances!AY16:Instances!AY16),"diff", MAX(Instances!AY16:Instances!AY16)-MIN(Instances!AY16:Instances!AY16))</f>
        <v>0</v>
      </c>
      <c r="AZ16" s="1"/>
      <c r="BA16" s="1" cm="1">
        <f t="array" ref="BA16">_xlfn.SWITCH($A$2,"average", AVERAGE(Instances!BA16:Instances!BA16),"median", MEDIAN(Instances!BA16:Instances!BA16),"min", MIN(Instances!BA16:Instances!BA16),"max", MAX(Instances!BA16:Instances!BA16),"diff", MAX(Instances!BA16:Instances!BA16)-MIN(Instances!BA16:Instances!BA16))</f>
        <v>0</v>
      </c>
      <c r="BB16" s="1" cm="1">
        <f t="array" ref="BB16">_xlfn.SWITCH($A$2,"average", AVERAGE(Instances!BB16:Instances!BB16),"median", MEDIAN(Instances!BB16:Instances!BB16),"min", MIN(Instances!BB16:Instances!BB16),"max", MAX(Instances!BB16:Instances!BB16),"diff", MAX(Instances!BB16:Instances!BB16)-MIN(Instances!BB16:Instances!BB16))</f>
        <v>0</v>
      </c>
      <c r="BC16" s="1" cm="1">
        <f t="array" ref="BC16">_xlfn.SWITCH($A$2,"average", AVERAGE(Instances!BC16:Instances!BC16),"median", MEDIAN(Instances!BC16:Instances!BC16),"min", MIN(Instances!BC16:Instances!BC16),"max", MAX(Instances!BC16:Instances!BC16),"diff", MAX(Instances!BC16:Instances!BC16)-MIN(Instances!BC16:Instances!BC16))</f>
        <v>0</v>
      </c>
      <c r="BD16" s="1" cm="1">
        <f t="array" ref="BD16">_xlfn.SWITCH($A$2,"average", AVERAGE(Instances!BD16:Instances!BD16),"median", MEDIAN(Instances!BD16:Instances!BD16),"min", MIN(Instances!BD16:Instances!BD16),"max", MAX(Instances!BD16:Instances!BD16),"diff", MAX(Instances!BD16:Instances!BD16)-MIN(Instances!BD16:Instances!BD16))</f>
        <v>0</v>
      </c>
      <c r="BE16" s="1" cm="1">
        <f t="array" ref="BE16">_xlfn.SWITCH($A$2,"average", AVERAGE(Instances!BE16:Instances!BE16),"median", MEDIAN(Instances!BE16:Instances!BE16),"min", MIN(Instances!BE16:Instances!BE16),"max", MAX(Instances!BE16:Instances!BE16),"diff", MAX(Instances!BE16:Instances!BE16)-MIN(Instances!BE16:Instances!BE16))</f>
        <v>0</v>
      </c>
      <c r="BF16" s="1" cm="1">
        <f t="array" ref="BF16">_xlfn.SWITCH($A$2,"average", AVERAGE(Instances!BF16:Instances!BF16),"median", MEDIAN(Instances!BF16:Instances!BF16),"min", MIN(Instances!BF16:Instances!BF16),"max", MAX(Instances!BF16:Instances!BF16),"diff", MAX(Instances!BF16:Instances!BF16)-MIN(Instances!BF16:Instances!BF16))</f>
        <v>0</v>
      </c>
      <c r="BG16" s="1" cm="1">
        <f t="array" ref="BG16">_xlfn.SWITCH($A$2,"average", AVERAGE(Instances!BG16:Instances!BG16),"median", MEDIAN(Instances!BG16:Instances!BG16),"min", MIN(Instances!BG16:Instances!BG16),"max", MAX(Instances!BG16:Instances!BG16),"diff", MAX(Instances!BG16:Instances!BG16)-MIN(Instances!BG16:Instances!BG16))</f>
        <v>0</v>
      </c>
      <c r="BH16" s="1" cm="1">
        <f t="array" ref="BH16">_xlfn.SWITCH($A$2,"average", AVERAGE(Instances!BH16:Instances!BH16),"median", MEDIAN(Instances!BH16:Instances!BH16),"min", MIN(Instances!BH16:Instances!BH16),"max", MAX(Instances!BH16:Instances!BH16),"diff", MAX(Instances!BH16:Instances!BH16)-MIN(Instances!BH16:Instances!BH16))</f>
        <v>0</v>
      </c>
      <c r="BI16" s="1" cm="1">
        <f t="array" ref="BI16">_xlfn.SWITCH($A$2,"average", AVERAGE(Instances!BI16:Instances!BI16),"median", MEDIAN(Instances!BI16:Instances!BI16),"min", MIN(Instances!BI16:Instances!BI16),"max", MAX(Instances!BI16:Instances!BI16),"diff", MAX(Instances!BI16:Instances!BI16)-MIN(Instances!BI16:Instances!BI16))</f>
        <v>0</v>
      </c>
      <c r="BJ16" s="1" cm="1">
        <f t="array" ref="BJ16">_xlfn.SWITCH($A$2,"average", AVERAGE(Instances!BJ16:Instances!BJ16),"median", MEDIAN(Instances!BJ16:Instances!BJ16),"min", MIN(Instances!BJ16:Instances!BJ16),"max", MAX(Instances!BJ16:Instances!BJ16),"diff", MAX(Instances!BJ16:Instances!BJ16)-MIN(Instances!BJ16:Instances!BJ16))</f>
        <v>0</v>
      </c>
      <c r="BK16" s="1" cm="1">
        <f t="array" ref="BK16">_xlfn.SWITCH($A$2,"average", AVERAGE(Instances!BK16:Instances!BK16),"median", MEDIAN(Instances!BK16:Instances!BK16),"min", MIN(Instances!BK16:Instances!BK16),"max", MAX(Instances!BK16:Instances!BK16),"diff", MAX(Instances!BK16:Instances!BK16)-MIN(Instances!BK16:Instances!BK16))</f>
        <v>0</v>
      </c>
      <c r="BL16" s="1" cm="1">
        <f t="array" ref="BL16">_xlfn.SWITCH($A$2,"average", AVERAGE(Instances!BL16:Instances!BL16),"median", MEDIAN(Instances!BL16:Instances!BL16),"min", MIN(Instances!BL16:Instances!BL16),"max", MAX(Instances!BL16:Instances!BL16),"diff", MAX(Instances!BL16:Instances!BL16)-MIN(Instances!BL16:Instances!BL16))</f>
        <v>0</v>
      </c>
      <c r="BM16" s="1" cm="1">
        <f t="array" ref="BM16">_xlfn.SWITCH($A$2,"average", AVERAGE(Instances!BM16:Instances!BM16),"median", MEDIAN(Instances!BM16:Instances!BM16),"min", MIN(Instances!BM16:Instances!BM16),"max", MAX(Instances!BM16:Instances!BM16),"diff", MAX(Instances!BM16:Instances!BM16)-MIN(Instances!BM16:Instances!BM16))</f>
        <v>0</v>
      </c>
      <c r="BN16" s="1" cm="1">
        <f t="array" ref="BN16">_xlfn.SWITCH($A$2,"average", AVERAGE(Instances!BN16:Instances!BN16),"median", MEDIAN(Instances!BN16:Instances!BN16),"min", MIN(Instances!BN16:Instances!BN16),"max", MAX(Instances!BN16:Instances!BN16),"diff", MAX(Instances!BN16:Instances!BN16)-MIN(Instances!BN16:Instances!BN16))</f>
        <v>0</v>
      </c>
      <c r="BO16" s="1" cm="1">
        <f t="array" ref="BO16">_xlfn.SWITCH($A$2,"average", AVERAGE(Instances!BO16:Instances!BO16),"median", MEDIAN(Instances!BO16:Instances!BO16),"min", MIN(Instances!BO16:Instances!BO16),"max", MAX(Instances!BO16:Instances!BO16),"diff", MAX(Instances!BO16:Instances!BO16)-MIN(Instances!BO16:Instances!BO16))</f>
        <v>0</v>
      </c>
      <c r="BP16" s="1" cm="1">
        <f t="array" ref="BP16">_xlfn.SWITCH($A$2,"average", AVERAGE(Instances!BP16:Instances!BP16),"median", MEDIAN(Instances!BP16:Instances!BP16),"min", MIN(Instances!BP16:Instances!BP16),"max", MAX(Instances!BP16:Instances!BP16),"diff", MAX(Instances!BP16:Instances!BP16)-MIN(Instances!BP16:Instances!BP16))</f>
        <v>0</v>
      </c>
      <c r="BQ16" s="1" cm="1">
        <f t="array" ref="BQ16">_xlfn.SWITCH($A$2,"average", AVERAGE(Instances!BQ16:Instances!BQ16),"median", MEDIAN(Instances!BQ16:Instances!BQ16),"min", MIN(Instances!BQ16:Instances!BQ16),"max", MAX(Instances!BQ16:Instances!BQ16),"diff", MAX(Instances!BQ16:Instances!BQ16)-MIN(Instances!BQ16:Instances!BQ16))</f>
        <v>0</v>
      </c>
      <c r="BR16" s="1"/>
      <c r="BS16" s="1" cm="1">
        <f t="array" ref="BS16">_xlfn.SWITCH($A$2,"average", AVERAGE(Instances!BS16:Instances!BS16),"median", MEDIAN(Instances!BS16:Instances!BS16),"min", MIN(Instances!BS16:Instances!BS16),"max", MAX(Instances!BS16:Instances!BS16),"diff", MAX(Instances!BS16:Instances!BS16)-MIN(Instances!BS16:Instances!BS16))</f>
        <v>0</v>
      </c>
      <c r="BT16" s="1" cm="1">
        <f t="array" ref="BT16">_xlfn.SWITCH($A$2,"average", AVERAGE(Instances!BT16:Instances!BT16),"median", MEDIAN(Instances!BT16:Instances!BT16),"min", MIN(Instances!BT16:Instances!BT16),"max", MAX(Instances!BT16:Instances!BT16),"diff", MAX(Instances!BT16:Instances!BT16)-MIN(Instances!BT16:Instances!BT16))</f>
        <v>0</v>
      </c>
      <c r="BU16" s="1" cm="1">
        <f t="array" ref="BU16">_xlfn.SWITCH($A$2,"average", AVERAGE(Instances!BU16:Instances!BU16),"median", MEDIAN(Instances!BU16:Instances!BU16),"min", MIN(Instances!BU16:Instances!BU16),"max", MAX(Instances!BU16:Instances!BU16),"diff", MAX(Instances!BU16:Instances!BU16)-MIN(Instances!BU16:Instances!BU16))</f>
        <v>0</v>
      </c>
      <c r="BV16" s="1" cm="1">
        <f t="array" ref="BV16">_xlfn.SWITCH($A$2,"average", AVERAGE(Instances!BV16:Instances!BV16),"median", MEDIAN(Instances!BV16:Instances!BV16),"min", MIN(Instances!BV16:Instances!BV16),"max", MAX(Instances!BV16:Instances!BV16),"diff", MAX(Instances!BV16:Instances!BV16)-MIN(Instances!BV16:Instances!BV16))</f>
        <v>0</v>
      </c>
      <c r="BW16" s="1" cm="1">
        <f t="array" ref="BW16">_xlfn.SWITCH($A$2,"average", AVERAGE(Instances!BW16:Instances!BW16),"median", MEDIAN(Instances!BW16:Instances!BW16),"min", MIN(Instances!BW16:Instances!BW16),"max", MAX(Instances!BW16:Instances!BW16),"diff", MAX(Instances!BW16:Instances!BW16)-MIN(Instances!BW16:Instances!BW16))</f>
        <v>0</v>
      </c>
      <c r="BX16" s="1" cm="1">
        <f t="array" ref="BX16">_xlfn.SWITCH($A$2,"average", AVERAGE(Instances!BX16:Instances!BX16),"median", MEDIAN(Instances!BX16:Instances!BX16),"min", MIN(Instances!BX16:Instances!BX16),"max", MAX(Instances!BX16:Instances!BX16),"diff", MAX(Instances!BX16:Instances!BX16)-MIN(Instances!BX16:Instances!BX16))</f>
        <v>0</v>
      </c>
      <c r="BY16" s="1" cm="1">
        <f t="array" ref="BY16">_xlfn.SWITCH($A$2,"average", AVERAGE(Instances!BY16:Instances!BY16),"median", MEDIAN(Instances!BY16:Instances!BY16),"min", MIN(Instances!BY16:Instances!BY16),"max", MAX(Instances!BY16:Instances!BY16),"diff", MAX(Instances!BY16:Instances!BY16)-MIN(Instances!BY16:Instances!BY16))</f>
        <v>0</v>
      </c>
      <c r="BZ16" s="1" cm="1">
        <f t="array" ref="BZ16">_xlfn.SWITCH($A$2,"average", AVERAGE(Instances!BZ16:Instances!BZ16),"median", MEDIAN(Instances!BZ16:Instances!BZ16),"min", MIN(Instances!BZ16:Instances!BZ16),"max", MAX(Instances!BZ16:Instances!BZ16),"diff", MAX(Instances!BZ16:Instances!BZ16)-MIN(Instances!BZ16:Instances!BZ16))</f>
        <v>0</v>
      </c>
      <c r="CA16" s="1" cm="1">
        <f t="array" ref="CA16">_xlfn.SWITCH($A$2,"average", AVERAGE(Instances!CA16:Instances!CA16),"median", MEDIAN(Instances!CA16:Instances!CA16),"min", MIN(Instances!CA16:Instances!CA16),"max", MAX(Instances!CA16:Instances!CA16),"diff", MAX(Instances!CA16:Instances!CA16)-MIN(Instances!CA16:Instances!CA16))</f>
        <v>0</v>
      </c>
      <c r="CB16" s="1" cm="1">
        <f t="array" ref="CB16">_xlfn.SWITCH($A$2,"average", AVERAGE(Instances!CB16:Instances!CB16),"median", MEDIAN(Instances!CB16:Instances!CB16),"min", MIN(Instances!CB16:Instances!CB16),"max", MAX(Instances!CB16:Instances!CB16),"diff", MAX(Instances!CB16:Instances!CB16)-MIN(Instances!CB16:Instances!CB16))</f>
        <v>0</v>
      </c>
      <c r="CC16" s="1" cm="1">
        <f t="array" ref="CC16">_xlfn.SWITCH($A$2,"average", AVERAGE(Instances!CC16:Instances!CC16),"median", MEDIAN(Instances!CC16:Instances!CC16),"min", MIN(Instances!CC16:Instances!CC16),"max", MAX(Instances!CC16:Instances!CC16),"diff", MAX(Instances!CC16:Instances!CC16)-MIN(Instances!CC16:Instances!CC16))</f>
        <v>0</v>
      </c>
      <c r="CD16" s="1" cm="1">
        <f t="array" ref="CD16">_xlfn.SWITCH($A$2,"average", AVERAGE(Instances!CD16:Instances!CD16),"median", MEDIAN(Instances!CD16:Instances!CD16),"min", MIN(Instances!CD16:Instances!CD16),"max", MAX(Instances!CD16:Instances!CD16),"diff", MAX(Instances!CD16:Instances!CD16)-MIN(Instances!CD16:Instances!CD16))</f>
        <v>0</v>
      </c>
      <c r="CE16" s="1" cm="1">
        <f t="array" ref="CE16">_xlfn.SWITCH($A$2,"average", AVERAGE(Instances!CE16:Instances!CE16),"median", MEDIAN(Instances!CE16:Instances!CE16),"min", MIN(Instances!CE16:Instances!CE16),"max", MAX(Instances!CE16:Instances!CE16),"diff", MAX(Instances!CE16:Instances!CE16)-MIN(Instances!CE16:Instances!CE16))</f>
        <v>0</v>
      </c>
      <c r="CF16" s="1" cm="1">
        <f t="array" ref="CF16">_xlfn.SWITCH($A$2,"average", AVERAGE(Instances!CF16:Instances!CF16),"median", MEDIAN(Instances!CF16:Instances!CF16),"min", MIN(Instances!CF16:Instances!CF16),"max", MAX(Instances!CF16:Instances!CF16),"diff", MAX(Instances!CF16:Instances!CF16)-MIN(Instances!CF16:Instances!CF16))</f>
        <v>0</v>
      </c>
      <c r="CG16" s="1" cm="1">
        <f t="array" ref="CG16">_xlfn.SWITCH($A$2,"average", AVERAGE(Instances!CG16:Instances!CG16),"median", MEDIAN(Instances!CG16:Instances!CG16),"min", MIN(Instances!CG16:Instances!CG16),"max", MAX(Instances!CG16:Instances!CG16),"diff", MAX(Instances!CG16:Instances!CG16)-MIN(Instances!CG16:Instances!CG16))</f>
        <v>0</v>
      </c>
      <c r="CH16" s="1" cm="1">
        <f t="array" ref="CH16">_xlfn.SWITCH($A$2,"average", AVERAGE(Instances!CH16:Instances!CH16),"median", MEDIAN(Instances!CH16:Instances!CH16),"min", MIN(Instances!CH16:Instances!CH16),"max", MAX(Instances!CH16:Instances!CH16),"diff", MAX(Instances!CH16:Instances!CH16)-MIN(Instances!CH16:Instances!CH16))</f>
        <v>0</v>
      </c>
      <c r="CI16" s="1" cm="1">
        <f t="array" ref="CI16">_xlfn.SWITCH($A$2,"average", AVERAGE(Instances!CI16:Instances!CI16),"median", MEDIAN(Instances!CI16:Instances!CI16),"min", MIN(Instances!CI16:Instances!CI16),"max", MAX(Instances!CI16:Instances!CI16),"diff", MAX(Instances!CI16:Instances!CI16)-MIN(Instances!CI16:Instances!CI16))</f>
        <v>0</v>
      </c>
      <c r="CJ16" s="1"/>
      <c r="CK16" s="1" cm="1">
        <f t="array" ref="CK16">_xlfn.SWITCH($A$2,"average", AVERAGE(Instances!CK16:Instances!CK16),"median", MEDIAN(Instances!CK16:Instances!CK16),"min", MIN(Instances!CK16:Instances!CK16),"max", MAX(Instances!CK16:Instances!CK16),"diff", MAX(Instances!CK16:Instances!CK16)-MIN(Instances!CK16:Instances!CK16))</f>
        <v>0</v>
      </c>
      <c r="CL16" s="1" cm="1">
        <f t="array" ref="CL16">_xlfn.SWITCH($A$2,"average", AVERAGE(Instances!CL16:Instances!CL16),"median", MEDIAN(Instances!CL16:Instances!CL16),"min", MIN(Instances!CL16:Instances!CL16),"max", MAX(Instances!CL16:Instances!CL16),"diff", MAX(Instances!CL16:Instances!CL16)-MIN(Instances!CL16:Instances!CL16))</f>
        <v>0</v>
      </c>
      <c r="CM16" s="1" cm="1">
        <f t="array" ref="CM16">_xlfn.SWITCH($A$2,"average", AVERAGE(Instances!CM16:Instances!CM16),"median", MEDIAN(Instances!CM16:Instances!CM16),"min", MIN(Instances!CM16:Instances!CM16),"max", MAX(Instances!CM16:Instances!CM16),"diff", MAX(Instances!CM16:Instances!CM16)-MIN(Instances!CM16:Instances!CM16))</f>
        <v>0</v>
      </c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 cm="1">
        <f t="array" ref="DX16">_xlfn.SWITCH($A$2,"average", AVERAGE(Instances!DX16:Instances!DX16),"median", MEDIAN(Instances!DX16:Instances!DX16),"min", MIN(Instances!DX16:Instances!DX16),"max", MAX(Instances!DX16:Instances!DX16),"diff", MAX(Instances!DX16:Instances!DX16)-MIN(Instances!DX16:Instances!DX16))</f>
        <v>0</v>
      </c>
      <c r="DY16" s="1" cm="1">
        <f t="array" ref="DY16">_xlfn.SWITCH($A$2,"average", AVERAGE(Instances!DY16:Instances!DY16),"median", MEDIAN(Instances!DY16:Instances!DY16),"min", MIN(Instances!DY16:Instances!DY16),"max", MAX(Instances!DY16:Instances!DY16),"diff", MAX(Instances!DY16:Instances!DY16)-MIN(Instances!DY16:Instances!DY16))</f>
        <v>0</v>
      </c>
      <c r="DZ16" s="1" cm="1">
        <f t="array" ref="DZ16">_xlfn.SWITCH($A$2,"average", AVERAGE(Instances!DZ16:Instances!DZ16),"median", MEDIAN(Instances!DZ16:Instances!DZ16),"min", MIN(Instances!DZ16:Instances!DZ16),"max", MAX(Instances!DZ16:Instances!DZ16),"diff", MAX(Instances!DZ16:Instances!DZ16)-MIN(Instances!DZ16:Instances!DZ16))</f>
        <v>0</v>
      </c>
      <c r="EA16" s="1" cm="1">
        <f t="array" ref="EA16">_xlfn.SWITCH($A$2,"average", AVERAGE(Instances!EA16:Instances!EA16),"median", MEDIAN(Instances!EA16:Instances!EA16),"min", MIN(Instances!EA16:Instances!EA16),"max", MAX(Instances!EA16:Instances!EA16),"diff", MAX(Instances!EA16:Instances!EA16)-MIN(Instances!EA16:Instances!EA16))</f>
        <v>0</v>
      </c>
      <c r="EB16" s="1" cm="1">
        <f t="array" ref="EB16">_xlfn.SWITCH($A$2,"average", AVERAGE(Instances!EB16:Instances!EB16),"median", MEDIAN(Instances!EB16:Instances!EB16),"min", MIN(Instances!EB16:Instances!EB16),"max", MAX(Instances!EB16:Instances!EB16),"diff", MAX(Instances!EB16:Instances!EB16)-MIN(Instances!EB16:Instances!EB16))</f>
        <v>0</v>
      </c>
      <c r="EC16" s="1" cm="1">
        <f t="array" ref="EC16">_xlfn.SWITCH($A$2,"average", AVERAGE(Instances!EC16:Instances!EC16),"median", MEDIAN(Instances!EC16:Instances!EC16),"min", MIN(Instances!EC16:Instances!EC16),"max", MAX(Instances!EC16:Instances!EC16),"diff", MAX(Instances!EC16:Instances!EC16)-MIN(Instances!EC16:Instances!EC16))</f>
        <v>0</v>
      </c>
      <c r="ED16" s="1" cm="1">
        <f t="array" ref="ED16">_xlfn.SWITCH($A$2,"average", AVERAGE(Instances!ED16:Instances!ED16),"median", MEDIAN(Instances!ED16:Instances!ED16),"min", MIN(Instances!ED16:Instances!ED16),"max", MAX(Instances!ED16:Instances!ED16),"diff", MAX(Instances!ED16:Instances!ED16)-MIN(Instances!ED16:Instances!ED16))</f>
        <v>0</v>
      </c>
      <c r="EE16" s="1" cm="1">
        <f t="array" ref="EE16">_xlfn.SWITCH($A$2,"average", AVERAGE(Instances!EE16:Instances!EE16),"median", MEDIAN(Instances!EE16:Instances!EE16),"min", MIN(Instances!EE16:Instances!EE16),"max", MAX(Instances!EE16:Instances!EE16),"diff", MAX(Instances!EE16:Instances!EE16)-MIN(Instances!EE16:Instances!EE16))</f>
        <v>0</v>
      </c>
      <c r="EF16" s="1" cm="1">
        <f t="array" ref="EF16">_xlfn.SWITCH($A$2,"average", AVERAGE(Instances!EF16:Instances!EF16),"median", MEDIAN(Instances!EF16:Instances!EF16),"min", MIN(Instances!EF16:Instances!EF16),"max", MAX(Instances!EF16:Instances!EF16),"diff", MAX(Instances!EF16:Instances!EF16)-MIN(Instances!EF16:Instances!EF16))</f>
        <v>0</v>
      </c>
      <c r="EG16" s="1" cm="1">
        <f t="array" ref="EG16">_xlfn.SWITCH($A$2,"average", AVERAGE(Instances!EG16:Instances!EG16),"median", MEDIAN(Instances!EG16:Instances!EG16),"min", MIN(Instances!EG16:Instances!EG16),"max", MAX(Instances!EG16:Instances!EG16),"diff", MAX(Instances!EG16:Instances!EG16)-MIN(Instances!EG16:Instances!EG16))</f>
        <v>0</v>
      </c>
      <c r="EH16" s="1" cm="1">
        <f t="array" ref="EH16">_xlfn.SWITCH($A$2,"average", AVERAGE(Instances!EH16:Instances!EH16),"median", MEDIAN(Instances!EH16:Instances!EH16),"min", MIN(Instances!EH16:Instances!EH16),"max", MAX(Instances!EH16:Instances!EH16),"diff", MAX(Instances!EH16:Instances!EH16)-MIN(Instances!EH16:Instances!EH16))</f>
        <v>0</v>
      </c>
      <c r="EI16" s="1" cm="1">
        <f t="array" ref="EI16">_xlfn.SWITCH($A$2,"average", AVERAGE(Instances!EI16:Instances!EI16),"median", MEDIAN(Instances!EI16:Instances!EI16),"min", MIN(Instances!EI16:Instances!EI16),"max", MAX(Instances!EI16:Instances!EI16),"diff", MAX(Instances!EI16:Instances!EI16)-MIN(Instances!EI16:Instances!EI16))</f>
        <v>0</v>
      </c>
      <c r="EJ16" s="1" cm="1">
        <f t="array" ref="EJ16">_xlfn.SWITCH($A$2,"average", AVERAGE(Instances!EJ16:Instances!EJ16),"median", MEDIAN(Instances!EJ16:Instances!EJ16),"min", MIN(Instances!EJ16:Instances!EJ16),"max", MAX(Instances!EJ16:Instances!EJ16),"diff", MAX(Instances!EJ16:Instances!EJ16)-MIN(Instances!EJ16:Instances!EJ16))</f>
        <v>0</v>
      </c>
      <c r="EK16" s="1" cm="1">
        <f t="array" ref="EK16">_xlfn.SWITCH($A$2,"average", AVERAGE(Instances!EK16:Instances!EK16),"median", MEDIAN(Instances!EK16:Instances!EK16),"min", MIN(Instances!EK16:Instances!EK16),"max", MAX(Instances!EK16:Instances!EK16),"diff", MAX(Instances!EK16:Instances!EK16)-MIN(Instances!EK16:Instances!EK16))</f>
        <v>0</v>
      </c>
      <c r="EL16" s="1"/>
      <c r="EM16" s="1" cm="1">
        <f t="array" ref="EM16">_xlfn.SWITCH($A$2,"average", AVERAGE(Instances!EM16:Instances!EM16),"median", MEDIAN(Instances!EM16:Instances!EM16),"min", MIN(Instances!EM16:Instances!EM16),"max", MAX(Instances!EM16:Instances!EM16),"diff", MAX(Instances!EM16:Instances!EM16)-MIN(Instances!EM16:Instances!EM16))</f>
        <v>0</v>
      </c>
      <c r="EN16" s="1" cm="1">
        <f t="array" ref="EN16">_xlfn.SWITCH($A$2,"average", AVERAGE(Instances!EN16:Instances!EN16),"median", MEDIAN(Instances!EN16:Instances!EN16),"min", MIN(Instances!EN16:Instances!EN16),"max", MAX(Instances!EN16:Instances!EN16),"diff", MAX(Instances!EN16:Instances!EN16)-MIN(Instances!EN16:Instances!EN16))</f>
        <v>0</v>
      </c>
      <c r="EO16" s="1" cm="1">
        <f t="array" ref="EO16">_xlfn.SWITCH($A$2,"average", AVERAGE(Instances!EO16:Instances!EO16),"median", MEDIAN(Instances!EO16:Instances!EO16),"min", MIN(Instances!EO16:Instances!EO16),"max", MAX(Instances!EO16:Instances!EO16),"diff", MAX(Instances!EO16:Instances!EO16)-MIN(Instances!EO16:Instances!EO16))</f>
        <v>0</v>
      </c>
      <c r="EP16" s="1" cm="1">
        <f t="array" ref="EP16">_xlfn.SWITCH($A$2,"average", AVERAGE(Instances!EP16:Instances!EP16),"median", MEDIAN(Instances!EP16:Instances!EP16),"min", MIN(Instances!EP16:Instances!EP16),"max", MAX(Instances!EP16:Instances!EP16),"diff", MAX(Instances!EP16:Instances!EP16)-MIN(Instances!EP16:Instances!EP16))</f>
        <v>0</v>
      </c>
      <c r="EQ16" s="1" cm="1">
        <f t="array" ref="EQ16">_xlfn.SWITCH($A$2,"average", AVERAGE(Instances!EQ16:Instances!EQ16),"median", MEDIAN(Instances!EQ16:Instances!EQ16),"min", MIN(Instances!EQ16:Instances!EQ16),"max", MAX(Instances!EQ16:Instances!EQ16),"diff", MAX(Instances!EQ16:Instances!EQ16)-MIN(Instances!EQ16:Instances!EQ16))</f>
        <v>0</v>
      </c>
      <c r="ER16" s="1" cm="1">
        <f t="array" ref="ER16">_xlfn.SWITCH($A$2,"average", AVERAGE(Instances!ER16:Instances!ER16),"median", MEDIAN(Instances!ER16:Instances!ER16),"min", MIN(Instances!ER16:Instances!ER16),"max", MAX(Instances!ER16:Instances!ER16),"diff", MAX(Instances!ER16:Instances!ER16)-MIN(Instances!ER16:Instances!ER16))</f>
        <v>0</v>
      </c>
      <c r="ES16" s="1" cm="1">
        <f t="array" ref="ES16">_xlfn.SWITCH($A$2,"average", AVERAGE(Instances!ES16:Instances!ES16),"median", MEDIAN(Instances!ES16:Instances!ES16),"min", MIN(Instances!ES16:Instances!ES16),"max", MAX(Instances!ES16:Instances!ES16),"diff", MAX(Instances!ES16:Instances!ES16)-MIN(Instances!ES16:Instances!ES16))</f>
        <v>0</v>
      </c>
      <c r="ET16" s="1" cm="1">
        <f t="array" ref="ET16">_xlfn.SWITCH($A$2,"average", AVERAGE(Instances!ET16:Instances!ET16),"median", MEDIAN(Instances!ET16:Instances!ET16),"min", MIN(Instances!ET16:Instances!ET16),"max", MAX(Instances!ET16:Instances!ET16),"diff", MAX(Instances!ET16:Instances!ET16)-MIN(Instances!ET16:Instances!ET16))</f>
        <v>0</v>
      </c>
      <c r="EU16" s="1" cm="1">
        <f t="array" ref="EU16">_xlfn.SWITCH($A$2,"average", AVERAGE(Instances!EU16:Instances!EU16),"median", MEDIAN(Instances!EU16:Instances!EU16),"min", MIN(Instances!EU16:Instances!EU16),"max", MAX(Instances!EU16:Instances!EU16),"diff", MAX(Instances!EU16:Instances!EU16)-MIN(Instances!EU16:Instances!EU16))</f>
        <v>0</v>
      </c>
      <c r="EV16" s="1" cm="1">
        <f t="array" ref="EV16">_xlfn.SWITCH($A$2,"average", AVERAGE(Instances!EV16:Instances!EV16),"median", MEDIAN(Instances!EV16:Instances!EV16),"min", MIN(Instances!EV16:Instances!EV16),"max", MAX(Instances!EV16:Instances!EV16),"diff", MAX(Instances!EV16:Instances!EV16)-MIN(Instances!EV16:Instances!EV16))</f>
        <v>0</v>
      </c>
      <c r="EW16" s="1" cm="1">
        <f t="array" ref="EW16">_xlfn.SWITCH($A$2,"average", AVERAGE(Instances!EW16:Instances!EW16),"median", MEDIAN(Instances!EW16:Instances!EW16),"min", MIN(Instances!EW16:Instances!EW16),"max", MAX(Instances!EW16:Instances!EW16),"diff", MAX(Instances!EW16:Instances!EW16)-MIN(Instances!EW16:Instances!EW16))</f>
        <v>0</v>
      </c>
      <c r="EX16" s="1" cm="1">
        <f t="array" ref="EX16">_xlfn.SWITCH($A$2,"average", AVERAGE(Instances!EX16:Instances!EX16),"median", MEDIAN(Instances!EX16:Instances!EX16),"min", MIN(Instances!EX16:Instances!EX16),"max", MAX(Instances!EX16:Instances!EX16),"diff", MAX(Instances!EX16:Instances!EX16)-MIN(Instances!EX16:Instances!EX16))</f>
        <v>0</v>
      </c>
      <c r="EY16" s="1" cm="1">
        <f t="array" ref="EY16">_xlfn.SWITCH($A$2,"average", AVERAGE(Instances!EY16:Instances!EY16),"median", MEDIAN(Instances!EY16:Instances!EY16),"min", MIN(Instances!EY16:Instances!EY16),"max", MAX(Instances!EY16:Instances!EY16),"diff", MAX(Instances!EY16:Instances!EY16)-MIN(Instances!EY16:Instances!EY16))</f>
        <v>0</v>
      </c>
      <c r="EZ16" s="1" cm="1">
        <f t="array" ref="EZ16">_xlfn.SWITCH($A$2,"average", AVERAGE(Instances!EZ16:Instances!EZ16),"median", MEDIAN(Instances!EZ16:Instances!EZ16),"min", MIN(Instances!EZ16:Instances!EZ16),"max", MAX(Instances!EZ16:Instances!EZ16),"diff", MAX(Instances!EZ16:Instances!EZ16)-MIN(Instances!EZ16:Instances!EZ16))</f>
        <v>0</v>
      </c>
      <c r="FA16" s="1" cm="1">
        <f t="array" ref="FA16">_xlfn.SWITCH($A$2,"average", AVERAGE(Instances!FA16:Instances!FA16),"median", MEDIAN(Instances!FA16:Instances!FA16),"min", MIN(Instances!FA16:Instances!FA16),"max", MAX(Instances!FA16:Instances!FA16),"diff", MAX(Instances!FA16:Instances!FA16)-MIN(Instances!FA16:Instances!FA16))</f>
        <v>0</v>
      </c>
      <c r="FB16" s="1" cm="1">
        <f t="array" ref="FB16">_xlfn.SWITCH($A$2,"average", AVERAGE(Instances!FB16:Instances!FB16),"median", MEDIAN(Instances!FB16:Instances!FB16),"min", MIN(Instances!FB16:Instances!FB16),"max", MAX(Instances!FB16:Instances!FB16),"diff", MAX(Instances!FB16:Instances!FB16)-MIN(Instances!FB16:Instances!FB16))</f>
        <v>0</v>
      </c>
      <c r="FC16" s="1" cm="1">
        <f t="array" ref="FC16">_xlfn.SWITCH($A$2,"average", AVERAGE(Instances!FC16:Instances!FC16),"median", MEDIAN(Instances!FC16:Instances!FC16),"min", MIN(Instances!FC16:Instances!FC16),"max", MAX(Instances!FC16:Instances!FC16),"diff", MAX(Instances!FC16:Instances!FC16)-MIN(Instances!FC16:Instances!FC16))</f>
        <v>0</v>
      </c>
      <c r="FD16" s="1"/>
      <c r="FE16" s="1" cm="1">
        <f t="array" ref="FE16">_xlfn.SWITCH($A$2,"average", AVERAGE(Instances!FE16:Instances!FE16),"median", MEDIAN(Instances!FE16:Instances!FE16),"min", MIN(Instances!FE16:Instances!FE16),"max", MAX(Instances!FE16:Instances!FE16),"diff", MAX(Instances!FE16:Instances!FE16)-MIN(Instances!FE16:Instances!FE16))</f>
        <v>0</v>
      </c>
      <c r="FF16" s="1" cm="1">
        <f t="array" ref="FF16">_xlfn.SWITCH($A$2,"average", AVERAGE(Instances!FF16:Instances!FF16),"median", MEDIAN(Instances!FF16:Instances!FF16),"min", MIN(Instances!FF16:Instances!FF16),"max", MAX(Instances!FF16:Instances!FF16),"diff", MAX(Instances!FF16:Instances!FF16)-MIN(Instances!FF16:Instances!FF16))</f>
        <v>0</v>
      </c>
      <c r="FG16" s="1" cm="1">
        <f t="array" ref="FG16">_xlfn.SWITCH($A$2,"average", AVERAGE(Instances!FG16:Instances!FG16),"median", MEDIAN(Instances!FG16:Instances!FG16),"min", MIN(Instances!FG16:Instances!FG16),"max", MAX(Instances!FG16:Instances!FG16),"diff", MAX(Instances!FG16:Instances!FG16)-MIN(Instances!FG16:Instances!FG16))</f>
        <v>0</v>
      </c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 cm="1">
        <f t="array" ref="FZ16">_xlfn.SWITCH($A$2,"average", AVERAGE(Instances!FZ16:Instances!FZ16),"median", MEDIAN(Instances!FZ16:Instances!FZ16),"min", MIN(Instances!FZ16:Instances!FZ16),"max", MAX(Instances!FZ16:Instances!FZ16),"diff", MAX(Instances!FZ16:Instances!FZ16)-MIN(Instances!FZ16:Instances!FZ16))</f>
        <v>0</v>
      </c>
      <c r="GA16" s="1" cm="1">
        <f t="array" ref="GA16">_xlfn.SWITCH($A$2,"average", AVERAGE(Instances!GA16:Instances!GA16),"median", MEDIAN(Instances!GA16:Instances!GA16),"min", MIN(Instances!GA16:Instances!GA16),"max", MAX(Instances!GA16:Instances!GA16),"diff", MAX(Instances!GA16:Instances!GA16)-MIN(Instances!GA16:Instances!GA16))</f>
        <v>0</v>
      </c>
      <c r="GB16" s="1" cm="1">
        <f t="array" ref="GB16">_xlfn.SWITCH($A$2,"average", AVERAGE(Instances!GB16:Instances!GB16),"median", MEDIAN(Instances!GB16:Instances!GB16),"min", MIN(Instances!GB16:Instances!GB16),"max", MAX(Instances!GB16:Instances!GB16),"diff", MAX(Instances!GB16:Instances!GB16)-MIN(Instances!GB16:Instances!GB16))</f>
        <v>0</v>
      </c>
      <c r="GC16" s="1" cm="1">
        <f t="array" ref="GC16">_xlfn.SWITCH($A$2,"average", AVERAGE(Instances!GC16:Instances!GC16),"median", MEDIAN(Instances!GC16:Instances!GC16),"min", MIN(Instances!GC16:Instances!GC16),"max", MAX(Instances!GC16:Instances!GC16),"diff", MAX(Instances!GC16:Instances!GC16)-MIN(Instances!GC16:Instances!GC16))</f>
        <v>0</v>
      </c>
      <c r="GD16" s="1" cm="1">
        <f t="array" ref="GD16">_xlfn.SWITCH($A$2,"average", AVERAGE(Instances!GD16:Instances!GD16),"median", MEDIAN(Instances!GD16:Instances!GD16),"min", MIN(Instances!GD16:Instances!GD16),"max", MAX(Instances!GD16:Instances!GD16),"diff", MAX(Instances!GD16:Instances!GD16)-MIN(Instances!GD16:Instances!GD16))</f>
        <v>0</v>
      </c>
      <c r="GE16" s="1" cm="1">
        <f t="array" ref="GE16">_xlfn.SWITCH($A$2,"average", AVERAGE(Instances!GE16:Instances!GE16),"median", MEDIAN(Instances!GE16:Instances!GE16),"min", MIN(Instances!GE16:Instances!GE16),"max", MAX(Instances!GE16:Instances!GE16),"diff", MAX(Instances!GE16:Instances!GE16)-MIN(Instances!GE16:Instances!GE16))</f>
        <v>0</v>
      </c>
      <c r="GF16" s="1" cm="1">
        <f t="array" ref="GF16">_xlfn.SWITCH($A$2,"average", AVERAGE(Instances!GF16:Instances!GF16),"median", MEDIAN(Instances!GF16:Instances!GF16),"min", MIN(Instances!GF16:Instances!GF16),"max", MAX(Instances!GF16:Instances!GF16),"diff", MAX(Instances!GF16:Instances!GF16)-MIN(Instances!GF16:Instances!GF16))</f>
        <v>0</v>
      </c>
      <c r="GG16" s="1" cm="1">
        <f t="array" ref="GG16">_xlfn.SWITCH($A$2,"average", AVERAGE(Instances!GG16:Instances!GG16),"median", MEDIAN(Instances!GG16:Instances!GG16),"min", MIN(Instances!GG16:Instances!GG16),"max", MAX(Instances!GG16:Instances!GG16),"diff", MAX(Instances!GG16:Instances!GG16)-MIN(Instances!GG16:Instances!GG16))</f>
        <v>0</v>
      </c>
      <c r="GH16" s="1" cm="1">
        <f t="array" ref="GH16">_xlfn.SWITCH($A$2,"average", AVERAGE(Instances!GH16:Instances!GH16),"median", MEDIAN(Instances!GH16:Instances!GH16),"min", MIN(Instances!GH16:Instances!GH16),"max", MAX(Instances!GH16:Instances!GH16),"diff", MAX(Instances!GH16:Instances!GH16)-MIN(Instances!GH16:Instances!GH16))</f>
        <v>0</v>
      </c>
      <c r="GI16" s="1" cm="1">
        <f t="array" ref="GI16">_xlfn.SWITCH($A$2,"average", AVERAGE(Instances!GI16:Instances!GI16),"median", MEDIAN(Instances!GI16:Instances!GI16),"min", MIN(Instances!GI16:Instances!GI16),"max", MAX(Instances!GI16:Instances!GI16),"diff", MAX(Instances!GI16:Instances!GI16)-MIN(Instances!GI16:Instances!GI16))</f>
        <v>0</v>
      </c>
      <c r="GJ16" s="1" cm="1">
        <f t="array" ref="GJ16">_xlfn.SWITCH($A$2,"average", AVERAGE(Instances!GJ16:Instances!GJ16),"median", MEDIAN(Instances!GJ16:Instances!GJ16),"min", MIN(Instances!GJ16:Instances!GJ16),"max", MAX(Instances!GJ16:Instances!GJ16),"diff", MAX(Instances!GJ16:Instances!GJ16)-MIN(Instances!GJ16:Instances!GJ16))</f>
        <v>0</v>
      </c>
      <c r="GK16" s="1" cm="1">
        <f t="array" ref="GK16">_xlfn.SWITCH($A$2,"average", AVERAGE(Instances!GK16:Instances!GK16),"median", MEDIAN(Instances!GK16:Instances!GK16),"min", MIN(Instances!GK16:Instances!GK16),"max", MAX(Instances!GK16:Instances!GK16),"diff", MAX(Instances!GK16:Instances!GK16)-MIN(Instances!GK16:Instances!GK16))</f>
        <v>0</v>
      </c>
      <c r="GL16" s="1" cm="1">
        <f t="array" ref="GL16">_xlfn.SWITCH($A$2,"average", AVERAGE(Instances!GL16:Instances!GL16),"median", MEDIAN(Instances!GL16:Instances!GL16),"min", MIN(Instances!GL16:Instances!GL16),"max", MAX(Instances!GL16:Instances!GL16),"diff", MAX(Instances!GL16:Instances!GL16)-MIN(Instances!GL16:Instances!GL16))</f>
        <v>0</v>
      </c>
      <c r="GM16" s="1" cm="1">
        <f t="array" ref="GM16">_xlfn.SWITCH($A$2,"average", AVERAGE(Instances!GM16:Instances!GM16),"median", MEDIAN(Instances!GM16:Instances!GM16),"min", MIN(Instances!GM16:Instances!GM16),"max", MAX(Instances!GM16:Instances!GM16),"diff", MAX(Instances!GM16:Instances!GM16)-MIN(Instances!GM16:Instances!GM16))</f>
        <v>0</v>
      </c>
      <c r="GN16" s="1"/>
      <c r="GO16" s="1" cm="1">
        <f t="array" ref="GO16">_xlfn.SWITCH($A$2,"average", AVERAGE(Instances!GO16:Instances!GO16),"median", MEDIAN(Instances!GO16:Instances!GO16),"min", MIN(Instances!GO16:Instances!GO16),"max", MAX(Instances!GO16:Instances!GO16),"diff", MAX(Instances!GO16:Instances!GO16)-MIN(Instances!GO16:Instances!GO16))</f>
        <v>0</v>
      </c>
      <c r="GP16" s="1" cm="1">
        <f t="array" ref="GP16">_xlfn.SWITCH($A$2,"average", AVERAGE(Instances!GP16:Instances!GP16),"median", MEDIAN(Instances!GP16:Instances!GP16),"min", MIN(Instances!GP16:Instances!GP16),"max", MAX(Instances!GP16:Instances!GP16),"diff", MAX(Instances!GP16:Instances!GP16)-MIN(Instances!GP16:Instances!GP16))</f>
        <v>0</v>
      </c>
      <c r="GQ16" s="1" cm="1">
        <f t="array" ref="GQ16">_xlfn.SWITCH($A$2,"average", AVERAGE(Instances!GQ16:Instances!GQ16),"median", MEDIAN(Instances!GQ16:Instances!GQ16),"min", MIN(Instances!GQ16:Instances!GQ16),"max", MAX(Instances!GQ16:Instances!GQ16),"diff", MAX(Instances!GQ16:Instances!GQ16)-MIN(Instances!GQ16:Instances!GQ16))</f>
        <v>0</v>
      </c>
      <c r="GR16" s="1" cm="1">
        <f t="array" ref="GR16">_xlfn.SWITCH($A$2,"average", AVERAGE(Instances!GR16:Instances!GR16),"median", MEDIAN(Instances!GR16:Instances!GR16),"min", MIN(Instances!GR16:Instances!GR16),"max", MAX(Instances!GR16:Instances!GR16),"diff", MAX(Instances!GR16:Instances!GR16)-MIN(Instances!GR16:Instances!GR16))</f>
        <v>0</v>
      </c>
      <c r="GS16" s="1" cm="1">
        <f t="array" ref="GS16">_xlfn.SWITCH($A$2,"average", AVERAGE(Instances!GS16:Instances!GS16),"median", MEDIAN(Instances!GS16:Instances!GS16),"min", MIN(Instances!GS16:Instances!GS16),"max", MAX(Instances!GS16:Instances!GS16),"diff", MAX(Instances!GS16:Instances!GS16)-MIN(Instances!GS16:Instances!GS16))</f>
        <v>0</v>
      </c>
      <c r="GT16" s="1" cm="1">
        <f t="array" ref="GT16">_xlfn.SWITCH($A$2,"average", AVERAGE(Instances!GT16:Instances!GT16),"median", MEDIAN(Instances!GT16:Instances!GT16),"min", MIN(Instances!GT16:Instances!GT16),"max", MAX(Instances!GT16:Instances!GT16),"diff", MAX(Instances!GT16:Instances!GT16)-MIN(Instances!GT16:Instances!GT16))</f>
        <v>0</v>
      </c>
      <c r="GU16" s="1" cm="1">
        <f t="array" ref="GU16">_xlfn.SWITCH($A$2,"average", AVERAGE(Instances!GU16:Instances!GU16),"median", MEDIAN(Instances!GU16:Instances!GU16),"min", MIN(Instances!GU16:Instances!GU16),"max", MAX(Instances!GU16:Instances!GU16),"diff", MAX(Instances!GU16:Instances!GU16)-MIN(Instances!GU16:Instances!GU16))</f>
        <v>0</v>
      </c>
      <c r="GV16" s="1" cm="1">
        <f t="array" ref="GV16">_xlfn.SWITCH($A$2,"average", AVERAGE(Instances!GV16:Instances!GV16),"median", MEDIAN(Instances!GV16:Instances!GV16),"min", MIN(Instances!GV16:Instances!GV16),"max", MAX(Instances!GV16:Instances!GV16),"diff", MAX(Instances!GV16:Instances!GV16)-MIN(Instances!GV16:Instances!GV16))</f>
        <v>0</v>
      </c>
      <c r="GW16" s="1" cm="1">
        <f t="array" ref="GW16">_xlfn.SWITCH($A$2,"average", AVERAGE(Instances!GW16:Instances!GW16),"median", MEDIAN(Instances!GW16:Instances!GW16),"min", MIN(Instances!GW16:Instances!GW16),"max", MAX(Instances!GW16:Instances!GW16),"diff", MAX(Instances!GW16:Instances!GW16)-MIN(Instances!GW16:Instances!GW16))</f>
        <v>0</v>
      </c>
      <c r="GX16" s="1" cm="1">
        <f t="array" ref="GX16">_xlfn.SWITCH($A$2,"average", AVERAGE(Instances!GX16:Instances!GX16),"median", MEDIAN(Instances!GX16:Instances!GX16),"min", MIN(Instances!GX16:Instances!GX16),"max", MAX(Instances!GX16:Instances!GX16),"diff", MAX(Instances!GX16:Instances!GX16)-MIN(Instances!GX16:Instances!GX16))</f>
        <v>0</v>
      </c>
      <c r="GY16" s="1" cm="1">
        <f t="array" ref="GY16">_xlfn.SWITCH($A$2,"average", AVERAGE(Instances!GY16:Instances!GY16),"median", MEDIAN(Instances!GY16:Instances!GY16),"min", MIN(Instances!GY16:Instances!GY16),"max", MAX(Instances!GY16:Instances!GY16),"diff", MAX(Instances!GY16:Instances!GY16)-MIN(Instances!GY16:Instances!GY16))</f>
        <v>0</v>
      </c>
      <c r="GZ16" s="1" cm="1">
        <f t="array" ref="GZ16">_xlfn.SWITCH($A$2,"average", AVERAGE(Instances!GZ16:Instances!GZ16),"median", MEDIAN(Instances!GZ16:Instances!GZ16),"min", MIN(Instances!GZ16:Instances!GZ16),"max", MAX(Instances!GZ16:Instances!GZ16),"diff", MAX(Instances!GZ16:Instances!GZ16)-MIN(Instances!GZ16:Instances!GZ16))</f>
        <v>0</v>
      </c>
      <c r="HA16" s="1" cm="1">
        <f t="array" ref="HA16">_xlfn.SWITCH($A$2,"average", AVERAGE(Instances!HA16:Instances!HA16),"median", MEDIAN(Instances!HA16:Instances!HA16),"min", MIN(Instances!HA16:Instances!HA16),"max", MAX(Instances!HA16:Instances!HA16),"diff", MAX(Instances!HA16:Instances!HA16)-MIN(Instances!HA16:Instances!HA16))</f>
        <v>0</v>
      </c>
      <c r="HB16" s="1" cm="1">
        <f t="array" ref="HB16">_xlfn.SWITCH($A$2,"average", AVERAGE(Instances!HB16:Instances!HB16),"median", MEDIAN(Instances!HB16:Instances!HB16),"min", MIN(Instances!HB16:Instances!HB16),"max", MAX(Instances!HB16:Instances!HB16),"diff", MAX(Instances!HB16:Instances!HB16)-MIN(Instances!HB16:Instances!HB16))</f>
        <v>0</v>
      </c>
      <c r="HC16" s="1" cm="1">
        <f t="array" ref="HC16">_xlfn.SWITCH($A$2,"average", AVERAGE(Instances!HC16:Instances!HC16),"median", MEDIAN(Instances!HC16:Instances!HC16),"min", MIN(Instances!HC16:Instances!HC16),"max", MAX(Instances!HC16:Instances!HC16),"diff", MAX(Instances!HC16:Instances!HC16)-MIN(Instances!HC16:Instances!HC16))</f>
        <v>0</v>
      </c>
      <c r="HD16" s="1" cm="1">
        <f t="array" ref="HD16">_xlfn.SWITCH($A$2,"average", AVERAGE(Instances!HD16:Instances!HD16),"median", MEDIAN(Instances!HD16:Instances!HD16),"min", MIN(Instances!HD16:Instances!HD16),"max", MAX(Instances!HD16:Instances!HD16),"diff", MAX(Instances!HD16:Instances!HD16)-MIN(Instances!HD16:Instances!HD16))</f>
        <v>0</v>
      </c>
      <c r="HE16" s="1" cm="1">
        <f t="array" ref="HE16">_xlfn.SWITCH($A$2,"average", AVERAGE(Instances!HE16:Instances!HE16),"median", MEDIAN(Instances!HE16:Instances!HE16),"min", MIN(Instances!HE16:Instances!HE16),"max", MAX(Instances!HE16:Instances!HE16),"diff", MAX(Instances!HE16:Instances!HE16)-MIN(Instances!HE16:Instances!HE16))</f>
        <v>0</v>
      </c>
      <c r="HF16" s="1"/>
      <c r="HG16" s="1" cm="1">
        <f t="array" ref="HG16">_xlfn.SWITCH($A$2,"average", AVERAGE(Instances!HG16:Instances!HG16),"median", MEDIAN(Instances!HG16:Instances!HG16),"min", MIN(Instances!HG16:Instances!HG16),"max", MAX(Instances!HG16:Instances!HG16),"diff", MAX(Instances!HG16:Instances!HG16)-MIN(Instances!HG16:Instances!HG16))</f>
        <v>0</v>
      </c>
      <c r="HH16" s="1" cm="1">
        <f t="array" ref="HH16">_xlfn.SWITCH($A$2,"average", AVERAGE(Instances!HH16:Instances!HH16),"median", MEDIAN(Instances!HH16:Instances!HH16),"min", MIN(Instances!HH16:Instances!HH16),"max", MAX(Instances!HH16:Instances!HH16),"diff", MAX(Instances!HH16:Instances!HH16)-MIN(Instances!HH16:Instances!HH16))</f>
        <v>0</v>
      </c>
      <c r="HI16" s="1" cm="1">
        <f t="array" ref="HI16">_xlfn.SWITCH($A$2,"average", AVERAGE(Instances!HI16:Instances!HI16),"median", MEDIAN(Instances!HI16:Instances!HI16),"min", MIN(Instances!HI16:Instances!HI16),"max", MAX(Instances!HI16:Instances!HI16),"diff", MAX(Instances!HI16:Instances!HI16)-MIN(Instances!HI16:Instances!HI16))</f>
        <v>0</v>
      </c>
      <c r="HJ16" s="1" cm="1">
        <f t="array" ref="HJ16">_xlfn.SWITCH($A$2,"average", AVERAGE(Instances!HJ16:Instances!HJ16),"median", MEDIAN(Instances!HJ16:Instances!HJ16),"min", MIN(Instances!HJ16:Instances!HJ16),"max", MAX(Instances!HJ16:Instances!HJ16),"diff", MAX(Instances!HJ16:Instances!HJ16)-MIN(Instances!HJ16:Instances!HJ16))</f>
        <v>0</v>
      </c>
      <c r="HK16" s="1" cm="1">
        <f t="array" ref="HK16">_xlfn.SWITCH($A$2,"average", AVERAGE(Instances!HK16:Instances!HK16),"median", MEDIAN(Instances!HK16:Instances!HK16),"min", MIN(Instances!HK16:Instances!HK16),"max", MAX(Instances!HK16:Instances!HK16),"diff", MAX(Instances!HK16:Instances!HK16)-MIN(Instances!HK16:Instances!HK16))</f>
        <v>0</v>
      </c>
      <c r="HL16" s="1" cm="1">
        <f t="array" ref="HL16">_xlfn.SWITCH($A$2,"average", AVERAGE(Instances!HL16:Instances!HL16),"median", MEDIAN(Instances!HL16:Instances!HL16),"min", MIN(Instances!HL16:Instances!HL16),"max", MAX(Instances!HL16:Instances!HL16),"diff", MAX(Instances!HL16:Instances!HL16)-MIN(Instances!HL16:Instances!HL16))</f>
        <v>0</v>
      </c>
      <c r="HM16" s="1" cm="1">
        <f t="array" ref="HM16">_xlfn.SWITCH($A$2,"average", AVERAGE(Instances!HM16:Instances!HM16),"median", MEDIAN(Instances!HM16:Instances!HM16),"min", MIN(Instances!HM16:Instances!HM16),"max", MAX(Instances!HM16:Instances!HM16),"diff", MAX(Instances!HM16:Instances!HM16)-MIN(Instances!HM16:Instances!HM16))</f>
        <v>0</v>
      </c>
      <c r="HN16" s="1" cm="1">
        <f t="array" ref="HN16">_xlfn.SWITCH($A$2,"average", AVERAGE(Instances!HN16:Instances!HN16),"median", MEDIAN(Instances!HN16:Instances!HN16),"min", MIN(Instances!HN16:Instances!HN16),"max", MAX(Instances!HN16:Instances!HN16),"diff", MAX(Instances!HN16:Instances!HN16)-MIN(Instances!HN16:Instances!HN16))</f>
        <v>0</v>
      </c>
      <c r="HO16" s="1" cm="1">
        <f t="array" ref="HO16">_xlfn.SWITCH($A$2,"average", AVERAGE(Instances!HO16:Instances!HO16),"median", MEDIAN(Instances!HO16:Instances!HO16),"min", MIN(Instances!HO16:Instances!HO16),"max", MAX(Instances!HO16:Instances!HO16),"diff", MAX(Instances!HO16:Instances!HO16)-MIN(Instances!HO16:Instances!HO16))</f>
        <v>0</v>
      </c>
      <c r="HP16" s="1" cm="1">
        <f t="array" ref="HP16">_xlfn.SWITCH($A$2,"average", AVERAGE(Instances!HP16:Instances!HP16),"median", MEDIAN(Instances!HP16:Instances!HP16),"min", MIN(Instances!HP16:Instances!HP16),"max", MAX(Instances!HP16:Instances!HP16),"diff", MAX(Instances!HP16:Instances!HP16)-MIN(Instances!HP16:Instances!HP16))</f>
        <v>0</v>
      </c>
      <c r="HQ16" s="1" cm="1">
        <f t="array" ref="HQ16">_xlfn.SWITCH($A$2,"average", AVERAGE(Instances!HQ16:Instances!HQ16),"median", MEDIAN(Instances!HQ16:Instances!HQ16),"min", MIN(Instances!HQ16:Instances!HQ16),"max", MAX(Instances!HQ16:Instances!HQ16),"diff", MAX(Instances!HQ16:Instances!HQ16)-MIN(Instances!HQ16:Instances!HQ16))</f>
        <v>0</v>
      </c>
      <c r="HR16" s="1" cm="1">
        <f t="array" ref="HR16">_xlfn.SWITCH($A$2,"average", AVERAGE(Instances!HR16:Instances!HR16),"median", MEDIAN(Instances!HR16:Instances!HR16),"min", MIN(Instances!HR16:Instances!HR16),"max", MAX(Instances!HR16:Instances!HR16),"diff", MAX(Instances!HR16:Instances!HR16)-MIN(Instances!HR16:Instances!HR16))</f>
        <v>0</v>
      </c>
      <c r="HS16" s="1" cm="1">
        <f t="array" ref="HS16">_xlfn.SWITCH($A$2,"average", AVERAGE(Instances!HS16:Instances!HS16),"median", MEDIAN(Instances!HS16:Instances!HS16),"min", MIN(Instances!HS16:Instances!HS16),"max", MAX(Instances!HS16:Instances!HS16),"diff", MAX(Instances!HS16:Instances!HS16)-MIN(Instances!HS16:Instances!HS16))</f>
        <v>0</v>
      </c>
      <c r="HT16" s="1" cm="1">
        <f t="array" ref="HT16">_xlfn.SWITCH($A$2,"average", AVERAGE(Instances!HT16:Instances!HT16),"median", MEDIAN(Instances!HT16:Instances!HT16),"min", MIN(Instances!HT16:Instances!HT16),"max", MAX(Instances!HT16:Instances!HT16),"diff", MAX(Instances!HT16:Instances!HT16)-MIN(Instances!HT16:Instances!HT16))</f>
        <v>0</v>
      </c>
      <c r="HU16" s="1" cm="1">
        <f t="array" ref="HU16">_xlfn.SWITCH($A$2,"average", AVERAGE(Instances!HU16:Instances!HU16),"median", MEDIAN(Instances!HU16:Instances!HU16),"min", MIN(Instances!HU16:Instances!HU16),"max", MAX(Instances!HU16:Instances!HU16),"diff", MAX(Instances!HU16:Instances!HU16)-MIN(Instances!HU16:Instances!HU16))</f>
        <v>0</v>
      </c>
      <c r="HV16" s="1" cm="1">
        <f t="array" ref="HV16">_xlfn.SWITCH($A$2,"average", AVERAGE(Instances!HV16:Instances!HV16),"median", MEDIAN(Instances!HV16:Instances!HV16),"min", MIN(Instances!HV16:Instances!HV16),"max", MAX(Instances!HV16:Instances!HV16),"diff", MAX(Instances!HV16:Instances!HV16)-MIN(Instances!HV16:Instances!HV16))</f>
        <v>0</v>
      </c>
      <c r="HW16" s="1" cm="1">
        <f t="array" ref="HW16">_xlfn.SWITCH($A$2,"average", AVERAGE(Instances!HW16:Instances!HW16),"median", MEDIAN(Instances!HW16:Instances!HW16),"min", MIN(Instances!HW16:Instances!HW16),"max", MAX(Instances!HW16:Instances!HW16),"diff", MAX(Instances!HW16:Instances!HW16)-MIN(Instances!HW16:Instances!HW16))</f>
        <v>0</v>
      </c>
      <c r="HX16" s="1"/>
      <c r="HY16" s="1" cm="1">
        <f t="array" ref="HY16">_xlfn.SWITCH($A$2,"average", AVERAGE(Instances!HY16:Instances!HY16),"median", MEDIAN(Instances!HY16:Instances!HY16),"min", MIN(Instances!HY16:Instances!HY16),"max", MAX(Instances!HY16:Instances!HY16),"diff", MAX(Instances!HY16:Instances!HY16)-MIN(Instances!HY16:Instances!HY16))</f>
        <v>0</v>
      </c>
      <c r="HZ16" s="1" cm="1">
        <f t="array" ref="HZ16">_xlfn.SWITCH($A$2,"average", AVERAGE(Instances!HZ16:Instances!HZ16),"median", MEDIAN(Instances!HZ16:Instances!HZ16),"min", MIN(Instances!HZ16:Instances!HZ16),"max", MAX(Instances!HZ16:Instances!HZ16),"diff", MAX(Instances!HZ16:Instances!HZ16)-MIN(Instances!HZ16:Instances!HZ16))</f>
        <v>0</v>
      </c>
      <c r="IA16" s="1" cm="1">
        <f t="array" ref="IA16">_xlfn.SWITCH($A$2,"average", AVERAGE(Instances!IA16:Instances!IA16),"median", MEDIAN(Instances!IA16:Instances!IA16),"min", MIN(Instances!IA16:Instances!IA16),"max", MAX(Instances!IA16:Instances!IA16),"diff", MAX(Instances!IA16:Instances!IA16)-MIN(Instances!IA16:Instances!IA16))</f>
        <v>0</v>
      </c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 cm="1">
        <f t="array" ref="JL16">_xlfn.SWITCH($A$2,"average", AVERAGE(Instances!JL16:Instances!JL16),"median", MEDIAN(Instances!JL16:Instances!JL16),"min", MIN(Instances!JL16:Instances!JL16),"max", MAX(Instances!JL16:Instances!JL16),"diff", MAX(Instances!JL16:Instances!JL16)-MIN(Instances!JL16:Instances!JL16))</f>
        <v>0</v>
      </c>
      <c r="JM16" s="1" cm="1">
        <f t="array" ref="JM16">_xlfn.SWITCH($A$2,"average", AVERAGE(Instances!JM16:Instances!JM16),"median", MEDIAN(Instances!JM16:Instances!JM16),"min", MIN(Instances!JM16:Instances!JM16),"max", MAX(Instances!JM16:Instances!JM16),"diff", MAX(Instances!JM16:Instances!JM16)-MIN(Instances!JM16:Instances!JM16))</f>
        <v>0</v>
      </c>
      <c r="JN16" s="1" cm="1">
        <f t="array" ref="JN16">_xlfn.SWITCH($A$2,"average", AVERAGE(Instances!JN16:Instances!JN16),"median", MEDIAN(Instances!JN16:Instances!JN16),"min", MIN(Instances!JN16:Instances!JN16),"max", MAX(Instances!JN16:Instances!JN16),"diff", MAX(Instances!JN16:Instances!JN16)-MIN(Instances!JN16:Instances!JN16))</f>
        <v>0</v>
      </c>
      <c r="JO16" s="1" cm="1">
        <f t="array" ref="JO16">_xlfn.SWITCH($A$2,"average", AVERAGE(Instances!JO16:Instances!JO16),"median", MEDIAN(Instances!JO16:Instances!JO16),"min", MIN(Instances!JO16:Instances!JO16),"max", MAX(Instances!JO16:Instances!JO16),"diff", MAX(Instances!JO16:Instances!JO16)-MIN(Instances!JO16:Instances!JO16))</f>
        <v>0</v>
      </c>
      <c r="JP16" s="1" cm="1">
        <f t="array" ref="JP16">_xlfn.SWITCH($A$2,"average", AVERAGE(Instances!JP16:Instances!JP16),"median", MEDIAN(Instances!JP16:Instances!JP16),"min", MIN(Instances!JP16:Instances!JP16),"max", MAX(Instances!JP16:Instances!JP16),"diff", MAX(Instances!JP16:Instances!JP16)-MIN(Instances!JP16:Instances!JP16))</f>
        <v>0</v>
      </c>
      <c r="JQ16" s="1" cm="1">
        <f t="array" ref="JQ16">_xlfn.SWITCH($A$2,"average", AVERAGE(Instances!JQ16:Instances!JQ16),"median", MEDIAN(Instances!JQ16:Instances!JQ16),"min", MIN(Instances!JQ16:Instances!JQ16),"max", MAX(Instances!JQ16:Instances!JQ16),"diff", MAX(Instances!JQ16:Instances!JQ16)-MIN(Instances!JQ16:Instances!JQ16))</f>
        <v>0</v>
      </c>
      <c r="JR16" s="1" cm="1">
        <f t="array" ref="JR16">_xlfn.SWITCH($A$2,"average", AVERAGE(Instances!JR16:Instances!JR16),"median", MEDIAN(Instances!JR16:Instances!JR16),"min", MIN(Instances!JR16:Instances!JR16),"max", MAX(Instances!JR16:Instances!JR16),"diff", MAX(Instances!JR16:Instances!JR16)-MIN(Instances!JR16:Instances!JR16))</f>
        <v>0</v>
      </c>
      <c r="JS16" s="1" cm="1">
        <f t="array" ref="JS16">_xlfn.SWITCH($A$2,"average", AVERAGE(Instances!JS16:Instances!JS16),"median", MEDIAN(Instances!JS16:Instances!JS16),"min", MIN(Instances!JS16:Instances!JS16),"max", MAX(Instances!JS16:Instances!JS16),"diff", MAX(Instances!JS16:Instances!JS16)-MIN(Instances!JS16:Instances!JS16))</f>
        <v>0</v>
      </c>
      <c r="JT16" s="1" cm="1">
        <f t="array" ref="JT16">_xlfn.SWITCH($A$2,"average", AVERAGE(Instances!JT16:Instances!JT16),"median", MEDIAN(Instances!JT16:Instances!JT16),"min", MIN(Instances!JT16:Instances!JT16),"max", MAX(Instances!JT16:Instances!JT16),"diff", MAX(Instances!JT16:Instances!JT16)-MIN(Instances!JT16:Instances!JT16))</f>
        <v>0</v>
      </c>
      <c r="JU16" s="1" cm="1">
        <f t="array" ref="JU16">_xlfn.SWITCH($A$2,"average", AVERAGE(Instances!JU16:Instances!JU16),"median", MEDIAN(Instances!JU16:Instances!JU16),"min", MIN(Instances!JU16:Instances!JU16),"max", MAX(Instances!JU16:Instances!JU16),"diff", MAX(Instances!JU16:Instances!JU16)-MIN(Instances!JU16:Instances!JU16))</f>
        <v>0</v>
      </c>
      <c r="JV16" s="1" cm="1">
        <f t="array" ref="JV16">_xlfn.SWITCH($A$2,"average", AVERAGE(Instances!JV16:Instances!JV16),"median", MEDIAN(Instances!JV16:Instances!JV16),"min", MIN(Instances!JV16:Instances!JV16),"max", MAX(Instances!JV16:Instances!JV16),"diff", MAX(Instances!JV16:Instances!JV16)-MIN(Instances!JV16:Instances!JV16))</f>
        <v>0</v>
      </c>
      <c r="JW16" s="1" cm="1">
        <f t="array" ref="JW16">_xlfn.SWITCH($A$2,"average", AVERAGE(Instances!JW16:Instances!JW16),"median", MEDIAN(Instances!JW16:Instances!JW16),"min", MIN(Instances!JW16:Instances!JW16),"max", MAX(Instances!JW16:Instances!JW16),"diff", MAX(Instances!JW16:Instances!JW16)-MIN(Instances!JW16:Instances!JW16))</f>
        <v>0</v>
      </c>
      <c r="JX16" s="1" cm="1">
        <f t="array" ref="JX16">_xlfn.SWITCH($A$2,"average", AVERAGE(Instances!JX16:Instances!JX16),"median", MEDIAN(Instances!JX16:Instances!JX16),"min", MIN(Instances!JX16:Instances!JX16),"max", MAX(Instances!JX16:Instances!JX16),"diff", MAX(Instances!JX16:Instances!JX16)-MIN(Instances!JX16:Instances!JX16))</f>
        <v>0</v>
      </c>
      <c r="JY16" s="1" cm="1">
        <f t="array" ref="JY16">_xlfn.SWITCH($A$2,"average", AVERAGE(Instances!JY16:Instances!JY16),"median", MEDIAN(Instances!JY16:Instances!JY16),"min", MIN(Instances!JY16:Instances!JY16),"max", MAX(Instances!JY16:Instances!JY16),"diff", MAX(Instances!JY16:Instances!JY16)-MIN(Instances!JY16:Instances!JY16))</f>
        <v>0</v>
      </c>
      <c r="JZ16" s="1"/>
      <c r="KA16" s="1" cm="1">
        <f t="array" ref="KA16">_xlfn.SWITCH($A$2,"average", AVERAGE(Instances!KA16:Instances!KA16),"median", MEDIAN(Instances!KA16:Instances!KA16),"min", MIN(Instances!KA16:Instances!KA16),"max", MAX(Instances!KA16:Instances!KA16),"diff", MAX(Instances!KA16:Instances!KA16)-MIN(Instances!KA16:Instances!KA16))</f>
        <v>0</v>
      </c>
      <c r="KB16" s="1" cm="1">
        <f t="array" ref="KB16">_xlfn.SWITCH($A$2,"average", AVERAGE(Instances!KB16:Instances!KB16),"median", MEDIAN(Instances!KB16:Instances!KB16),"min", MIN(Instances!KB16:Instances!KB16),"max", MAX(Instances!KB16:Instances!KB16),"diff", MAX(Instances!KB16:Instances!KB16)-MIN(Instances!KB16:Instances!KB16))</f>
        <v>0</v>
      </c>
      <c r="KC16" s="1" cm="1">
        <f t="array" ref="KC16">_xlfn.SWITCH($A$2,"average", AVERAGE(Instances!KC16:Instances!KC16),"median", MEDIAN(Instances!KC16:Instances!KC16),"min", MIN(Instances!KC16:Instances!KC16),"max", MAX(Instances!KC16:Instances!KC16),"diff", MAX(Instances!KC16:Instances!KC16)-MIN(Instances!KC16:Instances!KC16))</f>
        <v>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 cm="1">
        <f t="array" ref="L17">_xlfn.SWITCH($A$2,"average", AVERAGE(Instances!L17:Instances!L17),"median", MEDIAN(Instances!L17:Instances!L17),"min", MIN(Instances!L17:Instances!L17),"max", MAX(Instances!L17:Instances!L17),"diff", MAX(Instances!L17:Instances!L17)-MIN(Instances!L17:Instances!L17))</f>
        <v>0</v>
      </c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 cm="1">
        <f t="array" ref="O17">_xlfn.SWITCH($A$2,"average", AVERAGE(Instances!O17:Instances!O17),"median", MEDIAN(Instances!O17:Instances!O17),"min", MIN(Instances!O17:Instances!O17),"max", MAX(Instances!O17:Instances!O17),"diff", MAX(Instances!O17:Instances!O17)-MIN(Instances!O17:Instances!O17))</f>
        <v>0</v>
      </c>
      <c r="P17" s="1"/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 cm="1">
        <f t="array" ref="S17">_xlfn.SWITCH($A$2,"average", AVERAGE(Instances!S17:Instances!S17),"median", MEDIAN(Instances!S17:Instances!S17),"min", MIN(Instances!S17:Instances!S17),"max", MAX(Instances!S17:Instances!S17),"diff", MAX(Instances!S17:Instances!S17)-MIN(Instances!S17:Instances!S17))</f>
        <v>0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 cm="1">
        <f t="array" ref="AL17">_xlfn.SWITCH($A$2,"average", AVERAGE(Instances!AL17:Instances!AL17),"median", MEDIAN(Instances!AL17:Instances!AL17),"min", MIN(Instances!AL17:Instances!AL17),"max", MAX(Instances!AL17:Instances!AL17),"diff", MAX(Instances!AL17:Instances!AL17)-MIN(Instances!AL17:Instances!AL17))</f>
        <v>0</v>
      </c>
      <c r="AM17" s="1" cm="1">
        <f t="array" ref="AM17">_xlfn.SWITCH($A$2,"average", AVERAGE(Instances!AM17:Instances!AM17),"median", MEDIAN(Instances!AM17:Instances!AM17),"min", MIN(Instances!AM17:Instances!AM17),"max", MAX(Instances!AM17:Instances!AM17),"diff", MAX(Instances!AM17:Instances!AM17)-MIN(Instances!AM17:Instances!AM17))</f>
        <v>0</v>
      </c>
      <c r="AN17" s="1" cm="1">
        <f t="array" ref="AN17">_xlfn.SWITCH($A$2,"average", AVERAGE(Instances!AN17:Instances!AN17),"median", MEDIAN(Instances!AN17:Instances!AN17),"min", MIN(Instances!AN17:Instances!AN17),"max", MAX(Instances!AN17:Instances!AN17),"diff", MAX(Instances!AN17:Instances!AN17)-MIN(Instances!AN17:Instances!AN17))</f>
        <v>0</v>
      </c>
      <c r="AO17" s="1" cm="1">
        <f t="array" ref="AO17">_xlfn.SWITCH($A$2,"average", AVERAGE(Instances!AO17:Instances!AO17),"median", MEDIAN(Instances!AO17:Instances!AO17),"min", MIN(Instances!AO17:Instances!AO17),"max", MAX(Instances!AO17:Instances!AO17),"diff", MAX(Instances!AO17:Instances!AO17)-MIN(Instances!AO17:Instances!AO17))</f>
        <v>0</v>
      </c>
      <c r="AP17" s="1" cm="1">
        <f t="array" ref="AP17">_xlfn.SWITCH($A$2,"average", AVERAGE(Instances!AP17:Instances!AP17),"median", MEDIAN(Instances!AP17:Instances!AP17),"min", MIN(Instances!AP17:Instances!AP17),"max", MAX(Instances!AP17:Instances!AP17),"diff", MAX(Instances!AP17:Instances!AP17)-MIN(Instances!AP17:Instances!AP17))</f>
        <v>0</v>
      </c>
      <c r="AQ17" s="1" cm="1">
        <f t="array" ref="AQ17">_xlfn.SWITCH($A$2,"average", AVERAGE(Instances!AQ17:Instances!AQ17),"median", MEDIAN(Instances!AQ17:Instances!AQ17),"min", MIN(Instances!AQ17:Instances!AQ17),"max", MAX(Instances!AQ17:Instances!AQ17),"diff", MAX(Instances!AQ17:Instances!AQ17)-MIN(Instances!AQ17:Instances!AQ17))</f>
        <v>0</v>
      </c>
      <c r="AR17" s="1" cm="1">
        <f t="array" ref="AR17">_xlfn.SWITCH($A$2,"average", AVERAGE(Instances!AR17:Instances!AR17),"median", MEDIAN(Instances!AR17:Instances!AR17),"min", MIN(Instances!AR17:Instances!AR17),"max", MAX(Instances!AR17:Instances!AR17),"diff", MAX(Instances!AR17:Instances!AR17)-MIN(Instances!AR17:Instances!AR17))</f>
        <v>0</v>
      </c>
      <c r="AS17" s="1" cm="1">
        <f t="array" ref="AS17">_xlfn.SWITCH($A$2,"average", AVERAGE(Instances!AS17:Instances!AS17),"median", MEDIAN(Instances!AS17:Instances!AS17),"min", MIN(Instances!AS17:Instances!AS17),"max", MAX(Instances!AS17:Instances!AS17),"diff", MAX(Instances!AS17:Instances!AS17)-MIN(Instances!AS17:Instances!AS17))</f>
        <v>0</v>
      </c>
      <c r="AT17" s="1" cm="1">
        <f t="array" ref="AT17">_xlfn.SWITCH($A$2,"average", AVERAGE(Instances!AT17:Instances!AT17),"median", MEDIAN(Instances!AT17:Instances!AT17),"min", MIN(Instances!AT17:Instances!AT17),"max", MAX(Instances!AT17:Instances!AT17),"diff", MAX(Instances!AT17:Instances!AT17)-MIN(Instances!AT17:Instances!AT17))</f>
        <v>0</v>
      </c>
      <c r="AU17" s="1" cm="1">
        <f t="array" ref="AU17">_xlfn.SWITCH($A$2,"average", AVERAGE(Instances!AU17:Instances!AU17),"median", MEDIAN(Instances!AU17:Instances!AU17),"min", MIN(Instances!AU17:Instances!AU17),"max", MAX(Instances!AU17:Instances!AU17),"diff", MAX(Instances!AU17:Instances!AU17)-MIN(Instances!AU17:Instances!AU17))</f>
        <v>0</v>
      </c>
      <c r="AV17" s="1" cm="1">
        <f t="array" ref="AV17">_xlfn.SWITCH($A$2,"average", AVERAGE(Instances!AV17:Instances!AV17),"median", MEDIAN(Instances!AV17:Instances!AV17),"min", MIN(Instances!AV17:Instances!AV17),"max", MAX(Instances!AV17:Instances!AV17),"diff", MAX(Instances!AV17:Instances!AV17)-MIN(Instances!AV17:Instances!AV17))</f>
        <v>0</v>
      </c>
      <c r="AW17" s="1" cm="1">
        <f t="array" ref="AW17">_xlfn.SWITCH($A$2,"average", AVERAGE(Instances!AW17:Instances!AW17),"median", MEDIAN(Instances!AW17:Instances!AW17),"min", MIN(Instances!AW17:Instances!AW17),"max", MAX(Instances!AW17:Instances!AW17),"diff", MAX(Instances!AW17:Instances!AW17)-MIN(Instances!AW17:Instances!AW17))</f>
        <v>0</v>
      </c>
      <c r="AX17" s="1" cm="1">
        <f t="array" ref="AX17">_xlfn.SWITCH($A$2,"average", AVERAGE(Instances!AX17:Instances!AX17),"median", MEDIAN(Instances!AX17:Instances!AX17),"min", MIN(Instances!AX17:Instances!AX17),"max", MAX(Instances!AX17:Instances!AX17),"diff", MAX(Instances!AX17:Instances!AX17)-MIN(Instances!AX17:Instances!AX17))</f>
        <v>0</v>
      </c>
      <c r="AY17" s="1" cm="1">
        <f t="array" ref="AY17">_xlfn.SWITCH($A$2,"average", AVERAGE(Instances!AY17:Instances!AY17),"median", MEDIAN(Instances!AY17:Instances!AY17),"min", MIN(Instances!AY17:Instances!AY17),"max", MAX(Instances!AY17:Instances!AY17),"diff", MAX(Instances!AY17:Instances!AY17)-MIN(Instances!AY17:Instances!AY17))</f>
        <v>0</v>
      </c>
      <c r="AZ17" s="1"/>
      <c r="BA17" s="1" cm="1">
        <f t="array" ref="BA17">_xlfn.SWITCH($A$2,"average", AVERAGE(Instances!BA17:Instances!BA17),"median", MEDIAN(Instances!BA17:Instances!BA17),"min", MIN(Instances!BA17:Instances!BA17),"max", MAX(Instances!BA17:Instances!BA17),"diff", MAX(Instances!BA17:Instances!BA17)-MIN(Instances!BA17:Instances!BA17))</f>
        <v>0</v>
      </c>
      <c r="BB17" s="1" cm="1">
        <f t="array" ref="BB17">_xlfn.SWITCH($A$2,"average", AVERAGE(Instances!BB17:Instances!BB17),"median", MEDIAN(Instances!BB17:Instances!BB17),"min", MIN(Instances!BB17:Instances!BB17),"max", MAX(Instances!BB17:Instances!BB17),"diff", MAX(Instances!BB17:Instances!BB17)-MIN(Instances!BB17:Instances!BB17))</f>
        <v>0</v>
      </c>
      <c r="BC17" s="1" cm="1">
        <f t="array" ref="BC17">_xlfn.SWITCH($A$2,"average", AVERAGE(Instances!BC17:Instances!BC17),"median", MEDIAN(Instances!BC17:Instances!BC17),"min", MIN(Instances!BC17:Instances!BC17),"max", MAX(Instances!BC17:Instances!BC17),"diff", MAX(Instances!BC17:Instances!BC17)-MIN(Instances!BC17:Instances!BC17))</f>
        <v>0</v>
      </c>
      <c r="BD17" s="1" cm="1">
        <f t="array" ref="BD17">_xlfn.SWITCH($A$2,"average", AVERAGE(Instances!BD17:Instances!BD17),"median", MEDIAN(Instances!BD17:Instances!BD17),"min", MIN(Instances!BD17:Instances!BD17),"max", MAX(Instances!BD17:Instances!BD17),"diff", MAX(Instances!BD17:Instances!BD17)-MIN(Instances!BD17:Instances!BD17))</f>
        <v>0</v>
      </c>
      <c r="BE17" s="1" cm="1">
        <f t="array" ref="BE17">_xlfn.SWITCH($A$2,"average", AVERAGE(Instances!BE17:Instances!BE17),"median", MEDIAN(Instances!BE17:Instances!BE17),"min", MIN(Instances!BE17:Instances!BE17),"max", MAX(Instances!BE17:Instances!BE17),"diff", MAX(Instances!BE17:Instances!BE17)-MIN(Instances!BE17:Instances!BE17))</f>
        <v>0</v>
      </c>
      <c r="BF17" s="1" cm="1">
        <f t="array" ref="BF17">_xlfn.SWITCH($A$2,"average", AVERAGE(Instances!BF17:Instances!BF17),"median", MEDIAN(Instances!BF17:Instances!BF17),"min", MIN(Instances!BF17:Instances!BF17),"max", MAX(Instances!BF17:Instances!BF17),"diff", MAX(Instances!BF17:Instances!BF17)-MIN(Instances!BF17:Instances!BF17))</f>
        <v>0</v>
      </c>
      <c r="BG17" s="1" cm="1">
        <f t="array" ref="BG17">_xlfn.SWITCH($A$2,"average", AVERAGE(Instances!BG17:Instances!BG17),"median", MEDIAN(Instances!BG17:Instances!BG17),"min", MIN(Instances!BG17:Instances!BG17),"max", MAX(Instances!BG17:Instances!BG17),"diff", MAX(Instances!BG17:Instances!BG17)-MIN(Instances!BG17:Instances!BG17))</f>
        <v>0</v>
      </c>
      <c r="BH17" s="1" cm="1">
        <f t="array" ref="BH17">_xlfn.SWITCH($A$2,"average", AVERAGE(Instances!BH17:Instances!BH17),"median", MEDIAN(Instances!BH17:Instances!BH17),"min", MIN(Instances!BH17:Instances!BH17),"max", MAX(Instances!BH17:Instances!BH17),"diff", MAX(Instances!BH17:Instances!BH17)-MIN(Instances!BH17:Instances!BH17))</f>
        <v>0</v>
      </c>
      <c r="BI17" s="1" cm="1">
        <f t="array" ref="BI17">_xlfn.SWITCH($A$2,"average", AVERAGE(Instances!BI17:Instances!BI17),"median", MEDIAN(Instances!BI17:Instances!BI17),"min", MIN(Instances!BI17:Instances!BI17),"max", MAX(Instances!BI17:Instances!BI17),"diff", MAX(Instances!BI17:Instances!BI17)-MIN(Instances!BI17:Instances!BI17))</f>
        <v>0</v>
      </c>
      <c r="BJ17" s="1" cm="1">
        <f t="array" ref="BJ17">_xlfn.SWITCH($A$2,"average", AVERAGE(Instances!BJ17:Instances!BJ17),"median", MEDIAN(Instances!BJ17:Instances!BJ17),"min", MIN(Instances!BJ17:Instances!BJ17),"max", MAX(Instances!BJ17:Instances!BJ17),"diff", MAX(Instances!BJ17:Instances!BJ17)-MIN(Instances!BJ17:Instances!BJ17))</f>
        <v>0</v>
      </c>
      <c r="BK17" s="1" cm="1">
        <f t="array" ref="BK17">_xlfn.SWITCH($A$2,"average", AVERAGE(Instances!BK17:Instances!BK17),"median", MEDIAN(Instances!BK17:Instances!BK17),"min", MIN(Instances!BK17:Instances!BK17),"max", MAX(Instances!BK17:Instances!BK17),"diff", MAX(Instances!BK17:Instances!BK17)-MIN(Instances!BK17:Instances!BK17))</f>
        <v>0</v>
      </c>
      <c r="BL17" s="1" cm="1">
        <f t="array" ref="BL17">_xlfn.SWITCH($A$2,"average", AVERAGE(Instances!BL17:Instances!BL17),"median", MEDIAN(Instances!BL17:Instances!BL17),"min", MIN(Instances!BL17:Instances!BL17),"max", MAX(Instances!BL17:Instances!BL17),"diff", MAX(Instances!BL17:Instances!BL17)-MIN(Instances!BL17:Instances!BL17))</f>
        <v>0</v>
      </c>
      <c r="BM17" s="1" cm="1">
        <f t="array" ref="BM17">_xlfn.SWITCH($A$2,"average", AVERAGE(Instances!BM17:Instances!BM17),"median", MEDIAN(Instances!BM17:Instances!BM17),"min", MIN(Instances!BM17:Instances!BM17),"max", MAX(Instances!BM17:Instances!BM17),"diff", MAX(Instances!BM17:Instances!BM17)-MIN(Instances!BM17:Instances!BM17))</f>
        <v>0</v>
      </c>
      <c r="BN17" s="1" cm="1">
        <f t="array" ref="BN17">_xlfn.SWITCH($A$2,"average", AVERAGE(Instances!BN17:Instances!BN17),"median", MEDIAN(Instances!BN17:Instances!BN17),"min", MIN(Instances!BN17:Instances!BN17),"max", MAX(Instances!BN17:Instances!BN17),"diff", MAX(Instances!BN17:Instances!BN17)-MIN(Instances!BN17:Instances!BN17))</f>
        <v>0</v>
      </c>
      <c r="BO17" s="1" cm="1">
        <f t="array" ref="BO17">_xlfn.SWITCH($A$2,"average", AVERAGE(Instances!BO17:Instances!BO17),"median", MEDIAN(Instances!BO17:Instances!BO17),"min", MIN(Instances!BO17:Instances!BO17),"max", MAX(Instances!BO17:Instances!BO17),"diff", MAX(Instances!BO17:Instances!BO17)-MIN(Instances!BO17:Instances!BO17))</f>
        <v>0</v>
      </c>
      <c r="BP17" s="1" cm="1">
        <f t="array" ref="BP17">_xlfn.SWITCH($A$2,"average", AVERAGE(Instances!BP17:Instances!BP17),"median", MEDIAN(Instances!BP17:Instances!BP17),"min", MIN(Instances!BP17:Instances!BP17),"max", MAX(Instances!BP17:Instances!BP17),"diff", MAX(Instances!BP17:Instances!BP17)-MIN(Instances!BP17:Instances!BP17))</f>
        <v>0</v>
      </c>
      <c r="BQ17" s="1" cm="1">
        <f t="array" ref="BQ17">_xlfn.SWITCH($A$2,"average", AVERAGE(Instances!BQ17:Instances!BQ17),"median", MEDIAN(Instances!BQ17:Instances!BQ17),"min", MIN(Instances!BQ17:Instances!BQ17),"max", MAX(Instances!BQ17:Instances!BQ17),"diff", MAX(Instances!BQ17:Instances!BQ17)-MIN(Instances!BQ17:Instances!BQ17))</f>
        <v>0</v>
      </c>
      <c r="BR17" s="1"/>
      <c r="BS17" s="1" cm="1">
        <f t="array" ref="BS17">_xlfn.SWITCH($A$2,"average", AVERAGE(Instances!BS17:Instances!BS17),"median", MEDIAN(Instances!BS17:Instances!BS17),"min", MIN(Instances!BS17:Instances!BS17),"max", MAX(Instances!BS17:Instances!BS17),"diff", MAX(Instances!BS17:Instances!BS17)-MIN(Instances!BS17:Instances!BS17))</f>
        <v>0</v>
      </c>
      <c r="BT17" s="1" cm="1">
        <f t="array" ref="BT17">_xlfn.SWITCH($A$2,"average", AVERAGE(Instances!BT17:Instances!BT17),"median", MEDIAN(Instances!BT17:Instances!BT17),"min", MIN(Instances!BT17:Instances!BT17),"max", MAX(Instances!BT17:Instances!BT17),"diff", MAX(Instances!BT17:Instances!BT17)-MIN(Instances!BT17:Instances!BT17))</f>
        <v>0</v>
      </c>
      <c r="BU17" s="1" cm="1">
        <f t="array" ref="BU17">_xlfn.SWITCH($A$2,"average", AVERAGE(Instances!BU17:Instances!BU17),"median", MEDIAN(Instances!BU17:Instances!BU17),"min", MIN(Instances!BU17:Instances!BU17),"max", MAX(Instances!BU17:Instances!BU17),"diff", MAX(Instances!BU17:Instances!BU17)-MIN(Instances!BU17:Instances!BU17))</f>
        <v>0</v>
      </c>
      <c r="BV17" s="1" cm="1">
        <f t="array" ref="BV17">_xlfn.SWITCH($A$2,"average", AVERAGE(Instances!BV17:Instances!BV17),"median", MEDIAN(Instances!BV17:Instances!BV17),"min", MIN(Instances!BV17:Instances!BV17),"max", MAX(Instances!BV17:Instances!BV17),"diff", MAX(Instances!BV17:Instances!BV17)-MIN(Instances!BV17:Instances!BV17))</f>
        <v>0</v>
      </c>
      <c r="BW17" s="1" cm="1">
        <f t="array" ref="BW17">_xlfn.SWITCH($A$2,"average", AVERAGE(Instances!BW17:Instances!BW17),"median", MEDIAN(Instances!BW17:Instances!BW17),"min", MIN(Instances!BW17:Instances!BW17),"max", MAX(Instances!BW17:Instances!BW17),"diff", MAX(Instances!BW17:Instances!BW17)-MIN(Instances!BW17:Instances!BW17))</f>
        <v>0</v>
      </c>
      <c r="BX17" s="1" cm="1">
        <f t="array" ref="BX17">_xlfn.SWITCH($A$2,"average", AVERAGE(Instances!BX17:Instances!BX17),"median", MEDIAN(Instances!BX17:Instances!BX17),"min", MIN(Instances!BX17:Instances!BX17),"max", MAX(Instances!BX17:Instances!BX17),"diff", MAX(Instances!BX17:Instances!BX17)-MIN(Instances!BX17:Instances!BX17))</f>
        <v>0</v>
      </c>
      <c r="BY17" s="1" cm="1">
        <f t="array" ref="BY17">_xlfn.SWITCH($A$2,"average", AVERAGE(Instances!BY17:Instances!BY17),"median", MEDIAN(Instances!BY17:Instances!BY17),"min", MIN(Instances!BY17:Instances!BY17),"max", MAX(Instances!BY17:Instances!BY17),"diff", MAX(Instances!BY17:Instances!BY17)-MIN(Instances!BY17:Instances!BY17))</f>
        <v>0</v>
      </c>
      <c r="BZ17" s="1" cm="1">
        <f t="array" ref="BZ17">_xlfn.SWITCH($A$2,"average", AVERAGE(Instances!BZ17:Instances!BZ17),"median", MEDIAN(Instances!BZ17:Instances!BZ17),"min", MIN(Instances!BZ17:Instances!BZ17),"max", MAX(Instances!BZ17:Instances!BZ17),"diff", MAX(Instances!BZ17:Instances!BZ17)-MIN(Instances!BZ17:Instances!BZ17))</f>
        <v>0</v>
      </c>
      <c r="CA17" s="1" cm="1">
        <f t="array" ref="CA17">_xlfn.SWITCH($A$2,"average", AVERAGE(Instances!CA17:Instances!CA17),"median", MEDIAN(Instances!CA17:Instances!CA17),"min", MIN(Instances!CA17:Instances!CA17),"max", MAX(Instances!CA17:Instances!CA17),"diff", MAX(Instances!CA17:Instances!CA17)-MIN(Instances!CA17:Instances!CA17))</f>
        <v>0</v>
      </c>
      <c r="CB17" s="1" cm="1">
        <f t="array" ref="CB17">_xlfn.SWITCH($A$2,"average", AVERAGE(Instances!CB17:Instances!CB17),"median", MEDIAN(Instances!CB17:Instances!CB17),"min", MIN(Instances!CB17:Instances!CB17),"max", MAX(Instances!CB17:Instances!CB17),"diff", MAX(Instances!CB17:Instances!CB17)-MIN(Instances!CB17:Instances!CB17))</f>
        <v>0</v>
      </c>
      <c r="CC17" s="1" cm="1">
        <f t="array" ref="CC17">_xlfn.SWITCH($A$2,"average", AVERAGE(Instances!CC17:Instances!CC17),"median", MEDIAN(Instances!CC17:Instances!CC17),"min", MIN(Instances!CC17:Instances!CC17),"max", MAX(Instances!CC17:Instances!CC17),"diff", MAX(Instances!CC17:Instances!CC17)-MIN(Instances!CC17:Instances!CC17))</f>
        <v>0</v>
      </c>
      <c r="CD17" s="1" cm="1">
        <f t="array" ref="CD17">_xlfn.SWITCH($A$2,"average", AVERAGE(Instances!CD17:Instances!CD17),"median", MEDIAN(Instances!CD17:Instances!CD17),"min", MIN(Instances!CD17:Instances!CD17),"max", MAX(Instances!CD17:Instances!CD17),"diff", MAX(Instances!CD17:Instances!CD17)-MIN(Instances!CD17:Instances!CD17))</f>
        <v>0</v>
      </c>
      <c r="CE17" s="1" cm="1">
        <f t="array" ref="CE17">_xlfn.SWITCH($A$2,"average", AVERAGE(Instances!CE17:Instances!CE17),"median", MEDIAN(Instances!CE17:Instances!CE17),"min", MIN(Instances!CE17:Instances!CE17),"max", MAX(Instances!CE17:Instances!CE17),"diff", MAX(Instances!CE17:Instances!CE17)-MIN(Instances!CE17:Instances!CE17))</f>
        <v>0</v>
      </c>
      <c r="CF17" s="1" cm="1">
        <f t="array" ref="CF17">_xlfn.SWITCH($A$2,"average", AVERAGE(Instances!CF17:Instances!CF17),"median", MEDIAN(Instances!CF17:Instances!CF17),"min", MIN(Instances!CF17:Instances!CF17),"max", MAX(Instances!CF17:Instances!CF17),"diff", MAX(Instances!CF17:Instances!CF17)-MIN(Instances!CF17:Instances!CF17))</f>
        <v>0</v>
      </c>
      <c r="CG17" s="1" cm="1">
        <f t="array" ref="CG17">_xlfn.SWITCH($A$2,"average", AVERAGE(Instances!CG17:Instances!CG17),"median", MEDIAN(Instances!CG17:Instances!CG17),"min", MIN(Instances!CG17:Instances!CG17),"max", MAX(Instances!CG17:Instances!CG17),"diff", MAX(Instances!CG17:Instances!CG17)-MIN(Instances!CG17:Instances!CG17))</f>
        <v>0</v>
      </c>
      <c r="CH17" s="1" cm="1">
        <f t="array" ref="CH17">_xlfn.SWITCH($A$2,"average", AVERAGE(Instances!CH17:Instances!CH17),"median", MEDIAN(Instances!CH17:Instances!CH17),"min", MIN(Instances!CH17:Instances!CH17),"max", MAX(Instances!CH17:Instances!CH17),"diff", MAX(Instances!CH17:Instances!CH17)-MIN(Instances!CH17:Instances!CH17))</f>
        <v>0</v>
      </c>
      <c r="CI17" s="1" cm="1">
        <f t="array" ref="CI17">_xlfn.SWITCH($A$2,"average", AVERAGE(Instances!CI17:Instances!CI17),"median", MEDIAN(Instances!CI17:Instances!CI17),"min", MIN(Instances!CI17:Instances!CI17),"max", MAX(Instances!CI17:Instances!CI17),"diff", MAX(Instances!CI17:Instances!CI17)-MIN(Instances!CI17:Instances!CI17))</f>
        <v>0</v>
      </c>
      <c r="CJ17" s="1"/>
      <c r="CK17" s="1" cm="1">
        <f t="array" ref="CK17">_xlfn.SWITCH($A$2,"average", AVERAGE(Instances!CK17:Instances!CK17),"median", MEDIAN(Instances!CK17:Instances!CK17),"min", MIN(Instances!CK17:Instances!CK17),"max", MAX(Instances!CK17:Instances!CK17),"diff", MAX(Instances!CK17:Instances!CK17)-MIN(Instances!CK17:Instances!CK17))</f>
        <v>0</v>
      </c>
      <c r="CL17" s="1" cm="1">
        <f t="array" ref="CL17">_xlfn.SWITCH($A$2,"average", AVERAGE(Instances!CL17:Instances!CL17),"median", MEDIAN(Instances!CL17:Instances!CL17),"min", MIN(Instances!CL17:Instances!CL17),"max", MAX(Instances!CL17:Instances!CL17),"diff", MAX(Instances!CL17:Instances!CL17)-MIN(Instances!CL17:Instances!CL17))</f>
        <v>0</v>
      </c>
      <c r="CM17" s="1" cm="1">
        <f t="array" ref="CM17">_xlfn.SWITCH($A$2,"average", AVERAGE(Instances!CM17:Instances!CM17),"median", MEDIAN(Instances!CM17:Instances!CM17),"min", MIN(Instances!CM17:Instances!CM17),"max", MAX(Instances!CM17:Instances!CM17),"diff", MAX(Instances!CM17:Instances!CM17)-MIN(Instances!CM17:Instances!CM17))</f>
        <v>0</v>
      </c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 cm="1">
        <f t="array" ref="DX17">_xlfn.SWITCH($A$2,"average", AVERAGE(Instances!DX17:Instances!DX17),"median", MEDIAN(Instances!DX17:Instances!DX17),"min", MIN(Instances!DX17:Instances!DX17),"max", MAX(Instances!DX17:Instances!DX17),"diff", MAX(Instances!DX17:Instances!DX17)-MIN(Instances!DX17:Instances!DX17))</f>
        <v>0</v>
      </c>
      <c r="DY17" s="1" cm="1">
        <f t="array" ref="DY17">_xlfn.SWITCH($A$2,"average", AVERAGE(Instances!DY17:Instances!DY17),"median", MEDIAN(Instances!DY17:Instances!DY17),"min", MIN(Instances!DY17:Instances!DY17),"max", MAX(Instances!DY17:Instances!DY17),"diff", MAX(Instances!DY17:Instances!DY17)-MIN(Instances!DY17:Instances!DY17))</f>
        <v>0</v>
      </c>
      <c r="DZ17" s="1" cm="1">
        <f t="array" ref="DZ17">_xlfn.SWITCH($A$2,"average", AVERAGE(Instances!DZ17:Instances!DZ17),"median", MEDIAN(Instances!DZ17:Instances!DZ17),"min", MIN(Instances!DZ17:Instances!DZ17),"max", MAX(Instances!DZ17:Instances!DZ17),"diff", MAX(Instances!DZ17:Instances!DZ17)-MIN(Instances!DZ17:Instances!DZ17))</f>
        <v>0</v>
      </c>
      <c r="EA17" s="1" cm="1">
        <f t="array" ref="EA17">_xlfn.SWITCH($A$2,"average", AVERAGE(Instances!EA17:Instances!EA17),"median", MEDIAN(Instances!EA17:Instances!EA17),"min", MIN(Instances!EA17:Instances!EA17),"max", MAX(Instances!EA17:Instances!EA17),"diff", MAX(Instances!EA17:Instances!EA17)-MIN(Instances!EA17:Instances!EA17))</f>
        <v>0</v>
      </c>
      <c r="EB17" s="1" cm="1">
        <f t="array" ref="EB17">_xlfn.SWITCH($A$2,"average", AVERAGE(Instances!EB17:Instances!EB17),"median", MEDIAN(Instances!EB17:Instances!EB17),"min", MIN(Instances!EB17:Instances!EB17),"max", MAX(Instances!EB17:Instances!EB17),"diff", MAX(Instances!EB17:Instances!EB17)-MIN(Instances!EB17:Instances!EB17))</f>
        <v>0</v>
      </c>
      <c r="EC17" s="1" cm="1">
        <f t="array" ref="EC17">_xlfn.SWITCH($A$2,"average", AVERAGE(Instances!EC17:Instances!EC17),"median", MEDIAN(Instances!EC17:Instances!EC17),"min", MIN(Instances!EC17:Instances!EC17),"max", MAX(Instances!EC17:Instances!EC17),"diff", MAX(Instances!EC17:Instances!EC17)-MIN(Instances!EC17:Instances!EC17))</f>
        <v>0</v>
      </c>
      <c r="ED17" s="1" cm="1">
        <f t="array" ref="ED17">_xlfn.SWITCH($A$2,"average", AVERAGE(Instances!ED17:Instances!ED17),"median", MEDIAN(Instances!ED17:Instances!ED17),"min", MIN(Instances!ED17:Instances!ED17),"max", MAX(Instances!ED17:Instances!ED17),"diff", MAX(Instances!ED17:Instances!ED17)-MIN(Instances!ED17:Instances!ED17))</f>
        <v>0</v>
      </c>
      <c r="EE17" s="1" cm="1">
        <f t="array" ref="EE17">_xlfn.SWITCH($A$2,"average", AVERAGE(Instances!EE17:Instances!EE17),"median", MEDIAN(Instances!EE17:Instances!EE17),"min", MIN(Instances!EE17:Instances!EE17),"max", MAX(Instances!EE17:Instances!EE17),"diff", MAX(Instances!EE17:Instances!EE17)-MIN(Instances!EE17:Instances!EE17))</f>
        <v>0</v>
      </c>
      <c r="EF17" s="1" cm="1">
        <f t="array" ref="EF17">_xlfn.SWITCH($A$2,"average", AVERAGE(Instances!EF17:Instances!EF17),"median", MEDIAN(Instances!EF17:Instances!EF17),"min", MIN(Instances!EF17:Instances!EF17),"max", MAX(Instances!EF17:Instances!EF17),"diff", MAX(Instances!EF17:Instances!EF17)-MIN(Instances!EF17:Instances!EF17))</f>
        <v>0</v>
      </c>
      <c r="EG17" s="1" cm="1">
        <f t="array" ref="EG17">_xlfn.SWITCH($A$2,"average", AVERAGE(Instances!EG17:Instances!EG17),"median", MEDIAN(Instances!EG17:Instances!EG17),"min", MIN(Instances!EG17:Instances!EG17),"max", MAX(Instances!EG17:Instances!EG17),"diff", MAX(Instances!EG17:Instances!EG17)-MIN(Instances!EG17:Instances!EG17))</f>
        <v>0</v>
      </c>
      <c r="EH17" s="1" cm="1">
        <f t="array" ref="EH17">_xlfn.SWITCH($A$2,"average", AVERAGE(Instances!EH17:Instances!EH17),"median", MEDIAN(Instances!EH17:Instances!EH17),"min", MIN(Instances!EH17:Instances!EH17),"max", MAX(Instances!EH17:Instances!EH17),"diff", MAX(Instances!EH17:Instances!EH17)-MIN(Instances!EH17:Instances!EH17))</f>
        <v>0</v>
      </c>
      <c r="EI17" s="1" cm="1">
        <f t="array" ref="EI17">_xlfn.SWITCH($A$2,"average", AVERAGE(Instances!EI17:Instances!EI17),"median", MEDIAN(Instances!EI17:Instances!EI17),"min", MIN(Instances!EI17:Instances!EI17),"max", MAX(Instances!EI17:Instances!EI17),"diff", MAX(Instances!EI17:Instances!EI17)-MIN(Instances!EI17:Instances!EI17))</f>
        <v>0</v>
      </c>
      <c r="EJ17" s="1" cm="1">
        <f t="array" ref="EJ17">_xlfn.SWITCH($A$2,"average", AVERAGE(Instances!EJ17:Instances!EJ17),"median", MEDIAN(Instances!EJ17:Instances!EJ17),"min", MIN(Instances!EJ17:Instances!EJ17),"max", MAX(Instances!EJ17:Instances!EJ17),"diff", MAX(Instances!EJ17:Instances!EJ17)-MIN(Instances!EJ17:Instances!EJ17))</f>
        <v>0</v>
      </c>
      <c r="EK17" s="1" cm="1">
        <f t="array" ref="EK17">_xlfn.SWITCH($A$2,"average", AVERAGE(Instances!EK17:Instances!EK17),"median", MEDIAN(Instances!EK17:Instances!EK17),"min", MIN(Instances!EK17:Instances!EK17),"max", MAX(Instances!EK17:Instances!EK17),"diff", MAX(Instances!EK17:Instances!EK17)-MIN(Instances!EK17:Instances!EK17))</f>
        <v>0</v>
      </c>
      <c r="EL17" s="1"/>
      <c r="EM17" s="1" cm="1">
        <f t="array" ref="EM17">_xlfn.SWITCH($A$2,"average", AVERAGE(Instances!EM17:Instances!EM17),"median", MEDIAN(Instances!EM17:Instances!EM17),"min", MIN(Instances!EM17:Instances!EM17),"max", MAX(Instances!EM17:Instances!EM17),"diff", MAX(Instances!EM17:Instances!EM17)-MIN(Instances!EM17:Instances!EM17))</f>
        <v>0</v>
      </c>
      <c r="EN17" s="1" cm="1">
        <f t="array" ref="EN17">_xlfn.SWITCH($A$2,"average", AVERAGE(Instances!EN17:Instances!EN17),"median", MEDIAN(Instances!EN17:Instances!EN17),"min", MIN(Instances!EN17:Instances!EN17),"max", MAX(Instances!EN17:Instances!EN17),"diff", MAX(Instances!EN17:Instances!EN17)-MIN(Instances!EN17:Instances!EN17))</f>
        <v>0</v>
      </c>
      <c r="EO17" s="1" cm="1">
        <f t="array" ref="EO17">_xlfn.SWITCH($A$2,"average", AVERAGE(Instances!EO17:Instances!EO17),"median", MEDIAN(Instances!EO17:Instances!EO17),"min", MIN(Instances!EO17:Instances!EO17),"max", MAX(Instances!EO17:Instances!EO17),"diff", MAX(Instances!EO17:Instances!EO17)-MIN(Instances!EO17:Instances!EO17))</f>
        <v>0</v>
      </c>
      <c r="EP17" s="1" cm="1">
        <f t="array" ref="EP17">_xlfn.SWITCH($A$2,"average", AVERAGE(Instances!EP17:Instances!EP17),"median", MEDIAN(Instances!EP17:Instances!EP17),"min", MIN(Instances!EP17:Instances!EP17),"max", MAX(Instances!EP17:Instances!EP17),"diff", MAX(Instances!EP17:Instances!EP17)-MIN(Instances!EP17:Instances!EP17))</f>
        <v>0</v>
      </c>
      <c r="EQ17" s="1" cm="1">
        <f t="array" ref="EQ17">_xlfn.SWITCH($A$2,"average", AVERAGE(Instances!EQ17:Instances!EQ17),"median", MEDIAN(Instances!EQ17:Instances!EQ17),"min", MIN(Instances!EQ17:Instances!EQ17),"max", MAX(Instances!EQ17:Instances!EQ17),"diff", MAX(Instances!EQ17:Instances!EQ17)-MIN(Instances!EQ17:Instances!EQ17))</f>
        <v>0</v>
      </c>
      <c r="ER17" s="1" cm="1">
        <f t="array" ref="ER17">_xlfn.SWITCH($A$2,"average", AVERAGE(Instances!ER17:Instances!ER17),"median", MEDIAN(Instances!ER17:Instances!ER17),"min", MIN(Instances!ER17:Instances!ER17),"max", MAX(Instances!ER17:Instances!ER17),"diff", MAX(Instances!ER17:Instances!ER17)-MIN(Instances!ER17:Instances!ER17))</f>
        <v>0</v>
      </c>
      <c r="ES17" s="1" cm="1">
        <f t="array" ref="ES17">_xlfn.SWITCH($A$2,"average", AVERAGE(Instances!ES17:Instances!ES17),"median", MEDIAN(Instances!ES17:Instances!ES17),"min", MIN(Instances!ES17:Instances!ES17),"max", MAX(Instances!ES17:Instances!ES17),"diff", MAX(Instances!ES17:Instances!ES17)-MIN(Instances!ES17:Instances!ES17))</f>
        <v>0</v>
      </c>
      <c r="ET17" s="1" cm="1">
        <f t="array" ref="ET17">_xlfn.SWITCH($A$2,"average", AVERAGE(Instances!ET17:Instances!ET17),"median", MEDIAN(Instances!ET17:Instances!ET17),"min", MIN(Instances!ET17:Instances!ET17),"max", MAX(Instances!ET17:Instances!ET17),"diff", MAX(Instances!ET17:Instances!ET17)-MIN(Instances!ET17:Instances!ET17))</f>
        <v>0</v>
      </c>
      <c r="EU17" s="1" cm="1">
        <f t="array" ref="EU17">_xlfn.SWITCH($A$2,"average", AVERAGE(Instances!EU17:Instances!EU17),"median", MEDIAN(Instances!EU17:Instances!EU17),"min", MIN(Instances!EU17:Instances!EU17),"max", MAX(Instances!EU17:Instances!EU17),"diff", MAX(Instances!EU17:Instances!EU17)-MIN(Instances!EU17:Instances!EU17))</f>
        <v>0</v>
      </c>
      <c r="EV17" s="1" cm="1">
        <f t="array" ref="EV17">_xlfn.SWITCH($A$2,"average", AVERAGE(Instances!EV17:Instances!EV17),"median", MEDIAN(Instances!EV17:Instances!EV17),"min", MIN(Instances!EV17:Instances!EV17),"max", MAX(Instances!EV17:Instances!EV17),"diff", MAX(Instances!EV17:Instances!EV17)-MIN(Instances!EV17:Instances!EV17))</f>
        <v>0</v>
      </c>
      <c r="EW17" s="1" cm="1">
        <f t="array" ref="EW17">_xlfn.SWITCH($A$2,"average", AVERAGE(Instances!EW17:Instances!EW17),"median", MEDIAN(Instances!EW17:Instances!EW17),"min", MIN(Instances!EW17:Instances!EW17),"max", MAX(Instances!EW17:Instances!EW17),"diff", MAX(Instances!EW17:Instances!EW17)-MIN(Instances!EW17:Instances!EW17))</f>
        <v>0</v>
      </c>
      <c r="EX17" s="1" cm="1">
        <f t="array" ref="EX17">_xlfn.SWITCH($A$2,"average", AVERAGE(Instances!EX17:Instances!EX17),"median", MEDIAN(Instances!EX17:Instances!EX17),"min", MIN(Instances!EX17:Instances!EX17),"max", MAX(Instances!EX17:Instances!EX17),"diff", MAX(Instances!EX17:Instances!EX17)-MIN(Instances!EX17:Instances!EX17))</f>
        <v>0</v>
      </c>
      <c r="EY17" s="1" cm="1">
        <f t="array" ref="EY17">_xlfn.SWITCH($A$2,"average", AVERAGE(Instances!EY17:Instances!EY17),"median", MEDIAN(Instances!EY17:Instances!EY17),"min", MIN(Instances!EY17:Instances!EY17),"max", MAX(Instances!EY17:Instances!EY17),"diff", MAX(Instances!EY17:Instances!EY17)-MIN(Instances!EY17:Instances!EY17))</f>
        <v>0</v>
      </c>
      <c r="EZ17" s="1" cm="1">
        <f t="array" ref="EZ17">_xlfn.SWITCH($A$2,"average", AVERAGE(Instances!EZ17:Instances!EZ17),"median", MEDIAN(Instances!EZ17:Instances!EZ17),"min", MIN(Instances!EZ17:Instances!EZ17),"max", MAX(Instances!EZ17:Instances!EZ17),"diff", MAX(Instances!EZ17:Instances!EZ17)-MIN(Instances!EZ17:Instances!EZ17))</f>
        <v>0</v>
      </c>
      <c r="FA17" s="1" cm="1">
        <f t="array" ref="FA17">_xlfn.SWITCH($A$2,"average", AVERAGE(Instances!FA17:Instances!FA17),"median", MEDIAN(Instances!FA17:Instances!FA17),"min", MIN(Instances!FA17:Instances!FA17),"max", MAX(Instances!FA17:Instances!FA17),"diff", MAX(Instances!FA17:Instances!FA17)-MIN(Instances!FA17:Instances!FA17))</f>
        <v>0</v>
      </c>
      <c r="FB17" s="1" cm="1">
        <f t="array" ref="FB17">_xlfn.SWITCH($A$2,"average", AVERAGE(Instances!FB17:Instances!FB17),"median", MEDIAN(Instances!FB17:Instances!FB17),"min", MIN(Instances!FB17:Instances!FB17),"max", MAX(Instances!FB17:Instances!FB17),"diff", MAX(Instances!FB17:Instances!FB17)-MIN(Instances!FB17:Instances!FB17))</f>
        <v>0</v>
      </c>
      <c r="FC17" s="1" cm="1">
        <f t="array" ref="FC17">_xlfn.SWITCH($A$2,"average", AVERAGE(Instances!FC17:Instances!FC17),"median", MEDIAN(Instances!FC17:Instances!FC17),"min", MIN(Instances!FC17:Instances!FC17),"max", MAX(Instances!FC17:Instances!FC17),"diff", MAX(Instances!FC17:Instances!FC17)-MIN(Instances!FC17:Instances!FC17))</f>
        <v>0</v>
      </c>
      <c r="FD17" s="1"/>
      <c r="FE17" s="1" cm="1">
        <f t="array" ref="FE17">_xlfn.SWITCH($A$2,"average", AVERAGE(Instances!FE17:Instances!FE17),"median", MEDIAN(Instances!FE17:Instances!FE17),"min", MIN(Instances!FE17:Instances!FE17),"max", MAX(Instances!FE17:Instances!FE17),"diff", MAX(Instances!FE17:Instances!FE17)-MIN(Instances!FE17:Instances!FE17))</f>
        <v>0</v>
      </c>
      <c r="FF17" s="1" cm="1">
        <f t="array" ref="FF17">_xlfn.SWITCH($A$2,"average", AVERAGE(Instances!FF17:Instances!FF17),"median", MEDIAN(Instances!FF17:Instances!FF17),"min", MIN(Instances!FF17:Instances!FF17),"max", MAX(Instances!FF17:Instances!FF17),"diff", MAX(Instances!FF17:Instances!FF17)-MIN(Instances!FF17:Instances!FF17))</f>
        <v>0</v>
      </c>
      <c r="FG17" s="1" cm="1">
        <f t="array" ref="FG17">_xlfn.SWITCH($A$2,"average", AVERAGE(Instances!FG17:Instances!FG17),"median", MEDIAN(Instances!FG17:Instances!FG17),"min", MIN(Instances!FG17:Instances!FG17),"max", MAX(Instances!FG17:Instances!FG17),"diff", MAX(Instances!FG17:Instances!FG17)-MIN(Instances!FG17:Instances!FG17))</f>
        <v>0</v>
      </c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 cm="1">
        <f t="array" ref="FZ17">_xlfn.SWITCH($A$2,"average", AVERAGE(Instances!FZ17:Instances!FZ17),"median", MEDIAN(Instances!FZ17:Instances!FZ17),"min", MIN(Instances!FZ17:Instances!FZ17),"max", MAX(Instances!FZ17:Instances!FZ17),"diff", MAX(Instances!FZ17:Instances!FZ17)-MIN(Instances!FZ17:Instances!FZ17))</f>
        <v>0</v>
      </c>
      <c r="GA17" s="1" cm="1">
        <f t="array" ref="GA17">_xlfn.SWITCH($A$2,"average", AVERAGE(Instances!GA17:Instances!GA17),"median", MEDIAN(Instances!GA17:Instances!GA17),"min", MIN(Instances!GA17:Instances!GA17),"max", MAX(Instances!GA17:Instances!GA17),"diff", MAX(Instances!GA17:Instances!GA17)-MIN(Instances!GA17:Instances!GA17))</f>
        <v>0</v>
      </c>
      <c r="GB17" s="1" cm="1">
        <f t="array" ref="GB17">_xlfn.SWITCH($A$2,"average", AVERAGE(Instances!GB17:Instances!GB17),"median", MEDIAN(Instances!GB17:Instances!GB17),"min", MIN(Instances!GB17:Instances!GB17),"max", MAX(Instances!GB17:Instances!GB17),"diff", MAX(Instances!GB17:Instances!GB17)-MIN(Instances!GB17:Instances!GB17))</f>
        <v>0</v>
      </c>
      <c r="GC17" s="1" cm="1">
        <f t="array" ref="GC17">_xlfn.SWITCH($A$2,"average", AVERAGE(Instances!GC17:Instances!GC17),"median", MEDIAN(Instances!GC17:Instances!GC17),"min", MIN(Instances!GC17:Instances!GC17),"max", MAX(Instances!GC17:Instances!GC17),"diff", MAX(Instances!GC17:Instances!GC17)-MIN(Instances!GC17:Instances!GC17))</f>
        <v>0</v>
      </c>
      <c r="GD17" s="1" cm="1">
        <f t="array" ref="GD17">_xlfn.SWITCH($A$2,"average", AVERAGE(Instances!GD17:Instances!GD17),"median", MEDIAN(Instances!GD17:Instances!GD17),"min", MIN(Instances!GD17:Instances!GD17),"max", MAX(Instances!GD17:Instances!GD17),"diff", MAX(Instances!GD17:Instances!GD17)-MIN(Instances!GD17:Instances!GD17))</f>
        <v>0</v>
      </c>
      <c r="GE17" s="1" cm="1">
        <f t="array" ref="GE17">_xlfn.SWITCH($A$2,"average", AVERAGE(Instances!GE17:Instances!GE17),"median", MEDIAN(Instances!GE17:Instances!GE17),"min", MIN(Instances!GE17:Instances!GE17),"max", MAX(Instances!GE17:Instances!GE17),"diff", MAX(Instances!GE17:Instances!GE17)-MIN(Instances!GE17:Instances!GE17))</f>
        <v>0</v>
      </c>
      <c r="GF17" s="1" cm="1">
        <f t="array" ref="GF17">_xlfn.SWITCH($A$2,"average", AVERAGE(Instances!GF17:Instances!GF17),"median", MEDIAN(Instances!GF17:Instances!GF17),"min", MIN(Instances!GF17:Instances!GF17),"max", MAX(Instances!GF17:Instances!GF17),"diff", MAX(Instances!GF17:Instances!GF17)-MIN(Instances!GF17:Instances!GF17))</f>
        <v>0</v>
      </c>
      <c r="GG17" s="1" cm="1">
        <f t="array" ref="GG17">_xlfn.SWITCH($A$2,"average", AVERAGE(Instances!GG17:Instances!GG17),"median", MEDIAN(Instances!GG17:Instances!GG17),"min", MIN(Instances!GG17:Instances!GG17),"max", MAX(Instances!GG17:Instances!GG17),"diff", MAX(Instances!GG17:Instances!GG17)-MIN(Instances!GG17:Instances!GG17))</f>
        <v>0</v>
      </c>
      <c r="GH17" s="1" cm="1">
        <f t="array" ref="GH17">_xlfn.SWITCH($A$2,"average", AVERAGE(Instances!GH17:Instances!GH17),"median", MEDIAN(Instances!GH17:Instances!GH17),"min", MIN(Instances!GH17:Instances!GH17),"max", MAX(Instances!GH17:Instances!GH17),"diff", MAX(Instances!GH17:Instances!GH17)-MIN(Instances!GH17:Instances!GH17))</f>
        <v>0</v>
      </c>
      <c r="GI17" s="1" cm="1">
        <f t="array" ref="GI17">_xlfn.SWITCH($A$2,"average", AVERAGE(Instances!GI17:Instances!GI17),"median", MEDIAN(Instances!GI17:Instances!GI17),"min", MIN(Instances!GI17:Instances!GI17),"max", MAX(Instances!GI17:Instances!GI17),"diff", MAX(Instances!GI17:Instances!GI17)-MIN(Instances!GI17:Instances!GI17))</f>
        <v>0</v>
      </c>
      <c r="GJ17" s="1" cm="1">
        <f t="array" ref="GJ17">_xlfn.SWITCH($A$2,"average", AVERAGE(Instances!GJ17:Instances!GJ17),"median", MEDIAN(Instances!GJ17:Instances!GJ17),"min", MIN(Instances!GJ17:Instances!GJ17),"max", MAX(Instances!GJ17:Instances!GJ17),"diff", MAX(Instances!GJ17:Instances!GJ17)-MIN(Instances!GJ17:Instances!GJ17))</f>
        <v>0</v>
      </c>
      <c r="GK17" s="1" cm="1">
        <f t="array" ref="GK17">_xlfn.SWITCH($A$2,"average", AVERAGE(Instances!GK17:Instances!GK17),"median", MEDIAN(Instances!GK17:Instances!GK17),"min", MIN(Instances!GK17:Instances!GK17),"max", MAX(Instances!GK17:Instances!GK17),"diff", MAX(Instances!GK17:Instances!GK17)-MIN(Instances!GK17:Instances!GK17))</f>
        <v>0</v>
      </c>
      <c r="GL17" s="1" cm="1">
        <f t="array" ref="GL17">_xlfn.SWITCH($A$2,"average", AVERAGE(Instances!GL17:Instances!GL17),"median", MEDIAN(Instances!GL17:Instances!GL17),"min", MIN(Instances!GL17:Instances!GL17),"max", MAX(Instances!GL17:Instances!GL17),"diff", MAX(Instances!GL17:Instances!GL17)-MIN(Instances!GL17:Instances!GL17))</f>
        <v>0</v>
      </c>
      <c r="GM17" s="1" cm="1">
        <f t="array" ref="GM17">_xlfn.SWITCH($A$2,"average", AVERAGE(Instances!GM17:Instances!GM17),"median", MEDIAN(Instances!GM17:Instances!GM17),"min", MIN(Instances!GM17:Instances!GM17),"max", MAX(Instances!GM17:Instances!GM17),"diff", MAX(Instances!GM17:Instances!GM17)-MIN(Instances!GM17:Instances!GM17))</f>
        <v>0</v>
      </c>
      <c r="GN17" s="1"/>
      <c r="GO17" s="1" cm="1">
        <f t="array" ref="GO17">_xlfn.SWITCH($A$2,"average", AVERAGE(Instances!GO17:Instances!GO17),"median", MEDIAN(Instances!GO17:Instances!GO17),"min", MIN(Instances!GO17:Instances!GO17),"max", MAX(Instances!GO17:Instances!GO17),"diff", MAX(Instances!GO17:Instances!GO17)-MIN(Instances!GO17:Instances!GO17))</f>
        <v>0</v>
      </c>
      <c r="GP17" s="1" cm="1">
        <f t="array" ref="GP17">_xlfn.SWITCH($A$2,"average", AVERAGE(Instances!GP17:Instances!GP17),"median", MEDIAN(Instances!GP17:Instances!GP17),"min", MIN(Instances!GP17:Instances!GP17),"max", MAX(Instances!GP17:Instances!GP17),"diff", MAX(Instances!GP17:Instances!GP17)-MIN(Instances!GP17:Instances!GP17))</f>
        <v>0</v>
      </c>
      <c r="GQ17" s="1" cm="1">
        <f t="array" ref="GQ17">_xlfn.SWITCH($A$2,"average", AVERAGE(Instances!GQ17:Instances!GQ17),"median", MEDIAN(Instances!GQ17:Instances!GQ17),"min", MIN(Instances!GQ17:Instances!GQ17),"max", MAX(Instances!GQ17:Instances!GQ17),"diff", MAX(Instances!GQ17:Instances!GQ17)-MIN(Instances!GQ17:Instances!GQ17))</f>
        <v>0</v>
      </c>
      <c r="GR17" s="1" cm="1">
        <f t="array" ref="GR17">_xlfn.SWITCH($A$2,"average", AVERAGE(Instances!GR17:Instances!GR17),"median", MEDIAN(Instances!GR17:Instances!GR17),"min", MIN(Instances!GR17:Instances!GR17),"max", MAX(Instances!GR17:Instances!GR17),"diff", MAX(Instances!GR17:Instances!GR17)-MIN(Instances!GR17:Instances!GR17))</f>
        <v>0</v>
      </c>
      <c r="GS17" s="1" cm="1">
        <f t="array" ref="GS17">_xlfn.SWITCH($A$2,"average", AVERAGE(Instances!GS17:Instances!GS17),"median", MEDIAN(Instances!GS17:Instances!GS17),"min", MIN(Instances!GS17:Instances!GS17),"max", MAX(Instances!GS17:Instances!GS17),"diff", MAX(Instances!GS17:Instances!GS17)-MIN(Instances!GS17:Instances!GS17))</f>
        <v>0</v>
      </c>
      <c r="GT17" s="1" cm="1">
        <f t="array" ref="GT17">_xlfn.SWITCH($A$2,"average", AVERAGE(Instances!GT17:Instances!GT17),"median", MEDIAN(Instances!GT17:Instances!GT17),"min", MIN(Instances!GT17:Instances!GT17),"max", MAX(Instances!GT17:Instances!GT17),"diff", MAX(Instances!GT17:Instances!GT17)-MIN(Instances!GT17:Instances!GT17))</f>
        <v>0</v>
      </c>
      <c r="GU17" s="1" cm="1">
        <f t="array" ref="GU17">_xlfn.SWITCH($A$2,"average", AVERAGE(Instances!GU17:Instances!GU17),"median", MEDIAN(Instances!GU17:Instances!GU17),"min", MIN(Instances!GU17:Instances!GU17),"max", MAX(Instances!GU17:Instances!GU17),"diff", MAX(Instances!GU17:Instances!GU17)-MIN(Instances!GU17:Instances!GU17))</f>
        <v>0</v>
      </c>
      <c r="GV17" s="1" cm="1">
        <f t="array" ref="GV17">_xlfn.SWITCH($A$2,"average", AVERAGE(Instances!GV17:Instances!GV17),"median", MEDIAN(Instances!GV17:Instances!GV17),"min", MIN(Instances!GV17:Instances!GV17),"max", MAX(Instances!GV17:Instances!GV17),"diff", MAX(Instances!GV17:Instances!GV17)-MIN(Instances!GV17:Instances!GV17))</f>
        <v>0</v>
      </c>
      <c r="GW17" s="1" cm="1">
        <f t="array" ref="GW17">_xlfn.SWITCH($A$2,"average", AVERAGE(Instances!GW17:Instances!GW17),"median", MEDIAN(Instances!GW17:Instances!GW17),"min", MIN(Instances!GW17:Instances!GW17),"max", MAX(Instances!GW17:Instances!GW17),"diff", MAX(Instances!GW17:Instances!GW17)-MIN(Instances!GW17:Instances!GW17))</f>
        <v>0</v>
      </c>
      <c r="GX17" s="1" cm="1">
        <f t="array" ref="GX17">_xlfn.SWITCH($A$2,"average", AVERAGE(Instances!GX17:Instances!GX17),"median", MEDIAN(Instances!GX17:Instances!GX17),"min", MIN(Instances!GX17:Instances!GX17),"max", MAX(Instances!GX17:Instances!GX17),"diff", MAX(Instances!GX17:Instances!GX17)-MIN(Instances!GX17:Instances!GX17))</f>
        <v>0</v>
      </c>
      <c r="GY17" s="1" cm="1">
        <f t="array" ref="GY17">_xlfn.SWITCH($A$2,"average", AVERAGE(Instances!GY17:Instances!GY17),"median", MEDIAN(Instances!GY17:Instances!GY17),"min", MIN(Instances!GY17:Instances!GY17),"max", MAX(Instances!GY17:Instances!GY17),"diff", MAX(Instances!GY17:Instances!GY17)-MIN(Instances!GY17:Instances!GY17))</f>
        <v>0</v>
      </c>
      <c r="GZ17" s="1" cm="1">
        <f t="array" ref="GZ17">_xlfn.SWITCH($A$2,"average", AVERAGE(Instances!GZ17:Instances!GZ17),"median", MEDIAN(Instances!GZ17:Instances!GZ17),"min", MIN(Instances!GZ17:Instances!GZ17),"max", MAX(Instances!GZ17:Instances!GZ17),"diff", MAX(Instances!GZ17:Instances!GZ17)-MIN(Instances!GZ17:Instances!GZ17))</f>
        <v>0</v>
      </c>
      <c r="HA17" s="1" cm="1">
        <f t="array" ref="HA17">_xlfn.SWITCH($A$2,"average", AVERAGE(Instances!HA17:Instances!HA17),"median", MEDIAN(Instances!HA17:Instances!HA17),"min", MIN(Instances!HA17:Instances!HA17),"max", MAX(Instances!HA17:Instances!HA17),"diff", MAX(Instances!HA17:Instances!HA17)-MIN(Instances!HA17:Instances!HA17))</f>
        <v>0</v>
      </c>
      <c r="HB17" s="1" cm="1">
        <f t="array" ref="HB17">_xlfn.SWITCH($A$2,"average", AVERAGE(Instances!HB17:Instances!HB17),"median", MEDIAN(Instances!HB17:Instances!HB17),"min", MIN(Instances!HB17:Instances!HB17),"max", MAX(Instances!HB17:Instances!HB17),"diff", MAX(Instances!HB17:Instances!HB17)-MIN(Instances!HB17:Instances!HB17))</f>
        <v>0</v>
      </c>
      <c r="HC17" s="1" cm="1">
        <f t="array" ref="HC17">_xlfn.SWITCH($A$2,"average", AVERAGE(Instances!HC17:Instances!HC17),"median", MEDIAN(Instances!HC17:Instances!HC17),"min", MIN(Instances!HC17:Instances!HC17),"max", MAX(Instances!HC17:Instances!HC17),"diff", MAX(Instances!HC17:Instances!HC17)-MIN(Instances!HC17:Instances!HC17))</f>
        <v>0</v>
      </c>
      <c r="HD17" s="1" cm="1">
        <f t="array" ref="HD17">_xlfn.SWITCH($A$2,"average", AVERAGE(Instances!HD17:Instances!HD17),"median", MEDIAN(Instances!HD17:Instances!HD17),"min", MIN(Instances!HD17:Instances!HD17),"max", MAX(Instances!HD17:Instances!HD17),"diff", MAX(Instances!HD17:Instances!HD17)-MIN(Instances!HD17:Instances!HD17))</f>
        <v>0</v>
      </c>
      <c r="HE17" s="1" cm="1">
        <f t="array" ref="HE17">_xlfn.SWITCH($A$2,"average", AVERAGE(Instances!HE17:Instances!HE17),"median", MEDIAN(Instances!HE17:Instances!HE17),"min", MIN(Instances!HE17:Instances!HE17),"max", MAX(Instances!HE17:Instances!HE17),"diff", MAX(Instances!HE17:Instances!HE17)-MIN(Instances!HE17:Instances!HE17))</f>
        <v>0</v>
      </c>
      <c r="HF17" s="1"/>
      <c r="HG17" s="1" cm="1">
        <f t="array" ref="HG17">_xlfn.SWITCH($A$2,"average", AVERAGE(Instances!HG17:Instances!HG17),"median", MEDIAN(Instances!HG17:Instances!HG17),"min", MIN(Instances!HG17:Instances!HG17),"max", MAX(Instances!HG17:Instances!HG17),"diff", MAX(Instances!HG17:Instances!HG17)-MIN(Instances!HG17:Instances!HG17))</f>
        <v>0</v>
      </c>
      <c r="HH17" s="1" cm="1">
        <f t="array" ref="HH17">_xlfn.SWITCH($A$2,"average", AVERAGE(Instances!HH17:Instances!HH17),"median", MEDIAN(Instances!HH17:Instances!HH17),"min", MIN(Instances!HH17:Instances!HH17),"max", MAX(Instances!HH17:Instances!HH17),"diff", MAX(Instances!HH17:Instances!HH17)-MIN(Instances!HH17:Instances!HH17))</f>
        <v>0</v>
      </c>
      <c r="HI17" s="1" cm="1">
        <f t="array" ref="HI17">_xlfn.SWITCH($A$2,"average", AVERAGE(Instances!HI17:Instances!HI17),"median", MEDIAN(Instances!HI17:Instances!HI17),"min", MIN(Instances!HI17:Instances!HI17),"max", MAX(Instances!HI17:Instances!HI17),"diff", MAX(Instances!HI17:Instances!HI17)-MIN(Instances!HI17:Instances!HI17))</f>
        <v>0</v>
      </c>
      <c r="HJ17" s="1" cm="1">
        <f t="array" ref="HJ17">_xlfn.SWITCH($A$2,"average", AVERAGE(Instances!HJ17:Instances!HJ17),"median", MEDIAN(Instances!HJ17:Instances!HJ17),"min", MIN(Instances!HJ17:Instances!HJ17),"max", MAX(Instances!HJ17:Instances!HJ17),"diff", MAX(Instances!HJ17:Instances!HJ17)-MIN(Instances!HJ17:Instances!HJ17))</f>
        <v>0</v>
      </c>
      <c r="HK17" s="1" cm="1">
        <f t="array" ref="HK17">_xlfn.SWITCH($A$2,"average", AVERAGE(Instances!HK17:Instances!HK17),"median", MEDIAN(Instances!HK17:Instances!HK17),"min", MIN(Instances!HK17:Instances!HK17),"max", MAX(Instances!HK17:Instances!HK17),"diff", MAX(Instances!HK17:Instances!HK17)-MIN(Instances!HK17:Instances!HK17))</f>
        <v>0</v>
      </c>
      <c r="HL17" s="1" cm="1">
        <f t="array" ref="HL17">_xlfn.SWITCH($A$2,"average", AVERAGE(Instances!HL17:Instances!HL17),"median", MEDIAN(Instances!HL17:Instances!HL17),"min", MIN(Instances!HL17:Instances!HL17),"max", MAX(Instances!HL17:Instances!HL17),"diff", MAX(Instances!HL17:Instances!HL17)-MIN(Instances!HL17:Instances!HL17))</f>
        <v>0</v>
      </c>
      <c r="HM17" s="1" cm="1">
        <f t="array" ref="HM17">_xlfn.SWITCH($A$2,"average", AVERAGE(Instances!HM17:Instances!HM17),"median", MEDIAN(Instances!HM17:Instances!HM17),"min", MIN(Instances!HM17:Instances!HM17),"max", MAX(Instances!HM17:Instances!HM17),"diff", MAX(Instances!HM17:Instances!HM17)-MIN(Instances!HM17:Instances!HM17))</f>
        <v>0</v>
      </c>
      <c r="HN17" s="1" cm="1">
        <f t="array" ref="HN17">_xlfn.SWITCH($A$2,"average", AVERAGE(Instances!HN17:Instances!HN17),"median", MEDIAN(Instances!HN17:Instances!HN17),"min", MIN(Instances!HN17:Instances!HN17),"max", MAX(Instances!HN17:Instances!HN17),"diff", MAX(Instances!HN17:Instances!HN17)-MIN(Instances!HN17:Instances!HN17))</f>
        <v>0</v>
      </c>
      <c r="HO17" s="1" cm="1">
        <f t="array" ref="HO17">_xlfn.SWITCH($A$2,"average", AVERAGE(Instances!HO17:Instances!HO17),"median", MEDIAN(Instances!HO17:Instances!HO17),"min", MIN(Instances!HO17:Instances!HO17),"max", MAX(Instances!HO17:Instances!HO17),"diff", MAX(Instances!HO17:Instances!HO17)-MIN(Instances!HO17:Instances!HO17))</f>
        <v>0</v>
      </c>
      <c r="HP17" s="1" cm="1">
        <f t="array" ref="HP17">_xlfn.SWITCH($A$2,"average", AVERAGE(Instances!HP17:Instances!HP17),"median", MEDIAN(Instances!HP17:Instances!HP17),"min", MIN(Instances!HP17:Instances!HP17),"max", MAX(Instances!HP17:Instances!HP17),"diff", MAX(Instances!HP17:Instances!HP17)-MIN(Instances!HP17:Instances!HP17))</f>
        <v>0</v>
      </c>
      <c r="HQ17" s="1" cm="1">
        <f t="array" ref="HQ17">_xlfn.SWITCH($A$2,"average", AVERAGE(Instances!HQ17:Instances!HQ17),"median", MEDIAN(Instances!HQ17:Instances!HQ17),"min", MIN(Instances!HQ17:Instances!HQ17),"max", MAX(Instances!HQ17:Instances!HQ17),"diff", MAX(Instances!HQ17:Instances!HQ17)-MIN(Instances!HQ17:Instances!HQ17))</f>
        <v>0</v>
      </c>
      <c r="HR17" s="1" cm="1">
        <f t="array" ref="HR17">_xlfn.SWITCH($A$2,"average", AVERAGE(Instances!HR17:Instances!HR17),"median", MEDIAN(Instances!HR17:Instances!HR17),"min", MIN(Instances!HR17:Instances!HR17),"max", MAX(Instances!HR17:Instances!HR17),"diff", MAX(Instances!HR17:Instances!HR17)-MIN(Instances!HR17:Instances!HR17))</f>
        <v>0</v>
      </c>
      <c r="HS17" s="1" cm="1">
        <f t="array" ref="HS17">_xlfn.SWITCH($A$2,"average", AVERAGE(Instances!HS17:Instances!HS17),"median", MEDIAN(Instances!HS17:Instances!HS17),"min", MIN(Instances!HS17:Instances!HS17),"max", MAX(Instances!HS17:Instances!HS17),"diff", MAX(Instances!HS17:Instances!HS17)-MIN(Instances!HS17:Instances!HS17))</f>
        <v>0</v>
      </c>
      <c r="HT17" s="1" cm="1">
        <f t="array" ref="HT17">_xlfn.SWITCH($A$2,"average", AVERAGE(Instances!HT17:Instances!HT17),"median", MEDIAN(Instances!HT17:Instances!HT17),"min", MIN(Instances!HT17:Instances!HT17),"max", MAX(Instances!HT17:Instances!HT17),"diff", MAX(Instances!HT17:Instances!HT17)-MIN(Instances!HT17:Instances!HT17))</f>
        <v>0</v>
      </c>
      <c r="HU17" s="1" cm="1">
        <f t="array" ref="HU17">_xlfn.SWITCH($A$2,"average", AVERAGE(Instances!HU17:Instances!HU17),"median", MEDIAN(Instances!HU17:Instances!HU17),"min", MIN(Instances!HU17:Instances!HU17),"max", MAX(Instances!HU17:Instances!HU17),"diff", MAX(Instances!HU17:Instances!HU17)-MIN(Instances!HU17:Instances!HU17))</f>
        <v>0</v>
      </c>
      <c r="HV17" s="1" cm="1">
        <f t="array" ref="HV17">_xlfn.SWITCH($A$2,"average", AVERAGE(Instances!HV17:Instances!HV17),"median", MEDIAN(Instances!HV17:Instances!HV17),"min", MIN(Instances!HV17:Instances!HV17),"max", MAX(Instances!HV17:Instances!HV17),"diff", MAX(Instances!HV17:Instances!HV17)-MIN(Instances!HV17:Instances!HV17))</f>
        <v>0</v>
      </c>
      <c r="HW17" s="1" cm="1">
        <f t="array" ref="HW17">_xlfn.SWITCH($A$2,"average", AVERAGE(Instances!HW17:Instances!HW17),"median", MEDIAN(Instances!HW17:Instances!HW17),"min", MIN(Instances!HW17:Instances!HW17),"max", MAX(Instances!HW17:Instances!HW17),"diff", MAX(Instances!HW17:Instances!HW17)-MIN(Instances!HW17:Instances!HW17))</f>
        <v>0</v>
      </c>
      <c r="HX17" s="1"/>
      <c r="HY17" s="1" cm="1">
        <f t="array" ref="HY17">_xlfn.SWITCH($A$2,"average", AVERAGE(Instances!HY17:Instances!HY17),"median", MEDIAN(Instances!HY17:Instances!HY17),"min", MIN(Instances!HY17:Instances!HY17),"max", MAX(Instances!HY17:Instances!HY17),"diff", MAX(Instances!HY17:Instances!HY17)-MIN(Instances!HY17:Instances!HY17))</f>
        <v>0</v>
      </c>
      <c r="HZ17" s="1" cm="1">
        <f t="array" ref="HZ17">_xlfn.SWITCH($A$2,"average", AVERAGE(Instances!HZ17:Instances!HZ17),"median", MEDIAN(Instances!HZ17:Instances!HZ17),"min", MIN(Instances!HZ17:Instances!HZ17),"max", MAX(Instances!HZ17:Instances!HZ17),"diff", MAX(Instances!HZ17:Instances!HZ17)-MIN(Instances!HZ17:Instances!HZ17))</f>
        <v>0</v>
      </c>
      <c r="IA17" s="1" cm="1">
        <f t="array" ref="IA17">_xlfn.SWITCH($A$2,"average", AVERAGE(Instances!IA17:Instances!IA17),"median", MEDIAN(Instances!IA17:Instances!IA17),"min", MIN(Instances!IA17:Instances!IA17),"max", MAX(Instances!IA17:Instances!IA17),"diff", MAX(Instances!IA17:Instances!IA17)-MIN(Instances!IA17:Instances!IA17))</f>
        <v>0</v>
      </c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 cm="1">
        <f t="array" ref="JL17">_xlfn.SWITCH($A$2,"average", AVERAGE(Instances!JL17:Instances!JL17),"median", MEDIAN(Instances!JL17:Instances!JL17),"min", MIN(Instances!JL17:Instances!JL17),"max", MAX(Instances!JL17:Instances!JL17),"diff", MAX(Instances!JL17:Instances!JL17)-MIN(Instances!JL17:Instances!JL17))</f>
        <v>0</v>
      </c>
      <c r="JM17" s="1" cm="1">
        <f t="array" ref="JM17">_xlfn.SWITCH($A$2,"average", AVERAGE(Instances!JM17:Instances!JM17),"median", MEDIAN(Instances!JM17:Instances!JM17),"min", MIN(Instances!JM17:Instances!JM17),"max", MAX(Instances!JM17:Instances!JM17),"diff", MAX(Instances!JM17:Instances!JM17)-MIN(Instances!JM17:Instances!JM17))</f>
        <v>0</v>
      </c>
      <c r="JN17" s="1" cm="1">
        <f t="array" ref="JN17">_xlfn.SWITCH($A$2,"average", AVERAGE(Instances!JN17:Instances!JN17),"median", MEDIAN(Instances!JN17:Instances!JN17),"min", MIN(Instances!JN17:Instances!JN17),"max", MAX(Instances!JN17:Instances!JN17),"diff", MAX(Instances!JN17:Instances!JN17)-MIN(Instances!JN17:Instances!JN17))</f>
        <v>0</v>
      </c>
      <c r="JO17" s="1" cm="1">
        <f t="array" ref="JO17">_xlfn.SWITCH($A$2,"average", AVERAGE(Instances!JO17:Instances!JO17),"median", MEDIAN(Instances!JO17:Instances!JO17),"min", MIN(Instances!JO17:Instances!JO17),"max", MAX(Instances!JO17:Instances!JO17),"diff", MAX(Instances!JO17:Instances!JO17)-MIN(Instances!JO17:Instances!JO17))</f>
        <v>0</v>
      </c>
      <c r="JP17" s="1" cm="1">
        <f t="array" ref="JP17">_xlfn.SWITCH($A$2,"average", AVERAGE(Instances!JP17:Instances!JP17),"median", MEDIAN(Instances!JP17:Instances!JP17),"min", MIN(Instances!JP17:Instances!JP17),"max", MAX(Instances!JP17:Instances!JP17),"diff", MAX(Instances!JP17:Instances!JP17)-MIN(Instances!JP17:Instances!JP17))</f>
        <v>0</v>
      </c>
      <c r="JQ17" s="1" cm="1">
        <f t="array" ref="JQ17">_xlfn.SWITCH($A$2,"average", AVERAGE(Instances!JQ17:Instances!JQ17),"median", MEDIAN(Instances!JQ17:Instances!JQ17),"min", MIN(Instances!JQ17:Instances!JQ17),"max", MAX(Instances!JQ17:Instances!JQ17),"diff", MAX(Instances!JQ17:Instances!JQ17)-MIN(Instances!JQ17:Instances!JQ17))</f>
        <v>0</v>
      </c>
      <c r="JR17" s="1" cm="1">
        <f t="array" ref="JR17">_xlfn.SWITCH($A$2,"average", AVERAGE(Instances!JR17:Instances!JR17),"median", MEDIAN(Instances!JR17:Instances!JR17),"min", MIN(Instances!JR17:Instances!JR17),"max", MAX(Instances!JR17:Instances!JR17),"diff", MAX(Instances!JR17:Instances!JR17)-MIN(Instances!JR17:Instances!JR17))</f>
        <v>0</v>
      </c>
      <c r="JS17" s="1" cm="1">
        <f t="array" ref="JS17">_xlfn.SWITCH($A$2,"average", AVERAGE(Instances!JS17:Instances!JS17),"median", MEDIAN(Instances!JS17:Instances!JS17),"min", MIN(Instances!JS17:Instances!JS17),"max", MAX(Instances!JS17:Instances!JS17),"diff", MAX(Instances!JS17:Instances!JS17)-MIN(Instances!JS17:Instances!JS17))</f>
        <v>0</v>
      </c>
      <c r="JT17" s="1" cm="1">
        <f t="array" ref="JT17">_xlfn.SWITCH($A$2,"average", AVERAGE(Instances!JT17:Instances!JT17),"median", MEDIAN(Instances!JT17:Instances!JT17),"min", MIN(Instances!JT17:Instances!JT17),"max", MAX(Instances!JT17:Instances!JT17),"diff", MAX(Instances!JT17:Instances!JT17)-MIN(Instances!JT17:Instances!JT17))</f>
        <v>0</v>
      </c>
      <c r="JU17" s="1" cm="1">
        <f t="array" ref="JU17">_xlfn.SWITCH($A$2,"average", AVERAGE(Instances!JU17:Instances!JU17),"median", MEDIAN(Instances!JU17:Instances!JU17),"min", MIN(Instances!JU17:Instances!JU17),"max", MAX(Instances!JU17:Instances!JU17),"diff", MAX(Instances!JU17:Instances!JU17)-MIN(Instances!JU17:Instances!JU17))</f>
        <v>0</v>
      </c>
      <c r="JV17" s="1" cm="1">
        <f t="array" ref="JV17">_xlfn.SWITCH($A$2,"average", AVERAGE(Instances!JV17:Instances!JV17),"median", MEDIAN(Instances!JV17:Instances!JV17),"min", MIN(Instances!JV17:Instances!JV17),"max", MAX(Instances!JV17:Instances!JV17),"diff", MAX(Instances!JV17:Instances!JV17)-MIN(Instances!JV17:Instances!JV17))</f>
        <v>0</v>
      </c>
      <c r="JW17" s="1" cm="1">
        <f t="array" ref="JW17">_xlfn.SWITCH($A$2,"average", AVERAGE(Instances!JW17:Instances!JW17),"median", MEDIAN(Instances!JW17:Instances!JW17),"min", MIN(Instances!JW17:Instances!JW17),"max", MAX(Instances!JW17:Instances!JW17),"diff", MAX(Instances!JW17:Instances!JW17)-MIN(Instances!JW17:Instances!JW17))</f>
        <v>0</v>
      </c>
      <c r="JX17" s="1" cm="1">
        <f t="array" ref="JX17">_xlfn.SWITCH($A$2,"average", AVERAGE(Instances!JX17:Instances!JX17),"median", MEDIAN(Instances!JX17:Instances!JX17),"min", MIN(Instances!JX17:Instances!JX17),"max", MAX(Instances!JX17:Instances!JX17),"diff", MAX(Instances!JX17:Instances!JX17)-MIN(Instances!JX17:Instances!JX17))</f>
        <v>0</v>
      </c>
      <c r="JY17" s="1" cm="1">
        <f t="array" ref="JY17">_xlfn.SWITCH($A$2,"average", AVERAGE(Instances!JY17:Instances!JY17),"median", MEDIAN(Instances!JY17:Instances!JY17),"min", MIN(Instances!JY17:Instances!JY17),"max", MAX(Instances!JY17:Instances!JY17),"diff", MAX(Instances!JY17:Instances!JY17)-MIN(Instances!JY17:Instances!JY17))</f>
        <v>0</v>
      </c>
      <c r="JZ17" s="1"/>
      <c r="KA17" s="1" cm="1">
        <f t="array" ref="KA17">_xlfn.SWITCH($A$2,"average", AVERAGE(Instances!KA17:Instances!KA17),"median", MEDIAN(Instances!KA17:Instances!KA17),"min", MIN(Instances!KA17:Instances!KA17),"max", MAX(Instances!KA17:Instances!KA17),"diff", MAX(Instances!KA17:Instances!KA17)-MIN(Instances!KA17:Instances!KA17))</f>
        <v>0</v>
      </c>
      <c r="KB17" s="1" cm="1">
        <f t="array" ref="KB17">_xlfn.SWITCH($A$2,"average", AVERAGE(Instances!KB17:Instances!KB17),"median", MEDIAN(Instances!KB17:Instances!KB17),"min", MIN(Instances!KB17:Instances!KB17),"max", MAX(Instances!KB17:Instances!KB17),"diff", MAX(Instances!KB17:Instances!KB17)-MIN(Instances!KB17:Instances!KB17))</f>
        <v>0</v>
      </c>
      <c r="KC17" s="1" cm="1">
        <f t="array" ref="KC17">_xlfn.SWITCH($A$2,"average", AVERAGE(Instances!KC17:Instances!KC17),"median", MEDIAN(Instances!KC17:Instances!KC17),"min", MIN(Instances!KC17:Instances!KC17),"max", MAX(Instances!KC17:Instances!KC17),"diff", MAX(Instances!KC17:Instances!KC17)-MIN(Instances!KC17:Instances!KC17))</f>
        <v>0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 cm="1">
        <f t="array" ref="L18">_xlfn.SWITCH($A$2,"average", AVERAGE(Instances!L18:Instances!L18),"median", MEDIAN(Instances!L18:Instances!L18),"min", MIN(Instances!L18:Instances!L18),"max", MAX(Instances!L18:Instances!L18),"diff", MAX(Instances!L18:Instances!L18)-MIN(Instances!L18:Instances!L18))</f>
        <v>0</v>
      </c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 cm="1">
        <f t="array" ref="O18">_xlfn.SWITCH($A$2,"average", AVERAGE(Instances!O18:Instances!O18),"median", MEDIAN(Instances!O18:Instances!O18),"min", MIN(Instances!O18:Instances!O18),"max", MAX(Instances!O18:Instances!O18),"diff", MAX(Instances!O18:Instances!O18)-MIN(Instances!O18:Instances!O18))</f>
        <v>0</v>
      </c>
      <c r="P18" s="1"/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 cm="1">
        <f t="array" ref="S18">_xlfn.SWITCH($A$2,"average", AVERAGE(Instances!S18:Instances!S18),"median", MEDIAN(Instances!S18:Instances!S18),"min", MIN(Instances!S18:Instances!S18),"max", MAX(Instances!S18:Instances!S18),"diff", MAX(Instances!S18:Instances!S18)-MIN(Instances!S18:Instances!S18))</f>
        <v>0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 cm="1">
        <f t="array" ref="AL18">_xlfn.SWITCH($A$2,"average", AVERAGE(Instances!AL18:Instances!AL18),"median", MEDIAN(Instances!AL18:Instances!AL18),"min", MIN(Instances!AL18:Instances!AL18),"max", MAX(Instances!AL18:Instances!AL18),"diff", MAX(Instances!AL18:Instances!AL18)-MIN(Instances!AL18:Instances!AL18))</f>
        <v>0</v>
      </c>
      <c r="AM18" s="1" cm="1">
        <f t="array" ref="AM18">_xlfn.SWITCH($A$2,"average", AVERAGE(Instances!AM18:Instances!AM18),"median", MEDIAN(Instances!AM18:Instances!AM18),"min", MIN(Instances!AM18:Instances!AM18),"max", MAX(Instances!AM18:Instances!AM18),"diff", MAX(Instances!AM18:Instances!AM18)-MIN(Instances!AM18:Instances!AM18))</f>
        <v>0</v>
      </c>
      <c r="AN18" s="1" cm="1">
        <f t="array" ref="AN18">_xlfn.SWITCH($A$2,"average", AVERAGE(Instances!AN18:Instances!AN18),"median", MEDIAN(Instances!AN18:Instances!AN18),"min", MIN(Instances!AN18:Instances!AN18),"max", MAX(Instances!AN18:Instances!AN18),"diff", MAX(Instances!AN18:Instances!AN18)-MIN(Instances!AN18:Instances!AN18))</f>
        <v>0</v>
      </c>
      <c r="AO18" s="1" cm="1">
        <f t="array" ref="AO18">_xlfn.SWITCH($A$2,"average", AVERAGE(Instances!AO18:Instances!AO18),"median", MEDIAN(Instances!AO18:Instances!AO18),"min", MIN(Instances!AO18:Instances!AO18),"max", MAX(Instances!AO18:Instances!AO18),"diff", MAX(Instances!AO18:Instances!AO18)-MIN(Instances!AO18:Instances!AO18))</f>
        <v>0</v>
      </c>
      <c r="AP18" s="1" cm="1">
        <f t="array" ref="AP18">_xlfn.SWITCH($A$2,"average", AVERAGE(Instances!AP18:Instances!AP18),"median", MEDIAN(Instances!AP18:Instances!AP18),"min", MIN(Instances!AP18:Instances!AP18),"max", MAX(Instances!AP18:Instances!AP18),"diff", MAX(Instances!AP18:Instances!AP18)-MIN(Instances!AP18:Instances!AP18))</f>
        <v>0</v>
      </c>
      <c r="AQ18" s="1" cm="1">
        <f t="array" ref="AQ18">_xlfn.SWITCH($A$2,"average", AVERAGE(Instances!AQ18:Instances!AQ18),"median", MEDIAN(Instances!AQ18:Instances!AQ18),"min", MIN(Instances!AQ18:Instances!AQ18),"max", MAX(Instances!AQ18:Instances!AQ18),"diff", MAX(Instances!AQ18:Instances!AQ18)-MIN(Instances!AQ18:Instances!AQ18))</f>
        <v>0</v>
      </c>
      <c r="AR18" s="1" cm="1">
        <f t="array" ref="AR18">_xlfn.SWITCH($A$2,"average", AVERAGE(Instances!AR18:Instances!AR18),"median", MEDIAN(Instances!AR18:Instances!AR18),"min", MIN(Instances!AR18:Instances!AR18),"max", MAX(Instances!AR18:Instances!AR18),"diff", MAX(Instances!AR18:Instances!AR18)-MIN(Instances!AR18:Instances!AR18))</f>
        <v>0</v>
      </c>
      <c r="AS18" s="1" cm="1">
        <f t="array" ref="AS18">_xlfn.SWITCH($A$2,"average", AVERAGE(Instances!AS18:Instances!AS18),"median", MEDIAN(Instances!AS18:Instances!AS18),"min", MIN(Instances!AS18:Instances!AS18),"max", MAX(Instances!AS18:Instances!AS18),"diff", MAX(Instances!AS18:Instances!AS18)-MIN(Instances!AS18:Instances!AS18))</f>
        <v>0</v>
      </c>
      <c r="AT18" s="1" cm="1">
        <f t="array" ref="AT18">_xlfn.SWITCH($A$2,"average", AVERAGE(Instances!AT18:Instances!AT18),"median", MEDIAN(Instances!AT18:Instances!AT18),"min", MIN(Instances!AT18:Instances!AT18),"max", MAX(Instances!AT18:Instances!AT18),"diff", MAX(Instances!AT18:Instances!AT18)-MIN(Instances!AT18:Instances!AT18))</f>
        <v>0</v>
      </c>
      <c r="AU18" s="1" cm="1">
        <f t="array" ref="AU18">_xlfn.SWITCH($A$2,"average", AVERAGE(Instances!AU18:Instances!AU18),"median", MEDIAN(Instances!AU18:Instances!AU18),"min", MIN(Instances!AU18:Instances!AU18),"max", MAX(Instances!AU18:Instances!AU18),"diff", MAX(Instances!AU18:Instances!AU18)-MIN(Instances!AU18:Instances!AU18))</f>
        <v>0</v>
      </c>
      <c r="AV18" s="1" cm="1">
        <f t="array" ref="AV18">_xlfn.SWITCH($A$2,"average", AVERAGE(Instances!AV18:Instances!AV18),"median", MEDIAN(Instances!AV18:Instances!AV18),"min", MIN(Instances!AV18:Instances!AV18),"max", MAX(Instances!AV18:Instances!AV18),"diff", MAX(Instances!AV18:Instances!AV18)-MIN(Instances!AV18:Instances!AV18))</f>
        <v>0</v>
      </c>
      <c r="AW18" s="1" cm="1">
        <f t="array" ref="AW18">_xlfn.SWITCH($A$2,"average", AVERAGE(Instances!AW18:Instances!AW18),"median", MEDIAN(Instances!AW18:Instances!AW18),"min", MIN(Instances!AW18:Instances!AW18),"max", MAX(Instances!AW18:Instances!AW18),"diff", MAX(Instances!AW18:Instances!AW18)-MIN(Instances!AW18:Instances!AW18))</f>
        <v>0</v>
      </c>
      <c r="AX18" s="1" cm="1">
        <f t="array" ref="AX18">_xlfn.SWITCH($A$2,"average", AVERAGE(Instances!AX18:Instances!AX18),"median", MEDIAN(Instances!AX18:Instances!AX18),"min", MIN(Instances!AX18:Instances!AX18),"max", MAX(Instances!AX18:Instances!AX18),"diff", MAX(Instances!AX18:Instances!AX18)-MIN(Instances!AX18:Instances!AX18))</f>
        <v>0</v>
      </c>
      <c r="AY18" s="1" cm="1">
        <f t="array" ref="AY18">_xlfn.SWITCH($A$2,"average", AVERAGE(Instances!AY18:Instances!AY18),"median", MEDIAN(Instances!AY18:Instances!AY18),"min", MIN(Instances!AY18:Instances!AY18),"max", MAX(Instances!AY18:Instances!AY18),"diff", MAX(Instances!AY18:Instances!AY18)-MIN(Instances!AY18:Instances!AY18))</f>
        <v>0</v>
      </c>
      <c r="AZ18" s="1"/>
      <c r="BA18" s="1" cm="1">
        <f t="array" ref="BA18">_xlfn.SWITCH($A$2,"average", AVERAGE(Instances!BA18:Instances!BA18),"median", MEDIAN(Instances!BA18:Instances!BA18),"min", MIN(Instances!BA18:Instances!BA18),"max", MAX(Instances!BA18:Instances!BA18),"diff", MAX(Instances!BA18:Instances!BA18)-MIN(Instances!BA18:Instances!BA18))</f>
        <v>0</v>
      </c>
      <c r="BB18" s="1" cm="1">
        <f t="array" ref="BB18">_xlfn.SWITCH($A$2,"average", AVERAGE(Instances!BB18:Instances!BB18),"median", MEDIAN(Instances!BB18:Instances!BB18),"min", MIN(Instances!BB18:Instances!BB18),"max", MAX(Instances!BB18:Instances!BB18),"diff", MAX(Instances!BB18:Instances!BB18)-MIN(Instances!BB18:Instances!BB18))</f>
        <v>0</v>
      </c>
      <c r="BC18" s="1" cm="1">
        <f t="array" ref="BC18">_xlfn.SWITCH($A$2,"average", AVERAGE(Instances!BC18:Instances!BC18),"median", MEDIAN(Instances!BC18:Instances!BC18),"min", MIN(Instances!BC18:Instances!BC18),"max", MAX(Instances!BC18:Instances!BC18),"diff", MAX(Instances!BC18:Instances!BC18)-MIN(Instances!BC18:Instances!BC18))</f>
        <v>0</v>
      </c>
      <c r="BD18" s="1" cm="1">
        <f t="array" ref="BD18">_xlfn.SWITCH($A$2,"average", AVERAGE(Instances!BD18:Instances!BD18),"median", MEDIAN(Instances!BD18:Instances!BD18),"min", MIN(Instances!BD18:Instances!BD18),"max", MAX(Instances!BD18:Instances!BD18),"diff", MAX(Instances!BD18:Instances!BD18)-MIN(Instances!BD18:Instances!BD18))</f>
        <v>0</v>
      </c>
      <c r="BE18" s="1" cm="1">
        <f t="array" ref="BE18">_xlfn.SWITCH($A$2,"average", AVERAGE(Instances!BE18:Instances!BE18),"median", MEDIAN(Instances!BE18:Instances!BE18),"min", MIN(Instances!BE18:Instances!BE18),"max", MAX(Instances!BE18:Instances!BE18),"diff", MAX(Instances!BE18:Instances!BE18)-MIN(Instances!BE18:Instances!BE18))</f>
        <v>0</v>
      </c>
      <c r="BF18" s="1" cm="1">
        <f t="array" ref="BF18">_xlfn.SWITCH($A$2,"average", AVERAGE(Instances!BF18:Instances!BF18),"median", MEDIAN(Instances!BF18:Instances!BF18),"min", MIN(Instances!BF18:Instances!BF18),"max", MAX(Instances!BF18:Instances!BF18),"diff", MAX(Instances!BF18:Instances!BF18)-MIN(Instances!BF18:Instances!BF18))</f>
        <v>0</v>
      </c>
      <c r="BG18" s="1" cm="1">
        <f t="array" ref="BG18">_xlfn.SWITCH($A$2,"average", AVERAGE(Instances!BG18:Instances!BG18),"median", MEDIAN(Instances!BG18:Instances!BG18),"min", MIN(Instances!BG18:Instances!BG18),"max", MAX(Instances!BG18:Instances!BG18),"diff", MAX(Instances!BG18:Instances!BG18)-MIN(Instances!BG18:Instances!BG18))</f>
        <v>0</v>
      </c>
      <c r="BH18" s="1" cm="1">
        <f t="array" ref="BH18">_xlfn.SWITCH($A$2,"average", AVERAGE(Instances!BH18:Instances!BH18),"median", MEDIAN(Instances!BH18:Instances!BH18),"min", MIN(Instances!BH18:Instances!BH18),"max", MAX(Instances!BH18:Instances!BH18),"diff", MAX(Instances!BH18:Instances!BH18)-MIN(Instances!BH18:Instances!BH18))</f>
        <v>0</v>
      </c>
      <c r="BI18" s="1" cm="1">
        <f t="array" ref="BI18">_xlfn.SWITCH($A$2,"average", AVERAGE(Instances!BI18:Instances!BI18),"median", MEDIAN(Instances!BI18:Instances!BI18),"min", MIN(Instances!BI18:Instances!BI18),"max", MAX(Instances!BI18:Instances!BI18),"diff", MAX(Instances!BI18:Instances!BI18)-MIN(Instances!BI18:Instances!BI18))</f>
        <v>0</v>
      </c>
      <c r="BJ18" s="1" cm="1">
        <f t="array" ref="BJ18">_xlfn.SWITCH($A$2,"average", AVERAGE(Instances!BJ18:Instances!BJ18),"median", MEDIAN(Instances!BJ18:Instances!BJ18),"min", MIN(Instances!BJ18:Instances!BJ18),"max", MAX(Instances!BJ18:Instances!BJ18),"diff", MAX(Instances!BJ18:Instances!BJ18)-MIN(Instances!BJ18:Instances!BJ18))</f>
        <v>0</v>
      </c>
      <c r="BK18" s="1" cm="1">
        <f t="array" ref="BK18">_xlfn.SWITCH($A$2,"average", AVERAGE(Instances!BK18:Instances!BK18),"median", MEDIAN(Instances!BK18:Instances!BK18),"min", MIN(Instances!BK18:Instances!BK18),"max", MAX(Instances!BK18:Instances!BK18),"diff", MAX(Instances!BK18:Instances!BK18)-MIN(Instances!BK18:Instances!BK18))</f>
        <v>0</v>
      </c>
      <c r="BL18" s="1" cm="1">
        <f t="array" ref="BL18">_xlfn.SWITCH($A$2,"average", AVERAGE(Instances!BL18:Instances!BL18),"median", MEDIAN(Instances!BL18:Instances!BL18),"min", MIN(Instances!BL18:Instances!BL18),"max", MAX(Instances!BL18:Instances!BL18),"diff", MAX(Instances!BL18:Instances!BL18)-MIN(Instances!BL18:Instances!BL18))</f>
        <v>0</v>
      </c>
      <c r="BM18" s="1" cm="1">
        <f t="array" ref="BM18">_xlfn.SWITCH($A$2,"average", AVERAGE(Instances!BM18:Instances!BM18),"median", MEDIAN(Instances!BM18:Instances!BM18),"min", MIN(Instances!BM18:Instances!BM18),"max", MAX(Instances!BM18:Instances!BM18),"diff", MAX(Instances!BM18:Instances!BM18)-MIN(Instances!BM18:Instances!BM18))</f>
        <v>0</v>
      </c>
      <c r="BN18" s="1" cm="1">
        <f t="array" ref="BN18">_xlfn.SWITCH($A$2,"average", AVERAGE(Instances!BN18:Instances!BN18),"median", MEDIAN(Instances!BN18:Instances!BN18),"min", MIN(Instances!BN18:Instances!BN18),"max", MAX(Instances!BN18:Instances!BN18),"diff", MAX(Instances!BN18:Instances!BN18)-MIN(Instances!BN18:Instances!BN18))</f>
        <v>0</v>
      </c>
      <c r="BO18" s="1" cm="1">
        <f t="array" ref="BO18">_xlfn.SWITCH($A$2,"average", AVERAGE(Instances!BO18:Instances!BO18),"median", MEDIAN(Instances!BO18:Instances!BO18),"min", MIN(Instances!BO18:Instances!BO18),"max", MAX(Instances!BO18:Instances!BO18),"diff", MAX(Instances!BO18:Instances!BO18)-MIN(Instances!BO18:Instances!BO18))</f>
        <v>0</v>
      </c>
      <c r="BP18" s="1" cm="1">
        <f t="array" ref="BP18">_xlfn.SWITCH($A$2,"average", AVERAGE(Instances!BP18:Instances!BP18),"median", MEDIAN(Instances!BP18:Instances!BP18),"min", MIN(Instances!BP18:Instances!BP18),"max", MAX(Instances!BP18:Instances!BP18),"diff", MAX(Instances!BP18:Instances!BP18)-MIN(Instances!BP18:Instances!BP18))</f>
        <v>0</v>
      </c>
      <c r="BQ18" s="1" cm="1">
        <f t="array" ref="BQ18">_xlfn.SWITCH($A$2,"average", AVERAGE(Instances!BQ18:Instances!BQ18),"median", MEDIAN(Instances!BQ18:Instances!BQ18),"min", MIN(Instances!BQ18:Instances!BQ18),"max", MAX(Instances!BQ18:Instances!BQ18),"diff", MAX(Instances!BQ18:Instances!BQ18)-MIN(Instances!BQ18:Instances!BQ18))</f>
        <v>0</v>
      </c>
      <c r="BR18" s="1"/>
      <c r="BS18" s="1" cm="1">
        <f t="array" ref="BS18">_xlfn.SWITCH($A$2,"average", AVERAGE(Instances!BS18:Instances!BS18),"median", MEDIAN(Instances!BS18:Instances!BS18),"min", MIN(Instances!BS18:Instances!BS18),"max", MAX(Instances!BS18:Instances!BS18),"diff", MAX(Instances!BS18:Instances!BS18)-MIN(Instances!BS18:Instances!BS18))</f>
        <v>0</v>
      </c>
      <c r="BT18" s="1" cm="1">
        <f t="array" ref="BT18">_xlfn.SWITCH($A$2,"average", AVERAGE(Instances!BT18:Instances!BT18),"median", MEDIAN(Instances!BT18:Instances!BT18),"min", MIN(Instances!BT18:Instances!BT18),"max", MAX(Instances!BT18:Instances!BT18),"diff", MAX(Instances!BT18:Instances!BT18)-MIN(Instances!BT18:Instances!BT18))</f>
        <v>0</v>
      </c>
      <c r="BU18" s="1" cm="1">
        <f t="array" ref="BU18">_xlfn.SWITCH($A$2,"average", AVERAGE(Instances!BU18:Instances!BU18),"median", MEDIAN(Instances!BU18:Instances!BU18),"min", MIN(Instances!BU18:Instances!BU18),"max", MAX(Instances!BU18:Instances!BU18),"diff", MAX(Instances!BU18:Instances!BU18)-MIN(Instances!BU18:Instances!BU18))</f>
        <v>0</v>
      </c>
      <c r="BV18" s="1" cm="1">
        <f t="array" ref="BV18">_xlfn.SWITCH($A$2,"average", AVERAGE(Instances!BV18:Instances!BV18),"median", MEDIAN(Instances!BV18:Instances!BV18),"min", MIN(Instances!BV18:Instances!BV18),"max", MAX(Instances!BV18:Instances!BV18),"diff", MAX(Instances!BV18:Instances!BV18)-MIN(Instances!BV18:Instances!BV18))</f>
        <v>0</v>
      </c>
      <c r="BW18" s="1" cm="1">
        <f t="array" ref="BW18">_xlfn.SWITCH($A$2,"average", AVERAGE(Instances!BW18:Instances!BW18),"median", MEDIAN(Instances!BW18:Instances!BW18),"min", MIN(Instances!BW18:Instances!BW18),"max", MAX(Instances!BW18:Instances!BW18),"diff", MAX(Instances!BW18:Instances!BW18)-MIN(Instances!BW18:Instances!BW18))</f>
        <v>0</v>
      </c>
      <c r="BX18" s="1" cm="1">
        <f t="array" ref="BX18">_xlfn.SWITCH($A$2,"average", AVERAGE(Instances!BX18:Instances!BX18),"median", MEDIAN(Instances!BX18:Instances!BX18),"min", MIN(Instances!BX18:Instances!BX18),"max", MAX(Instances!BX18:Instances!BX18),"diff", MAX(Instances!BX18:Instances!BX18)-MIN(Instances!BX18:Instances!BX18))</f>
        <v>0</v>
      </c>
      <c r="BY18" s="1" cm="1">
        <f t="array" ref="BY18">_xlfn.SWITCH($A$2,"average", AVERAGE(Instances!BY18:Instances!BY18),"median", MEDIAN(Instances!BY18:Instances!BY18),"min", MIN(Instances!BY18:Instances!BY18),"max", MAX(Instances!BY18:Instances!BY18),"diff", MAX(Instances!BY18:Instances!BY18)-MIN(Instances!BY18:Instances!BY18))</f>
        <v>0</v>
      </c>
      <c r="BZ18" s="1" cm="1">
        <f t="array" ref="BZ18">_xlfn.SWITCH($A$2,"average", AVERAGE(Instances!BZ18:Instances!BZ18),"median", MEDIAN(Instances!BZ18:Instances!BZ18),"min", MIN(Instances!BZ18:Instances!BZ18),"max", MAX(Instances!BZ18:Instances!BZ18),"diff", MAX(Instances!BZ18:Instances!BZ18)-MIN(Instances!BZ18:Instances!BZ18))</f>
        <v>0</v>
      </c>
      <c r="CA18" s="1" cm="1">
        <f t="array" ref="CA18">_xlfn.SWITCH($A$2,"average", AVERAGE(Instances!CA18:Instances!CA18),"median", MEDIAN(Instances!CA18:Instances!CA18),"min", MIN(Instances!CA18:Instances!CA18),"max", MAX(Instances!CA18:Instances!CA18),"diff", MAX(Instances!CA18:Instances!CA18)-MIN(Instances!CA18:Instances!CA18))</f>
        <v>0</v>
      </c>
      <c r="CB18" s="1" cm="1">
        <f t="array" ref="CB18">_xlfn.SWITCH($A$2,"average", AVERAGE(Instances!CB18:Instances!CB18),"median", MEDIAN(Instances!CB18:Instances!CB18),"min", MIN(Instances!CB18:Instances!CB18),"max", MAX(Instances!CB18:Instances!CB18),"diff", MAX(Instances!CB18:Instances!CB18)-MIN(Instances!CB18:Instances!CB18))</f>
        <v>0</v>
      </c>
      <c r="CC18" s="1" cm="1">
        <f t="array" ref="CC18">_xlfn.SWITCH($A$2,"average", AVERAGE(Instances!CC18:Instances!CC18),"median", MEDIAN(Instances!CC18:Instances!CC18),"min", MIN(Instances!CC18:Instances!CC18),"max", MAX(Instances!CC18:Instances!CC18),"diff", MAX(Instances!CC18:Instances!CC18)-MIN(Instances!CC18:Instances!CC18))</f>
        <v>0</v>
      </c>
      <c r="CD18" s="1" cm="1">
        <f t="array" ref="CD18">_xlfn.SWITCH($A$2,"average", AVERAGE(Instances!CD18:Instances!CD18),"median", MEDIAN(Instances!CD18:Instances!CD18),"min", MIN(Instances!CD18:Instances!CD18),"max", MAX(Instances!CD18:Instances!CD18),"diff", MAX(Instances!CD18:Instances!CD18)-MIN(Instances!CD18:Instances!CD18))</f>
        <v>0</v>
      </c>
      <c r="CE18" s="1" cm="1">
        <f t="array" ref="CE18">_xlfn.SWITCH($A$2,"average", AVERAGE(Instances!CE18:Instances!CE18),"median", MEDIAN(Instances!CE18:Instances!CE18),"min", MIN(Instances!CE18:Instances!CE18),"max", MAX(Instances!CE18:Instances!CE18),"diff", MAX(Instances!CE18:Instances!CE18)-MIN(Instances!CE18:Instances!CE18))</f>
        <v>0</v>
      </c>
      <c r="CF18" s="1" cm="1">
        <f t="array" ref="CF18">_xlfn.SWITCH($A$2,"average", AVERAGE(Instances!CF18:Instances!CF18),"median", MEDIAN(Instances!CF18:Instances!CF18),"min", MIN(Instances!CF18:Instances!CF18),"max", MAX(Instances!CF18:Instances!CF18),"diff", MAX(Instances!CF18:Instances!CF18)-MIN(Instances!CF18:Instances!CF18))</f>
        <v>0</v>
      </c>
      <c r="CG18" s="1" cm="1">
        <f t="array" ref="CG18">_xlfn.SWITCH($A$2,"average", AVERAGE(Instances!CG18:Instances!CG18),"median", MEDIAN(Instances!CG18:Instances!CG18),"min", MIN(Instances!CG18:Instances!CG18),"max", MAX(Instances!CG18:Instances!CG18),"diff", MAX(Instances!CG18:Instances!CG18)-MIN(Instances!CG18:Instances!CG18))</f>
        <v>0</v>
      </c>
      <c r="CH18" s="1" cm="1">
        <f t="array" ref="CH18">_xlfn.SWITCH($A$2,"average", AVERAGE(Instances!CH18:Instances!CH18),"median", MEDIAN(Instances!CH18:Instances!CH18),"min", MIN(Instances!CH18:Instances!CH18),"max", MAX(Instances!CH18:Instances!CH18),"diff", MAX(Instances!CH18:Instances!CH18)-MIN(Instances!CH18:Instances!CH18))</f>
        <v>0</v>
      </c>
      <c r="CI18" s="1" cm="1">
        <f t="array" ref="CI18">_xlfn.SWITCH($A$2,"average", AVERAGE(Instances!CI18:Instances!CI18),"median", MEDIAN(Instances!CI18:Instances!CI18),"min", MIN(Instances!CI18:Instances!CI18),"max", MAX(Instances!CI18:Instances!CI18),"diff", MAX(Instances!CI18:Instances!CI18)-MIN(Instances!CI18:Instances!CI18))</f>
        <v>0</v>
      </c>
      <c r="CJ18" s="1"/>
      <c r="CK18" s="1" cm="1">
        <f t="array" ref="CK18">_xlfn.SWITCH($A$2,"average", AVERAGE(Instances!CK18:Instances!CK18),"median", MEDIAN(Instances!CK18:Instances!CK18),"min", MIN(Instances!CK18:Instances!CK18),"max", MAX(Instances!CK18:Instances!CK18),"diff", MAX(Instances!CK18:Instances!CK18)-MIN(Instances!CK18:Instances!CK18))</f>
        <v>0</v>
      </c>
      <c r="CL18" s="1" cm="1">
        <f t="array" ref="CL18">_xlfn.SWITCH($A$2,"average", AVERAGE(Instances!CL18:Instances!CL18),"median", MEDIAN(Instances!CL18:Instances!CL18),"min", MIN(Instances!CL18:Instances!CL18),"max", MAX(Instances!CL18:Instances!CL18),"diff", MAX(Instances!CL18:Instances!CL18)-MIN(Instances!CL18:Instances!CL18))</f>
        <v>0</v>
      </c>
      <c r="CM18" s="1" cm="1">
        <f t="array" ref="CM18">_xlfn.SWITCH($A$2,"average", AVERAGE(Instances!CM18:Instances!CM18),"median", MEDIAN(Instances!CM18:Instances!CM18),"min", MIN(Instances!CM18:Instances!CM18),"max", MAX(Instances!CM18:Instances!CM18),"diff", MAX(Instances!CM18:Instances!CM18)-MIN(Instances!CM18:Instances!CM18))</f>
        <v>0</v>
      </c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 cm="1">
        <f t="array" ref="DX18">_xlfn.SWITCH($A$2,"average", AVERAGE(Instances!DX18:Instances!DX18),"median", MEDIAN(Instances!DX18:Instances!DX18),"min", MIN(Instances!DX18:Instances!DX18),"max", MAX(Instances!DX18:Instances!DX18),"diff", MAX(Instances!DX18:Instances!DX18)-MIN(Instances!DX18:Instances!DX18))</f>
        <v>0</v>
      </c>
      <c r="DY18" s="1" cm="1">
        <f t="array" ref="DY18">_xlfn.SWITCH($A$2,"average", AVERAGE(Instances!DY18:Instances!DY18),"median", MEDIAN(Instances!DY18:Instances!DY18),"min", MIN(Instances!DY18:Instances!DY18),"max", MAX(Instances!DY18:Instances!DY18),"diff", MAX(Instances!DY18:Instances!DY18)-MIN(Instances!DY18:Instances!DY18))</f>
        <v>0</v>
      </c>
      <c r="DZ18" s="1" cm="1">
        <f t="array" ref="DZ18">_xlfn.SWITCH($A$2,"average", AVERAGE(Instances!DZ18:Instances!DZ18),"median", MEDIAN(Instances!DZ18:Instances!DZ18),"min", MIN(Instances!DZ18:Instances!DZ18),"max", MAX(Instances!DZ18:Instances!DZ18),"diff", MAX(Instances!DZ18:Instances!DZ18)-MIN(Instances!DZ18:Instances!DZ18))</f>
        <v>0</v>
      </c>
      <c r="EA18" s="1" cm="1">
        <f t="array" ref="EA18">_xlfn.SWITCH($A$2,"average", AVERAGE(Instances!EA18:Instances!EA18),"median", MEDIAN(Instances!EA18:Instances!EA18),"min", MIN(Instances!EA18:Instances!EA18),"max", MAX(Instances!EA18:Instances!EA18),"diff", MAX(Instances!EA18:Instances!EA18)-MIN(Instances!EA18:Instances!EA18))</f>
        <v>0</v>
      </c>
      <c r="EB18" s="1" cm="1">
        <f t="array" ref="EB18">_xlfn.SWITCH($A$2,"average", AVERAGE(Instances!EB18:Instances!EB18),"median", MEDIAN(Instances!EB18:Instances!EB18),"min", MIN(Instances!EB18:Instances!EB18),"max", MAX(Instances!EB18:Instances!EB18),"diff", MAX(Instances!EB18:Instances!EB18)-MIN(Instances!EB18:Instances!EB18))</f>
        <v>0</v>
      </c>
      <c r="EC18" s="1" cm="1">
        <f t="array" ref="EC18">_xlfn.SWITCH($A$2,"average", AVERAGE(Instances!EC18:Instances!EC18),"median", MEDIAN(Instances!EC18:Instances!EC18),"min", MIN(Instances!EC18:Instances!EC18),"max", MAX(Instances!EC18:Instances!EC18),"diff", MAX(Instances!EC18:Instances!EC18)-MIN(Instances!EC18:Instances!EC18))</f>
        <v>0</v>
      </c>
      <c r="ED18" s="1" cm="1">
        <f t="array" ref="ED18">_xlfn.SWITCH($A$2,"average", AVERAGE(Instances!ED18:Instances!ED18),"median", MEDIAN(Instances!ED18:Instances!ED18),"min", MIN(Instances!ED18:Instances!ED18),"max", MAX(Instances!ED18:Instances!ED18),"diff", MAX(Instances!ED18:Instances!ED18)-MIN(Instances!ED18:Instances!ED18))</f>
        <v>0</v>
      </c>
      <c r="EE18" s="1" cm="1">
        <f t="array" ref="EE18">_xlfn.SWITCH($A$2,"average", AVERAGE(Instances!EE18:Instances!EE18),"median", MEDIAN(Instances!EE18:Instances!EE18),"min", MIN(Instances!EE18:Instances!EE18),"max", MAX(Instances!EE18:Instances!EE18),"diff", MAX(Instances!EE18:Instances!EE18)-MIN(Instances!EE18:Instances!EE18))</f>
        <v>0</v>
      </c>
      <c r="EF18" s="1" cm="1">
        <f t="array" ref="EF18">_xlfn.SWITCH($A$2,"average", AVERAGE(Instances!EF18:Instances!EF18),"median", MEDIAN(Instances!EF18:Instances!EF18),"min", MIN(Instances!EF18:Instances!EF18),"max", MAX(Instances!EF18:Instances!EF18),"diff", MAX(Instances!EF18:Instances!EF18)-MIN(Instances!EF18:Instances!EF18))</f>
        <v>0</v>
      </c>
      <c r="EG18" s="1" cm="1">
        <f t="array" ref="EG18">_xlfn.SWITCH($A$2,"average", AVERAGE(Instances!EG18:Instances!EG18),"median", MEDIAN(Instances!EG18:Instances!EG18),"min", MIN(Instances!EG18:Instances!EG18),"max", MAX(Instances!EG18:Instances!EG18),"diff", MAX(Instances!EG18:Instances!EG18)-MIN(Instances!EG18:Instances!EG18))</f>
        <v>0</v>
      </c>
      <c r="EH18" s="1" cm="1">
        <f t="array" ref="EH18">_xlfn.SWITCH($A$2,"average", AVERAGE(Instances!EH18:Instances!EH18),"median", MEDIAN(Instances!EH18:Instances!EH18),"min", MIN(Instances!EH18:Instances!EH18),"max", MAX(Instances!EH18:Instances!EH18),"diff", MAX(Instances!EH18:Instances!EH18)-MIN(Instances!EH18:Instances!EH18))</f>
        <v>0</v>
      </c>
      <c r="EI18" s="1" cm="1">
        <f t="array" ref="EI18">_xlfn.SWITCH($A$2,"average", AVERAGE(Instances!EI18:Instances!EI18),"median", MEDIAN(Instances!EI18:Instances!EI18),"min", MIN(Instances!EI18:Instances!EI18),"max", MAX(Instances!EI18:Instances!EI18),"diff", MAX(Instances!EI18:Instances!EI18)-MIN(Instances!EI18:Instances!EI18))</f>
        <v>0</v>
      </c>
      <c r="EJ18" s="1" cm="1">
        <f t="array" ref="EJ18">_xlfn.SWITCH($A$2,"average", AVERAGE(Instances!EJ18:Instances!EJ18),"median", MEDIAN(Instances!EJ18:Instances!EJ18),"min", MIN(Instances!EJ18:Instances!EJ18),"max", MAX(Instances!EJ18:Instances!EJ18),"diff", MAX(Instances!EJ18:Instances!EJ18)-MIN(Instances!EJ18:Instances!EJ18))</f>
        <v>0</v>
      </c>
      <c r="EK18" s="1" cm="1">
        <f t="array" ref="EK18">_xlfn.SWITCH($A$2,"average", AVERAGE(Instances!EK18:Instances!EK18),"median", MEDIAN(Instances!EK18:Instances!EK18),"min", MIN(Instances!EK18:Instances!EK18),"max", MAX(Instances!EK18:Instances!EK18),"diff", MAX(Instances!EK18:Instances!EK18)-MIN(Instances!EK18:Instances!EK18))</f>
        <v>0</v>
      </c>
      <c r="EL18" s="1"/>
      <c r="EM18" s="1" cm="1">
        <f t="array" ref="EM18">_xlfn.SWITCH($A$2,"average", AVERAGE(Instances!EM18:Instances!EM18),"median", MEDIAN(Instances!EM18:Instances!EM18),"min", MIN(Instances!EM18:Instances!EM18),"max", MAX(Instances!EM18:Instances!EM18),"diff", MAX(Instances!EM18:Instances!EM18)-MIN(Instances!EM18:Instances!EM18))</f>
        <v>0</v>
      </c>
      <c r="EN18" s="1" cm="1">
        <f t="array" ref="EN18">_xlfn.SWITCH($A$2,"average", AVERAGE(Instances!EN18:Instances!EN18),"median", MEDIAN(Instances!EN18:Instances!EN18),"min", MIN(Instances!EN18:Instances!EN18),"max", MAX(Instances!EN18:Instances!EN18),"diff", MAX(Instances!EN18:Instances!EN18)-MIN(Instances!EN18:Instances!EN18))</f>
        <v>0</v>
      </c>
      <c r="EO18" s="1" cm="1">
        <f t="array" ref="EO18">_xlfn.SWITCH($A$2,"average", AVERAGE(Instances!EO18:Instances!EO18),"median", MEDIAN(Instances!EO18:Instances!EO18),"min", MIN(Instances!EO18:Instances!EO18),"max", MAX(Instances!EO18:Instances!EO18),"diff", MAX(Instances!EO18:Instances!EO18)-MIN(Instances!EO18:Instances!EO18))</f>
        <v>0</v>
      </c>
      <c r="EP18" s="1" cm="1">
        <f t="array" ref="EP18">_xlfn.SWITCH($A$2,"average", AVERAGE(Instances!EP18:Instances!EP18),"median", MEDIAN(Instances!EP18:Instances!EP18),"min", MIN(Instances!EP18:Instances!EP18),"max", MAX(Instances!EP18:Instances!EP18),"diff", MAX(Instances!EP18:Instances!EP18)-MIN(Instances!EP18:Instances!EP18))</f>
        <v>0</v>
      </c>
      <c r="EQ18" s="1" cm="1">
        <f t="array" ref="EQ18">_xlfn.SWITCH($A$2,"average", AVERAGE(Instances!EQ18:Instances!EQ18),"median", MEDIAN(Instances!EQ18:Instances!EQ18),"min", MIN(Instances!EQ18:Instances!EQ18),"max", MAX(Instances!EQ18:Instances!EQ18),"diff", MAX(Instances!EQ18:Instances!EQ18)-MIN(Instances!EQ18:Instances!EQ18))</f>
        <v>0</v>
      </c>
      <c r="ER18" s="1" cm="1">
        <f t="array" ref="ER18">_xlfn.SWITCH($A$2,"average", AVERAGE(Instances!ER18:Instances!ER18),"median", MEDIAN(Instances!ER18:Instances!ER18),"min", MIN(Instances!ER18:Instances!ER18),"max", MAX(Instances!ER18:Instances!ER18),"diff", MAX(Instances!ER18:Instances!ER18)-MIN(Instances!ER18:Instances!ER18))</f>
        <v>0</v>
      </c>
      <c r="ES18" s="1" cm="1">
        <f t="array" ref="ES18">_xlfn.SWITCH($A$2,"average", AVERAGE(Instances!ES18:Instances!ES18),"median", MEDIAN(Instances!ES18:Instances!ES18),"min", MIN(Instances!ES18:Instances!ES18),"max", MAX(Instances!ES18:Instances!ES18),"diff", MAX(Instances!ES18:Instances!ES18)-MIN(Instances!ES18:Instances!ES18))</f>
        <v>0</v>
      </c>
      <c r="ET18" s="1" cm="1">
        <f t="array" ref="ET18">_xlfn.SWITCH($A$2,"average", AVERAGE(Instances!ET18:Instances!ET18),"median", MEDIAN(Instances!ET18:Instances!ET18),"min", MIN(Instances!ET18:Instances!ET18),"max", MAX(Instances!ET18:Instances!ET18),"diff", MAX(Instances!ET18:Instances!ET18)-MIN(Instances!ET18:Instances!ET18))</f>
        <v>0</v>
      </c>
      <c r="EU18" s="1" cm="1">
        <f t="array" ref="EU18">_xlfn.SWITCH($A$2,"average", AVERAGE(Instances!EU18:Instances!EU18),"median", MEDIAN(Instances!EU18:Instances!EU18),"min", MIN(Instances!EU18:Instances!EU18),"max", MAX(Instances!EU18:Instances!EU18),"diff", MAX(Instances!EU18:Instances!EU18)-MIN(Instances!EU18:Instances!EU18))</f>
        <v>0</v>
      </c>
      <c r="EV18" s="1" cm="1">
        <f t="array" ref="EV18">_xlfn.SWITCH($A$2,"average", AVERAGE(Instances!EV18:Instances!EV18),"median", MEDIAN(Instances!EV18:Instances!EV18),"min", MIN(Instances!EV18:Instances!EV18),"max", MAX(Instances!EV18:Instances!EV18),"diff", MAX(Instances!EV18:Instances!EV18)-MIN(Instances!EV18:Instances!EV18))</f>
        <v>0</v>
      </c>
      <c r="EW18" s="1" cm="1">
        <f t="array" ref="EW18">_xlfn.SWITCH($A$2,"average", AVERAGE(Instances!EW18:Instances!EW18),"median", MEDIAN(Instances!EW18:Instances!EW18),"min", MIN(Instances!EW18:Instances!EW18),"max", MAX(Instances!EW18:Instances!EW18),"diff", MAX(Instances!EW18:Instances!EW18)-MIN(Instances!EW18:Instances!EW18))</f>
        <v>0</v>
      </c>
      <c r="EX18" s="1" cm="1">
        <f t="array" ref="EX18">_xlfn.SWITCH($A$2,"average", AVERAGE(Instances!EX18:Instances!EX18),"median", MEDIAN(Instances!EX18:Instances!EX18),"min", MIN(Instances!EX18:Instances!EX18),"max", MAX(Instances!EX18:Instances!EX18),"diff", MAX(Instances!EX18:Instances!EX18)-MIN(Instances!EX18:Instances!EX18))</f>
        <v>0</v>
      </c>
      <c r="EY18" s="1" cm="1">
        <f t="array" ref="EY18">_xlfn.SWITCH($A$2,"average", AVERAGE(Instances!EY18:Instances!EY18),"median", MEDIAN(Instances!EY18:Instances!EY18),"min", MIN(Instances!EY18:Instances!EY18),"max", MAX(Instances!EY18:Instances!EY18),"diff", MAX(Instances!EY18:Instances!EY18)-MIN(Instances!EY18:Instances!EY18))</f>
        <v>0</v>
      </c>
      <c r="EZ18" s="1" cm="1">
        <f t="array" ref="EZ18">_xlfn.SWITCH($A$2,"average", AVERAGE(Instances!EZ18:Instances!EZ18),"median", MEDIAN(Instances!EZ18:Instances!EZ18),"min", MIN(Instances!EZ18:Instances!EZ18),"max", MAX(Instances!EZ18:Instances!EZ18),"diff", MAX(Instances!EZ18:Instances!EZ18)-MIN(Instances!EZ18:Instances!EZ18))</f>
        <v>0</v>
      </c>
      <c r="FA18" s="1" cm="1">
        <f t="array" ref="FA18">_xlfn.SWITCH($A$2,"average", AVERAGE(Instances!FA18:Instances!FA18),"median", MEDIAN(Instances!FA18:Instances!FA18),"min", MIN(Instances!FA18:Instances!FA18),"max", MAX(Instances!FA18:Instances!FA18),"diff", MAX(Instances!FA18:Instances!FA18)-MIN(Instances!FA18:Instances!FA18))</f>
        <v>0</v>
      </c>
      <c r="FB18" s="1" cm="1">
        <f t="array" ref="FB18">_xlfn.SWITCH($A$2,"average", AVERAGE(Instances!FB18:Instances!FB18),"median", MEDIAN(Instances!FB18:Instances!FB18),"min", MIN(Instances!FB18:Instances!FB18),"max", MAX(Instances!FB18:Instances!FB18),"diff", MAX(Instances!FB18:Instances!FB18)-MIN(Instances!FB18:Instances!FB18))</f>
        <v>0</v>
      </c>
      <c r="FC18" s="1" cm="1">
        <f t="array" ref="FC18">_xlfn.SWITCH($A$2,"average", AVERAGE(Instances!FC18:Instances!FC18),"median", MEDIAN(Instances!FC18:Instances!FC18),"min", MIN(Instances!FC18:Instances!FC18),"max", MAX(Instances!FC18:Instances!FC18),"diff", MAX(Instances!FC18:Instances!FC18)-MIN(Instances!FC18:Instances!FC18))</f>
        <v>0</v>
      </c>
      <c r="FD18" s="1"/>
      <c r="FE18" s="1" cm="1">
        <f t="array" ref="FE18">_xlfn.SWITCH($A$2,"average", AVERAGE(Instances!FE18:Instances!FE18),"median", MEDIAN(Instances!FE18:Instances!FE18),"min", MIN(Instances!FE18:Instances!FE18),"max", MAX(Instances!FE18:Instances!FE18),"diff", MAX(Instances!FE18:Instances!FE18)-MIN(Instances!FE18:Instances!FE18))</f>
        <v>0</v>
      </c>
      <c r="FF18" s="1" cm="1">
        <f t="array" ref="FF18">_xlfn.SWITCH($A$2,"average", AVERAGE(Instances!FF18:Instances!FF18),"median", MEDIAN(Instances!FF18:Instances!FF18),"min", MIN(Instances!FF18:Instances!FF18),"max", MAX(Instances!FF18:Instances!FF18),"diff", MAX(Instances!FF18:Instances!FF18)-MIN(Instances!FF18:Instances!FF18))</f>
        <v>0</v>
      </c>
      <c r="FG18" s="1" cm="1">
        <f t="array" ref="FG18">_xlfn.SWITCH($A$2,"average", AVERAGE(Instances!FG18:Instances!FG18),"median", MEDIAN(Instances!FG18:Instances!FG18),"min", MIN(Instances!FG18:Instances!FG18),"max", MAX(Instances!FG18:Instances!FG18),"diff", MAX(Instances!FG18:Instances!FG18)-MIN(Instances!FG18:Instances!FG18))</f>
        <v>0</v>
      </c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 cm="1">
        <f t="array" ref="FZ18">_xlfn.SWITCH($A$2,"average", AVERAGE(Instances!FZ18:Instances!FZ18),"median", MEDIAN(Instances!FZ18:Instances!FZ18),"min", MIN(Instances!FZ18:Instances!FZ18),"max", MAX(Instances!FZ18:Instances!FZ18),"diff", MAX(Instances!FZ18:Instances!FZ18)-MIN(Instances!FZ18:Instances!FZ18))</f>
        <v>0</v>
      </c>
      <c r="GA18" s="1" cm="1">
        <f t="array" ref="GA18">_xlfn.SWITCH($A$2,"average", AVERAGE(Instances!GA18:Instances!GA18),"median", MEDIAN(Instances!GA18:Instances!GA18),"min", MIN(Instances!GA18:Instances!GA18),"max", MAX(Instances!GA18:Instances!GA18),"diff", MAX(Instances!GA18:Instances!GA18)-MIN(Instances!GA18:Instances!GA18))</f>
        <v>0</v>
      </c>
      <c r="GB18" s="1" cm="1">
        <f t="array" ref="GB18">_xlfn.SWITCH($A$2,"average", AVERAGE(Instances!GB18:Instances!GB18),"median", MEDIAN(Instances!GB18:Instances!GB18),"min", MIN(Instances!GB18:Instances!GB18),"max", MAX(Instances!GB18:Instances!GB18),"diff", MAX(Instances!GB18:Instances!GB18)-MIN(Instances!GB18:Instances!GB18))</f>
        <v>0</v>
      </c>
      <c r="GC18" s="1" cm="1">
        <f t="array" ref="GC18">_xlfn.SWITCH($A$2,"average", AVERAGE(Instances!GC18:Instances!GC18),"median", MEDIAN(Instances!GC18:Instances!GC18),"min", MIN(Instances!GC18:Instances!GC18),"max", MAX(Instances!GC18:Instances!GC18),"diff", MAX(Instances!GC18:Instances!GC18)-MIN(Instances!GC18:Instances!GC18))</f>
        <v>0</v>
      </c>
      <c r="GD18" s="1" cm="1">
        <f t="array" ref="GD18">_xlfn.SWITCH($A$2,"average", AVERAGE(Instances!GD18:Instances!GD18),"median", MEDIAN(Instances!GD18:Instances!GD18),"min", MIN(Instances!GD18:Instances!GD18),"max", MAX(Instances!GD18:Instances!GD18),"diff", MAX(Instances!GD18:Instances!GD18)-MIN(Instances!GD18:Instances!GD18))</f>
        <v>0</v>
      </c>
      <c r="GE18" s="1" cm="1">
        <f t="array" ref="GE18">_xlfn.SWITCH($A$2,"average", AVERAGE(Instances!GE18:Instances!GE18),"median", MEDIAN(Instances!GE18:Instances!GE18),"min", MIN(Instances!GE18:Instances!GE18),"max", MAX(Instances!GE18:Instances!GE18),"diff", MAX(Instances!GE18:Instances!GE18)-MIN(Instances!GE18:Instances!GE18))</f>
        <v>0</v>
      </c>
      <c r="GF18" s="1" cm="1">
        <f t="array" ref="GF18">_xlfn.SWITCH($A$2,"average", AVERAGE(Instances!GF18:Instances!GF18),"median", MEDIAN(Instances!GF18:Instances!GF18),"min", MIN(Instances!GF18:Instances!GF18),"max", MAX(Instances!GF18:Instances!GF18),"diff", MAX(Instances!GF18:Instances!GF18)-MIN(Instances!GF18:Instances!GF18))</f>
        <v>0</v>
      </c>
      <c r="GG18" s="1" cm="1">
        <f t="array" ref="GG18">_xlfn.SWITCH($A$2,"average", AVERAGE(Instances!GG18:Instances!GG18),"median", MEDIAN(Instances!GG18:Instances!GG18),"min", MIN(Instances!GG18:Instances!GG18),"max", MAX(Instances!GG18:Instances!GG18),"diff", MAX(Instances!GG18:Instances!GG18)-MIN(Instances!GG18:Instances!GG18))</f>
        <v>0</v>
      </c>
      <c r="GH18" s="1" cm="1">
        <f t="array" ref="GH18">_xlfn.SWITCH($A$2,"average", AVERAGE(Instances!GH18:Instances!GH18),"median", MEDIAN(Instances!GH18:Instances!GH18),"min", MIN(Instances!GH18:Instances!GH18),"max", MAX(Instances!GH18:Instances!GH18),"diff", MAX(Instances!GH18:Instances!GH18)-MIN(Instances!GH18:Instances!GH18))</f>
        <v>0</v>
      </c>
      <c r="GI18" s="1" cm="1">
        <f t="array" ref="GI18">_xlfn.SWITCH($A$2,"average", AVERAGE(Instances!GI18:Instances!GI18),"median", MEDIAN(Instances!GI18:Instances!GI18),"min", MIN(Instances!GI18:Instances!GI18),"max", MAX(Instances!GI18:Instances!GI18),"diff", MAX(Instances!GI18:Instances!GI18)-MIN(Instances!GI18:Instances!GI18))</f>
        <v>0</v>
      </c>
      <c r="GJ18" s="1" cm="1">
        <f t="array" ref="GJ18">_xlfn.SWITCH($A$2,"average", AVERAGE(Instances!GJ18:Instances!GJ18),"median", MEDIAN(Instances!GJ18:Instances!GJ18),"min", MIN(Instances!GJ18:Instances!GJ18),"max", MAX(Instances!GJ18:Instances!GJ18),"diff", MAX(Instances!GJ18:Instances!GJ18)-MIN(Instances!GJ18:Instances!GJ18))</f>
        <v>0</v>
      </c>
      <c r="GK18" s="1" cm="1">
        <f t="array" ref="GK18">_xlfn.SWITCH($A$2,"average", AVERAGE(Instances!GK18:Instances!GK18),"median", MEDIAN(Instances!GK18:Instances!GK18),"min", MIN(Instances!GK18:Instances!GK18),"max", MAX(Instances!GK18:Instances!GK18),"diff", MAX(Instances!GK18:Instances!GK18)-MIN(Instances!GK18:Instances!GK18))</f>
        <v>0</v>
      </c>
      <c r="GL18" s="1" cm="1">
        <f t="array" ref="GL18">_xlfn.SWITCH($A$2,"average", AVERAGE(Instances!GL18:Instances!GL18),"median", MEDIAN(Instances!GL18:Instances!GL18),"min", MIN(Instances!GL18:Instances!GL18),"max", MAX(Instances!GL18:Instances!GL18),"diff", MAX(Instances!GL18:Instances!GL18)-MIN(Instances!GL18:Instances!GL18))</f>
        <v>0</v>
      </c>
      <c r="GM18" s="1" cm="1">
        <f t="array" ref="GM18">_xlfn.SWITCH($A$2,"average", AVERAGE(Instances!GM18:Instances!GM18),"median", MEDIAN(Instances!GM18:Instances!GM18),"min", MIN(Instances!GM18:Instances!GM18),"max", MAX(Instances!GM18:Instances!GM18),"diff", MAX(Instances!GM18:Instances!GM18)-MIN(Instances!GM18:Instances!GM18))</f>
        <v>0</v>
      </c>
      <c r="GN18" s="1"/>
      <c r="GO18" s="1" cm="1">
        <f t="array" ref="GO18">_xlfn.SWITCH($A$2,"average", AVERAGE(Instances!GO18:Instances!GO18),"median", MEDIAN(Instances!GO18:Instances!GO18),"min", MIN(Instances!GO18:Instances!GO18),"max", MAX(Instances!GO18:Instances!GO18),"diff", MAX(Instances!GO18:Instances!GO18)-MIN(Instances!GO18:Instances!GO18))</f>
        <v>0</v>
      </c>
      <c r="GP18" s="1" cm="1">
        <f t="array" ref="GP18">_xlfn.SWITCH($A$2,"average", AVERAGE(Instances!GP18:Instances!GP18),"median", MEDIAN(Instances!GP18:Instances!GP18),"min", MIN(Instances!GP18:Instances!GP18),"max", MAX(Instances!GP18:Instances!GP18),"diff", MAX(Instances!GP18:Instances!GP18)-MIN(Instances!GP18:Instances!GP18))</f>
        <v>0</v>
      </c>
      <c r="GQ18" s="1" cm="1">
        <f t="array" ref="GQ18">_xlfn.SWITCH($A$2,"average", AVERAGE(Instances!GQ18:Instances!GQ18),"median", MEDIAN(Instances!GQ18:Instances!GQ18),"min", MIN(Instances!GQ18:Instances!GQ18),"max", MAX(Instances!GQ18:Instances!GQ18),"diff", MAX(Instances!GQ18:Instances!GQ18)-MIN(Instances!GQ18:Instances!GQ18))</f>
        <v>0</v>
      </c>
      <c r="GR18" s="1" cm="1">
        <f t="array" ref="GR18">_xlfn.SWITCH($A$2,"average", AVERAGE(Instances!GR18:Instances!GR18),"median", MEDIAN(Instances!GR18:Instances!GR18),"min", MIN(Instances!GR18:Instances!GR18),"max", MAX(Instances!GR18:Instances!GR18),"diff", MAX(Instances!GR18:Instances!GR18)-MIN(Instances!GR18:Instances!GR18))</f>
        <v>0</v>
      </c>
      <c r="GS18" s="1" cm="1">
        <f t="array" ref="GS18">_xlfn.SWITCH($A$2,"average", AVERAGE(Instances!GS18:Instances!GS18),"median", MEDIAN(Instances!GS18:Instances!GS18),"min", MIN(Instances!GS18:Instances!GS18),"max", MAX(Instances!GS18:Instances!GS18),"diff", MAX(Instances!GS18:Instances!GS18)-MIN(Instances!GS18:Instances!GS18))</f>
        <v>0</v>
      </c>
      <c r="GT18" s="1" cm="1">
        <f t="array" ref="GT18">_xlfn.SWITCH($A$2,"average", AVERAGE(Instances!GT18:Instances!GT18),"median", MEDIAN(Instances!GT18:Instances!GT18),"min", MIN(Instances!GT18:Instances!GT18),"max", MAX(Instances!GT18:Instances!GT18),"diff", MAX(Instances!GT18:Instances!GT18)-MIN(Instances!GT18:Instances!GT18))</f>
        <v>0</v>
      </c>
      <c r="GU18" s="1" cm="1">
        <f t="array" ref="GU18">_xlfn.SWITCH($A$2,"average", AVERAGE(Instances!GU18:Instances!GU18),"median", MEDIAN(Instances!GU18:Instances!GU18),"min", MIN(Instances!GU18:Instances!GU18),"max", MAX(Instances!GU18:Instances!GU18),"diff", MAX(Instances!GU18:Instances!GU18)-MIN(Instances!GU18:Instances!GU18))</f>
        <v>0</v>
      </c>
      <c r="GV18" s="1" cm="1">
        <f t="array" ref="GV18">_xlfn.SWITCH($A$2,"average", AVERAGE(Instances!GV18:Instances!GV18),"median", MEDIAN(Instances!GV18:Instances!GV18),"min", MIN(Instances!GV18:Instances!GV18),"max", MAX(Instances!GV18:Instances!GV18),"diff", MAX(Instances!GV18:Instances!GV18)-MIN(Instances!GV18:Instances!GV18))</f>
        <v>0</v>
      </c>
      <c r="GW18" s="1" cm="1">
        <f t="array" ref="GW18">_xlfn.SWITCH($A$2,"average", AVERAGE(Instances!GW18:Instances!GW18),"median", MEDIAN(Instances!GW18:Instances!GW18),"min", MIN(Instances!GW18:Instances!GW18),"max", MAX(Instances!GW18:Instances!GW18),"diff", MAX(Instances!GW18:Instances!GW18)-MIN(Instances!GW18:Instances!GW18))</f>
        <v>0</v>
      </c>
      <c r="GX18" s="1" cm="1">
        <f t="array" ref="GX18">_xlfn.SWITCH($A$2,"average", AVERAGE(Instances!GX18:Instances!GX18),"median", MEDIAN(Instances!GX18:Instances!GX18),"min", MIN(Instances!GX18:Instances!GX18),"max", MAX(Instances!GX18:Instances!GX18),"diff", MAX(Instances!GX18:Instances!GX18)-MIN(Instances!GX18:Instances!GX18))</f>
        <v>0</v>
      </c>
      <c r="GY18" s="1" cm="1">
        <f t="array" ref="GY18">_xlfn.SWITCH($A$2,"average", AVERAGE(Instances!GY18:Instances!GY18),"median", MEDIAN(Instances!GY18:Instances!GY18),"min", MIN(Instances!GY18:Instances!GY18),"max", MAX(Instances!GY18:Instances!GY18),"diff", MAX(Instances!GY18:Instances!GY18)-MIN(Instances!GY18:Instances!GY18))</f>
        <v>0</v>
      </c>
      <c r="GZ18" s="1" cm="1">
        <f t="array" ref="GZ18">_xlfn.SWITCH($A$2,"average", AVERAGE(Instances!GZ18:Instances!GZ18),"median", MEDIAN(Instances!GZ18:Instances!GZ18),"min", MIN(Instances!GZ18:Instances!GZ18),"max", MAX(Instances!GZ18:Instances!GZ18),"diff", MAX(Instances!GZ18:Instances!GZ18)-MIN(Instances!GZ18:Instances!GZ18))</f>
        <v>0</v>
      </c>
      <c r="HA18" s="1" cm="1">
        <f t="array" ref="HA18">_xlfn.SWITCH($A$2,"average", AVERAGE(Instances!HA18:Instances!HA18),"median", MEDIAN(Instances!HA18:Instances!HA18),"min", MIN(Instances!HA18:Instances!HA18),"max", MAX(Instances!HA18:Instances!HA18),"diff", MAX(Instances!HA18:Instances!HA18)-MIN(Instances!HA18:Instances!HA18))</f>
        <v>0</v>
      </c>
      <c r="HB18" s="1" cm="1">
        <f t="array" ref="HB18">_xlfn.SWITCH($A$2,"average", AVERAGE(Instances!HB18:Instances!HB18),"median", MEDIAN(Instances!HB18:Instances!HB18),"min", MIN(Instances!HB18:Instances!HB18),"max", MAX(Instances!HB18:Instances!HB18),"diff", MAX(Instances!HB18:Instances!HB18)-MIN(Instances!HB18:Instances!HB18))</f>
        <v>0</v>
      </c>
      <c r="HC18" s="1" cm="1">
        <f t="array" ref="HC18">_xlfn.SWITCH($A$2,"average", AVERAGE(Instances!HC18:Instances!HC18),"median", MEDIAN(Instances!HC18:Instances!HC18),"min", MIN(Instances!HC18:Instances!HC18),"max", MAX(Instances!HC18:Instances!HC18),"diff", MAX(Instances!HC18:Instances!HC18)-MIN(Instances!HC18:Instances!HC18))</f>
        <v>0</v>
      </c>
      <c r="HD18" s="1" cm="1">
        <f t="array" ref="HD18">_xlfn.SWITCH($A$2,"average", AVERAGE(Instances!HD18:Instances!HD18),"median", MEDIAN(Instances!HD18:Instances!HD18),"min", MIN(Instances!HD18:Instances!HD18),"max", MAX(Instances!HD18:Instances!HD18),"diff", MAX(Instances!HD18:Instances!HD18)-MIN(Instances!HD18:Instances!HD18))</f>
        <v>0</v>
      </c>
      <c r="HE18" s="1" cm="1">
        <f t="array" ref="HE18">_xlfn.SWITCH($A$2,"average", AVERAGE(Instances!HE18:Instances!HE18),"median", MEDIAN(Instances!HE18:Instances!HE18),"min", MIN(Instances!HE18:Instances!HE18),"max", MAX(Instances!HE18:Instances!HE18),"diff", MAX(Instances!HE18:Instances!HE18)-MIN(Instances!HE18:Instances!HE18))</f>
        <v>0</v>
      </c>
      <c r="HF18" s="1"/>
      <c r="HG18" s="1" cm="1">
        <f t="array" ref="HG18">_xlfn.SWITCH($A$2,"average", AVERAGE(Instances!HG18:Instances!HG18),"median", MEDIAN(Instances!HG18:Instances!HG18),"min", MIN(Instances!HG18:Instances!HG18),"max", MAX(Instances!HG18:Instances!HG18),"diff", MAX(Instances!HG18:Instances!HG18)-MIN(Instances!HG18:Instances!HG18))</f>
        <v>0</v>
      </c>
      <c r="HH18" s="1" cm="1">
        <f t="array" ref="HH18">_xlfn.SWITCH($A$2,"average", AVERAGE(Instances!HH18:Instances!HH18),"median", MEDIAN(Instances!HH18:Instances!HH18),"min", MIN(Instances!HH18:Instances!HH18),"max", MAX(Instances!HH18:Instances!HH18),"diff", MAX(Instances!HH18:Instances!HH18)-MIN(Instances!HH18:Instances!HH18))</f>
        <v>0</v>
      </c>
      <c r="HI18" s="1" cm="1">
        <f t="array" ref="HI18">_xlfn.SWITCH($A$2,"average", AVERAGE(Instances!HI18:Instances!HI18),"median", MEDIAN(Instances!HI18:Instances!HI18),"min", MIN(Instances!HI18:Instances!HI18),"max", MAX(Instances!HI18:Instances!HI18),"diff", MAX(Instances!HI18:Instances!HI18)-MIN(Instances!HI18:Instances!HI18))</f>
        <v>0</v>
      </c>
      <c r="HJ18" s="1" cm="1">
        <f t="array" ref="HJ18">_xlfn.SWITCH($A$2,"average", AVERAGE(Instances!HJ18:Instances!HJ18),"median", MEDIAN(Instances!HJ18:Instances!HJ18),"min", MIN(Instances!HJ18:Instances!HJ18),"max", MAX(Instances!HJ18:Instances!HJ18),"diff", MAX(Instances!HJ18:Instances!HJ18)-MIN(Instances!HJ18:Instances!HJ18))</f>
        <v>0</v>
      </c>
      <c r="HK18" s="1" cm="1">
        <f t="array" ref="HK18">_xlfn.SWITCH($A$2,"average", AVERAGE(Instances!HK18:Instances!HK18),"median", MEDIAN(Instances!HK18:Instances!HK18),"min", MIN(Instances!HK18:Instances!HK18),"max", MAX(Instances!HK18:Instances!HK18),"diff", MAX(Instances!HK18:Instances!HK18)-MIN(Instances!HK18:Instances!HK18))</f>
        <v>0</v>
      </c>
      <c r="HL18" s="1" cm="1">
        <f t="array" ref="HL18">_xlfn.SWITCH($A$2,"average", AVERAGE(Instances!HL18:Instances!HL18),"median", MEDIAN(Instances!HL18:Instances!HL18),"min", MIN(Instances!HL18:Instances!HL18),"max", MAX(Instances!HL18:Instances!HL18),"diff", MAX(Instances!HL18:Instances!HL18)-MIN(Instances!HL18:Instances!HL18))</f>
        <v>0</v>
      </c>
      <c r="HM18" s="1" cm="1">
        <f t="array" ref="HM18">_xlfn.SWITCH($A$2,"average", AVERAGE(Instances!HM18:Instances!HM18),"median", MEDIAN(Instances!HM18:Instances!HM18),"min", MIN(Instances!HM18:Instances!HM18),"max", MAX(Instances!HM18:Instances!HM18),"diff", MAX(Instances!HM18:Instances!HM18)-MIN(Instances!HM18:Instances!HM18))</f>
        <v>0</v>
      </c>
      <c r="HN18" s="1" cm="1">
        <f t="array" ref="HN18">_xlfn.SWITCH($A$2,"average", AVERAGE(Instances!HN18:Instances!HN18),"median", MEDIAN(Instances!HN18:Instances!HN18),"min", MIN(Instances!HN18:Instances!HN18),"max", MAX(Instances!HN18:Instances!HN18),"diff", MAX(Instances!HN18:Instances!HN18)-MIN(Instances!HN18:Instances!HN18))</f>
        <v>0</v>
      </c>
      <c r="HO18" s="1" cm="1">
        <f t="array" ref="HO18">_xlfn.SWITCH($A$2,"average", AVERAGE(Instances!HO18:Instances!HO18),"median", MEDIAN(Instances!HO18:Instances!HO18),"min", MIN(Instances!HO18:Instances!HO18),"max", MAX(Instances!HO18:Instances!HO18),"diff", MAX(Instances!HO18:Instances!HO18)-MIN(Instances!HO18:Instances!HO18))</f>
        <v>0</v>
      </c>
      <c r="HP18" s="1" cm="1">
        <f t="array" ref="HP18">_xlfn.SWITCH($A$2,"average", AVERAGE(Instances!HP18:Instances!HP18),"median", MEDIAN(Instances!HP18:Instances!HP18),"min", MIN(Instances!HP18:Instances!HP18),"max", MAX(Instances!HP18:Instances!HP18),"diff", MAX(Instances!HP18:Instances!HP18)-MIN(Instances!HP18:Instances!HP18))</f>
        <v>0</v>
      </c>
      <c r="HQ18" s="1" cm="1">
        <f t="array" ref="HQ18">_xlfn.SWITCH($A$2,"average", AVERAGE(Instances!HQ18:Instances!HQ18),"median", MEDIAN(Instances!HQ18:Instances!HQ18),"min", MIN(Instances!HQ18:Instances!HQ18),"max", MAX(Instances!HQ18:Instances!HQ18),"diff", MAX(Instances!HQ18:Instances!HQ18)-MIN(Instances!HQ18:Instances!HQ18))</f>
        <v>0</v>
      </c>
      <c r="HR18" s="1" cm="1">
        <f t="array" ref="HR18">_xlfn.SWITCH($A$2,"average", AVERAGE(Instances!HR18:Instances!HR18),"median", MEDIAN(Instances!HR18:Instances!HR18),"min", MIN(Instances!HR18:Instances!HR18),"max", MAX(Instances!HR18:Instances!HR18),"diff", MAX(Instances!HR18:Instances!HR18)-MIN(Instances!HR18:Instances!HR18))</f>
        <v>0</v>
      </c>
      <c r="HS18" s="1" cm="1">
        <f t="array" ref="HS18">_xlfn.SWITCH($A$2,"average", AVERAGE(Instances!HS18:Instances!HS18),"median", MEDIAN(Instances!HS18:Instances!HS18),"min", MIN(Instances!HS18:Instances!HS18),"max", MAX(Instances!HS18:Instances!HS18),"diff", MAX(Instances!HS18:Instances!HS18)-MIN(Instances!HS18:Instances!HS18))</f>
        <v>0</v>
      </c>
      <c r="HT18" s="1" cm="1">
        <f t="array" ref="HT18">_xlfn.SWITCH($A$2,"average", AVERAGE(Instances!HT18:Instances!HT18),"median", MEDIAN(Instances!HT18:Instances!HT18),"min", MIN(Instances!HT18:Instances!HT18),"max", MAX(Instances!HT18:Instances!HT18),"diff", MAX(Instances!HT18:Instances!HT18)-MIN(Instances!HT18:Instances!HT18))</f>
        <v>0</v>
      </c>
      <c r="HU18" s="1" cm="1">
        <f t="array" ref="HU18">_xlfn.SWITCH($A$2,"average", AVERAGE(Instances!HU18:Instances!HU18),"median", MEDIAN(Instances!HU18:Instances!HU18),"min", MIN(Instances!HU18:Instances!HU18),"max", MAX(Instances!HU18:Instances!HU18),"diff", MAX(Instances!HU18:Instances!HU18)-MIN(Instances!HU18:Instances!HU18))</f>
        <v>0</v>
      </c>
      <c r="HV18" s="1" cm="1">
        <f t="array" ref="HV18">_xlfn.SWITCH($A$2,"average", AVERAGE(Instances!HV18:Instances!HV18),"median", MEDIAN(Instances!HV18:Instances!HV18),"min", MIN(Instances!HV18:Instances!HV18),"max", MAX(Instances!HV18:Instances!HV18),"diff", MAX(Instances!HV18:Instances!HV18)-MIN(Instances!HV18:Instances!HV18))</f>
        <v>0</v>
      </c>
      <c r="HW18" s="1" cm="1">
        <f t="array" ref="HW18">_xlfn.SWITCH($A$2,"average", AVERAGE(Instances!HW18:Instances!HW18),"median", MEDIAN(Instances!HW18:Instances!HW18),"min", MIN(Instances!HW18:Instances!HW18),"max", MAX(Instances!HW18:Instances!HW18),"diff", MAX(Instances!HW18:Instances!HW18)-MIN(Instances!HW18:Instances!HW18))</f>
        <v>0</v>
      </c>
      <c r="HX18" s="1"/>
      <c r="HY18" s="1" cm="1">
        <f t="array" ref="HY18">_xlfn.SWITCH($A$2,"average", AVERAGE(Instances!HY18:Instances!HY18),"median", MEDIAN(Instances!HY18:Instances!HY18),"min", MIN(Instances!HY18:Instances!HY18),"max", MAX(Instances!HY18:Instances!HY18),"diff", MAX(Instances!HY18:Instances!HY18)-MIN(Instances!HY18:Instances!HY18))</f>
        <v>0</v>
      </c>
      <c r="HZ18" s="1" cm="1">
        <f t="array" ref="HZ18">_xlfn.SWITCH($A$2,"average", AVERAGE(Instances!HZ18:Instances!HZ18),"median", MEDIAN(Instances!HZ18:Instances!HZ18),"min", MIN(Instances!HZ18:Instances!HZ18),"max", MAX(Instances!HZ18:Instances!HZ18),"diff", MAX(Instances!HZ18:Instances!HZ18)-MIN(Instances!HZ18:Instances!HZ18))</f>
        <v>0</v>
      </c>
      <c r="IA18" s="1" cm="1">
        <f t="array" ref="IA18">_xlfn.SWITCH($A$2,"average", AVERAGE(Instances!IA18:Instances!IA18),"median", MEDIAN(Instances!IA18:Instances!IA18),"min", MIN(Instances!IA18:Instances!IA18),"max", MAX(Instances!IA18:Instances!IA18),"diff", MAX(Instances!IA18:Instances!IA18)-MIN(Instances!IA18:Instances!IA18))</f>
        <v>0</v>
      </c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 cm="1">
        <f t="array" ref="JL18">_xlfn.SWITCH($A$2,"average", AVERAGE(Instances!JL18:Instances!JL18),"median", MEDIAN(Instances!JL18:Instances!JL18),"min", MIN(Instances!JL18:Instances!JL18),"max", MAX(Instances!JL18:Instances!JL18),"diff", MAX(Instances!JL18:Instances!JL18)-MIN(Instances!JL18:Instances!JL18))</f>
        <v>0</v>
      </c>
      <c r="JM18" s="1" cm="1">
        <f t="array" ref="JM18">_xlfn.SWITCH($A$2,"average", AVERAGE(Instances!JM18:Instances!JM18),"median", MEDIAN(Instances!JM18:Instances!JM18),"min", MIN(Instances!JM18:Instances!JM18),"max", MAX(Instances!JM18:Instances!JM18),"diff", MAX(Instances!JM18:Instances!JM18)-MIN(Instances!JM18:Instances!JM18))</f>
        <v>0</v>
      </c>
      <c r="JN18" s="1" cm="1">
        <f t="array" ref="JN18">_xlfn.SWITCH($A$2,"average", AVERAGE(Instances!JN18:Instances!JN18),"median", MEDIAN(Instances!JN18:Instances!JN18),"min", MIN(Instances!JN18:Instances!JN18),"max", MAX(Instances!JN18:Instances!JN18),"diff", MAX(Instances!JN18:Instances!JN18)-MIN(Instances!JN18:Instances!JN18))</f>
        <v>0</v>
      </c>
      <c r="JO18" s="1" cm="1">
        <f t="array" ref="JO18">_xlfn.SWITCH($A$2,"average", AVERAGE(Instances!JO18:Instances!JO18),"median", MEDIAN(Instances!JO18:Instances!JO18),"min", MIN(Instances!JO18:Instances!JO18),"max", MAX(Instances!JO18:Instances!JO18),"diff", MAX(Instances!JO18:Instances!JO18)-MIN(Instances!JO18:Instances!JO18))</f>
        <v>0</v>
      </c>
      <c r="JP18" s="1" cm="1">
        <f t="array" ref="JP18">_xlfn.SWITCH($A$2,"average", AVERAGE(Instances!JP18:Instances!JP18),"median", MEDIAN(Instances!JP18:Instances!JP18),"min", MIN(Instances!JP18:Instances!JP18),"max", MAX(Instances!JP18:Instances!JP18),"diff", MAX(Instances!JP18:Instances!JP18)-MIN(Instances!JP18:Instances!JP18))</f>
        <v>0</v>
      </c>
      <c r="JQ18" s="1" cm="1">
        <f t="array" ref="JQ18">_xlfn.SWITCH($A$2,"average", AVERAGE(Instances!JQ18:Instances!JQ18),"median", MEDIAN(Instances!JQ18:Instances!JQ18),"min", MIN(Instances!JQ18:Instances!JQ18),"max", MAX(Instances!JQ18:Instances!JQ18),"diff", MAX(Instances!JQ18:Instances!JQ18)-MIN(Instances!JQ18:Instances!JQ18))</f>
        <v>0</v>
      </c>
      <c r="JR18" s="1" cm="1">
        <f t="array" ref="JR18">_xlfn.SWITCH($A$2,"average", AVERAGE(Instances!JR18:Instances!JR18),"median", MEDIAN(Instances!JR18:Instances!JR18),"min", MIN(Instances!JR18:Instances!JR18),"max", MAX(Instances!JR18:Instances!JR18),"diff", MAX(Instances!JR18:Instances!JR18)-MIN(Instances!JR18:Instances!JR18))</f>
        <v>0</v>
      </c>
      <c r="JS18" s="1" cm="1">
        <f t="array" ref="JS18">_xlfn.SWITCH($A$2,"average", AVERAGE(Instances!JS18:Instances!JS18),"median", MEDIAN(Instances!JS18:Instances!JS18),"min", MIN(Instances!JS18:Instances!JS18),"max", MAX(Instances!JS18:Instances!JS18),"diff", MAX(Instances!JS18:Instances!JS18)-MIN(Instances!JS18:Instances!JS18))</f>
        <v>0</v>
      </c>
      <c r="JT18" s="1" cm="1">
        <f t="array" ref="JT18">_xlfn.SWITCH($A$2,"average", AVERAGE(Instances!JT18:Instances!JT18),"median", MEDIAN(Instances!JT18:Instances!JT18),"min", MIN(Instances!JT18:Instances!JT18),"max", MAX(Instances!JT18:Instances!JT18),"diff", MAX(Instances!JT18:Instances!JT18)-MIN(Instances!JT18:Instances!JT18))</f>
        <v>0</v>
      </c>
      <c r="JU18" s="1" cm="1">
        <f t="array" ref="JU18">_xlfn.SWITCH($A$2,"average", AVERAGE(Instances!JU18:Instances!JU18),"median", MEDIAN(Instances!JU18:Instances!JU18),"min", MIN(Instances!JU18:Instances!JU18),"max", MAX(Instances!JU18:Instances!JU18),"diff", MAX(Instances!JU18:Instances!JU18)-MIN(Instances!JU18:Instances!JU18))</f>
        <v>0</v>
      </c>
      <c r="JV18" s="1" cm="1">
        <f t="array" ref="JV18">_xlfn.SWITCH($A$2,"average", AVERAGE(Instances!JV18:Instances!JV18),"median", MEDIAN(Instances!JV18:Instances!JV18),"min", MIN(Instances!JV18:Instances!JV18),"max", MAX(Instances!JV18:Instances!JV18),"diff", MAX(Instances!JV18:Instances!JV18)-MIN(Instances!JV18:Instances!JV18))</f>
        <v>0</v>
      </c>
      <c r="JW18" s="1" cm="1">
        <f t="array" ref="JW18">_xlfn.SWITCH($A$2,"average", AVERAGE(Instances!JW18:Instances!JW18),"median", MEDIAN(Instances!JW18:Instances!JW18),"min", MIN(Instances!JW18:Instances!JW18),"max", MAX(Instances!JW18:Instances!JW18),"diff", MAX(Instances!JW18:Instances!JW18)-MIN(Instances!JW18:Instances!JW18))</f>
        <v>0</v>
      </c>
      <c r="JX18" s="1" cm="1">
        <f t="array" ref="JX18">_xlfn.SWITCH($A$2,"average", AVERAGE(Instances!JX18:Instances!JX18),"median", MEDIAN(Instances!JX18:Instances!JX18),"min", MIN(Instances!JX18:Instances!JX18),"max", MAX(Instances!JX18:Instances!JX18),"diff", MAX(Instances!JX18:Instances!JX18)-MIN(Instances!JX18:Instances!JX18))</f>
        <v>0</v>
      </c>
      <c r="JY18" s="1" cm="1">
        <f t="array" ref="JY18">_xlfn.SWITCH($A$2,"average", AVERAGE(Instances!JY18:Instances!JY18),"median", MEDIAN(Instances!JY18:Instances!JY18),"min", MIN(Instances!JY18:Instances!JY18),"max", MAX(Instances!JY18:Instances!JY18),"diff", MAX(Instances!JY18:Instances!JY18)-MIN(Instances!JY18:Instances!JY18))</f>
        <v>0</v>
      </c>
      <c r="JZ18" s="1"/>
      <c r="KA18" s="1" cm="1">
        <f t="array" ref="KA18">_xlfn.SWITCH($A$2,"average", AVERAGE(Instances!KA18:Instances!KA18),"median", MEDIAN(Instances!KA18:Instances!KA18),"min", MIN(Instances!KA18:Instances!KA18),"max", MAX(Instances!KA18:Instances!KA18),"diff", MAX(Instances!KA18:Instances!KA18)-MIN(Instances!KA18:Instances!KA18))</f>
        <v>0</v>
      </c>
      <c r="KB18" s="1" cm="1">
        <f t="array" ref="KB18">_xlfn.SWITCH($A$2,"average", AVERAGE(Instances!KB18:Instances!KB18),"median", MEDIAN(Instances!KB18:Instances!KB18),"min", MIN(Instances!KB18:Instances!KB18),"max", MAX(Instances!KB18:Instances!KB18),"diff", MAX(Instances!KB18:Instances!KB18)-MIN(Instances!KB18:Instances!KB18))</f>
        <v>0</v>
      </c>
      <c r="KC18" s="1" cm="1">
        <f t="array" ref="KC18">_xlfn.SWITCH($A$2,"average", AVERAGE(Instances!KC18:Instances!KC18),"median", MEDIAN(Instances!KC18:Instances!KC18),"min", MIN(Instances!KC18:Instances!KC18),"max", MAX(Instances!KC18:Instances!KC18),"diff", MAX(Instances!KC18:Instances!KC18)-MIN(Instances!KC18:Instances!KC18))</f>
        <v>0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 cm="1">
        <f t="array" ref="L19">_xlfn.SWITCH($A$2,"average", AVERAGE(Instances!L19:Instances!L19),"median", MEDIAN(Instances!L19:Instances!L19),"min", MIN(Instances!L19:Instances!L19),"max", MAX(Instances!L19:Instances!L19),"diff", MAX(Instances!L19:Instances!L19)-MIN(Instances!L19:Instances!L19))</f>
        <v>0</v>
      </c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 cm="1">
        <f t="array" ref="O19">_xlfn.SWITCH($A$2,"average", AVERAGE(Instances!O19:Instances!O19),"median", MEDIAN(Instances!O19:Instances!O19),"min", MIN(Instances!O19:Instances!O19),"max", MAX(Instances!O19:Instances!O19),"diff", MAX(Instances!O19:Instances!O19)-MIN(Instances!O19:Instances!O19))</f>
        <v>0</v>
      </c>
      <c r="P19" s="1"/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 cm="1">
        <f t="array" ref="S19">_xlfn.SWITCH($A$2,"average", AVERAGE(Instances!S19:Instances!S19),"median", MEDIAN(Instances!S19:Instances!S19),"min", MIN(Instances!S19:Instances!S19),"max", MAX(Instances!S19:Instances!S19),"diff", MAX(Instances!S19:Instances!S19)-MIN(Instances!S19:Instances!S19))</f>
        <v>0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 cm="1">
        <f t="array" ref="AL19">_xlfn.SWITCH($A$2,"average", AVERAGE(Instances!AL19:Instances!AL19),"median", MEDIAN(Instances!AL19:Instances!AL19),"min", MIN(Instances!AL19:Instances!AL19),"max", MAX(Instances!AL19:Instances!AL19),"diff", MAX(Instances!AL19:Instances!AL19)-MIN(Instances!AL19:Instances!AL19))</f>
        <v>0</v>
      </c>
      <c r="AM19" s="1" cm="1">
        <f t="array" ref="AM19">_xlfn.SWITCH($A$2,"average", AVERAGE(Instances!AM19:Instances!AM19),"median", MEDIAN(Instances!AM19:Instances!AM19),"min", MIN(Instances!AM19:Instances!AM19),"max", MAX(Instances!AM19:Instances!AM19),"diff", MAX(Instances!AM19:Instances!AM19)-MIN(Instances!AM19:Instances!AM19))</f>
        <v>0</v>
      </c>
      <c r="AN19" s="1" cm="1">
        <f t="array" ref="AN19">_xlfn.SWITCH($A$2,"average", AVERAGE(Instances!AN19:Instances!AN19),"median", MEDIAN(Instances!AN19:Instances!AN19),"min", MIN(Instances!AN19:Instances!AN19),"max", MAX(Instances!AN19:Instances!AN19),"diff", MAX(Instances!AN19:Instances!AN19)-MIN(Instances!AN19:Instances!AN19))</f>
        <v>0</v>
      </c>
      <c r="AO19" s="1" cm="1">
        <f t="array" ref="AO19">_xlfn.SWITCH($A$2,"average", AVERAGE(Instances!AO19:Instances!AO19),"median", MEDIAN(Instances!AO19:Instances!AO19),"min", MIN(Instances!AO19:Instances!AO19),"max", MAX(Instances!AO19:Instances!AO19),"diff", MAX(Instances!AO19:Instances!AO19)-MIN(Instances!AO19:Instances!AO19))</f>
        <v>0</v>
      </c>
      <c r="AP19" s="1" cm="1">
        <f t="array" ref="AP19">_xlfn.SWITCH($A$2,"average", AVERAGE(Instances!AP19:Instances!AP19),"median", MEDIAN(Instances!AP19:Instances!AP19),"min", MIN(Instances!AP19:Instances!AP19),"max", MAX(Instances!AP19:Instances!AP19),"diff", MAX(Instances!AP19:Instances!AP19)-MIN(Instances!AP19:Instances!AP19))</f>
        <v>0</v>
      </c>
      <c r="AQ19" s="1" cm="1">
        <f t="array" ref="AQ19">_xlfn.SWITCH($A$2,"average", AVERAGE(Instances!AQ19:Instances!AQ19),"median", MEDIAN(Instances!AQ19:Instances!AQ19),"min", MIN(Instances!AQ19:Instances!AQ19),"max", MAX(Instances!AQ19:Instances!AQ19),"diff", MAX(Instances!AQ19:Instances!AQ19)-MIN(Instances!AQ19:Instances!AQ19))</f>
        <v>0</v>
      </c>
      <c r="AR19" s="1" cm="1">
        <f t="array" ref="AR19">_xlfn.SWITCH($A$2,"average", AVERAGE(Instances!AR19:Instances!AR19),"median", MEDIAN(Instances!AR19:Instances!AR19),"min", MIN(Instances!AR19:Instances!AR19),"max", MAX(Instances!AR19:Instances!AR19),"diff", MAX(Instances!AR19:Instances!AR19)-MIN(Instances!AR19:Instances!AR19))</f>
        <v>0</v>
      </c>
      <c r="AS19" s="1" cm="1">
        <f t="array" ref="AS19">_xlfn.SWITCH($A$2,"average", AVERAGE(Instances!AS19:Instances!AS19),"median", MEDIAN(Instances!AS19:Instances!AS19),"min", MIN(Instances!AS19:Instances!AS19),"max", MAX(Instances!AS19:Instances!AS19),"diff", MAX(Instances!AS19:Instances!AS19)-MIN(Instances!AS19:Instances!AS19))</f>
        <v>0</v>
      </c>
      <c r="AT19" s="1" cm="1">
        <f t="array" ref="AT19">_xlfn.SWITCH($A$2,"average", AVERAGE(Instances!AT19:Instances!AT19),"median", MEDIAN(Instances!AT19:Instances!AT19),"min", MIN(Instances!AT19:Instances!AT19),"max", MAX(Instances!AT19:Instances!AT19),"diff", MAX(Instances!AT19:Instances!AT19)-MIN(Instances!AT19:Instances!AT19))</f>
        <v>0</v>
      </c>
      <c r="AU19" s="1" cm="1">
        <f t="array" ref="AU19">_xlfn.SWITCH($A$2,"average", AVERAGE(Instances!AU19:Instances!AU19),"median", MEDIAN(Instances!AU19:Instances!AU19),"min", MIN(Instances!AU19:Instances!AU19),"max", MAX(Instances!AU19:Instances!AU19),"diff", MAX(Instances!AU19:Instances!AU19)-MIN(Instances!AU19:Instances!AU19))</f>
        <v>0</v>
      </c>
      <c r="AV19" s="1" cm="1">
        <f t="array" ref="AV19">_xlfn.SWITCH($A$2,"average", AVERAGE(Instances!AV19:Instances!AV19),"median", MEDIAN(Instances!AV19:Instances!AV19),"min", MIN(Instances!AV19:Instances!AV19),"max", MAX(Instances!AV19:Instances!AV19),"diff", MAX(Instances!AV19:Instances!AV19)-MIN(Instances!AV19:Instances!AV19))</f>
        <v>0</v>
      </c>
      <c r="AW19" s="1" cm="1">
        <f t="array" ref="AW19">_xlfn.SWITCH($A$2,"average", AVERAGE(Instances!AW19:Instances!AW19),"median", MEDIAN(Instances!AW19:Instances!AW19),"min", MIN(Instances!AW19:Instances!AW19),"max", MAX(Instances!AW19:Instances!AW19),"diff", MAX(Instances!AW19:Instances!AW19)-MIN(Instances!AW19:Instances!AW19))</f>
        <v>0</v>
      </c>
      <c r="AX19" s="1" cm="1">
        <f t="array" ref="AX19">_xlfn.SWITCH($A$2,"average", AVERAGE(Instances!AX19:Instances!AX19),"median", MEDIAN(Instances!AX19:Instances!AX19),"min", MIN(Instances!AX19:Instances!AX19),"max", MAX(Instances!AX19:Instances!AX19),"diff", MAX(Instances!AX19:Instances!AX19)-MIN(Instances!AX19:Instances!AX19))</f>
        <v>0</v>
      </c>
      <c r="AY19" s="1" cm="1">
        <f t="array" ref="AY19">_xlfn.SWITCH($A$2,"average", AVERAGE(Instances!AY19:Instances!AY19),"median", MEDIAN(Instances!AY19:Instances!AY19),"min", MIN(Instances!AY19:Instances!AY19),"max", MAX(Instances!AY19:Instances!AY19),"diff", MAX(Instances!AY19:Instances!AY19)-MIN(Instances!AY19:Instances!AY19))</f>
        <v>0</v>
      </c>
      <c r="AZ19" s="1"/>
      <c r="BA19" s="1" cm="1">
        <f t="array" ref="BA19">_xlfn.SWITCH($A$2,"average", AVERAGE(Instances!BA19:Instances!BA19),"median", MEDIAN(Instances!BA19:Instances!BA19),"min", MIN(Instances!BA19:Instances!BA19),"max", MAX(Instances!BA19:Instances!BA19),"diff", MAX(Instances!BA19:Instances!BA19)-MIN(Instances!BA19:Instances!BA19))</f>
        <v>0</v>
      </c>
      <c r="BB19" s="1" cm="1">
        <f t="array" ref="BB19">_xlfn.SWITCH($A$2,"average", AVERAGE(Instances!BB19:Instances!BB19),"median", MEDIAN(Instances!BB19:Instances!BB19),"min", MIN(Instances!BB19:Instances!BB19),"max", MAX(Instances!BB19:Instances!BB19),"diff", MAX(Instances!BB19:Instances!BB19)-MIN(Instances!BB19:Instances!BB19))</f>
        <v>0</v>
      </c>
      <c r="BC19" s="1" cm="1">
        <f t="array" ref="BC19">_xlfn.SWITCH($A$2,"average", AVERAGE(Instances!BC19:Instances!BC19),"median", MEDIAN(Instances!BC19:Instances!BC19),"min", MIN(Instances!BC19:Instances!BC19),"max", MAX(Instances!BC19:Instances!BC19),"diff", MAX(Instances!BC19:Instances!BC19)-MIN(Instances!BC19:Instances!BC19))</f>
        <v>0</v>
      </c>
      <c r="BD19" s="1" cm="1">
        <f t="array" ref="BD19">_xlfn.SWITCH($A$2,"average", AVERAGE(Instances!BD19:Instances!BD19),"median", MEDIAN(Instances!BD19:Instances!BD19),"min", MIN(Instances!BD19:Instances!BD19),"max", MAX(Instances!BD19:Instances!BD19),"diff", MAX(Instances!BD19:Instances!BD19)-MIN(Instances!BD19:Instances!BD19))</f>
        <v>0</v>
      </c>
      <c r="BE19" s="1" cm="1">
        <f t="array" ref="BE19">_xlfn.SWITCH($A$2,"average", AVERAGE(Instances!BE19:Instances!BE19),"median", MEDIAN(Instances!BE19:Instances!BE19),"min", MIN(Instances!BE19:Instances!BE19),"max", MAX(Instances!BE19:Instances!BE19),"diff", MAX(Instances!BE19:Instances!BE19)-MIN(Instances!BE19:Instances!BE19))</f>
        <v>0</v>
      </c>
      <c r="BF19" s="1" cm="1">
        <f t="array" ref="BF19">_xlfn.SWITCH($A$2,"average", AVERAGE(Instances!BF19:Instances!BF19),"median", MEDIAN(Instances!BF19:Instances!BF19),"min", MIN(Instances!BF19:Instances!BF19),"max", MAX(Instances!BF19:Instances!BF19),"diff", MAX(Instances!BF19:Instances!BF19)-MIN(Instances!BF19:Instances!BF19))</f>
        <v>0</v>
      </c>
      <c r="BG19" s="1" cm="1">
        <f t="array" ref="BG19">_xlfn.SWITCH($A$2,"average", AVERAGE(Instances!BG19:Instances!BG19),"median", MEDIAN(Instances!BG19:Instances!BG19),"min", MIN(Instances!BG19:Instances!BG19),"max", MAX(Instances!BG19:Instances!BG19),"diff", MAX(Instances!BG19:Instances!BG19)-MIN(Instances!BG19:Instances!BG19))</f>
        <v>0</v>
      </c>
      <c r="BH19" s="1" cm="1">
        <f t="array" ref="BH19">_xlfn.SWITCH($A$2,"average", AVERAGE(Instances!BH19:Instances!BH19),"median", MEDIAN(Instances!BH19:Instances!BH19),"min", MIN(Instances!BH19:Instances!BH19),"max", MAX(Instances!BH19:Instances!BH19),"diff", MAX(Instances!BH19:Instances!BH19)-MIN(Instances!BH19:Instances!BH19))</f>
        <v>0</v>
      </c>
      <c r="BI19" s="1" cm="1">
        <f t="array" ref="BI19">_xlfn.SWITCH($A$2,"average", AVERAGE(Instances!BI19:Instances!BI19),"median", MEDIAN(Instances!BI19:Instances!BI19),"min", MIN(Instances!BI19:Instances!BI19),"max", MAX(Instances!BI19:Instances!BI19),"diff", MAX(Instances!BI19:Instances!BI19)-MIN(Instances!BI19:Instances!BI19))</f>
        <v>0</v>
      </c>
      <c r="BJ19" s="1" cm="1">
        <f t="array" ref="BJ19">_xlfn.SWITCH($A$2,"average", AVERAGE(Instances!BJ19:Instances!BJ19),"median", MEDIAN(Instances!BJ19:Instances!BJ19),"min", MIN(Instances!BJ19:Instances!BJ19),"max", MAX(Instances!BJ19:Instances!BJ19),"diff", MAX(Instances!BJ19:Instances!BJ19)-MIN(Instances!BJ19:Instances!BJ19))</f>
        <v>0</v>
      </c>
      <c r="BK19" s="1" cm="1">
        <f t="array" ref="BK19">_xlfn.SWITCH($A$2,"average", AVERAGE(Instances!BK19:Instances!BK19),"median", MEDIAN(Instances!BK19:Instances!BK19),"min", MIN(Instances!BK19:Instances!BK19),"max", MAX(Instances!BK19:Instances!BK19),"diff", MAX(Instances!BK19:Instances!BK19)-MIN(Instances!BK19:Instances!BK19))</f>
        <v>0</v>
      </c>
      <c r="BL19" s="1" cm="1">
        <f t="array" ref="BL19">_xlfn.SWITCH($A$2,"average", AVERAGE(Instances!BL19:Instances!BL19),"median", MEDIAN(Instances!BL19:Instances!BL19),"min", MIN(Instances!BL19:Instances!BL19),"max", MAX(Instances!BL19:Instances!BL19),"diff", MAX(Instances!BL19:Instances!BL19)-MIN(Instances!BL19:Instances!BL19))</f>
        <v>0</v>
      </c>
      <c r="BM19" s="1" cm="1">
        <f t="array" ref="BM19">_xlfn.SWITCH($A$2,"average", AVERAGE(Instances!BM19:Instances!BM19),"median", MEDIAN(Instances!BM19:Instances!BM19),"min", MIN(Instances!BM19:Instances!BM19),"max", MAX(Instances!BM19:Instances!BM19),"diff", MAX(Instances!BM19:Instances!BM19)-MIN(Instances!BM19:Instances!BM19))</f>
        <v>0</v>
      </c>
      <c r="BN19" s="1" cm="1">
        <f t="array" ref="BN19">_xlfn.SWITCH($A$2,"average", AVERAGE(Instances!BN19:Instances!BN19),"median", MEDIAN(Instances!BN19:Instances!BN19),"min", MIN(Instances!BN19:Instances!BN19),"max", MAX(Instances!BN19:Instances!BN19),"diff", MAX(Instances!BN19:Instances!BN19)-MIN(Instances!BN19:Instances!BN19))</f>
        <v>0</v>
      </c>
      <c r="BO19" s="1" cm="1">
        <f t="array" ref="BO19">_xlfn.SWITCH($A$2,"average", AVERAGE(Instances!BO19:Instances!BO19),"median", MEDIAN(Instances!BO19:Instances!BO19),"min", MIN(Instances!BO19:Instances!BO19),"max", MAX(Instances!BO19:Instances!BO19),"diff", MAX(Instances!BO19:Instances!BO19)-MIN(Instances!BO19:Instances!BO19))</f>
        <v>0</v>
      </c>
      <c r="BP19" s="1" cm="1">
        <f t="array" ref="BP19">_xlfn.SWITCH($A$2,"average", AVERAGE(Instances!BP19:Instances!BP19),"median", MEDIAN(Instances!BP19:Instances!BP19),"min", MIN(Instances!BP19:Instances!BP19),"max", MAX(Instances!BP19:Instances!BP19),"diff", MAX(Instances!BP19:Instances!BP19)-MIN(Instances!BP19:Instances!BP19))</f>
        <v>0</v>
      </c>
      <c r="BQ19" s="1" cm="1">
        <f t="array" ref="BQ19">_xlfn.SWITCH($A$2,"average", AVERAGE(Instances!BQ19:Instances!BQ19),"median", MEDIAN(Instances!BQ19:Instances!BQ19),"min", MIN(Instances!BQ19:Instances!BQ19),"max", MAX(Instances!BQ19:Instances!BQ19),"diff", MAX(Instances!BQ19:Instances!BQ19)-MIN(Instances!BQ19:Instances!BQ19))</f>
        <v>0</v>
      </c>
      <c r="BR19" s="1"/>
      <c r="BS19" s="1" cm="1">
        <f t="array" ref="BS19">_xlfn.SWITCH($A$2,"average", AVERAGE(Instances!BS19:Instances!BS19),"median", MEDIAN(Instances!BS19:Instances!BS19),"min", MIN(Instances!BS19:Instances!BS19),"max", MAX(Instances!BS19:Instances!BS19),"diff", MAX(Instances!BS19:Instances!BS19)-MIN(Instances!BS19:Instances!BS19))</f>
        <v>0</v>
      </c>
      <c r="BT19" s="1" cm="1">
        <f t="array" ref="BT19">_xlfn.SWITCH($A$2,"average", AVERAGE(Instances!BT19:Instances!BT19),"median", MEDIAN(Instances!BT19:Instances!BT19),"min", MIN(Instances!BT19:Instances!BT19),"max", MAX(Instances!BT19:Instances!BT19),"diff", MAX(Instances!BT19:Instances!BT19)-MIN(Instances!BT19:Instances!BT19))</f>
        <v>0</v>
      </c>
      <c r="BU19" s="1" cm="1">
        <f t="array" ref="BU19">_xlfn.SWITCH($A$2,"average", AVERAGE(Instances!BU19:Instances!BU19),"median", MEDIAN(Instances!BU19:Instances!BU19),"min", MIN(Instances!BU19:Instances!BU19),"max", MAX(Instances!BU19:Instances!BU19),"diff", MAX(Instances!BU19:Instances!BU19)-MIN(Instances!BU19:Instances!BU19))</f>
        <v>0</v>
      </c>
      <c r="BV19" s="1" cm="1">
        <f t="array" ref="BV19">_xlfn.SWITCH($A$2,"average", AVERAGE(Instances!BV19:Instances!BV19),"median", MEDIAN(Instances!BV19:Instances!BV19),"min", MIN(Instances!BV19:Instances!BV19),"max", MAX(Instances!BV19:Instances!BV19),"diff", MAX(Instances!BV19:Instances!BV19)-MIN(Instances!BV19:Instances!BV19))</f>
        <v>0</v>
      </c>
      <c r="BW19" s="1" cm="1">
        <f t="array" ref="BW19">_xlfn.SWITCH($A$2,"average", AVERAGE(Instances!BW19:Instances!BW19),"median", MEDIAN(Instances!BW19:Instances!BW19),"min", MIN(Instances!BW19:Instances!BW19),"max", MAX(Instances!BW19:Instances!BW19),"diff", MAX(Instances!BW19:Instances!BW19)-MIN(Instances!BW19:Instances!BW19))</f>
        <v>0</v>
      </c>
      <c r="BX19" s="1" cm="1">
        <f t="array" ref="BX19">_xlfn.SWITCH($A$2,"average", AVERAGE(Instances!BX19:Instances!BX19),"median", MEDIAN(Instances!BX19:Instances!BX19),"min", MIN(Instances!BX19:Instances!BX19),"max", MAX(Instances!BX19:Instances!BX19),"diff", MAX(Instances!BX19:Instances!BX19)-MIN(Instances!BX19:Instances!BX19))</f>
        <v>0</v>
      </c>
      <c r="BY19" s="1" cm="1">
        <f t="array" ref="BY19">_xlfn.SWITCH($A$2,"average", AVERAGE(Instances!BY19:Instances!BY19),"median", MEDIAN(Instances!BY19:Instances!BY19),"min", MIN(Instances!BY19:Instances!BY19),"max", MAX(Instances!BY19:Instances!BY19),"diff", MAX(Instances!BY19:Instances!BY19)-MIN(Instances!BY19:Instances!BY19))</f>
        <v>0</v>
      </c>
      <c r="BZ19" s="1" cm="1">
        <f t="array" ref="BZ19">_xlfn.SWITCH($A$2,"average", AVERAGE(Instances!BZ19:Instances!BZ19),"median", MEDIAN(Instances!BZ19:Instances!BZ19),"min", MIN(Instances!BZ19:Instances!BZ19),"max", MAX(Instances!BZ19:Instances!BZ19),"diff", MAX(Instances!BZ19:Instances!BZ19)-MIN(Instances!BZ19:Instances!BZ19))</f>
        <v>0</v>
      </c>
      <c r="CA19" s="1" cm="1">
        <f t="array" ref="CA19">_xlfn.SWITCH($A$2,"average", AVERAGE(Instances!CA19:Instances!CA19),"median", MEDIAN(Instances!CA19:Instances!CA19),"min", MIN(Instances!CA19:Instances!CA19),"max", MAX(Instances!CA19:Instances!CA19),"diff", MAX(Instances!CA19:Instances!CA19)-MIN(Instances!CA19:Instances!CA19))</f>
        <v>0</v>
      </c>
      <c r="CB19" s="1" cm="1">
        <f t="array" ref="CB19">_xlfn.SWITCH($A$2,"average", AVERAGE(Instances!CB19:Instances!CB19),"median", MEDIAN(Instances!CB19:Instances!CB19),"min", MIN(Instances!CB19:Instances!CB19),"max", MAX(Instances!CB19:Instances!CB19),"diff", MAX(Instances!CB19:Instances!CB19)-MIN(Instances!CB19:Instances!CB19))</f>
        <v>0</v>
      </c>
      <c r="CC19" s="1" cm="1">
        <f t="array" ref="CC19">_xlfn.SWITCH($A$2,"average", AVERAGE(Instances!CC19:Instances!CC19),"median", MEDIAN(Instances!CC19:Instances!CC19),"min", MIN(Instances!CC19:Instances!CC19),"max", MAX(Instances!CC19:Instances!CC19),"diff", MAX(Instances!CC19:Instances!CC19)-MIN(Instances!CC19:Instances!CC19))</f>
        <v>0</v>
      </c>
      <c r="CD19" s="1" cm="1">
        <f t="array" ref="CD19">_xlfn.SWITCH($A$2,"average", AVERAGE(Instances!CD19:Instances!CD19),"median", MEDIAN(Instances!CD19:Instances!CD19),"min", MIN(Instances!CD19:Instances!CD19),"max", MAX(Instances!CD19:Instances!CD19),"diff", MAX(Instances!CD19:Instances!CD19)-MIN(Instances!CD19:Instances!CD19))</f>
        <v>0</v>
      </c>
      <c r="CE19" s="1" cm="1">
        <f t="array" ref="CE19">_xlfn.SWITCH($A$2,"average", AVERAGE(Instances!CE19:Instances!CE19),"median", MEDIAN(Instances!CE19:Instances!CE19),"min", MIN(Instances!CE19:Instances!CE19),"max", MAX(Instances!CE19:Instances!CE19),"diff", MAX(Instances!CE19:Instances!CE19)-MIN(Instances!CE19:Instances!CE19))</f>
        <v>0</v>
      </c>
      <c r="CF19" s="1" cm="1">
        <f t="array" ref="CF19">_xlfn.SWITCH($A$2,"average", AVERAGE(Instances!CF19:Instances!CF19),"median", MEDIAN(Instances!CF19:Instances!CF19),"min", MIN(Instances!CF19:Instances!CF19),"max", MAX(Instances!CF19:Instances!CF19),"diff", MAX(Instances!CF19:Instances!CF19)-MIN(Instances!CF19:Instances!CF19))</f>
        <v>0</v>
      </c>
      <c r="CG19" s="1" cm="1">
        <f t="array" ref="CG19">_xlfn.SWITCH($A$2,"average", AVERAGE(Instances!CG19:Instances!CG19),"median", MEDIAN(Instances!CG19:Instances!CG19),"min", MIN(Instances!CG19:Instances!CG19),"max", MAX(Instances!CG19:Instances!CG19),"diff", MAX(Instances!CG19:Instances!CG19)-MIN(Instances!CG19:Instances!CG19))</f>
        <v>0</v>
      </c>
      <c r="CH19" s="1" cm="1">
        <f t="array" ref="CH19">_xlfn.SWITCH($A$2,"average", AVERAGE(Instances!CH19:Instances!CH19),"median", MEDIAN(Instances!CH19:Instances!CH19),"min", MIN(Instances!CH19:Instances!CH19),"max", MAX(Instances!CH19:Instances!CH19),"diff", MAX(Instances!CH19:Instances!CH19)-MIN(Instances!CH19:Instances!CH19))</f>
        <v>0</v>
      </c>
      <c r="CI19" s="1" cm="1">
        <f t="array" ref="CI19">_xlfn.SWITCH($A$2,"average", AVERAGE(Instances!CI19:Instances!CI19),"median", MEDIAN(Instances!CI19:Instances!CI19),"min", MIN(Instances!CI19:Instances!CI19),"max", MAX(Instances!CI19:Instances!CI19),"diff", MAX(Instances!CI19:Instances!CI19)-MIN(Instances!CI19:Instances!CI19))</f>
        <v>0</v>
      </c>
      <c r="CJ19" s="1"/>
      <c r="CK19" s="1" cm="1">
        <f t="array" ref="CK19">_xlfn.SWITCH($A$2,"average", AVERAGE(Instances!CK19:Instances!CK19),"median", MEDIAN(Instances!CK19:Instances!CK19),"min", MIN(Instances!CK19:Instances!CK19),"max", MAX(Instances!CK19:Instances!CK19),"diff", MAX(Instances!CK19:Instances!CK19)-MIN(Instances!CK19:Instances!CK19))</f>
        <v>0</v>
      </c>
      <c r="CL19" s="1" cm="1">
        <f t="array" ref="CL19">_xlfn.SWITCH($A$2,"average", AVERAGE(Instances!CL19:Instances!CL19),"median", MEDIAN(Instances!CL19:Instances!CL19),"min", MIN(Instances!CL19:Instances!CL19),"max", MAX(Instances!CL19:Instances!CL19),"diff", MAX(Instances!CL19:Instances!CL19)-MIN(Instances!CL19:Instances!CL19))</f>
        <v>0</v>
      </c>
      <c r="CM19" s="1" cm="1">
        <f t="array" ref="CM19">_xlfn.SWITCH($A$2,"average", AVERAGE(Instances!CM19:Instances!CM19),"median", MEDIAN(Instances!CM19:Instances!CM19),"min", MIN(Instances!CM19:Instances!CM19),"max", MAX(Instances!CM19:Instances!CM19),"diff", MAX(Instances!CM19:Instances!CM19)-MIN(Instances!CM19:Instances!CM19))</f>
        <v>0</v>
      </c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 cm="1">
        <f t="array" ref="DX19">_xlfn.SWITCH($A$2,"average", AVERAGE(Instances!DX19:Instances!DX19),"median", MEDIAN(Instances!DX19:Instances!DX19),"min", MIN(Instances!DX19:Instances!DX19),"max", MAX(Instances!DX19:Instances!DX19),"diff", MAX(Instances!DX19:Instances!DX19)-MIN(Instances!DX19:Instances!DX19))</f>
        <v>0</v>
      </c>
      <c r="DY19" s="1" cm="1">
        <f t="array" ref="DY19">_xlfn.SWITCH($A$2,"average", AVERAGE(Instances!DY19:Instances!DY19),"median", MEDIAN(Instances!DY19:Instances!DY19),"min", MIN(Instances!DY19:Instances!DY19),"max", MAX(Instances!DY19:Instances!DY19),"diff", MAX(Instances!DY19:Instances!DY19)-MIN(Instances!DY19:Instances!DY19))</f>
        <v>0</v>
      </c>
      <c r="DZ19" s="1" cm="1">
        <f t="array" ref="DZ19">_xlfn.SWITCH($A$2,"average", AVERAGE(Instances!DZ19:Instances!DZ19),"median", MEDIAN(Instances!DZ19:Instances!DZ19),"min", MIN(Instances!DZ19:Instances!DZ19),"max", MAX(Instances!DZ19:Instances!DZ19),"diff", MAX(Instances!DZ19:Instances!DZ19)-MIN(Instances!DZ19:Instances!DZ19))</f>
        <v>0</v>
      </c>
      <c r="EA19" s="1" cm="1">
        <f t="array" ref="EA19">_xlfn.SWITCH($A$2,"average", AVERAGE(Instances!EA19:Instances!EA19),"median", MEDIAN(Instances!EA19:Instances!EA19),"min", MIN(Instances!EA19:Instances!EA19),"max", MAX(Instances!EA19:Instances!EA19),"diff", MAX(Instances!EA19:Instances!EA19)-MIN(Instances!EA19:Instances!EA19))</f>
        <v>0</v>
      </c>
      <c r="EB19" s="1" cm="1">
        <f t="array" ref="EB19">_xlfn.SWITCH($A$2,"average", AVERAGE(Instances!EB19:Instances!EB19),"median", MEDIAN(Instances!EB19:Instances!EB19),"min", MIN(Instances!EB19:Instances!EB19),"max", MAX(Instances!EB19:Instances!EB19),"diff", MAX(Instances!EB19:Instances!EB19)-MIN(Instances!EB19:Instances!EB19))</f>
        <v>0</v>
      </c>
      <c r="EC19" s="1" cm="1">
        <f t="array" ref="EC19">_xlfn.SWITCH($A$2,"average", AVERAGE(Instances!EC19:Instances!EC19),"median", MEDIAN(Instances!EC19:Instances!EC19),"min", MIN(Instances!EC19:Instances!EC19),"max", MAX(Instances!EC19:Instances!EC19),"diff", MAX(Instances!EC19:Instances!EC19)-MIN(Instances!EC19:Instances!EC19))</f>
        <v>0</v>
      </c>
      <c r="ED19" s="1" cm="1">
        <f t="array" ref="ED19">_xlfn.SWITCH($A$2,"average", AVERAGE(Instances!ED19:Instances!ED19),"median", MEDIAN(Instances!ED19:Instances!ED19),"min", MIN(Instances!ED19:Instances!ED19),"max", MAX(Instances!ED19:Instances!ED19),"diff", MAX(Instances!ED19:Instances!ED19)-MIN(Instances!ED19:Instances!ED19))</f>
        <v>0</v>
      </c>
      <c r="EE19" s="1" cm="1">
        <f t="array" ref="EE19">_xlfn.SWITCH($A$2,"average", AVERAGE(Instances!EE19:Instances!EE19),"median", MEDIAN(Instances!EE19:Instances!EE19),"min", MIN(Instances!EE19:Instances!EE19),"max", MAX(Instances!EE19:Instances!EE19),"diff", MAX(Instances!EE19:Instances!EE19)-MIN(Instances!EE19:Instances!EE19))</f>
        <v>0</v>
      </c>
      <c r="EF19" s="1" cm="1">
        <f t="array" ref="EF19">_xlfn.SWITCH($A$2,"average", AVERAGE(Instances!EF19:Instances!EF19),"median", MEDIAN(Instances!EF19:Instances!EF19),"min", MIN(Instances!EF19:Instances!EF19),"max", MAX(Instances!EF19:Instances!EF19),"diff", MAX(Instances!EF19:Instances!EF19)-MIN(Instances!EF19:Instances!EF19))</f>
        <v>0</v>
      </c>
      <c r="EG19" s="1" cm="1">
        <f t="array" ref="EG19">_xlfn.SWITCH($A$2,"average", AVERAGE(Instances!EG19:Instances!EG19),"median", MEDIAN(Instances!EG19:Instances!EG19),"min", MIN(Instances!EG19:Instances!EG19),"max", MAX(Instances!EG19:Instances!EG19),"diff", MAX(Instances!EG19:Instances!EG19)-MIN(Instances!EG19:Instances!EG19))</f>
        <v>0</v>
      </c>
      <c r="EH19" s="1" cm="1">
        <f t="array" ref="EH19">_xlfn.SWITCH($A$2,"average", AVERAGE(Instances!EH19:Instances!EH19),"median", MEDIAN(Instances!EH19:Instances!EH19),"min", MIN(Instances!EH19:Instances!EH19),"max", MAX(Instances!EH19:Instances!EH19),"diff", MAX(Instances!EH19:Instances!EH19)-MIN(Instances!EH19:Instances!EH19))</f>
        <v>0</v>
      </c>
      <c r="EI19" s="1" cm="1">
        <f t="array" ref="EI19">_xlfn.SWITCH($A$2,"average", AVERAGE(Instances!EI19:Instances!EI19),"median", MEDIAN(Instances!EI19:Instances!EI19),"min", MIN(Instances!EI19:Instances!EI19),"max", MAX(Instances!EI19:Instances!EI19),"diff", MAX(Instances!EI19:Instances!EI19)-MIN(Instances!EI19:Instances!EI19))</f>
        <v>0</v>
      </c>
      <c r="EJ19" s="1" cm="1">
        <f t="array" ref="EJ19">_xlfn.SWITCH($A$2,"average", AVERAGE(Instances!EJ19:Instances!EJ19),"median", MEDIAN(Instances!EJ19:Instances!EJ19),"min", MIN(Instances!EJ19:Instances!EJ19),"max", MAX(Instances!EJ19:Instances!EJ19),"diff", MAX(Instances!EJ19:Instances!EJ19)-MIN(Instances!EJ19:Instances!EJ19))</f>
        <v>0</v>
      </c>
      <c r="EK19" s="1" cm="1">
        <f t="array" ref="EK19">_xlfn.SWITCH($A$2,"average", AVERAGE(Instances!EK19:Instances!EK19),"median", MEDIAN(Instances!EK19:Instances!EK19),"min", MIN(Instances!EK19:Instances!EK19),"max", MAX(Instances!EK19:Instances!EK19),"diff", MAX(Instances!EK19:Instances!EK19)-MIN(Instances!EK19:Instances!EK19))</f>
        <v>0</v>
      </c>
      <c r="EL19" s="1"/>
      <c r="EM19" s="1" cm="1">
        <f t="array" ref="EM19">_xlfn.SWITCH($A$2,"average", AVERAGE(Instances!EM19:Instances!EM19),"median", MEDIAN(Instances!EM19:Instances!EM19),"min", MIN(Instances!EM19:Instances!EM19),"max", MAX(Instances!EM19:Instances!EM19),"diff", MAX(Instances!EM19:Instances!EM19)-MIN(Instances!EM19:Instances!EM19))</f>
        <v>0</v>
      </c>
      <c r="EN19" s="1" cm="1">
        <f t="array" ref="EN19">_xlfn.SWITCH($A$2,"average", AVERAGE(Instances!EN19:Instances!EN19),"median", MEDIAN(Instances!EN19:Instances!EN19),"min", MIN(Instances!EN19:Instances!EN19),"max", MAX(Instances!EN19:Instances!EN19),"diff", MAX(Instances!EN19:Instances!EN19)-MIN(Instances!EN19:Instances!EN19))</f>
        <v>0</v>
      </c>
      <c r="EO19" s="1" cm="1">
        <f t="array" ref="EO19">_xlfn.SWITCH($A$2,"average", AVERAGE(Instances!EO19:Instances!EO19),"median", MEDIAN(Instances!EO19:Instances!EO19),"min", MIN(Instances!EO19:Instances!EO19),"max", MAX(Instances!EO19:Instances!EO19),"diff", MAX(Instances!EO19:Instances!EO19)-MIN(Instances!EO19:Instances!EO19))</f>
        <v>0</v>
      </c>
      <c r="EP19" s="1" cm="1">
        <f t="array" ref="EP19">_xlfn.SWITCH($A$2,"average", AVERAGE(Instances!EP19:Instances!EP19),"median", MEDIAN(Instances!EP19:Instances!EP19),"min", MIN(Instances!EP19:Instances!EP19),"max", MAX(Instances!EP19:Instances!EP19),"diff", MAX(Instances!EP19:Instances!EP19)-MIN(Instances!EP19:Instances!EP19))</f>
        <v>0</v>
      </c>
      <c r="EQ19" s="1" cm="1">
        <f t="array" ref="EQ19">_xlfn.SWITCH($A$2,"average", AVERAGE(Instances!EQ19:Instances!EQ19),"median", MEDIAN(Instances!EQ19:Instances!EQ19),"min", MIN(Instances!EQ19:Instances!EQ19),"max", MAX(Instances!EQ19:Instances!EQ19),"diff", MAX(Instances!EQ19:Instances!EQ19)-MIN(Instances!EQ19:Instances!EQ19))</f>
        <v>0</v>
      </c>
      <c r="ER19" s="1" cm="1">
        <f t="array" ref="ER19">_xlfn.SWITCH($A$2,"average", AVERAGE(Instances!ER19:Instances!ER19),"median", MEDIAN(Instances!ER19:Instances!ER19),"min", MIN(Instances!ER19:Instances!ER19),"max", MAX(Instances!ER19:Instances!ER19),"diff", MAX(Instances!ER19:Instances!ER19)-MIN(Instances!ER19:Instances!ER19))</f>
        <v>0</v>
      </c>
      <c r="ES19" s="1" cm="1">
        <f t="array" ref="ES19">_xlfn.SWITCH($A$2,"average", AVERAGE(Instances!ES19:Instances!ES19),"median", MEDIAN(Instances!ES19:Instances!ES19),"min", MIN(Instances!ES19:Instances!ES19),"max", MAX(Instances!ES19:Instances!ES19),"diff", MAX(Instances!ES19:Instances!ES19)-MIN(Instances!ES19:Instances!ES19))</f>
        <v>0</v>
      </c>
      <c r="ET19" s="1" cm="1">
        <f t="array" ref="ET19">_xlfn.SWITCH($A$2,"average", AVERAGE(Instances!ET19:Instances!ET19),"median", MEDIAN(Instances!ET19:Instances!ET19),"min", MIN(Instances!ET19:Instances!ET19),"max", MAX(Instances!ET19:Instances!ET19),"diff", MAX(Instances!ET19:Instances!ET19)-MIN(Instances!ET19:Instances!ET19))</f>
        <v>0</v>
      </c>
      <c r="EU19" s="1" cm="1">
        <f t="array" ref="EU19">_xlfn.SWITCH($A$2,"average", AVERAGE(Instances!EU19:Instances!EU19),"median", MEDIAN(Instances!EU19:Instances!EU19),"min", MIN(Instances!EU19:Instances!EU19),"max", MAX(Instances!EU19:Instances!EU19),"diff", MAX(Instances!EU19:Instances!EU19)-MIN(Instances!EU19:Instances!EU19))</f>
        <v>0</v>
      </c>
      <c r="EV19" s="1" cm="1">
        <f t="array" ref="EV19">_xlfn.SWITCH($A$2,"average", AVERAGE(Instances!EV19:Instances!EV19),"median", MEDIAN(Instances!EV19:Instances!EV19),"min", MIN(Instances!EV19:Instances!EV19),"max", MAX(Instances!EV19:Instances!EV19),"diff", MAX(Instances!EV19:Instances!EV19)-MIN(Instances!EV19:Instances!EV19))</f>
        <v>0</v>
      </c>
      <c r="EW19" s="1" cm="1">
        <f t="array" ref="EW19">_xlfn.SWITCH($A$2,"average", AVERAGE(Instances!EW19:Instances!EW19),"median", MEDIAN(Instances!EW19:Instances!EW19),"min", MIN(Instances!EW19:Instances!EW19),"max", MAX(Instances!EW19:Instances!EW19),"diff", MAX(Instances!EW19:Instances!EW19)-MIN(Instances!EW19:Instances!EW19))</f>
        <v>0</v>
      </c>
      <c r="EX19" s="1" cm="1">
        <f t="array" ref="EX19">_xlfn.SWITCH($A$2,"average", AVERAGE(Instances!EX19:Instances!EX19),"median", MEDIAN(Instances!EX19:Instances!EX19),"min", MIN(Instances!EX19:Instances!EX19),"max", MAX(Instances!EX19:Instances!EX19),"diff", MAX(Instances!EX19:Instances!EX19)-MIN(Instances!EX19:Instances!EX19))</f>
        <v>0</v>
      </c>
      <c r="EY19" s="1" cm="1">
        <f t="array" ref="EY19">_xlfn.SWITCH($A$2,"average", AVERAGE(Instances!EY19:Instances!EY19),"median", MEDIAN(Instances!EY19:Instances!EY19),"min", MIN(Instances!EY19:Instances!EY19),"max", MAX(Instances!EY19:Instances!EY19),"diff", MAX(Instances!EY19:Instances!EY19)-MIN(Instances!EY19:Instances!EY19))</f>
        <v>0</v>
      </c>
      <c r="EZ19" s="1" cm="1">
        <f t="array" ref="EZ19">_xlfn.SWITCH($A$2,"average", AVERAGE(Instances!EZ19:Instances!EZ19),"median", MEDIAN(Instances!EZ19:Instances!EZ19),"min", MIN(Instances!EZ19:Instances!EZ19),"max", MAX(Instances!EZ19:Instances!EZ19),"diff", MAX(Instances!EZ19:Instances!EZ19)-MIN(Instances!EZ19:Instances!EZ19))</f>
        <v>0</v>
      </c>
      <c r="FA19" s="1" cm="1">
        <f t="array" ref="FA19">_xlfn.SWITCH($A$2,"average", AVERAGE(Instances!FA19:Instances!FA19),"median", MEDIAN(Instances!FA19:Instances!FA19),"min", MIN(Instances!FA19:Instances!FA19),"max", MAX(Instances!FA19:Instances!FA19),"diff", MAX(Instances!FA19:Instances!FA19)-MIN(Instances!FA19:Instances!FA19))</f>
        <v>0</v>
      </c>
      <c r="FB19" s="1" cm="1">
        <f t="array" ref="FB19">_xlfn.SWITCH($A$2,"average", AVERAGE(Instances!FB19:Instances!FB19),"median", MEDIAN(Instances!FB19:Instances!FB19),"min", MIN(Instances!FB19:Instances!FB19),"max", MAX(Instances!FB19:Instances!FB19),"diff", MAX(Instances!FB19:Instances!FB19)-MIN(Instances!FB19:Instances!FB19))</f>
        <v>0</v>
      </c>
      <c r="FC19" s="1" cm="1">
        <f t="array" ref="FC19">_xlfn.SWITCH($A$2,"average", AVERAGE(Instances!FC19:Instances!FC19),"median", MEDIAN(Instances!FC19:Instances!FC19),"min", MIN(Instances!FC19:Instances!FC19),"max", MAX(Instances!FC19:Instances!FC19),"diff", MAX(Instances!FC19:Instances!FC19)-MIN(Instances!FC19:Instances!FC19))</f>
        <v>0</v>
      </c>
      <c r="FD19" s="1"/>
      <c r="FE19" s="1" cm="1">
        <f t="array" ref="FE19">_xlfn.SWITCH($A$2,"average", AVERAGE(Instances!FE19:Instances!FE19),"median", MEDIAN(Instances!FE19:Instances!FE19),"min", MIN(Instances!FE19:Instances!FE19),"max", MAX(Instances!FE19:Instances!FE19),"diff", MAX(Instances!FE19:Instances!FE19)-MIN(Instances!FE19:Instances!FE19))</f>
        <v>0</v>
      </c>
      <c r="FF19" s="1" cm="1">
        <f t="array" ref="FF19">_xlfn.SWITCH($A$2,"average", AVERAGE(Instances!FF19:Instances!FF19),"median", MEDIAN(Instances!FF19:Instances!FF19),"min", MIN(Instances!FF19:Instances!FF19),"max", MAX(Instances!FF19:Instances!FF19),"diff", MAX(Instances!FF19:Instances!FF19)-MIN(Instances!FF19:Instances!FF19))</f>
        <v>0</v>
      </c>
      <c r="FG19" s="1" cm="1">
        <f t="array" ref="FG19">_xlfn.SWITCH($A$2,"average", AVERAGE(Instances!FG19:Instances!FG19),"median", MEDIAN(Instances!FG19:Instances!FG19),"min", MIN(Instances!FG19:Instances!FG19),"max", MAX(Instances!FG19:Instances!FG19),"diff", MAX(Instances!FG19:Instances!FG19)-MIN(Instances!FG19:Instances!FG19))</f>
        <v>0</v>
      </c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 cm="1">
        <f t="array" ref="FZ19">_xlfn.SWITCH($A$2,"average", AVERAGE(Instances!FZ19:Instances!FZ19),"median", MEDIAN(Instances!FZ19:Instances!FZ19),"min", MIN(Instances!FZ19:Instances!FZ19),"max", MAX(Instances!FZ19:Instances!FZ19),"diff", MAX(Instances!FZ19:Instances!FZ19)-MIN(Instances!FZ19:Instances!FZ19))</f>
        <v>0</v>
      </c>
      <c r="GA19" s="1" cm="1">
        <f t="array" ref="GA19">_xlfn.SWITCH($A$2,"average", AVERAGE(Instances!GA19:Instances!GA19),"median", MEDIAN(Instances!GA19:Instances!GA19),"min", MIN(Instances!GA19:Instances!GA19),"max", MAX(Instances!GA19:Instances!GA19),"diff", MAX(Instances!GA19:Instances!GA19)-MIN(Instances!GA19:Instances!GA19))</f>
        <v>0</v>
      </c>
      <c r="GB19" s="1" cm="1">
        <f t="array" ref="GB19">_xlfn.SWITCH($A$2,"average", AVERAGE(Instances!GB19:Instances!GB19),"median", MEDIAN(Instances!GB19:Instances!GB19),"min", MIN(Instances!GB19:Instances!GB19),"max", MAX(Instances!GB19:Instances!GB19),"diff", MAX(Instances!GB19:Instances!GB19)-MIN(Instances!GB19:Instances!GB19))</f>
        <v>0</v>
      </c>
      <c r="GC19" s="1" cm="1">
        <f t="array" ref="GC19">_xlfn.SWITCH($A$2,"average", AVERAGE(Instances!GC19:Instances!GC19),"median", MEDIAN(Instances!GC19:Instances!GC19),"min", MIN(Instances!GC19:Instances!GC19),"max", MAX(Instances!GC19:Instances!GC19),"diff", MAX(Instances!GC19:Instances!GC19)-MIN(Instances!GC19:Instances!GC19))</f>
        <v>0</v>
      </c>
      <c r="GD19" s="1" cm="1">
        <f t="array" ref="GD19">_xlfn.SWITCH($A$2,"average", AVERAGE(Instances!GD19:Instances!GD19),"median", MEDIAN(Instances!GD19:Instances!GD19),"min", MIN(Instances!GD19:Instances!GD19),"max", MAX(Instances!GD19:Instances!GD19),"diff", MAX(Instances!GD19:Instances!GD19)-MIN(Instances!GD19:Instances!GD19))</f>
        <v>0</v>
      </c>
      <c r="GE19" s="1" cm="1">
        <f t="array" ref="GE19">_xlfn.SWITCH($A$2,"average", AVERAGE(Instances!GE19:Instances!GE19),"median", MEDIAN(Instances!GE19:Instances!GE19),"min", MIN(Instances!GE19:Instances!GE19),"max", MAX(Instances!GE19:Instances!GE19),"diff", MAX(Instances!GE19:Instances!GE19)-MIN(Instances!GE19:Instances!GE19))</f>
        <v>0</v>
      </c>
      <c r="GF19" s="1" cm="1">
        <f t="array" ref="GF19">_xlfn.SWITCH($A$2,"average", AVERAGE(Instances!GF19:Instances!GF19),"median", MEDIAN(Instances!GF19:Instances!GF19),"min", MIN(Instances!GF19:Instances!GF19),"max", MAX(Instances!GF19:Instances!GF19),"diff", MAX(Instances!GF19:Instances!GF19)-MIN(Instances!GF19:Instances!GF19))</f>
        <v>0</v>
      </c>
      <c r="GG19" s="1" cm="1">
        <f t="array" ref="GG19">_xlfn.SWITCH($A$2,"average", AVERAGE(Instances!GG19:Instances!GG19),"median", MEDIAN(Instances!GG19:Instances!GG19),"min", MIN(Instances!GG19:Instances!GG19),"max", MAX(Instances!GG19:Instances!GG19),"diff", MAX(Instances!GG19:Instances!GG19)-MIN(Instances!GG19:Instances!GG19))</f>
        <v>0</v>
      </c>
      <c r="GH19" s="1" cm="1">
        <f t="array" ref="GH19">_xlfn.SWITCH($A$2,"average", AVERAGE(Instances!GH19:Instances!GH19),"median", MEDIAN(Instances!GH19:Instances!GH19),"min", MIN(Instances!GH19:Instances!GH19),"max", MAX(Instances!GH19:Instances!GH19),"diff", MAX(Instances!GH19:Instances!GH19)-MIN(Instances!GH19:Instances!GH19))</f>
        <v>0</v>
      </c>
      <c r="GI19" s="1" cm="1">
        <f t="array" ref="GI19">_xlfn.SWITCH($A$2,"average", AVERAGE(Instances!GI19:Instances!GI19),"median", MEDIAN(Instances!GI19:Instances!GI19),"min", MIN(Instances!GI19:Instances!GI19),"max", MAX(Instances!GI19:Instances!GI19),"diff", MAX(Instances!GI19:Instances!GI19)-MIN(Instances!GI19:Instances!GI19))</f>
        <v>0</v>
      </c>
      <c r="GJ19" s="1" cm="1">
        <f t="array" ref="GJ19">_xlfn.SWITCH($A$2,"average", AVERAGE(Instances!GJ19:Instances!GJ19),"median", MEDIAN(Instances!GJ19:Instances!GJ19),"min", MIN(Instances!GJ19:Instances!GJ19),"max", MAX(Instances!GJ19:Instances!GJ19),"diff", MAX(Instances!GJ19:Instances!GJ19)-MIN(Instances!GJ19:Instances!GJ19))</f>
        <v>0</v>
      </c>
      <c r="GK19" s="1" cm="1">
        <f t="array" ref="GK19">_xlfn.SWITCH($A$2,"average", AVERAGE(Instances!GK19:Instances!GK19),"median", MEDIAN(Instances!GK19:Instances!GK19),"min", MIN(Instances!GK19:Instances!GK19),"max", MAX(Instances!GK19:Instances!GK19),"diff", MAX(Instances!GK19:Instances!GK19)-MIN(Instances!GK19:Instances!GK19))</f>
        <v>0</v>
      </c>
      <c r="GL19" s="1" cm="1">
        <f t="array" ref="GL19">_xlfn.SWITCH($A$2,"average", AVERAGE(Instances!GL19:Instances!GL19),"median", MEDIAN(Instances!GL19:Instances!GL19),"min", MIN(Instances!GL19:Instances!GL19),"max", MAX(Instances!GL19:Instances!GL19),"diff", MAX(Instances!GL19:Instances!GL19)-MIN(Instances!GL19:Instances!GL19))</f>
        <v>0</v>
      </c>
      <c r="GM19" s="1" cm="1">
        <f t="array" ref="GM19">_xlfn.SWITCH($A$2,"average", AVERAGE(Instances!GM19:Instances!GM19),"median", MEDIAN(Instances!GM19:Instances!GM19),"min", MIN(Instances!GM19:Instances!GM19),"max", MAX(Instances!GM19:Instances!GM19),"diff", MAX(Instances!GM19:Instances!GM19)-MIN(Instances!GM19:Instances!GM19))</f>
        <v>0</v>
      </c>
      <c r="GN19" s="1"/>
      <c r="GO19" s="1" cm="1">
        <f t="array" ref="GO19">_xlfn.SWITCH($A$2,"average", AVERAGE(Instances!GO19:Instances!GO19),"median", MEDIAN(Instances!GO19:Instances!GO19),"min", MIN(Instances!GO19:Instances!GO19),"max", MAX(Instances!GO19:Instances!GO19),"diff", MAX(Instances!GO19:Instances!GO19)-MIN(Instances!GO19:Instances!GO19))</f>
        <v>0</v>
      </c>
      <c r="GP19" s="1" cm="1">
        <f t="array" ref="GP19">_xlfn.SWITCH($A$2,"average", AVERAGE(Instances!GP19:Instances!GP19),"median", MEDIAN(Instances!GP19:Instances!GP19),"min", MIN(Instances!GP19:Instances!GP19),"max", MAX(Instances!GP19:Instances!GP19),"diff", MAX(Instances!GP19:Instances!GP19)-MIN(Instances!GP19:Instances!GP19))</f>
        <v>0</v>
      </c>
      <c r="GQ19" s="1" cm="1">
        <f t="array" ref="GQ19">_xlfn.SWITCH($A$2,"average", AVERAGE(Instances!GQ19:Instances!GQ19),"median", MEDIAN(Instances!GQ19:Instances!GQ19),"min", MIN(Instances!GQ19:Instances!GQ19),"max", MAX(Instances!GQ19:Instances!GQ19),"diff", MAX(Instances!GQ19:Instances!GQ19)-MIN(Instances!GQ19:Instances!GQ19))</f>
        <v>0</v>
      </c>
      <c r="GR19" s="1" cm="1">
        <f t="array" ref="GR19">_xlfn.SWITCH($A$2,"average", AVERAGE(Instances!GR19:Instances!GR19),"median", MEDIAN(Instances!GR19:Instances!GR19),"min", MIN(Instances!GR19:Instances!GR19),"max", MAX(Instances!GR19:Instances!GR19),"diff", MAX(Instances!GR19:Instances!GR19)-MIN(Instances!GR19:Instances!GR19))</f>
        <v>0</v>
      </c>
      <c r="GS19" s="1" cm="1">
        <f t="array" ref="GS19">_xlfn.SWITCH($A$2,"average", AVERAGE(Instances!GS19:Instances!GS19),"median", MEDIAN(Instances!GS19:Instances!GS19),"min", MIN(Instances!GS19:Instances!GS19),"max", MAX(Instances!GS19:Instances!GS19),"diff", MAX(Instances!GS19:Instances!GS19)-MIN(Instances!GS19:Instances!GS19))</f>
        <v>0</v>
      </c>
      <c r="GT19" s="1" cm="1">
        <f t="array" ref="GT19">_xlfn.SWITCH($A$2,"average", AVERAGE(Instances!GT19:Instances!GT19),"median", MEDIAN(Instances!GT19:Instances!GT19),"min", MIN(Instances!GT19:Instances!GT19),"max", MAX(Instances!GT19:Instances!GT19),"diff", MAX(Instances!GT19:Instances!GT19)-MIN(Instances!GT19:Instances!GT19))</f>
        <v>0</v>
      </c>
      <c r="GU19" s="1" cm="1">
        <f t="array" ref="GU19">_xlfn.SWITCH($A$2,"average", AVERAGE(Instances!GU19:Instances!GU19),"median", MEDIAN(Instances!GU19:Instances!GU19),"min", MIN(Instances!GU19:Instances!GU19),"max", MAX(Instances!GU19:Instances!GU19),"diff", MAX(Instances!GU19:Instances!GU19)-MIN(Instances!GU19:Instances!GU19))</f>
        <v>0</v>
      </c>
      <c r="GV19" s="1" cm="1">
        <f t="array" ref="GV19">_xlfn.SWITCH($A$2,"average", AVERAGE(Instances!GV19:Instances!GV19),"median", MEDIAN(Instances!GV19:Instances!GV19),"min", MIN(Instances!GV19:Instances!GV19),"max", MAX(Instances!GV19:Instances!GV19),"diff", MAX(Instances!GV19:Instances!GV19)-MIN(Instances!GV19:Instances!GV19))</f>
        <v>0</v>
      </c>
      <c r="GW19" s="1" cm="1">
        <f t="array" ref="GW19">_xlfn.SWITCH($A$2,"average", AVERAGE(Instances!GW19:Instances!GW19),"median", MEDIAN(Instances!GW19:Instances!GW19),"min", MIN(Instances!GW19:Instances!GW19),"max", MAX(Instances!GW19:Instances!GW19),"diff", MAX(Instances!GW19:Instances!GW19)-MIN(Instances!GW19:Instances!GW19))</f>
        <v>0</v>
      </c>
      <c r="GX19" s="1" cm="1">
        <f t="array" ref="GX19">_xlfn.SWITCH($A$2,"average", AVERAGE(Instances!GX19:Instances!GX19),"median", MEDIAN(Instances!GX19:Instances!GX19),"min", MIN(Instances!GX19:Instances!GX19),"max", MAX(Instances!GX19:Instances!GX19),"diff", MAX(Instances!GX19:Instances!GX19)-MIN(Instances!GX19:Instances!GX19))</f>
        <v>0</v>
      </c>
      <c r="GY19" s="1" cm="1">
        <f t="array" ref="GY19">_xlfn.SWITCH($A$2,"average", AVERAGE(Instances!GY19:Instances!GY19),"median", MEDIAN(Instances!GY19:Instances!GY19),"min", MIN(Instances!GY19:Instances!GY19),"max", MAX(Instances!GY19:Instances!GY19),"diff", MAX(Instances!GY19:Instances!GY19)-MIN(Instances!GY19:Instances!GY19))</f>
        <v>0</v>
      </c>
      <c r="GZ19" s="1" cm="1">
        <f t="array" ref="GZ19">_xlfn.SWITCH($A$2,"average", AVERAGE(Instances!GZ19:Instances!GZ19),"median", MEDIAN(Instances!GZ19:Instances!GZ19),"min", MIN(Instances!GZ19:Instances!GZ19),"max", MAX(Instances!GZ19:Instances!GZ19),"diff", MAX(Instances!GZ19:Instances!GZ19)-MIN(Instances!GZ19:Instances!GZ19))</f>
        <v>0</v>
      </c>
      <c r="HA19" s="1" cm="1">
        <f t="array" ref="HA19">_xlfn.SWITCH($A$2,"average", AVERAGE(Instances!HA19:Instances!HA19),"median", MEDIAN(Instances!HA19:Instances!HA19),"min", MIN(Instances!HA19:Instances!HA19),"max", MAX(Instances!HA19:Instances!HA19),"diff", MAX(Instances!HA19:Instances!HA19)-MIN(Instances!HA19:Instances!HA19))</f>
        <v>0</v>
      </c>
      <c r="HB19" s="1" cm="1">
        <f t="array" ref="HB19">_xlfn.SWITCH($A$2,"average", AVERAGE(Instances!HB19:Instances!HB19),"median", MEDIAN(Instances!HB19:Instances!HB19),"min", MIN(Instances!HB19:Instances!HB19),"max", MAX(Instances!HB19:Instances!HB19),"diff", MAX(Instances!HB19:Instances!HB19)-MIN(Instances!HB19:Instances!HB19))</f>
        <v>0</v>
      </c>
      <c r="HC19" s="1" cm="1">
        <f t="array" ref="HC19">_xlfn.SWITCH($A$2,"average", AVERAGE(Instances!HC19:Instances!HC19),"median", MEDIAN(Instances!HC19:Instances!HC19),"min", MIN(Instances!HC19:Instances!HC19),"max", MAX(Instances!HC19:Instances!HC19),"diff", MAX(Instances!HC19:Instances!HC19)-MIN(Instances!HC19:Instances!HC19))</f>
        <v>0</v>
      </c>
      <c r="HD19" s="1" cm="1">
        <f t="array" ref="HD19">_xlfn.SWITCH($A$2,"average", AVERAGE(Instances!HD19:Instances!HD19),"median", MEDIAN(Instances!HD19:Instances!HD19),"min", MIN(Instances!HD19:Instances!HD19),"max", MAX(Instances!HD19:Instances!HD19),"diff", MAX(Instances!HD19:Instances!HD19)-MIN(Instances!HD19:Instances!HD19))</f>
        <v>0</v>
      </c>
      <c r="HE19" s="1" cm="1">
        <f t="array" ref="HE19">_xlfn.SWITCH($A$2,"average", AVERAGE(Instances!HE19:Instances!HE19),"median", MEDIAN(Instances!HE19:Instances!HE19),"min", MIN(Instances!HE19:Instances!HE19),"max", MAX(Instances!HE19:Instances!HE19),"diff", MAX(Instances!HE19:Instances!HE19)-MIN(Instances!HE19:Instances!HE19))</f>
        <v>0</v>
      </c>
      <c r="HF19" s="1"/>
      <c r="HG19" s="1" cm="1">
        <f t="array" ref="HG19">_xlfn.SWITCH($A$2,"average", AVERAGE(Instances!HG19:Instances!HG19),"median", MEDIAN(Instances!HG19:Instances!HG19),"min", MIN(Instances!HG19:Instances!HG19),"max", MAX(Instances!HG19:Instances!HG19),"diff", MAX(Instances!HG19:Instances!HG19)-MIN(Instances!HG19:Instances!HG19))</f>
        <v>0</v>
      </c>
      <c r="HH19" s="1" cm="1">
        <f t="array" ref="HH19">_xlfn.SWITCH($A$2,"average", AVERAGE(Instances!HH19:Instances!HH19),"median", MEDIAN(Instances!HH19:Instances!HH19),"min", MIN(Instances!HH19:Instances!HH19),"max", MAX(Instances!HH19:Instances!HH19),"diff", MAX(Instances!HH19:Instances!HH19)-MIN(Instances!HH19:Instances!HH19))</f>
        <v>0</v>
      </c>
      <c r="HI19" s="1" cm="1">
        <f t="array" ref="HI19">_xlfn.SWITCH($A$2,"average", AVERAGE(Instances!HI19:Instances!HI19),"median", MEDIAN(Instances!HI19:Instances!HI19),"min", MIN(Instances!HI19:Instances!HI19),"max", MAX(Instances!HI19:Instances!HI19),"diff", MAX(Instances!HI19:Instances!HI19)-MIN(Instances!HI19:Instances!HI19))</f>
        <v>0</v>
      </c>
      <c r="HJ19" s="1" cm="1">
        <f t="array" ref="HJ19">_xlfn.SWITCH($A$2,"average", AVERAGE(Instances!HJ19:Instances!HJ19),"median", MEDIAN(Instances!HJ19:Instances!HJ19),"min", MIN(Instances!HJ19:Instances!HJ19),"max", MAX(Instances!HJ19:Instances!HJ19),"diff", MAX(Instances!HJ19:Instances!HJ19)-MIN(Instances!HJ19:Instances!HJ19))</f>
        <v>0</v>
      </c>
      <c r="HK19" s="1" cm="1">
        <f t="array" ref="HK19">_xlfn.SWITCH($A$2,"average", AVERAGE(Instances!HK19:Instances!HK19),"median", MEDIAN(Instances!HK19:Instances!HK19),"min", MIN(Instances!HK19:Instances!HK19),"max", MAX(Instances!HK19:Instances!HK19),"diff", MAX(Instances!HK19:Instances!HK19)-MIN(Instances!HK19:Instances!HK19))</f>
        <v>0</v>
      </c>
      <c r="HL19" s="1" cm="1">
        <f t="array" ref="HL19">_xlfn.SWITCH($A$2,"average", AVERAGE(Instances!HL19:Instances!HL19),"median", MEDIAN(Instances!HL19:Instances!HL19),"min", MIN(Instances!HL19:Instances!HL19),"max", MAX(Instances!HL19:Instances!HL19),"diff", MAX(Instances!HL19:Instances!HL19)-MIN(Instances!HL19:Instances!HL19))</f>
        <v>0</v>
      </c>
      <c r="HM19" s="1" cm="1">
        <f t="array" ref="HM19">_xlfn.SWITCH($A$2,"average", AVERAGE(Instances!HM19:Instances!HM19),"median", MEDIAN(Instances!HM19:Instances!HM19),"min", MIN(Instances!HM19:Instances!HM19),"max", MAX(Instances!HM19:Instances!HM19),"diff", MAX(Instances!HM19:Instances!HM19)-MIN(Instances!HM19:Instances!HM19))</f>
        <v>0</v>
      </c>
      <c r="HN19" s="1" cm="1">
        <f t="array" ref="HN19">_xlfn.SWITCH($A$2,"average", AVERAGE(Instances!HN19:Instances!HN19),"median", MEDIAN(Instances!HN19:Instances!HN19),"min", MIN(Instances!HN19:Instances!HN19),"max", MAX(Instances!HN19:Instances!HN19),"diff", MAX(Instances!HN19:Instances!HN19)-MIN(Instances!HN19:Instances!HN19))</f>
        <v>0</v>
      </c>
      <c r="HO19" s="1" cm="1">
        <f t="array" ref="HO19">_xlfn.SWITCH($A$2,"average", AVERAGE(Instances!HO19:Instances!HO19),"median", MEDIAN(Instances!HO19:Instances!HO19),"min", MIN(Instances!HO19:Instances!HO19),"max", MAX(Instances!HO19:Instances!HO19),"diff", MAX(Instances!HO19:Instances!HO19)-MIN(Instances!HO19:Instances!HO19))</f>
        <v>0</v>
      </c>
      <c r="HP19" s="1" cm="1">
        <f t="array" ref="HP19">_xlfn.SWITCH($A$2,"average", AVERAGE(Instances!HP19:Instances!HP19),"median", MEDIAN(Instances!HP19:Instances!HP19),"min", MIN(Instances!HP19:Instances!HP19),"max", MAX(Instances!HP19:Instances!HP19),"diff", MAX(Instances!HP19:Instances!HP19)-MIN(Instances!HP19:Instances!HP19))</f>
        <v>0</v>
      </c>
      <c r="HQ19" s="1" cm="1">
        <f t="array" ref="HQ19">_xlfn.SWITCH($A$2,"average", AVERAGE(Instances!HQ19:Instances!HQ19),"median", MEDIAN(Instances!HQ19:Instances!HQ19),"min", MIN(Instances!HQ19:Instances!HQ19),"max", MAX(Instances!HQ19:Instances!HQ19),"diff", MAX(Instances!HQ19:Instances!HQ19)-MIN(Instances!HQ19:Instances!HQ19))</f>
        <v>0</v>
      </c>
      <c r="HR19" s="1" cm="1">
        <f t="array" ref="HR19">_xlfn.SWITCH($A$2,"average", AVERAGE(Instances!HR19:Instances!HR19),"median", MEDIAN(Instances!HR19:Instances!HR19),"min", MIN(Instances!HR19:Instances!HR19),"max", MAX(Instances!HR19:Instances!HR19),"diff", MAX(Instances!HR19:Instances!HR19)-MIN(Instances!HR19:Instances!HR19))</f>
        <v>0</v>
      </c>
      <c r="HS19" s="1" cm="1">
        <f t="array" ref="HS19">_xlfn.SWITCH($A$2,"average", AVERAGE(Instances!HS19:Instances!HS19),"median", MEDIAN(Instances!HS19:Instances!HS19),"min", MIN(Instances!HS19:Instances!HS19),"max", MAX(Instances!HS19:Instances!HS19),"diff", MAX(Instances!HS19:Instances!HS19)-MIN(Instances!HS19:Instances!HS19))</f>
        <v>0</v>
      </c>
      <c r="HT19" s="1" cm="1">
        <f t="array" ref="HT19">_xlfn.SWITCH($A$2,"average", AVERAGE(Instances!HT19:Instances!HT19),"median", MEDIAN(Instances!HT19:Instances!HT19),"min", MIN(Instances!HT19:Instances!HT19),"max", MAX(Instances!HT19:Instances!HT19),"diff", MAX(Instances!HT19:Instances!HT19)-MIN(Instances!HT19:Instances!HT19))</f>
        <v>0</v>
      </c>
      <c r="HU19" s="1" cm="1">
        <f t="array" ref="HU19">_xlfn.SWITCH($A$2,"average", AVERAGE(Instances!HU19:Instances!HU19),"median", MEDIAN(Instances!HU19:Instances!HU19),"min", MIN(Instances!HU19:Instances!HU19),"max", MAX(Instances!HU19:Instances!HU19),"diff", MAX(Instances!HU19:Instances!HU19)-MIN(Instances!HU19:Instances!HU19))</f>
        <v>0</v>
      </c>
      <c r="HV19" s="1" cm="1">
        <f t="array" ref="HV19">_xlfn.SWITCH($A$2,"average", AVERAGE(Instances!HV19:Instances!HV19),"median", MEDIAN(Instances!HV19:Instances!HV19),"min", MIN(Instances!HV19:Instances!HV19),"max", MAX(Instances!HV19:Instances!HV19),"diff", MAX(Instances!HV19:Instances!HV19)-MIN(Instances!HV19:Instances!HV19))</f>
        <v>0</v>
      </c>
      <c r="HW19" s="1" cm="1">
        <f t="array" ref="HW19">_xlfn.SWITCH($A$2,"average", AVERAGE(Instances!HW19:Instances!HW19),"median", MEDIAN(Instances!HW19:Instances!HW19),"min", MIN(Instances!HW19:Instances!HW19),"max", MAX(Instances!HW19:Instances!HW19),"diff", MAX(Instances!HW19:Instances!HW19)-MIN(Instances!HW19:Instances!HW19))</f>
        <v>0</v>
      </c>
      <c r="HX19" s="1"/>
      <c r="HY19" s="1" cm="1">
        <f t="array" ref="HY19">_xlfn.SWITCH($A$2,"average", AVERAGE(Instances!HY19:Instances!HY19),"median", MEDIAN(Instances!HY19:Instances!HY19),"min", MIN(Instances!HY19:Instances!HY19),"max", MAX(Instances!HY19:Instances!HY19),"diff", MAX(Instances!HY19:Instances!HY19)-MIN(Instances!HY19:Instances!HY19))</f>
        <v>0</v>
      </c>
      <c r="HZ19" s="1" cm="1">
        <f t="array" ref="HZ19">_xlfn.SWITCH($A$2,"average", AVERAGE(Instances!HZ19:Instances!HZ19),"median", MEDIAN(Instances!HZ19:Instances!HZ19),"min", MIN(Instances!HZ19:Instances!HZ19),"max", MAX(Instances!HZ19:Instances!HZ19),"diff", MAX(Instances!HZ19:Instances!HZ19)-MIN(Instances!HZ19:Instances!HZ19))</f>
        <v>0</v>
      </c>
      <c r="IA19" s="1" cm="1">
        <f t="array" ref="IA19">_xlfn.SWITCH($A$2,"average", AVERAGE(Instances!IA19:Instances!IA19),"median", MEDIAN(Instances!IA19:Instances!IA19),"min", MIN(Instances!IA19:Instances!IA19),"max", MAX(Instances!IA19:Instances!IA19),"diff", MAX(Instances!IA19:Instances!IA19)-MIN(Instances!IA19:Instances!IA19))</f>
        <v>0</v>
      </c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 cm="1">
        <f t="array" ref="JL19">_xlfn.SWITCH($A$2,"average", AVERAGE(Instances!JL19:Instances!JL19),"median", MEDIAN(Instances!JL19:Instances!JL19),"min", MIN(Instances!JL19:Instances!JL19),"max", MAX(Instances!JL19:Instances!JL19),"diff", MAX(Instances!JL19:Instances!JL19)-MIN(Instances!JL19:Instances!JL19))</f>
        <v>0</v>
      </c>
      <c r="JM19" s="1" cm="1">
        <f t="array" ref="JM19">_xlfn.SWITCH($A$2,"average", AVERAGE(Instances!JM19:Instances!JM19),"median", MEDIAN(Instances!JM19:Instances!JM19),"min", MIN(Instances!JM19:Instances!JM19),"max", MAX(Instances!JM19:Instances!JM19),"diff", MAX(Instances!JM19:Instances!JM19)-MIN(Instances!JM19:Instances!JM19))</f>
        <v>0</v>
      </c>
      <c r="JN19" s="1" cm="1">
        <f t="array" ref="JN19">_xlfn.SWITCH($A$2,"average", AVERAGE(Instances!JN19:Instances!JN19),"median", MEDIAN(Instances!JN19:Instances!JN19),"min", MIN(Instances!JN19:Instances!JN19),"max", MAX(Instances!JN19:Instances!JN19),"diff", MAX(Instances!JN19:Instances!JN19)-MIN(Instances!JN19:Instances!JN19))</f>
        <v>0</v>
      </c>
      <c r="JO19" s="1" cm="1">
        <f t="array" ref="JO19">_xlfn.SWITCH($A$2,"average", AVERAGE(Instances!JO19:Instances!JO19),"median", MEDIAN(Instances!JO19:Instances!JO19),"min", MIN(Instances!JO19:Instances!JO19),"max", MAX(Instances!JO19:Instances!JO19),"diff", MAX(Instances!JO19:Instances!JO19)-MIN(Instances!JO19:Instances!JO19))</f>
        <v>0</v>
      </c>
      <c r="JP19" s="1" cm="1">
        <f t="array" ref="JP19">_xlfn.SWITCH($A$2,"average", AVERAGE(Instances!JP19:Instances!JP19),"median", MEDIAN(Instances!JP19:Instances!JP19),"min", MIN(Instances!JP19:Instances!JP19),"max", MAX(Instances!JP19:Instances!JP19),"diff", MAX(Instances!JP19:Instances!JP19)-MIN(Instances!JP19:Instances!JP19))</f>
        <v>0</v>
      </c>
      <c r="JQ19" s="1" cm="1">
        <f t="array" ref="JQ19">_xlfn.SWITCH($A$2,"average", AVERAGE(Instances!JQ19:Instances!JQ19),"median", MEDIAN(Instances!JQ19:Instances!JQ19),"min", MIN(Instances!JQ19:Instances!JQ19),"max", MAX(Instances!JQ19:Instances!JQ19),"diff", MAX(Instances!JQ19:Instances!JQ19)-MIN(Instances!JQ19:Instances!JQ19))</f>
        <v>0</v>
      </c>
      <c r="JR19" s="1" cm="1">
        <f t="array" ref="JR19">_xlfn.SWITCH($A$2,"average", AVERAGE(Instances!JR19:Instances!JR19),"median", MEDIAN(Instances!JR19:Instances!JR19),"min", MIN(Instances!JR19:Instances!JR19),"max", MAX(Instances!JR19:Instances!JR19),"diff", MAX(Instances!JR19:Instances!JR19)-MIN(Instances!JR19:Instances!JR19))</f>
        <v>0</v>
      </c>
      <c r="JS19" s="1" cm="1">
        <f t="array" ref="JS19">_xlfn.SWITCH($A$2,"average", AVERAGE(Instances!JS19:Instances!JS19),"median", MEDIAN(Instances!JS19:Instances!JS19),"min", MIN(Instances!JS19:Instances!JS19),"max", MAX(Instances!JS19:Instances!JS19),"diff", MAX(Instances!JS19:Instances!JS19)-MIN(Instances!JS19:Instances!JS19))</f>
        <v>0</v>
      </c>
      <c r="JT19" s="1" cm="1">
        <f t="array" ref="JT19">_xlfn.SWITCH($A$2,"average", AVERAGE(Instances!JT19:Instances!JT19),"median", MEDIAN(Instances!JT19:Instances!JT19),"min", MIN(Instances!JT19:Instances!JT19),"max", MAX(Instances!JT19:Instances!JT19),"diff", MAX(Instances!JT19:Instances!JT19)-MIN(Instances!JT19:Instances!JT19))</f>
        <v>0</v>
      </c>
      <c r="JU19" s="1" cm="1">
        <f t="array" ref="JU19">_xlfn.SWITCH($A$2,"average", AVERAGE(Instances!JU19:Instances!JU19),"median", MEDIAN(Instances!JU19:Instances!JU19),"min", MIN(Instances!JU19:Instances!JU19),"max", MAX(Instances!JU19:Instances!JU19),"diff", MAX(Instances!JU19:Instances!JU19)-MIN(Instances!JU19:Instances!JU19))</f>
        <v>0</v>
      </c>
      <c r="JV19" s="1" cm="1">
        <f t="array" ref="JV19">_xlfn.SWITCH($A$2,"average", AVERAGE(Instances!JV19:Instances!JV19),"median", MEDIAN(Instances!JV19:Instances!JV19),"min", MIN(Instances!JV19:Instances!JV19),"max", MAX(Instances!JV19:Instances!JV19),"diff", MAX(Instances!JV19:Instances!JV19)-MIN(Instances!JV19:Instances!JV19))</f>
        <v>0</v>
      </c>
      <c r="JW19" s="1" cm="1">
        <f t="array" ref="JW19">_xlfn.SWITCH($A$2,"average", AVERAGE(Instances!JW19:Instances!JW19),"median", MEDIAN(Instances!JW19:Instances!JW19),"min", MIN(Instances!JW19:Instances!JW19),"max", MAX(Instances!JW19:Instances!JW19),"diff", MAX(Instances!JW19:Instances!JW19)-MIN(Instances!JW19:Instances!JW19))</f>
        <v>0</v>
      </c>
      <c r="JX19" s="1" cm="1">
        <f t="array" ref="JX19">_xlfn.SWITCH($A$2,"average", AVERAGE(Instances!JX19:Instances!JX19),"median", MEDIAN(Instances!JX19:Instances!JX19),"min", MIN(Instances!JX19:Instances!JX19),"max", MAX(Instances!JX19:Instances!JX19),"diff", MAX(Instances!JX19:Instances!JX19)-MIN(Instances!JX19:Instances!JX19))</f>
        <v>0</v>
      </c>
      <c r="JY19" s="1" cm="1">
        <f t="array" ref="JY19">_xlfn.SWITCH($A$2,"average", AVERAGE(Instances!JY19:Instances!JY19),"median", MEDIAN(Instances!JY19:Instances!JY19),"min", MIN(Instances!JY19:Instances!JY19),"max", MAX(Instances!JY19:Instances!JY19),"diff", MAX(Instances!JY19:Instances!JY19)-MIN(Instances!JY19:Instances!JY19))</f>
        <v>0</v>
      </c>
      <c r="JZ19" s="1"/>
      <c r="KA19" s="1" cm="1">
        <f t="array" ref="KA19">_xlfn.SWITCH($A$2,"average", AVERAGE(Instances!KA19:Instances!KA19),"median", MEDIAN(Instances!KA19:Instances!KA19),"min", MIN(Instances!KA19:Instances!KA19),"max", MAX(Instances!KA19:Instances!KA19),"diff", MAX(Instances!KA19:Instances!KA19)-MIN(Instances!KA19:Instances!KA19))</f>
        <v>0</v>
      </c>
      <c r="KB19" s="1" cm="1">
        <f t="array" ref="KB19">_xlfn.SWITCH($A$2,"average", AVERAGE(Instances!KB19:Instances!KB19),"median", MEDIAN(Instances!KB19:Instances!KB19),"min", MIN(Instances!KB19:Instances!KB19),"max", MAX(Instances!KB19:Instances!KB19),"diff", MAX(Instances!KB19:Instances!KB19)-MIN(Instances!KB19:Instances!KB19))</f>
        <v>0</v>
      </c>
      <c r="KC19" s="1" cm="1">
        <f t="array" ref="KC19">_xlfn.SWITCH($A$2,"average", AVERAGE(Instances!KC19:Instances!KC19),"median", MEDIAN(Instances!KC19:Instances!KC19),"min", MIN(Instances!KC19:Instances!KC19),"max", MAX(Instances!KC19:Instances!KC19),"diff", MAX(Instances!KC19:Instances!KC19)-MIN(Instances!KC19:Instances!KC19))</f>
        <v>0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 cm="1">
        <f t="array" ref="L20">_xlfn.SWITCH($A$2,"average", AVERAGE(Instances!L20:Instances!L20),"median", MEDIAN(Instances!L20:Instances!L20),"min", MIN(Instances!L20:Instances!L20),"max", MAX(Instances!L20:Instances!L20),"diff", MAX(Instances!L20:Instances!L20)-MIN(Instances!L20:Instances!L20))</f>
        <v>0</v>
      </c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 cm="1">
        <f t="array" ref="O20">_xlfn.SWITCH($A$2,"average", AVERAGE(Instances!O20:Instances!O20),"median", MEDIAN(Instances!O20:Instances!O20),"min", MIN(Instances!O20:Instances!O20),"max", MAX(Instances!O20:Instances!O20),"diff", MAX(Instances!O20:Instances!O20)-MIN(Instances!O20:Instances!O20))</f>
        <v>0</v>
      </c>
      <c r="P20" s="1"/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 cm="1">
        <f t="array" ref="S20">_xlfn.SWITCH($A$2,"average", AVERAGE(Instances!S20:Instances!S20),"median", MEDIAN(Instances!S20:Instances!S20),"min", MIN(Instances!S20:Instances!S20),"max", MAX(Instances!S20:Instances!S20),"diff", MAX(Instances!S20:Instances!S20)-MIN(Instances!S20:Instances!S20))</f>
        <v>0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 cm="1">
        <f t="array" ref="AL20">_xlfn.SWITCH($A$2,"average", AVERAGE(Instances!AL20:Instances!AL20),"median", MEDIAN(Instances!AL20:Instances!AL20),"min", MIN(Instances!AL20:Instances!AL20),"max", MAX(Instances!AL20:Instances!AL20),"diff", MAX(Instances!AL20:Instances!AL20)-MIN(Instances!AL20:Instances!AL20))</f>
        <v>0</v>
      </c>
      <c r="AM20" s="1" cm="1">
        <f t="array" ref="AM20">_xlfn.SWITCH($A$2,"average", AVERAGE(Instances!AM20:Instances!AM20),"median", MEDIAN(Instances!AM20:Instances!AM20),"min", MIN(Instances!AM20:Instances!AM20),"max", MAX(Instances!AM20:Instances!AM20),"diff", MAX(Instances!AM20:Instances!AM20)-MIN(Instances!AM20:Instances!AM20))</f>
        <v>0</v>
      </c>
      <c r="AN20" s="1" cm="1">
        <f t="array" ref="AN20">_xlfn.SWITCH($A$2,"average", AVERAGE(Instances!AN20:Instances!AN20),"median", MEDIAN(Instances!AN20:Instances!AN20),"min", MIN(Instances!AN20:Instances!AN20),"max", MAX(Instances!AN20:Instances!AN20),"diff", MAX(Instances!AN20:Instances!AN20)-MIN(Instances!AN20:Instances!AN20))</f>
        <v>0</v>
      </c>
      <c r="AO20" s="1" cm="1">
        <f t="array" ref="AO20">_xlfn.SWITCH($A$2,"average", AVERAGE(Instances!AO20:Instances!AO20),"median", MEDIAN(Instances!AO20:Instances!AO20),"min", MIN(Instances!AO20:Instances!AO20),"max", MAX(Instances!AO20:Instances!AO20),"diff", MAX(Instances!AO20:Instances!AO20)-MIN(Instances!AO20:Instances!AO20))</f>
        <v>0</v>
      </c>
      <c r="AP20" s="1" cm="1">
        <f t="array" ref="AP20">_xlfn.SWITCH($A$2,"average", AVERAGE(Instances!AP20:Instances!AP20),"median", MEDIAN(Instances!AP20:Instances!AP20),"min", MIN(Instances!AP20:Instances!AP20),"max", MAX(Instances!AP20:Instances!AP20),"diff", MAX(Instances!AP20:Instances!AP20)-MIN(Instances!AP20:Instances!AP20))</f>
        <v>0</v>
      </c>
      <c r="AQ20" s="1" cm="1">
        <f t="array" ref="AQ20">_xlfn.SWITCH($A$2,"average", AVERAGE(Instances!AQ20:Instances!AQ20),"median", MEDIAN(Instances!AQ20:Instances!AQ20),"min", MIN(Instances!AQ20:Instances!AQ20),"max", MAX(Instances!AQ20:Instances!AQ20),"diff", MAX(Instances!AQ20:Instances!AQ20)-MIN(Instances!AQ20:Instances!AQ20))</f>
        <v>0</v>
      </c>
      <c r="AR20" s="1" cm="1">
        <f t="array" ref="AR20">_xlfn.SWITCH($A$2,"average", AVERAGE(Instances!AR20:Instances!AR20),"median", MEDIAN(Instances!AR20:Instances!AR20),"min", MIN(Instances!AR20:Instances!AR20),"max", MAX(Instances!AR20:Instances!AR20),"diff", MAX(Instances!AR20:Instances!AR20)-MIN(Instances!AR20:Instances!AR20))</f>
        <v>0</v>
      </c>
      <c r="AS20" s="1" cm="1">
        <f t="array" ref="AS20">_xlfn.SWITCH($A$2,"average", AVERAGE(Instances!AS20:Instances!AS20),"median", MEDIAN(Instances!AS20:Instances!AS20),"min", MIN(Instances!AS20:Instances!AS20),"max", MAX(Instances!AS20:Instances!AS20),"diff", MAX(Instances!AS20:Instances!AS20)-MIN(Instances!AS20:Instances!AS20))</f>
        <v>0</v>
      </c>
      <c r="AT20" s="1" cm="1">
        <f t="array" ref="AT20">_xlfn.SWITCH($A$2,"average", AVERAGE(Instances!AT20:Instances!AT20),"median", MEDIAN(Instances!AT20:Instances!AT20),"min", MIN(Instances!AT20:Instances!AT20),"max", MAX(Instances!AT20:Instances!AT20),"diff", MAX(Instances!AT20:Instances!AT20)-MIN(Instances!AT20:Instances!AT20))</f>
        <v>0</v>
      </c>
      <c r="AU20" s="1" cm="1">
        <f t="array" ref="AU20">_xlfn.SWITCH($A$2,"average", AVERAGE(Instances!AU20:Instances!AU20),"median", MEDIAN(Instances!AU20:Instances!AU20),"min", MIN(Instances!AU20:Instances!AU20),"max", MAX(Instances!AU20:Instances!AU20),"diff", MAX(Instances!AU20:Instances!AU20)-MIN(Instances!AU20:Instances!AU20))</f>
        <v>0</v>
      </c>
      <c r="AV20" s="1" cm="1">
        <f t="array" ref="AV20">_xlfn.SWITCH($A$2,"average", AVERAGE(Instances!AV20:Instances!AV20),"median", MEDIAN(Instances!AV20:Instances!AV20),"min", MIN(Instances!AV20:Instances!AV20),"max", MAX(Instances!AV20:Instances!AV20),"diff", MAX(Instances!AV20:Instances!AV20)-MIN(Instances!AV20:Instances!AV20))</f>
        <v>0</v>
      </c>
      <c r="AW20" s="1" cm="1">
        <f t="array" ref="AW20">_xlfn.SWITCH($A$2,"average", AVERAGE(Instances!AW20:Instances!AW20),"median", MEDIAN(Instances!AW20:Instances!AW20),"min", MIN(Instances!AW20:Instances!AW20),"max", MAX(Instances!AW20:Instances!AW20),"diff", MAX(Instances!AW20:Instances!AW20)-MIN(Instances!AW20:Instances!AW20))</f>
        <v>0</v>
      </c>
      <c r="AX20" s="1" cm="1">
        <f t="array" ref="AX20">_xlfn.SWITCH($A$2,"average", AVERAGE(Instances!AX20:Instances!AX20),"median", MEDIAN(Instances!AX20:Instances!AX20),"min", MIN(Instances!AX20:Instances!AX20),"max", MAX(Instances!AX20:Instances!AX20),"diff", MAX(Instances!AX20:Instances!AX20)-MIN(Instances!AX20:Instances!AX20))</f>
        <v>0</v>
      </c>
      <c r="AY20" s="1" cm="1">
        <f t="array" ref="AY20">_xlfn.SWITCH($A$2,"average", AVERAGE(Instances!AY20:Instances!AY20),"median", MEDIAN(Instances!AY20:Instances!AY20),"min", MIN(Instances!AY20:Instances!AY20),"max", MAX(Instances!AY20:Instances!AY20),"diff", MAX(Instances!AY20:Instances!AY20)-MIN(Instances!AY20:Instances!AY20))</f>
        <v>0</v>
      </c>
      <c r="AZ20" s="1"/>
      <c r="BA20" s="1" cm="1">
        <f t="array" ref="BA20">_xlfn.SWITCH($A$2,"average", AVERAGE(Instances!BA20:Instances!BA20),"median", MEDIAN(Instances!BA20:Instances!BA20),"min", MIN(Instances!BA20:Instances!BA20),"max", MAX(Instances!BA20:Instances!BA20),"diff", MAX(Instances!BA20:Instances!BA20)-MIN(Instances!BA20:Instances!BA20))</f>
        <v>0</v>
      </c>
      <c r="BB20" s="1" cm="1">
        <f t="array" ref="BB20">_xlfn.SWITCH($A$2,"average", AVERAGE(Instances!BB20:Instances!BB20),"median", MEDIAN(Instances!BB20:Instances!BB20),"min", MIN(Instances!BB20:Instances!BB20),"max", MAX(Instances!BB20:Instances!BB20),"diff", MAX(Instances!BB20:Instances!BB20)-MIN(Instances!BB20:Instances!BB20))</f>
        <v>0</v>
      </c>
      <c r="BC20" s="1" cm="1">
        <f t="array" ref="BC20">_xlfn.SWITCH($A$2,"average", AVERAGE(Instances!BC20:Instances!BC20),"median", MEDIAN(Instances!BC20:Instances!BC20),"min", MIN(Instances!BC20:Instances!BC20),"max", MAX(Instances!BC20:Instances!BC20),"diff", MAX(Instances!BC20:Instances!BC20)-MIN(Instances!BC20:Instances!BC20))</f>
        <v>0</v>
      </c>
      <c r="BD20" s="1" cm="1">
        <f t="array" ref="BD20">_xlfn.SWITCH($A$2,"average", AVERAGE(Instances!BD20:Instances!BD20),"median", MEDIAN(Instances!BD20:Instances!BD20),"min", MIN(Instances!BD20:Instances!BD20),"max", MAX(Instances!BD20:Instances!BD20),"diff", MAX(Instances!BD20:Instances!BD20)-MIN(Instances!BD20:Instances!BD20))</f>
        <v>0</v>
      </c>
      <c r="BE20" s="1" cm="1">
        <f t="array" ref="BE20">_xlfn.SWITCH($A$2,"average", AVERAGE(Instances!BE20:Instances!BE20),"median", MEDIAN(Instances!BE20:Instances!BE20),"min", MIN(Instances!BE20:Instances!BE20),"max", MAX(Instances!BE20:Instances!BE20),"diff", MAX(Instances!BE20:Instances!BE20)-MIN(Instances!BE20:Instances!BE20))</f>
        <v>0</v>
      </c>
      <c r="BF20" s="1" cm="1">
        <f t="array" ref="BF20">_xlfn.SWITCH($A$2,"average", AVERAGE(Instances!BF20:Instances!BF20),"median", MEDIAN(Instances!BF20:Instances!BF20),"min", MIN(Instances!BF20:Instances!BF20),"max", MAX(Instances!BF20:Instances!BF20),"diff", MAX(Instances!BF20:Instances!BF20)-MIN(Instances!BF20:Instances!BF20))</f>
        <v>0</v>
      </c>
      <c r="BG20" s="1" cm="1">
        <f t="array" ref="BG20">_xlfn.SWITCH($A$2,"average", AVERAGE(Instances!BG20:Instances!BG20),"median", MEDIAN(Instances!BG20:Instances!BG20),"min", MIN(Instances!BG20:Instances!BG20),"max", MAX(Instances!BG20:Instances!BG20),"diff", MAX(Instances!BG20:Instances!BG20)-MIN(Instances!BG20:Instances!BG20))</f>
        <v>0</v>
      </c>
      <c r="BH20" s="1" cm="1">
        <f t="array" ref="BH20">_xlfn.SWITCH($A$2,"average", AVERAGE(Instances!BH20:Instances!BH20),"median", MEDIAN(Instances!BH20:Instances!BH20),"min", MIN(Instances!BH20:Instances!BH20),"max", MAX(Instances!BH20:Instances!BH20),"diff", MAX(Instances!BH20:Instances!BH20)-MIN(Instances!BH20:Instances!BH20))</f>
        <v>0</v>
      </c>
      <c r="BI20" s="1" cm="1">
        <f t="array" ref="BI20">_xlfn.SWITCH($A$2,"average", AVERAGE(Instances!BI20:Instances!BI20),"median", MEDIAN(Instances!BI20:Instances!BI20),"min", MIN(Instances!BI20:Instances!BI20),"max", MAX(Instances!BI20:Instances!BI20),"diff", MAX(Instances!BI20:Instances!BI20)-MIN(Instances!BI20:Instances!BI20))</f>
        <v>0</v>
      </c>
      <c r="BJ20" s="1" cm="1">
        <f t="array" ref="BJ20">_xlfn.SWITCH($A$2,"average", AVERAGE(Instances!BJ20:Instances!BJ20),"median", MEDIAN(Instances!BJ20:Instances!BJ20),"min", MIN(Instances!BJ20:Instances!BJ20),"max", MAX(Instances!BJ20:Instances!BJ20),"diff", MAX(Instances!BJ20:Instances!BJ20)-MIN(Instances!BJ20:Instances!BJ20))</f>
        <v>0</v>
      </c>
      <c r="BK20" s="1" cm="1">
        <f t="array" ref="BK20">_xlfn.SWITCH($A$2,"average", AVERAGE(Instances!BK20:Instances!BK20),"median", MEDIAN(Instances!BK20:Instances!BK20),"min", MIN(Instances!BK20:Instances!BK20),"max", MAX(Instances!BK20:Instances!BK20),"diff", MAX(Instances!BK20:Instances!BK20)-MIN(Instances!BK20:Instances!BK20))</f>
        <v>0</v>
      </c>
      <c r="BL20" s="1" cm="1">
        <f t="array" ref="BL20">_xlfn.SWITCH($A$2,"average", AVERAGE(Instances!BL20:Instances!BL20),"median", MEDIAN(Instances!BL20:Instances!BL20),"min", MIN(Instances!BL20:Instances!BL20),"max", MAX(Instances!BL20:Instances!BL20),"diff", MAX(Instances!BL20:Instances!BL20)-MIN(Instances!BL20:Instances!BL20))</f>
        <v>0</v>
      </c>
      <c r="BM20" s="1" cm="1">
        <f t="array" ref="BM20">_xlfn.SWITCH($A$2,"average", AVERAGE(Instances!BM20:Instances!BM20),"median", MEDIAN(Instances!BM20:Instances!BM20),"min", MIN(Instances!BM20:Instances!BM20),"max", MAX(Instances!BM20:Instances!BM20),"diff", MAX(Instances!BM20:Instances!BM20)-MIN(Instances!BM20:Instances!BM20))</f>
        <v>0</v>
      </c>
      <c r="BN20" s="1" cm="1">
        <f t="array" ref="BN20">_xlfn.SWITCH($A$2,"average", AVERAGE(Instances!BN20:Instances!BN20),"median", MEDIAN(Instances!BN20:Instances!BN20),"min", MIN(Instances!BN20:Instances!BN20),"max", MAX(Instances!BN20:Instances!BN20),"diff", MAX(Instances!BN20:Instances!BN20)-MIN(Instances!BN20:Instances!BN20))</f>
        <v>0</v>
      </c>
      <c r="BO20" s="1" cm="1">
        <f t="array" ref="BO20">_xlfn.SWITCH($A$2,"average", AVERAGE(Instances!BO20:Instances!BO20),"median", MEDIAN(Instances!BO20:Instances!BO20),"min", MIN(Instances!BO20:Instances!BO20),"max", MAX(Instances!BO20:Instances!BO20),"diff", MAX(Instances!BO20:Instances!BO20)-MIN(Instances!BO20:Instances!BO20))</f>
        <v>0</v>
      </c>
      <c r="BP20" s="1" cm="1">
        <f t="array" ref="BP20">_xlfn.SWITCH($A$2,"average", AVERAGE(Instances!BP20:Instances!BP20),"median", MEDIAN(Instances!BP20:Instances!BP20),"min", MIN(Instances!BP20:Instances!BP20),"max", MAX(Instances!BP20:Instances!BP20),"diff", MAX(Instances!BP20:Instances!BP20)-MIN(Instances!BP20:Instances!BP20))</f>
        <v>0</v>
      </c>
      <c r="BQ20" s="1" cm="1">
        <f t="array" ref="BQ20">_xlfn.SWITCH($A$2,"average", AVERAGE(Instances!BQ20:Instances!BQ20),"median", MEDIAN(Instances!BQ20:Instances!BQ20),"min", MIN(Instances!BQ20:Instances!BQ20),"max", MAX(Instances!BQ20:Instances!BQ20),"diff", MAX(Instances!BQ20:Instances!BQ20)-MIN(Instances!BQ20:Instances!BQ20))</f>
        <v>0</v>
      </c>
      <c r="BR20" s="1"/>
      <c r="BS20" s="1" cm="1">
        <f t="array" ref="BS20">_xlfn.SWITCH($A$2,"average", AVERAGE(Instances!BS20:Instances!BS20),"median", MEDIAN(Instances!BS20:Instances!BS20),"min", MIN(Instances!BS20:Instances!BS20),"max", MAX(Instances!BS20:Instances!BS20),"diff", MAX(Instances!BS20:Instances!BS20)-MIN(Instances!BS20:Instances!BS20))</f>
        <v>0</v>
      </c>
      <c r="BT20" s="1" cm="1">
        <f t="array" ref="BT20">_xlfn.SWITCH($A$2,"average", AVERAGE(Instances!BT20:Instances!BT20),"median", MEDIAN(Instances!BT20:Instances!BT20),"min", MIN(Instances!BT20:Instances!BT20),"max", MAX(Instances!BT20:Instances!BT20),"diff", MAX(Instances!BT20:Instances!BT20)-MIN(Instances!BT20:Instances!BT20))</f>
        <v>0</v>
      </c>
      <c r="BU20" s="1" cm="1">
        <f t="array" ref="BU20">_xlfn.SWITCH($A$2,"average", AVERAGE(Instances!BU20:Instances!BU20),"median", MEDIAN(Instances!BU20:Instances!BU20),"min", MIN(Instances!BU20:Instances!BU20),"max", MAX(Instances!BU20:Instances!BU20),"diff", MAX(Instances!BU20:Instances!BU20)-MIN(Instances!BU20:Instances!BU20))</f>
        <v>0</v>
      </c>
      <c r="BV20" s="1" cm="1">
        <f t="array" ref="BV20">_xlfn.SWITCH($A$2,"average", AVERAGE(Instances!BV20:Instances!BV20),"median", MEDIAN(Instances!BV20:Instances!BV20),"min", MIN(Instances!BV20:Instances!BV20),"max", MAX(Instances!BV20:Instances!BV20),"diff", MAX(Instances!BV20:Instances!BV20)-MIN(Instances!BV20:Instances!BV20))</f>
        <v>0</v>
      </c>
      <c r="BW20" s="1" cm="1">
        <f t="array" ref="BW20">_xlfn.SWITCH($A$2,"average", AVERAGE(Instances!BW20:Instances!BW20),"median", MEDIAN(Instances!BW20:Instances!BW20),"min", MIN(Instances!BW20:Instances!BW20),"max", MAX(Instances!BW20:Instances!BW20),"diff", MAX(Instances!BW20:Instances!BW20)-MIN(Instances!BW20:Instances!BW20))</f>
        <v>0</v>
      </c>
      <c r="BX20" s="1" cm="1">
        <f t="array" ref="BX20">_xlfn.SWITCH($A$2,"average", AVERAGE(Instances!BX20:Instances!BX20),"median", MEDIAN(Instances!BX20:Instances!BX20),"min", MIN(Instances!BX20:Instances!BX20),"max", MAX(Instances!BX20:Instances!BX20),"diff", MAX(Instances!BX20:Instances!BX20)-MIN(Instances!BX20:Instances!BX20))</f>
        <v>0</v>
      </c>
      <c r="BY20" s="1" cm="1">
        <f t="array" ref="BY20">_xlfn.SWITCH($A$2,"average", AVERAGE(Instances!BY20:Instances!BY20),"median", MEDIAN(Instances!BY20:Instances!BY20),"min", MIN(Instances!BY20:Instances!BY20),"max", MAX(Instances!BY20:Instances!BY20),"diff", MAX(Instances!BY20:Instances!BY20)-MIN(Instances!BY20:Instances!BY20))</f>
        <v>0</v>
      </c>
      <c r="BZ20" s="1" cm="1">
        <f t="array" ref="BZ20">_xlfn.SWITCH($A$2,"average", AVERAGE(Instances!BZ20:Instances!BZ20),"median", MEDIAN(Instances!BZ20:Instances!BZ20),"min", MIN(Instances!BZ20:Instances!BZ20),"max", MAX(Instances!BZ20:Instances!BZ20),"diff", MAX(Instances!BZ20:Instances!BZ20)-MIN(Instances!BZ20:Instances!BZ20))</f>
        <v>0</v>
      </c>
      <c r="CA20" s="1" cm="1">
        <f t="array" ref="CA20">_xlfn.SWITCH($A$2,"average", AVERAGE(Instances!CA20:Instances!CA20),"median", MEDIAN(Instances!CA20:Instances!CA20),"min", MIN(Instances!CA20:Instances!CA20),"max", MAX(Instances!CA20:Instances!CA20),"diff", MAX(Instances!CA20:Instances!CA20)-MIN(Instances!CA20:Instances!CA20))</f>
        <v>0</v>
      </c>
      <c r="CB20" s="1" cm="1">
        <f t="array" ref="CB20">_xlfn.SWITCH($A$2,"average", AVERAGE(Instances!CB20:Instances!CB20),"median", MEDIAN(Instances!CB20:Instances!CB20),"min", MIN(Instances!CB20:Instances!CB20),"max", MAX(Instances!CB20:Instances!CB20),"diff", MAX(Instances!CB20:Instances!CB20)-MIN(Instances!CB20:Instances!CB20))</f>
        <v>0</v>
      </c>
      <c r="CC20" s="1" cm="1">
        <f t="array" ref="CC20">_xlfn.SWITCH($A$2,"average", AVERAGE(Instances!CC20:Instances!CC20),"median", MEDIAN(Instances!CC20:Instances!CC20),"min", MIN(Instances!CC20:Instances!CC20),"max", MAX(Instances!CC20:Instances!CC20),"diff", MAX(Instances!CC20:Instances!CC20)-MIN(Instances!CC20:Instances!CC20))</f>
        <v>0</v>
      </c>
      <c r="CD20" s="1" cm="1">
        <f t="array" ref="CD20">_xlfn.SWITCH($A$2,"average", AVERAGE(Instances!CD20:Instances!CD20),"median", MEDIAN(Instances!CD20:Instances!CD20),"min", MIN(Instances!CD20:Instances!CD20),"max", MAX(Instances!CD20:Instances!CD20),"diff", MAX(Instances!CD20:Instances!CD20)-MIN(Instances!CD20:Instances!CD20))</f>
        <v>0</v>
      </c>
      <c r="CE20" s="1" cm="1">
        <f t="array" ref="CE20">_xlfn.SWITCH($A$2,"average", AVERAGE(Instances!CE20:Instances!CE20),"median", MEDIAN(Instances!CE20:Instances!CE20),"min", MIN(Instances!CE20:Instances!CE20),"max", MAX(Instances!CE20:Instances!CE20),"diff", MAX(Instances!CE20:Instances!CE20)-MIN(Instances!CE20:Instances!CE20))</f>
        <v>0</v>
      </c>
      <c r="CF20" s="1" cm="1">
        <f t="array" ref="CF20">_xlfn.SWITCH($A$2,"average", AVERAGE(Instances!CF20:Instances!CF20),"median", MEDIAN(Instances!CF20:Instances!CF20),"min", MIN(Instances!CF20:Instances!CF20),"max", MAX(Instances!CF20:Instances!CF20),"diff", MAX(Instances!CF20:Instances!CF20)-MIN(Instances!CF20:Instances!CF20))</f>
        <v>0</v>
      </c>
      <c r="CG20" s="1" cm="1">
        <f t="array" ref="CG20">_xlfn.SWITCH($A$2,"average", AVERAGE(Instances!CG20:Instances!CG20),"median", MEDIAN(Instances!CG20:Instances!CG20),"min", MIN(Instances!CG20:Instances!CG20),"max", MAX(Instances!CG20:Instances!CG20),"diff", MAX(Instances!CG20:Instances!CG20)-MIN(Instances!CG20:Instances!CG20))</f>
        <v>0</v>
      </c>
      <c r="CH20" s="1" cm="1">
        <f t="array" ref="CH20">_xlfn.SWITCH($A$2,"average", AVERAGE(Instances!CH20:Instances!CH20),"median", MEDIAN(Instances!CH20:Instances!CH20),"min", MIN(Instances!CH20:Instances!CH20),"max", MAX(Instances!CH20:Instances!CH20),"diff", MAX(Instances!CH20:Instances!CH20)-MIN(Instances!CH20:Instances!CH20))</f>
        <v>0</v>
      </c>
      <c r="CI20" s="1" cm="1">
        <f t="array" ref="CI20">_xlfn.SWITCH($A$2,"average", AVERAGE(Instances!CI20:Instances!CI20),"median", MEDIAN(Instances!CI20:Instances!CI20),"min", MIN(Instances!CI20:Instances!CI20),"max", MAX(Instances!CI20:Instances!CI20),"diff", MAX(Instances!CI20:Instances!CI20)-MIN(Instances!CI20:Instances!CI20))</f>
        <v>0</v>
      </c>
      <c r="CJ20" s="1"/>
      <c r="CK20" s="1" cm="1">
        <f t="array" ref="CK20">_xlfn.SWITCH($A$2,"average", AVERAGE(Instances!CK20:Instances!CK20),"median", MEDIAN(Instances!CK20:Instances!CK20),"min", MIN(Instances!CK20:Instances!CK20),"max", MAX(Instances!CK20:Instances!CK20),"diff", MAX(Instances!CK20:Instances!CK20)-MIN(Instances!CK20:Instances!CK20))</f>
        <v>0</v>
      </c>
      <c r="CL20" s="1" cm="1">
        <f t="array" ref="CL20">_xlfn.SWITCH($A$2,"average", AVERAGE(Instances!CL20:Instances!CL20),"median", MEDIAN(Instances!CL20:Instances!CL20),"min", MIN(Instances!CL20:Instances!CL20),"max", MAX(Instances!CL20:Instances!CL20),"diff", MAX(Instances!CL20:Instances!CL20)-MIN(Instances!CL20:Instances!CL20))</f>
        <v>0</v>
      </c>
      <c r="CM20" s="1" cm="1">
        <f t="array" ref="CM20">_xlfn.SWITCH($A$2,"average", AVERAGE(Instances!CM20:Instances!CM20),"median", MEDIAN(Instances!CM20:Instances!CM20),"min", MIN(Instances!CM20:Instances!CM20),"max", MAX(Instances!CM20:Instances!CM20),"diff", MAX(Instances!CM20:Instances!CM20)-MIN(Instances!CM20:Instances!CM20))</f>
        <v>0</v>
      </c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 cm="1">
        <f t="array" ref="DX20">_xlfn.SWITCH($A$2,"average", AVERAGE(Instances!DX20:Instances!DX20),"median", MEDIAN(Instances!DX20:Instances!DX20),"min", MIN(Instances!DX20:Instances!DX20),"max", MAX(Instances!DX20:Instances!DX20),"diff", MAX(Instances!DX20:Instances!DX20)-MIN(Instances!DX20:Instances!DX20))</f>
        <v>0</v>
      </c>
      <c r="DY20" s="1" cm="1">
        <f t="array" ref="DY20">_xlfn.SWITCH($A$2,"average", AVERAGE(Instances!DY20:Instances!DY20),"median", MEDIAN(Instances!DY20:Instances!DY20),"min", MIN(Instances!DY20:Instances!DY20),"max", MAX(Instances!DY20:Instances!DY20),"diff", MAX(Instances!DY20:Instances!DY20)-MIN(Instances!DY20:Instances!DY20))</f>
        <v>0</v>
      </c>
      <c r="DZ20" s="1" cm="1">
        <f t="array" ref="DZ20">_xlfn.SWITCH($A$2,"average", AVERAGE(Instances!DZ20:Instances!DZ20),"median", MEDIAN(Instances!DZ20:Instances!DZ20),"min", MIN(Instances!DZ20:Instances!DZ20),"max", MAX(Instances!DZ20:Instances!DZ20),"diff", MAX(Instances!DZ20:Instances!DZ20)-MIN(Instances!DZ20:Instances!DZ20))</f>
        <v>0</v>
      </c>
      <c r="EA20" s="1" cm="1">
        <f t="array" ref="EA20">_xlfn.SWITCH($A$2,"average", AVERAGE(Instances!EA20:Instances!EA20),"median", MEDIAN(Instances!EA20:Instances!EA20),"min", MIN(Instances!EA20:Instances!EA20),"max", MAX(Instances!EA20:Instances!EA20),"diff", MAX(Instances!EA20:Instances!EA20)-MIN(Instances!EA20:Instances!EA20))</f>
        <v>0</v>
      </c>
      <c r="EB20" s="1" cm="1">
        <f t="array" ref="EB20">_xlfn.SWITCH($A$2,"average", AVERAGE(Instances!EB20:Instances!EB20),"median", MEDIAN(Instances!EB20:Instances!EB20),"min", MIN(Instances!EB20:Instances!EB20),"max", MAX(Instances!EB20:Instances!EB20),"diff", MAX(Instances!EB20:Instances!EB20)-MIN(Instances!EB20:Instances!EB20))</f>
        <v>0</v>
      </c>
      <c r="EC20" s="1" cm="1">
        <f t="array" ref="EC20">_xlfn.SWITCH($A$2,"average", AVERAGE(Instances!EC20:Instances!EC20),"median", MEDIAN(Instances!EC20:Instances!EC20),"min", MIN(Instances!EC20:Instances!EC20),"max", MAX(Instances!EC20:Instances!EC20),"diff", MAX(Instances!EC20:Instances!EC20)-MIN(Instances!EC20:Instances!EC20))</f>
        <v>0</v>
      </c>
      <c r="ED20" s="1" cm="1">
        <f t="array" ref="ED20">_xlfn.SWITCH($A$2,"average", AVERAGE(Instances!ED20:Instances!ED20),"median", MEDIAN(Instances!ED20:Instances!ED20),"min", MIN(Instances!ED20:Instances!ED20),"max", MAX(Instances!ED20:Instances!ED20),"diff", MAX(Instances!ED20:Instances!ED20)-MIN(Instances!ED20:Instances!ED20))</f>
        <v>0</v>
      </c>
      <c r="EE20" s="1" cm="1">
        <f t="array" ref="EE20">_xlfn.SWITCH($A$2,"average", AVERAGE(Instances!EE20:Instances!EE20),"median", MEDIAN(Instances!EE20:Instances!EE20),"min", MIN(Instances!EE20:Instances!EE20),"max", MAX(Instances!EE20:Instances!EE20),"diff", MAX(Instances!EE20:Instances!EE20)-MIN(Instances!EE20:Instances!EE20))</f>
        <v>0</v>
      </c>
      <c r="EF20" s="1" cm="1">
        <f t="array" ref="EF20">_xlfn.SWITCH($A$2,"average", AVERAGE(Instances!EF20:Instances!EF20),"median", MEDIAN(Instances!EF20:Instances!EF20),"min", MIN(Instances!EF20:Instances!EF20),"max", MAX(Instances!EF20:Instances!EF20),"diff", MAX(Instances!EF20:Instances!EF20)-MIN(Instances!EF20:Instances!EF20))</f>
        <v>0</v>
      </c>
      <c r="EG20" s="1" cm="1">
        <f t="array" ref="EG20">_xlfn.SWITCH($A$2,"average", AVERAGE(Instances!EG20:Instances!EG20),"median", MEDIAN(Instances!EG20:Instances!EG20),"min", MIN(Instances!EG20:Instances!EG20),"max", MAX(Instances!EG20:Instances!EG20),"diff", MAX(Instances!EG20:Instances!EG20)-MIN(Instances!EG20:Instances!EG20))</f>
        <v>0</v>
      </c>
      <c r="EH20" s="1" cm="1">
        <f t="array" ref="EH20">_xlfn.SWITCH($A$2,"average", AVERAGE(Instances!EH20:Instances!EH20),"median", MEDIAN(Instances!EH20:Instances!EH20),"min", MIN(Instances!EH20:Instances!EH20),"max", MAX(Instances!EH20:Instances!EH20),"diff", MAX(Instances!EH20:Instances!EH20)-MIN(Instances!EH20:Instances!EH20))</f>
        <v>0</v>
      </c>
      <c r="EI20" s="1" cm="1">
        <f t="array" ref="EI20">_xlfn.SWITCH($A$2,"average", AVERAGE(Instances!EI20:Instances!EI20),"median", MEDIAN(Instances!EI20:Instances!EI20),"min", MIN(Instances!EI20:Instances!EI20),"max", MAX(Instances!EI20:Instances!EI20),"diff", MAX(Instances!EI20:Instances!EI20)-MIN(Instances!EI20:Instances!EI20))</f>
        <v>0</v>
      </c>
      <c r="EJ20" s="1" cm="1">
        <f t="array" ref="EJ20">_xlfn.SWITCH($A$2,"average", AVERAGE(Instances!EJ20:Instances!EJ20),"median", MEDIAN(Instances!EJ20:Instances!EJ20),"min", MIN(Instances!EJ20:Instances!EJ20),"max", MAX(Instances!EJ20:Instances!EJ20),"diff", MAX(Instances!EJ20:Instances!EJ20)-MIN(Instances!EJ20:Instances!EJ20))</f>
        <v>0</v>
      </c>
      <c r="EK20" s="1" cm="1">
        <f t="array" ref="EK20">_xlfn.SWITCH($A$2,"average", AVERAGE(Instances!EK20:Instances!EK20),"median", MEDIAN(Instances!EK20:Instances!EK20),"min", MIN(Instances!EK20:Instances!EK20),"max", MAX(Instances!EK20:Instances!EK20),"diff", MAX(Instances!EK20:Instances!EK20)-MIN(Instances!EK20:Instances!EK20))</f>
        <v>0</v>
      </c>
      <c r="EL20" s="1"/>
      <c r="EM20" s="1" cm="1">
        <f t="array" ref="EM20">_xlfn.SWITCH($A$2,"average", AVERAGE(Instances!EM20:Instances!EM20),"median", MEDIAN(Instances!EM20:Instances!EM20),"min", MIN(Instances!EM20:Instances!EM20),"max", MAX(Instances!EM20:Instances!EM20),"diff", MAX(Instances!EM20:Instances!EM20)-MIN(Instances!EM20:Instances!EM20))</f>
        <v>0</v>
      </c>
      <c r="EN20" s="1" cm="1">
        <f t="array" ref="EN20">_xlfn.SWITCH($A$2,"average", AVERAGE(Instances!EN20:Instances!EN20),"median", MEDIAN(Instances!EN20:Instances!EN20),"min", MIN(Instances!EN20:Instances!EN20),"max", MAX(Instances!EN20:Instances!EN20),"diff", MAX(Instances!EN20:Instances!EN20)-MIN(Instances!EN20:Instances!EN20))</f>
        <v>0</v>
      </c>
      <c r="EO20" s="1" cm="1">
        <f t="array" ref="EO20">_xlfn.SWITCH($A$2,"average", AVERAGE(Instances!EO20:Instances!EO20),"median", MEDIAN(Instances!EO20:Instances!EO20),"min", MIN(Instances!EO20:Instances!EO20),"max", MAX(Instances!EO20:Instances!EO20),"diff", MAX(Instances!EO20:Instances!EO20)-MIN(Instances!EO20:Instances!EO20))</f>
        <v>0</v>
      </c>
      <c r="EP20" s="1" cm="1">
        <f t="array" ref="EP20">_xlfn.SWITCH($A$2,"average", AVERAGE(Instances!EP20:Instances!EP20),"median", MEDIAN(Instances!EP20:Instances!EP20),"min", MIN(Instances!EP20:Instances!EP20),"max", MAX(Instances!EP20:Instances!EP20),"diff", MAX(Instances!EP20:Instances!EP20)-MIN(Instances!EP20:Instances!EP20))</f>
        <v>0</v>
      </c>
      <c r="EQ20" s="1" cm="1">
        <f t="array" ref="EQ20">_xlfn.SWITCH($A$2,"average", AVERAGE(Instances!EQ20:Instances!EQ20),"median", MEDIAN(Instances!EQ20:Instances!EQ20),"min", MIN(Instances!EQ20:Instances!EQ20),"max", MAX(Instances!EQ20:Instances!EQ20),"diff", MAX(Instances!EQ20:Instances!EQ20)-MIN(Instances!EQ20:Instances!EQ20))</f>
        <v>0</v>
      </c>
      <c r="ER20" s="1" cm="1">
        <f t="array" ref="ER20">_xlfn.SWITCH($A$2,"average", AVERAGE(Instances!ER20:Instances!ER20),"median", MEDIAN(Instances!ER20:Instances!ER20),"min", MIN(Instances!ER20:Instances!ER20),"max", MAX(Instances!ER20:Instances!ER20),"diff", MAX(Instances!ER20:Instances!ER20)-MIN(Instances!ER20:Instances!ER20))</f>
        <v>0</v>
      </c>
      <c r="ES20" s="1" cm="1">
        <f t="array" ref="ES20">_xlfn.SWITCH($A$2,"average", AVERAGE(Instances!ES20:Instances!ES20),"median", MEDIAN(Instances!ES20:Instances!ES20),"min", MIN(Instances!ES20:Instances!ES20),"max", MAX(Instances!ES20:Instances!ES20),"diff", MAX(Instances!ES20:Instances!ES20)-MIN(Instances!ES20:Instances!ES20))</f>
        <v>0</v>
      </c>
      <c r="ET20" s="1" cm="1">
        <f t="array" ref="ET20">_xlfn.SWITCH($A$2,"average", AVERAGE(Instances!ET20:Instances!ET20),"median", MEDIAN(Instances!ET20:Instances!ET20),"min", MIN(Instances!ET20:Instances!ET20),"max", MAX(Instances!ET20:Instances!ET20),"diff", MAX(Instances!ET20:Instances!ET20)-MIN(Instances!ET20:Instances!ET20))</f>
        <v>0</v>
      </c>
      <c r="EU20" s="1" cm="1">
        <f t="array" ref="EU20">_xlfn.SWITCH($A$2,"average", AVERAGE(Instances!EU20:Instances!EU20),"median", MEDIAN(Instances!EU20:Instances!EU20),"min", MIN(Instances!EU20:Instances!EU20),"max", MAX(Instances!EU20:Instances!EU20),"diff", MAX(Instances!EU20:Instances!EU20)-MIN(Instances!EU20:Instances!EU20))</f>
        <v>0</v>
      </c>
      <c r="EV20" s="1" cm="1">
        <f t="array" ref="EV20">_xlfn.SWITCH($A$2,"average", AVERAGE(Instances!EV20:Instances!EV20),"median", MEDIAN(Instances!EV20:Instances!EV20),"min", MIN(Instances!EV20:Instances!EV20),"max", MAX(Instances!EV20:Instances!EV20),"diff", MAX(Instances!EV20:Instances!EV20)-MIN(Instances!EV20:Instances!EV20))</f>
        <v>0</v>
      </c>
      <c r="EW20" s="1" cm="1">
        <f t="array" ref="EW20">_xlfn.SWITCH($A$2,"average", AVERAGE(Instances!EW20:Instances!EW20),"median", MEDIAN(Instances!EW20:Instances!EW20),"min", MIN(Instances!EW20:Instances!EW20),"max", MAX(Instances!EW20:Instances!EW20),"diff", MAX(Instances!EW20:Instances!EW20)-MIN(Instances!EW20:Instances!EW20))</f>
        <v>0</v>
      </c>
      <c r="EX20" s="1" cm="1">
        <f t="array" ref="EX20">_xlfn.SWITCH($A$2,"average", AVERAGE(Instances!EX20:Instances!EX20),"median", MEDIAN(Instances!EX20:Instances!EX20),"min", MIN(Instances!EX20:Instances!EX20),"max", MAX(Instances!EX20:Instances!EX20),"diff", MAX(Instances!EX20:Instances!EX20)-MIN(Instances!EX20:Instances!EX20))</f>
        <v>0</v>
      </c>
      <c r="EY20" s="1" cm="1">
        <f t="array" ref="EY20">_xlfn.SWITCH($A$2,"average", AVERAGE(Instances!EY20:Instances!EY20),"median", MEDIAN(Instances!EY20:Instances!EY20),"min", MIN(Instances!EY20:Instances!EY20),"max", MAX(Instances!EY20:Instances!EY20),"diff", MAX(Instances!EY20:Instances!EY20)-MIN(Instances!EY20:Instances!EY20))</f>
        <v>0</v>
      </c>
      <c r="EZ20" s="1" cm="1">
        <f t="array" ref="EZ20">_xlfn.SWITCH($A$2,"average", AVERAGE(Instances!EZ20:Instances!EZ20),"median", MEDIAN(Instances!EZ20:Instances!EZ20),"min", MIN(Instances!EZ20:Instances!EZ20),"max", MAX(Instances!EZ20:Instances!EZ20),"diff", MAX(Instances!EZ20:Instances!EZ20)-MIN(Instances!EZ20:Instances!EZ20))</f>
        <v>0</v>
      </c>
      <c r="FA20" s="1" cm="1">
        <f t="array" ref="FA20">_xlfn.SWITCH($A$2,"average", AVERAGE(Instances!FA20:Instances!FA20),"median", MEDIAN(Instances!FA20:Instances!FA20),"min", MIN(Instances!FA20:Instances!FA20),"max", MAX(Instances!FA20:Instances!FA20),"diff", MAX(Instances!FA20:Instances!FA20)-MIN(Instances!FA20:Instances!FA20))</f>
        <v>0</v>
      </c>
      <c r="FB20" s="1" cm="1">
        <f t="array" ref="FB20">_xlfn.SWITCH($A$2,"average", AVERAGE(Instances!FB20:Instances!FB20),"median", MEDIAN(Instances!FB20:Instances!FB20),"min", MIN(Instances!FB20:Instances!FB20),"max", MAX(Instances!FB20:Instances!FB20),"diff", MAX(Instances!FB20:Instances!FB20)-MIN(Instances!FB20:Instances!FB20))</f>
        <v>0</v>
      </c>
      <c r="FC20" s="1" cm="1">
        <f t="array" ref="FC20">_xlfn.SWITCH($A$2,"average", AVERAGE(Instances!FC20:Instances!FC20),"median", MEDIAN(Instances!FC20:Instances!FC20),"min", MIN(Instances!FC20:Instances!FC20),"max", MAX(Instances!FC20:Instances!FC20),"diff", MAX(Instances!FC20:Instances!FC20)-MIN(Instances!FC20:Instances!FC20))</f>
        <v>0</v>
      </c>
      <c r="FD20" s="1"/>
      <c r="FE20" s="1" cm="1">
        <f t="array" ref="FE20">_xlfn.SWITCH($A$2,"average", AVERAGE(Instances!FE20:Instances!FE20),"median", MEDIAN(Instances!FE20:Instances!FE20),"min", MIN(Instances!FE20:Instances!FE20),"max", MAX(Instances!FE20:Instances!FE20),"diff", MAX(Instances!FE20:Instances!FE20)-MIN(Instances!FE20:Instances!FE20))</f>
        <v>0</v>
      </c>
      <c r="FF20" s="1" cm="1">
        <f t="array" ref="FF20">_xlfn.SWITCH($A$2,"average", AVERAGE(Instances!FF20:Instances!FF20),"median", MEDIAN(Instances!FF20:Instances!FF20),"min", MIN(Instances!FF20:Instances!FF20),"max", MAX(Instances!FF20:Instances!FF20),"diff", MAX(Instances!FF20:Instances!FF20)-MIN(Instances!FF20:Instances!FF20))</f>
        <v>0</v>
      </c>
      <c r="FG20" s="1" cm="1">
        <f t="array" ref="FG20">_xlfn.SWITCH($A$2,"average", AVERAGE(Instances!FG20:Instances!FG20),"median", MEDIAN(Instances!FG20:Instances!FG20),"min", MIN(Instances!FG20:Instances!FG20),"max", MAX(Instances!FG20:Instances!FG20),"diff", MAX(Instances!FG20:Instances!FG20)-MIN(Instances!FG20:Instances!FG20))</f>
        <v>0</v>
      </c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 cm="1">
        <f t="array" ref="FZ20">_xlfn.SWITCH($A$2,"average", AVERAGE(Instances!FZ20:Instances!FZ20),"median", MEDIAN(Instances!FZ20:Instances!FZ20),"min", MIN(Instances!FZ20:Instances!FZ20),"max", MAX(Instances!FZ20:Instances!FZ20),"diff", MAX(Instances!FZ20:Instances!FZ20)-MIN(Instances!FZ20:Instances!FZ20))</f>
        <v>0</v>
      </c>
      <c r="GA20" s="1" cm="1">
        <f t="array" ref="GA20">_xlfn.SWITCH($A$2,"average", AVERAGE(Instances!GA20:Instances!GA20),"median", MEDIAN(Instances!GA20:Instances!GA20),"min", MIN(Instances!GA20:Instances!GA20),"max", MAX(Instances!GA20:Instances!GA20),"diff", MAX(Instances!GA20:Instances!GA20)-MIN(Instances!GA20:Instances!GA20))</f>
        <v>0</v>
      </c>
      <c r="GB20" s="1" cm="1">
        <f t="array" ref="GB20">_xlfn.SWITCH($A$2,"average", AVERAGE(Instances!GB20:Instances!GB20),"median", MEDIAN(Instances!GB20:Instances!GB20),"min", MIN(Instances!GB20:Instances!GB20),"max", MAX(Instances!GB20:Instances!GB20),"diff", MAX(Instances!GB20:Instances!GB20)-MIN(Instances!GB20:Instances!GB20))</f>
        <v>0</v>
      </c>
      <c r="GC20" s="1" cm="1">
        <f t="array" ref="GC20">_xlfn.SWITCH($A$2,"average", AVERAGE(Instances!GC20:Instances!GC20),"median", MEDIAN(Instances!GC20:Instances!GC20),"min", MIN(Instances!GC20:Instances!GC20),"max", MAX(Instances!GC20:Instances!GC20),"diff", MAX(Instances!GC20:Instances!GC20)-MIN(Instances!GC20:Instances!GC20))</f>
        <v>0</v>
      </c>
      <c r="GD20" s="1" cm="1">
        <f t="array" ref="GD20">_xlfn.SWITCH($A$2,"average", AVERAGE(Instances!GD20:Instances!GD20),"median", MEDIAN(Instances!GD20:Instances!GD20),"min", MIN(Instances!GD20:Instances!GD20),"max", MAX(Instances!GD20:Instances!GD20),"diff", MAX(Instances!GD20:Instances!GD20)-MIN(Instances!GD20:Instances!GD20))</f>
        <v>0</v>
      </c>
      <c r="GE20" s="1" cm="1">
        <f t="array" ref="GE20">_xlfn.SWITCH($A$2,"average", AVERAGE(Instances!GE20:Instances!GE20),"median", MEDIAN(Instances!GE20:Instances!GE20),"min", MIN(Instances!GE20:Instances!GE20),"max", MAX(Instances!GE20:Instances!GE20),"diff", MAX(Instances!GE20:Instances!GE20)-MIN(Instances!GE20:Instances!GE20))</f>
        <v>0</v>
      </c>
      <c r="GF20" s="1" cm="1">
        <f t="array" ref="GF20">_xlfn.SWITCH($A$2,"average", AVERAGE(Instances!GF20:Instances!GF20),"median", MEDIAN(Instances!GF20:Instances!GF20),"min", MIN(Instances!GF20:Instances!GF20),"max", MAX(Instances!GF20:Instances!GF20),"diff", MAX(Instances!GF20:Instances!GF20)-MIN(Instances!GF20:Instances!GF20))</f>
        <v>0</v>
      </c>
      <c r="GG20" s="1" cm="1">
        <f t="array" ref="GG20">_xlfn.SWITCH($A$2,"average", AVERAGE(Instances!GG20:Instances!GG20),"median", MEDIAN(Instances!GG20:Instances!GG20),"min", MIN(Instances!GG20:Instances!GG20),"max", MAX(Instances!GG20:Instances!GG20),"diff", MAX(Instances!GG20:Instances!GG20)-MIN(Instances!GG20:Instances!GG20))</f>
        <v>0</v>
      </c>
      <c r="GH20" s="1" cm="1">
        <f t="array" ref="GH20">_xlfn.SWITCH($A$2,"average", AVERAGE(Instances!GH20:Instances!GH20),"median", MEDIAN(Instances!GH20:Instances!GH20),"min", MIN(Instances!GH20:Instances!GH20),"max", MAX(Instances!GH20:Instances!GH20),"diff", MAX(Instances!GH20:Instances!GH20)-MIN(Instances!GH20:Instances!GH20))</f>
        <v>0</v>
      </c>
      <c r="GI20" s="1" cm="1">
        <f t="array" ref="GI20">_xlfn.SWITCH($A$2,"average", AVERAGE(Instances!GI20:Instances!GI20),"median", MEDIAN(Instances!GI20:Instances!GI20),"min", MIN(Instances!GI20:Instances!GI20),"max", MAX(Instances!GI20:Instances!GI20),"diff", MAX(Instances!GI20:Instances!GI20)-MIN(Instances!GI20:Instances!GI20))</f>
        <v>0</v>
      </c>
      <c r="GJ20" s="1" cm="1">
        <f t="array" ref="GJ20">_xlfn.SWITCH($A$2,"average", AVERAGE(Instances!GJ20:Instances!GJ20),"median", MEDIAN(Instances!GJ20:Instances!GJ20),"min", MIN(Instances!GJ20:Instances!GJ20),"max", MAX(Instances!GJ20:Instances!GJ20),"diff", MAX(Instances!GJ20:Instances!GJ20)-MIN(Instances!GJ20:Instances!GJ20))</f>
        <v>0</v>
      </c>
      <c r="GK20" s="1" cm="1">
        <f t="array" ref="GK20">_xlfn.SWITCH($A$2,"average", AVERAGE(Instances!GK20:Instances!GK20),"median", MEDIAN(Instances!GK20:Instances!GK20),"min", MIN(Instances!GK20:Instances!GK20),"max", MAX(Instances!GK20:Instances!GK20),"diff", MAX(Instances!GK20:Instances!GK20)-MIN(Instances!GK20:Instances!GK20))</f>
        <v>0</v>
      </c>
      <c r="GL20" s="1" cm="1">
        <f t="array" ref="GL20">_xlfn.SWITCH($A$2,"average", AVERAGE(Instances!GL20:Instances!GL20),"median", MEDIAN(Instances!GL20:Instances!GL20),"min", MIN(Instances!GL20:Instances!GL20),"max", MAX(Instances!GL20:Instances!GL20),"diff", MAX(Instances!GL20:Instances!GL20)-MIN(Instances!GL20:Instances!GL20))</f>
        <v>0</v>
      </c>
      <c r="GM20" s="1" cm="1">
        <f t="array" ref="GM20">_xlfn.SWITCH($A$2,"average", AVERAGE(Instances!GM20:Instances!GM20),"median", MEDIAN(Instances!GM20:Instances!GM20),"min", MIN(Instances!GM20:Instances!GM20),"max", MAX(Instances!GM20:Instances!GM20),"diff", MAX(Instances!GM20:Instances!GM20)-MIN(Instances!GM20:Instances!GM20))</f>
        <v>0</v>
      </c>
      <c r="GN20" s="1"/>
      <c r="GO20" s="1" cm="1">
        <f t="array" ref="GO20">_xlfn.SWITCH($A$2,"average", AVERAGE(Instances!GO20:Instances!GO20),"median", MEDIAN(Instances!GO20:Instances!GO20),"min", MIN(Instances!GO20:Instances!GO20),"max", MAX(Instances!GO20:Instances!GO20),"diff", MAX(Instances!GO20:Instances!GO20)-MIN(Instances!GO20:Instances!GO20))</f>
        <v>0</v>
      </c>
      <c r="GP20" s="1" cm="1">
        <f t="array" ref="GP20">_xlfn.SWITCH($A$2,"average", AVERAGE(Instances!GP20:Instances!GP20),"median", MEDIAN(Instances!GP20:Instances!GP20),"min", MIN(Instances!GP20:Instances!GP20),"max", MAX(Instances!GP20:Instances!GP20),"diff", MAX(Instances!GP20:Instances!GP20)-MIN(Instances!GP20:Instances!GP20))</f>
        <v>0</v>
      </c>
      <c r="GQ20" s="1" cm="1">
        <f t="array" ref="GQ20">_xlfn.SWITCH($A$2,"average", AVERAGE(Instances!GQ20:Instances!GQ20),"median", MEDIAN(Instances!GQ20:Instances!GQ20),"min", MIN(Instances!GQ20:Instances!GQ20),"max", MAX(Instances!GQ20:Instances!GQ20),"diff", MAX(Instances!GQ20:Instances!GQ20)-MIN(Instances!GQ20:Instances!GQ20))</f>
        <v>0</v>
      </c>
      <c r="GR20" s="1" cm="1">
        <f t="array" ref="GR20">_xlfn.SWITCH($A$2,"average", AVERAGE(Instances!GR20:Instances!GR20),"median", MEDIAN(Instances!GR20:Instances!GR20),"min", MIN(Instances!GR20:Instances!GR20),"max", MAX(Instances!GR20:Instances!GR20),"diff", MAX(Instances!GR20:Instances!GR20)-MIN(Instances!GR20:Instances!GR20))</f>
        <v>0</v>
      </c>
      <c r="GS20" s="1" cm="1">
        <f t="array" ref="GS20">_xlfn.SWITCH($A$2,"average", AVERAGE(Instances!GS20:Instances!GS20),"median", MEDIAN(Instances!GS20:Instances!GS20),"min", MIN(Instances!GS20:Instances!GS20),"max", MAX(Instances!GS20:Instances!GS20),"diff", MAX(Instances!GS20:Instances!GS20)-MIN(Instances!GS20:Instances!GS20))</f>
        <v>0</v>
      </c>
      <c r="GT20" s="1" cm="1">
        <f t="array" ref="GT20">_xlfn.SWITCH($A$2,"average", AVERAGE(Instances!GT20:Instances!GT20),"median", MEDIAN(Instances!GT20:Instances!GT20),"min", MIN(Instances!GT20:Instances!GT20),"max", MAX(Instances!GT20:Instances!GT20),"diff", MAX(Instances!GT20:Instances!GT20)-MIN(Instances!GT20:Instances!GT20))</f>
        <v>0</v>
      </c>
      <c r="GU20" s="1" cm="1">
        <f t="array" ref="GU20">_xlfn.SWITCH($A$2,"average", AVERAGE(Instances!GU20:Instances!GU20),"median", MEDIAN(Instances!GU20:Instances!GU20),"min", MIN(Instances!GU20:Instances!GU20),"max", MAX(Instances!GU20:Instances!GU20),"diff", MAX(Instances!GU20:Instances!GU20)-MIN(Instances!GU20:Instances!GU20))</f>
        <v>0</v>
      </c>
      <c r="GV20" s="1" cm="1">
        <f t="array" ref="GV20">_xlfn.SWITCH($A$2,"average", AVERAGE(Instances!GV20:Instances!GV20),"median", MEDIAN(Instances!GV20:Instances!GV20),"min", MIN(Instances!GV20:Instances!GV20),"max", MAX(Instances!GV20:Instances!GV20),"diff", MAX(Instances!GV20:Instances!GV20)-MIN(Instances!GV20:Instances!GV20))</f>
        <v>0</v>
      </c>
      <c r="GW20" s="1" cm="1">
        <f t="array" ref="GW20">_xlfn.SWITCH($A$2,"average", AVERAGE(Instances!GW20:Instances!GW20),"median", MEDIAN(Instances!GW20:Instances!GW20),"min", MIN(Instances!GW20:Instances!GW20),"max", MAX(Instances!GW20:Instances!GW20),"diff", MAX(Instances!GW20:Instances!GW20)-MIN(Instances!GW20:Instances!GW20))</f>
        <v>0</v>
      </c>
      <c r="GX20" s="1" cm="1">
        <f t="array" ref="GX20">_xlfn.SWITCH($A$2,"average", AVERAGE(Instances!GX20:Instances!GX20),"median", MEDIAN(Instances!GX20:Instances!GX20),"min", MIN(Instances!GX20:Instances!GX20),"max", MAX(Instances!GX20:Instances!GX20),"diff", MAX(Instances!GX20:Instances!GX20)-MIN(Instances!GX20:Instances!GX20))</f>
        <v>0</v>
      </c>
      <c r="GY20" s="1" cm="1">
        <f t="array" ref="GY20">_xlfn.SWITCH($A$2,"average", AVERAGE(Instances!GY20:Instances!GY20),"median", MEDIAN(Instances!GY20:Instances!GY20),"min", MIN(Instances!GY20:Instances!GY20),"max", MAX(Instances!GY20:Instances!GY20),"diff", MAX(Instances!GY20:Instances!GY20)-MIN(Instances!GY20:Instances!GY20))</f>
        <v>0</v>
      </c>
      <c r="GZ20" s="1" cm="1">
        <f t="array" ref="GZ20">_xlfn.SWITCH($A$2,"average", AVERAGE(Instances!GZ20:Instances!GZ20),"median", MEDIAN(Instances!GZ20:Instances!GZ20),"min", MIN(Instances!GZ20:Instances!GZ20),"max", MAX(Instances!GZ20:Instances!GZ20),"diff", MAX(Instances!GZ20:Instances!GZ20)-MIN(Instances!GZ20:Instances!GZ20))</f>
        <v>0</v>
      </c>
      <c r="HA20" s="1" cm="1">
        <f t="array" ref="HA20">_xlfn.SWITCH($A$2,"average", AVERAGE(Instances!HA20:Instances!HA20),"median", MEDIAN(Instances!HA20:Instances!HA20),"min", MIN(Instances!HA20:Instances!HA20),"max", MAX(Instances!HA20:Instances!HA20),"diff", MAX(Instances!HA20:Instances!HA20)-MIN(Instances!HA20:Instances!HA20))</f>
        <v>0</v>
      </c>
      <c r="HB20" s="1" cm="1">
        <f t="array" ref="HB20">_xlfn.SWITCH($A$2,"average", AVERAGE(Instances!HB20:Instances!HB20),"median", MEDIAN(Instances!HB20:Instances!HB20),"min", MIN(Instances!HB20:Instances!HB20),"max", MAX(Instances!HB20:Instances!HB20),"diff", MAX(Instances!HB20:Instances!HB20)-MIN(Instances!HB20:Instances!HB20))</f>
        <v>0</v>
      </c>
      <c r="HC20" s="1" cm="1">
        <f t="array" ref="HC20">_xlfn.SWITCH($A$2,"average", AVERAGE(Instances!HC20:Instances!HC20),"median", MEDIAN(Instances!HC20:Instances!HC20),"min", MIN(Instances!HC20:Instances!HC20),"max", MAX(Instances!HC20:Instances!HC20),"diff", MAX(Instances!HC20:Instances!HC20)-MIN(Instances!HC20:Instances!HC20))</f>
        <v>0</v>
      </c>
      <c r="HD20" s="1" cm="1">
        <f t="array" ref="HD20">_xlfn.SWITCH($A$2,"average", AVERAGE(Instances!HD20:Instances!HD20),"median", MEDIAN(Instances!HD20:Instances!HD20),"min", MIN(Instances!HD20:Instances!HD20),"max", MAX(Instances!HD20:Instances!HD20),"diff", MAX(Instances!HD20:Instances!HD20)-MIN(Instances!HD20:Instances!HD20))</f>
        <v>0</v>
      </c>
      <c r="HE20" s="1" cm="1">
        <f t="array" ref="HE20">_xlfn.SWITCH($A$2,"average", AVERAGE(Instances!HE20:Instances!HE20),"median", MEDIAN(Instances!HE20:Instances!HE20),"min", MIN(Instances!HE20:Instances!HE20),"max", MAX(Instances!HE20:Instances!HE20),"diff", MAX(Instances!HE20:Instances!HE20)-MIN(Instances!HE20:Instances!HE20))</f>
        <v>0</v>
      </c>
      <c r="HF20" s="1"/>
      <c r="HG20" s="1" cm="1">
        <f t="array" ref="HG20">_xlfn.SWITCH($A$2,"average", AVERAGE(Instances!HG20:Instances!HG20),"median", MEDIAN(Instances!HG20:Instances!HG20),"min", MIN(Instances!HG20:Instances!HG20),"max", MAX(Instances!HG20:Instances!HG20),"diff", MAX(Instances!HG20:Instances!HG20)-MIN(Instances!HG20:Instances!HG20))</f>
        <v>0</v>
      </c>
      <c r="HH20" s="1" cm="1">
        <f t="array" ref="HH20">_xlfn.SWITCH($A$2,"average", AVERAGE(Instances!HH20:Instances!HH20),"median", MEDIAN(Instances!HH20:Instances!HH20),"min", MIN(Instances!HH20:Instances!HH20),"max", MAX(Instances!HH20:Instances!HH20),"diff", MAX(Instances!HH20:Instances!HH20)-MIN(Instances!HH20:Instances!HH20))</f>
        <v>0</v>
      </c>
      <c r="HI20" s="1" cm="1">
        <f t="array" ref="HI20">_xlfn.SWITCH($A$2,"average", AVERAGE(Instances!HI20:Instances!HI20),"median", MEDIAN(Instances!HI20:Instances!HI20),"min", MIN(Instances!HI20:Instances!HI20),"max", MAX(Instances!HI20:Instances!HI20),"diff", MAX(Instances!HI20:Instances!HI20)-MIN(Instances!HI20:Instances!HI20))</f>
        <v>0</v>
      </c>
      <c r="HJ20" s="1" cm="1">
        <f t="array" ref="HJ20">_xlfn.SWITCH($A$2,"average", AVERAGE(Instances!HJ20:Instances!HJ20),"median", MEDIAN(Instances!HJ20:Instances!HJ20),"min", MIN(Instances!HJ20:Instances!HJ20),"max", MAX(Instances!HJ20:Instances!HJ20),"diff", MAX(Instances!HJ20:Instances!HJ20)-MIN(Instances!HJ20:Instances!HJ20))</f>
        <v>0</v>
      </c>
      <c r="HK20" s="1" cm="1">
        <f t="array" ref="HK20">_xlfn.SWITCH($A$2,"average", AVERAGE(Instances!HK20:Instances!HK20),"median", MEDIAN(Instances!HK20:Instances!HK20),"min", MIN(Instances!HK20:Instances!HK20),"max", MAX(Instances!HK20:Instances!HK20),"diff", MAX(Instances!HK20:Instances!HK20)-MIN(Instances!HK20:Instances!HK20))</f>
        <v>0</v>
      </c>
      <c r="HL20" s="1" cm="1">
        <f t="array" ref="HL20">_xlfn.SWITCH($A$2,"average", AVERAGE(Instances!HL20:Instances!HL20),"median", MEDIAN(Instances!HL20:Instances!HL20),"min", MIN(Instances!HL20:Instances!HL20),"max", MAX(Instances!HL20:Instances!HL20),"diff", MAX(Instances!HL20:Instances!HL20)-MIN(Instances!HL20:Instances!HL20))</f>
        <v>0</v>
      </c>
      <c r="HM20" s="1" cm="1">
        <f t="array" ref="HM20">_xlfn.SWITCH($A$2,"average", AVERAGE(Instances!HM20:Instances!HM20),"median", MEDIAN(Instances!HM20:Instances!HM20),"min", MIN(Instances!HM20:Instances!HM20),"max", MAX(Instances!HM20:Instances!HM20),"diff", MAX(Instances!HM20:Instances!HM20)-MIN(Instances!HM20:Instances!HM20))</f>
        <v>0</v>
      </c>
      <c r="HN20" s="1" cm="1">
        <f t="array" ref="HN20">_xlfn.SWITCH($A$2,"average", AVERAGE(Instances!HN20:Instances!HN20),"median", MEDIAN(Instances!HN20:Instances!HN20),"min", MIN(Instances!HN20:Instances!HN20),"max", MAX(Instances!HN20:Instances!HN20),"diff", MAX(Instances!HN20:Instances!HN20)-MIN(Instances!HN20:Instances!HN20))</f>
        <v>0</v>
      </c>
      <c r="HO20" s="1" cm="1">
        <f t="array" ref="HO20">_xlfn.SWITCH($A$2,"average", AVERAGE(Instances!HO20:Instances!HO20),"median", MEDIAN(Instances!HO20:Instances!HO20),"min", MIN(Instances!HO20:Instances!HO20),"max", MAX(Instances!HO20:Instances!HO20),"diff", MAX(Instances!HO20:Instances!HO20)-MIN(Instances!HO20:Instances!HO20))</f>
        <v>0</v>
      </c>
      <c r="HP20" s="1" cm="1">
        <f t="array" ref="HP20">_xlfn.SWITCH($A$2,"average", AVERAGE(Instances!HP20:Instances!HP20),"median", MEDIAN(Instances!HP20:Instances!HP20),"min", MIN(Instances!HP20:Instances!HP20),"max", MAX(Instances!HP20:Instances!HP20),"diff", MAX(Instances!HP20:Instances!HP20)-MIN(Instances!HP20:Instances!HP20))</f>
        <v>0</v>
      </c>
      <c r="HQ20" s="1" cm="1">
        <f t="array" ref="HQ20">_xlfn.SWITCH($A$2,"average", AVERAGE(Instances!HQ20:Instances!HQ20),"median", MEDIAN(Instances!HQ20:Instances!HQ20),"min", MIN(Instances!HQ20:Instances!HQ20),"max", MAX(Instances!HQ20:Instances!HQ20),"diff", MAX(Instances!HQ20:Instances!HQ20)-MIN(Instances!HQ20:Instances!HQ20))</f>
        <v>0</v>
      </c>
      <c r="HR20" s="1" cm="1">
        <f t="array" ref="HR20">_xlfn.SWITCH($A$2,"average", AVERAGE(Instances!HR20:Instances!HR20),"median", MEDIAN(Instances!HR20:Instances!HR20),"min", MIN(Instances!HR20:Instances!HR20),"max", MAX(Instances!HR20:Instances!HR20),"diff", MAX(Instances!HR20:Instances!HR20)-MIN(Instances!HR20:Instances!HR20))</f>
        <v>0</v>
      </c>
      <c r="HS20" s="1" cm="1">
        <f t="array" ref="HS20">_xlfn.SWITCH($A$2,"average", AVERAGE(Instances!HS20:Instances!HS20),"median", MEDIAN(Instances!HS20:Instances!HS20),"min", MIN(Instances!HS20:Instances!HS20),"max", MAX(Instances!HS20:Instances!HS20),"diff", MAX(Instances!HS20:Instances!HS20)-MIN(Instances!HS20:Instances!HS20))</f>
        <v>0</v>
      </c>
      <c r="HT20" s="1" cm="1">
        <f t="array" ref="HT20">_xlfn.SWITCH($A$2,"average", AVERAGE(Instances!HT20:Instances!HT20),"median", MEDIAN(Instances!HT20:Instances!HT20),"min", MIN(Instances!HT20:Instances!HT20),"max", MAX(Instances!HT20:Instances!HT20),"diff", MAX(Instances!HT20:Instances!HT20)-MIN(Instances!HT20:Instances!HT20))</f>
        <v>0</v>
      </c>
      <c r="HU20" s="1" cm="1">
        <f t="array" ref="HU20">_xlfn.SWITCH($A$2,"average", AVERAGE(Instances!HU20:Instances!HU20),"median", MEDIAN(Instances!HU20:Instances!HU20),"min", MIN(Instances!HU20:Instances!HU20),"max", MAX(Instances!HU20:Instances!HU20),"diff", MAX(Instances!HU20:Instances!HU20)-MIN(Instances!HU20:Instances!HU20))</f>
        <v>0</v>
      </c>
      <c r="HV20" s="1" cm="1">
        <f t="array" ref="HV20">_xlfn.SWITCH($A$2,"average", AVERAGE(Instances!HV20:Instances!HV20),"median", MEDIAN(Instances!HV20:Instances!HV20),"min", MIN(Instances!HV20:Instances!HV20),"max", MAX(Instances!HV20:Instances!HV20),"diff", MAX(Instances!HV20:Instances!HV20)-MIN(Instances!HV20:Instances!HV20))</f>
        <v>0</v>
      </c>
      <c r="HW20" s="1" cm="1">
        <f t="array" ref="HW20">_xlfn.SWITCH($A$2,"average", AVERAGE(Instances!HW20:Instances!HW20),"median", MEDIAN(Instances!HW20:Instances!HW20),"min", MIN(Instances!HW20:Instances!HW20),"max", MAX(Instances!HW20:Instances!HW20),"diff", MAX(Instances!HW20:Instances!HW20)-MIN(Instances!HW20:Instances!HW20))</f>
        <v>0</v>
      </c>
      <c r="HX20" s="1"/>
      <c r="HY20" s="1" cm="1">
        <f t="array" ref="HY20">_xlfn.SWITCH($A$2,"average", AVERAGE(Instances!HY20:Instances!HY20),"median", MEDIAN(Instances!HY20:Instances!HY20),"min", MIN(Instances!HY20:Instances!HY20),"max", MAX(Instances!HY20:Instances!HY20),"diff", MAX(Instances!HY20:Instances!HY20)-MIN(Instances!HY20:Instances!HY20))</f>
        <v>0</v>
      </c>
      <c r="HZ20" s="1" cm="1">
        <f t="array" ref="HZ20">_xlfn.SWITCH($A$2,"average", AVERAGE(Instances!HZ20:Instances!HZ20),"median", MEDIAN(Instances!HZ20:Instances!HZ20),"min", MIN(Instances!HZ20:Instances!HZ20),"max", MAX(Instances!HZ20:Instances!HZ20),"diff", MAX(Instances!HZ20:Instances!HZ20)-MIN(Instances!HZ20:Instances!HZ20))</f>
        <v>0</v>
      </c>
      <c r="IA20" s="1" cm="1">
        <f t="array" ref="IA20">_xlfn.SWITCH($A$2,"average", AVERAGE(Instances!IA20:Instances!IA20),"median", MEDIAN(Instances!IA20:Instances!IA20),"min", MIN(Instances!IA20:Instances!IA20),"max", MAX(Instances!IA20:Instances!IA20),"diff", MAX(Instances!IA20:Instances!IA20)-MIN(Instances!IA20:Instances!IA20))</f>
        <v>0</v>
      </c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 cm="1">
        <f t="array" ref="JL20">_xlfn.SWITCH($A$2,"average", AVERAGE(Instances!JL20:Instances!JL20),"median", MEDIAN(Instances!JL20:Instances!JL20),"min", MIN(Instances!JL20:Instances!JL20),"max", MAX(Instances!JL20:Instances!JL20),"diff", MAX(Instances!JL20:Instances!JL20)-MIN(Instances!JL20:Instances!JL20))</f>
        <v>0</v>
      </c>
      <c r="JM20" s="1" cm="1">
        <f t="array" ref="JM20">_xlfn.SWITCH($A$2,"average", AVERAGE(Instances!JM20:Instances!JM20),"median", MEDIAN(Instances!JM20:Instances!JM20),"min", MIN(Instances!JM20:Instances!JM20),"max", MAX(Instances!JM20:Instances!JM20),"diff", MAX(Instances!JM20:Instances!JM20)-MIN(Instances!JM20:Instances!JM20))</f>
        <v>0</v>
      </c>
      <c r="JN20" s="1" cm="1">
        <f t="array" ref="JN20">_xlfn.SWITCH($A$2,"average", AVERAGE(Instances!JN20:Instances!JN20),"median", MEDIAN(Instances!JN20:Instances!JN20),"min", MIN(Instances!JN20:Instances!JN20),"max", MAX(Instances!JN20:Instances!JN20),"diff", MAX(Instances!JN20:Instances!JN20)-MIN(Instances!JN20:Instances!JN20))</f>
        <v>0</v>
      </c>
      <c r="JO20" s="1" cm="1">
        <f t="array" ref="JO20">_xlfn.SWITCH($A$2,"average", AVERAGE(Instances!JO20:Instances!JO20),"median", MEDIAN(Instances!JO20:Instances!JO20),"min", MIN(Instances!JO20:Instances!JO20),"max", MAX(Instances!JO20:Instances!JO20),"diff", MAX(Instances!JO20:Instances!JO20)-MIN(Instances!JO20:Instances!JO20))</f>
        <v>0</v>
      </c>
      <c r="JP20" s="1" cm="1">
        <f t="array" ref="JP20">_xlfn.SWITCH($A$2,"average", AVERAGE(Instances!JP20:Instances!JP20),"median", MEDIAN(Instances!JP20:Instances!JP20),"min", MIN(Instances!JP20:Instances!JP20),"max", MAX(Instances!JP20:Instances!JP20),"diff", MAX(Instances!JP20:Instances!JP20)-MIN(Instances!JP20:Instances!JP20))</f>
        <v>0</v>
      </c>
      <c r="JQ20" s="1" cm="1">
        <f t="array" ref="JQ20">_xlfn.SWITCH($A$2,"average", AVERAGE(Instances!JQ20:Instances!JQ20),"median", MEDIAN(Instances!JQ20:Instances!JQ20),"min", MIN(Instances!JQ20:Instances!JQ20),"max", MAX(Instances!JQ20:Instances!JQ20),"diff", MAX(Instances!JQ20:Instances!JQ20)-MIN(Instances!JQ20:Instances!JQ20))</f>
        <v>0</v>
      </c>
      <c r="JR20" s="1" cm="1">
        <f t="array" ref="JR20">_xlfn.SWITCH($A$2,"average", AVERAGE(Instances!JR20:Instances!JR20),"median", MEDIAN(Instances!JR20:Instances!JR20),"min", MIN(Instances!JR20:Instances!JR20),"max", MAX(Instances!JR20:Instances!JR20),"diff", MAX(Instances!JR20:Instances!JR20)-MIN(Instances!JR20:Instances!JR20))</f>
        <v>0</v>
      </c>
      <c r="JS20" s="1" cm="1">
        <f t="array" ref="JS20">_xlfn.SWITCH($A$2,"average", AVERAGE(Instances!JS20:Instances!JS20),"median", MEDIAN(Instances!JS20:Instances!JS20),"min", MIN(Instances!JS20:Instances!JS20),"max", MAX(Instances!JS20:Instances!JS20),"diff", MAX(Instances!JS20:Instances!JS20)-MIN(Instances!JS20:Instances!JS20))</f>
        <v>0</v>
      </c>
      <c r="JT20" s="1" cm="1">
        <f t="array" ref="JT20">_xlfn.SWITCH($A$2,"average", AVERAGE(Instances!JT20:Instances!JT20),"median", MEDIAN(Instances!JT20:Instances!JT20),"min", MIN(Instances!JT20:Instances!JT20),"max", MAX(Instances!JT20:Instances!JT20),"diff", MAX(Instances!JT20:Instances!JT20)-MIN(Instances!JT20:Instances!JT20))</f>
        <v>0</v>
      </c>
      <c r="JU20" s="1" cm="1">
        <f t="array" ref="JU20">_xlfn.SWITCH($A$2,"average", AVERAGE(Instances!JU20:Instances!JU20),"median", MEDIAN(Instances!JU20:Instances!JU20),"min", MIN(Instances!JU20:Instances!JU20),"max", MAX(Instances!JU20:Instances!JU20),"diff", MAX(Instances!JU20:Instances!JU20)-MIN(Instances!JU20:Instances!JU20))</f>
        <v>0</v>
      </c>
      <c r="JV20" s="1" cm="1">
        <f t="array" ref="JV20">_xlfn.SWITCH($A$2,"average", AVERAGE(Instances!JV20:Instances!JV20),"median", MEDIAN(Instances!JV20:Instances!JV20),"min", MIN(Instances!JV20:Instances!JV20),"max", MAX(Instances!JV20:Instances!JV20),"diff", MAX(Instances!JV20:Instances!JV20)-MIN(Instances!JV20:Instances!JV20))</f>
        <v>0</v>
      </c>
      <c r="JW20" s="1" cm="1">
        <f t="array" ref="JW20">_xlfn.SWITCH($A$2,"average", AVERAGE(Instances!JW20:Instances!JW20),"median", MEDIAN(Instances!JW20:Instances!JW20),"min", MIN(Instances!JW20:Instances!JW20),"max", MAX(Instances!JW20:Instances!JW20),"diff", MAX(Instances!JW20:Instances!JW20)-MIN(Instances!JW20:Instances!JW20))</f>
        <v>0</v>
      </c>
      <c r="JX20" s="1" cm="1">
        <f t="array" ref="JX20">_xlfn.SWITCH($A$2,"average", AVERAGE(Instances!JX20:Instances!JX20),"median", MEDIAN(Instances!JX20:Instances!JX20),"min", MIN(Instances!JX20:Instances!JX20),"max", MAX(Instances!JX20:Instances!JX20),"diff", MAX(Instances!JX20:Instances!JX20)-MIN(Instances!JX20:Instances!JX20))</f>
        <v>0</v>
      </c>
      <c r="JY20" s="1" cm="1">
        <f t="array" ref="JY20">_xlfn.SWITCH($A$2,"average", AVERAGE(Instances!JY20:Instances!JY20),"median", MEDIAN(Instances!JY20:Instances!JY20),"min", MIN(Instances!JY20:Instances!JY20),"max", MAX(Instances!JY20:Instances!JY20),"diff", MAX(Instances!JY20:Instances!JY20)-MIN(Instances!JY20:Instances!JY20))</f>
        <v>0</v>
      </c>
      <c r="JZ20" s="1"/>
      <c r="KA20" s="1" cm="1">
        <f t="array" ref="KA20">_xlfn.SWITCH($A$2,"average", AVERAGE(Instances!KA20:Instances!KA20),"median", MEDIAN(Instances!KA20:Instances!KA20),"min", MIN(Instances!KA20:Instances!KA20),"max", MAX(Instances!KA20:Instances!KA20),"diff", MAX(Instances!KA20:Instances!KA20)-MIN(Instances!KA20:Instances!KA20))</f>
        <v>0</v>
      </c>
      <c r="KB20" s="1" cm="1">
        <f t="array" ref="KB20">_xlfn.SWITCH($A$2,"average", AVERAGE(Instances!KB20:Instances!KB20),"median", MEDIAN(Instances!KB20:Instances!KB20),"min", MIN(Instances!KB20:Instances!KB20),"max", MAX(Instances!KB20:Instances!KB20),"diff", MAX(Instances!KB20:Instances!KB20)-MIN(Instances!KB20:Instances!KB20))</f>
        <v>0</v>
      </c>
      <c r="KC20" s="1" cm="1">
        <f t="array" ref="KC20">_xlfn.SWITCH($A$2,"average", AVERAGE(Instances!KC20:Instances!KC20),"median", MEDIAN(Instances!KC20:Instances!KC20),"min", MIN(Instances!KC20:Instances!KC20),"max", MAX(Instances!KC20:Instances!KC20),"diff", MAX(Instances!KC20:Instances!KC20)-MIN(Instances!KC20:Instances!KC20))</f>
        <v>0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 cm="1">
        <f t="array" ref="L21">_xlfn.SWITCH($A$2,"average", AVERAGE(Instances!L21:Instances!L21),"median", MEDIAN(Instances!L21:Instances!L21),"min", MIN(Instances!L21:Instances!L21),"max", MAX(Instances!L21:Instances!L21),"diff", MAX(Instances!L21:Instances!L21)-MIN(Instances!L21:Instances!L21))</f>
        <v>0</v>
      </c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 cm="1">
        <f t="array" ref="O21">_xlfn.SWITCH($A$2,"average", AVERAGE(Instances!O21:Instances!O21),"median", MEDIAN(Instances!O21:Instances!O21),"min", MIN(Instances!O21:Instances!O21),"max", MAX(Instances!O21:Instances!O21),"diff", MAX(Instances!O21:Instances!O21)-MIN(Instances!O21:Instances!O21))</f>
        <v>0</v>
      </c>
      <c r="P21" s="1"/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 cm="1">
        <f t="array" ref="S21">_xlfn.SWITCH($A$2,"average", AVERAGE(Instances!S21:Instances!S21),"median", MEDIAN(Instances!S21:Instances!S21),"min", MIN(Instances!S21:Instances!S21),"max", MAX(Instances!S21:Instances!S21),"diff", MAX(Instances!S21:Instances!S21)-MIN(Instances!S21:Instances!S21))</f>
        <v>0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 cm="1">
        <f t="array" ref="AL21">_xlfn.SWITCH($A$2,"average", AVERAGE(Instances!AL21:Instances!AL21),"median", MEDIAN(Instances!AL21:Instances!AL21),"min", MIN(Instances!AL21:Instances!AL21),"max", MAX(Instances!AL21:Instances!AL21),"diff", MAX(Instances!AL21:Instances!AL21)-MIN(Instances!AL21:Instances!AL21))</f>
        <v>0</v>
      </c>
      <c r="AM21" s="1" cm="1">
        <f t="array" ref="AM21">_xlfn.SWITCH($A$2,"average", AVERAGE(Instances!AM21:Instances!AM21),"median", MEDIAN(Instances!AM21:Instances!AM21),"min", MIN(Instances!AM21:Instances!AM21),"max", MAX(Instances!AM21:Instances!AM21),"diff", MAX(Instances!AM21:Instances!AM21)-MIN(Instances!AM21:Instances!AM21))</f>
        <v>0</v>
      </c>
      <c r="AN21" s="1" cm="1">
        <f t="array" ref="AN21">_xlfn.SWITCH($A$2,"average", AVERAGE(Instances!AN21:Instances!AN21),"median", MEDIAN(Instances!AN21:Instances!AN21),"min", MIN(Instances!AN21:Instances!AN21),"max", MAX(Instances!AN21:Instances!AN21),"diff", MAX(Instances!AN21:Instances!AN21)-MIN(Instances!AN21:Instances!AN21))</f>
        <v>0</v>
      </c>
      <c r="AO21" s="1" cm="1">
        <f t="array" ref="AO21">_xlfn.SWITCH($A$2,"average", AVERAGE(Instances!AO21:Instances!AO21),"median", MEDIAN(Instances!AO21:Instances!AO21),"min", MIN(Instances!AO21:Instances!AO21),"max", MAX(Instances!AO21:Instances!AO21),"diff", MAX(Instances!AO21:Instances!AO21)-MIN(Instances!AO21:Instances!AO21))</f>
        <v>0</v>
      </c>
      <c r="AP21" s="1" cm="1">
        <f t="array" ref="AP21">_xlfn.SWITCH($A$2,"average", AVERAGE(Instances!AP21:Instances!AP21),"median", MEDIAN(Instances!AP21:Instances!AP21),"min", MIN(Instances!AP21:Instances!AP21),"max", MAX(Instances!AP21:Instances!AP21),"diff", MAX(Instances!AP21:Instances!AP21)-MIN(Instances!AP21:Instances!AP21))</f>
        <v>0</v>
      </c>
      <c r="AQ21" s="1" cm="1">
        <f t="array" ref="AQ21">_xlfn.SWITCH($A$2,"average", AVERAGE(Instances!AQ21:Instances!AQ21),"median", MEDIAN(Instances!AQ21:Instances!AQ21),"min", MIN(Instances!AQ21:Instances!AQ21),"max", MAX(Instances!AQ21:Instances!AQ21),"diff", MAX(Instances!AQ21:Instances!AQ21)-MIN(Instances!AQ21:Instances!AQ21))</f>
        <v>0</v>
      </c>
      <c r="AR21" s="1" cm="1">
        <f t="array" ref="AR21">_xlfn.SWITCH($A$2,"average", AVERAGE(Instances!AR21:Instances!AR21),"median", MEDIAN(Instances!AR21:Instances!AR21),"min", MIN(Instances!AR21:Instances!AR21),"max", MAX(Instances!AR21:Instances!AR21),"diff", MAX(Instances!AR21:Instances!AR21)-MIN(Instances!AR21:Instances!AR21))</f>
        <v>0</v>
      </c>
      <c r="AS21" s="1" cm="1">
        <f t="array" ref="AS21">_xlfn.SWITCH($A$2,"average", AVERAGE(Instances!AS21:Instances!AS21),"median", MEDIAN(Instances!AS21:Instances!AS21),"min", MIN(Instances!AS21:Instances!AS21),"max", MAX(Instances!AS21:Instances!AS21),"diff", MAX(Instances!AS21:Instances!AS21)-MIN(Instances!AS21:Instances!AS21))</f>
        <v>0</v>
      </c>
      <c r="AT21" s="1" cm="1">
        <f t="array" ref="AT21">_xlfn.SWITCH($A$2,"average", AVERAGE(Instances!AT21:Instances!AT21),"median", MEDIAN(Instances!AT21:Instances!AT21),"min", MIN(Instances!AT21:Instances!AT21),"max", MAX(Instances!AT21:Instances!AT21),"diff", MAX(Instances!AT21:Instances!AT21)-MIN(Instances!AT21:Instances!AT21))</f>
        <v>0</v>
      </c>
      <c r="AU21" s="1" cm="1">
        <f t="array" ref="AU21">_xlfn.SWITCH($A$2,"average", AVERAGE(Instances!AU21:Instances!AU21),"median", MEDIAN(Instances!AU21:Instances!AU21),"min", MIN(Instances!AU21:Instances!AU21),"max", MAX(Instances!AU21:Instances!AU21),"diff", MAX(Instances!AU21:Instances!AU21)-MIN(Instances!AU21:Instances!AU21))</f>
        <v>0</v>
      </c>
      <c r="AV21" s="1" cm="1">
        <f t="array" ref="AV21">_xlfn.SWITCH($A$2,"average", AVERAGE(Instances!AV21:Instances!AV21),"median", MEDIAN(Instances!AV21:Instances!AV21),"min", MIN(Instances!AV21:Instances!AV21),"max", MAX(Instances!AV21:Instances!AV21),"diff", MAX(Instances!AV21:Instances!AV21)-MIN(Instances!AV21:Instances!AV21))</f>
        <v>0</v>
      </c>
      <c r="AW21" s="1" cm="1">
        <f t="array" ref="AW21">_xlfn.SWITCH($A$2,"average", AVERAGE(Instances!AW21:Instances!AW21),"median", MEDIAN(Instances!AW21:Instances!AW21),"min", MIN(Instances!AW21:Instances!AW21),"max", MAX(Instances!AW21:Instances!AW21),"diff", MAX(Instances!AW21:Instances!AW21)-MIN(Instances!AW21:Instances!AW21))</f>
        <v>0</v>
      </c>
      <c r="AX21" s="1" cm="1">
        <f t="array" ref="AX21">_xlfn.SWITCH($A$2,"average", AVERAGE(Instances!AX21:Instances!AX21),"median", MEDIAN(Instances!AX21:Instances!AX21),"min", MIN(Instances!AX21:Instances!AX21),"max", MAX(Instances!AX21:Instances!AX21),"diff", MAX(Instances!AX21:Instances!AX21)-MIN(Instances!AX21:Instances!AX21))</f>
        <v>0</v>
      </c>
      <c r="AY21" s="1" cm="1">
        <f t="array" ref="AY21">_xlfn.SWITCH($A$2,"average", AVERAGE(Instances!AY21:Instances!AY21),"median", MEDIAN(Instances!AY21:Instances!AY21),"min", MIN(Instances!AY21:Instances!AY21),"max", MAX(Instances!AY21:Instances!AY21),"diff", MAX(Instances!AY21:Instances!AY21)-MIN(Instances!AY21:Instances!AY21))</f>
        <v>0</v>
      </c>
      <c r="AZ21" s="1"/>
      <c r="BA21" s="1" cm="1">
        <f t="array" ref="BA21">_xlfn.SWITCH($A$2,"average", AVERAGE(Instances!BA21:Instances!BA21),"median", MEDIAN(Instances!BA21:Instances!BA21),"min", MIN(Instances!BA21:Instances!BA21),"max", MAX(Instances!BA21:Instances!BA21),"diff", MAX(Instances!BA21:Instances!BA21)-MIN(Instances!BA21:Instances!BA21))</f>
        <v>0</v>
      </c>
      <c r="BB21" s="1" cm="1">
        <f t="array" ref="BB21">_xlfn.SWITCH($A$2,"average", AVERAGE(Instances!BB21:Instances!BB21),"median", MEDIAN(Instances!BB21:Instances!BB21),"min", MIN(Instances!BB21:Instances!BB21),"max", MAX(Instances!BB21:Instances!BB21),"diff", MAX(Instances!BB21:Instances!BB21)-MIN(Instances!BB21:Instances!BB21))</f>
        <v>0</v>
      </c>
      <c r="BC21" s="1" cm="1">
        <f t="array" ref="BC21">_xlfn.SWITCH($A$2,"average", AVERAGE(Instances!BC21:Instances!BC21),"median", MEDIAN(Instances!BC21:Instances!BC21),"min", MIN(Instances!BC21:Instances!BC21),"max", MAX(Instances!BC21:Instances!BC21),"diff", MAX(Instances!BC21:Instances!BC21)-MIN(Instances!BC21:Instances!BC21))</f>
        <v>0</v>
      </c>
      <c r="BD21" s="1" cm="1">
        <f t="array" ref="BD21">_xlfn.SWITCH($A$2,"average", AVERAGE(Instances!BD21:Instances!BD21),"median", MEDIAN(Instances!BD21:Instances!BD21),"min", MIN(Instances!BD21:Instances!BD21),"max", MAX(Instances!BD21:Instances!BD21),"diff", MAX(Instances!BD21:Instances!BD21)-MIN(Instances!BD21:Instances!BD21))</f>
        <v>0</v>
      </c>
      <c r="BE21" s="1" cm="1">
        <f t="array" ref="BE21">_xlfn.SWITCH($A$2,"average", AVERAGE(Instances!BE21:Instances!BE21),"median", MEDIAN(Instances!BE21:Instances!BE21),"min", MIN(Instances!BE21:Instances!BE21),"max", MAX(Instances!BE21:Instances!BE21),"diff", MAX(Instances!BE21:Instances!BE21)-MIN(Instances!BE21:Instances!BE21))</f>
        <v>0</v>
      </c>
      <c r="BF21" s="1" cm="1">
        <f t="array" ref="BF21">_xlfn.SWITCH($A$2,"average", AVERAGE(Instances!BF21:Instances!BF21),"median", MEDIAN(Instances!BF21:Instances!BF21),"min", MIN(Instances!BF21:Instances!BF21),"max", MAX(Instances!BF21:Instances!BF21),"diff", MAX(Instances!BF21:Instances!BF21)-MIN(Instances!BF21:Instances!BF21))</f>
        <v>0</v>
      </c>
      <c r="BG21" s="1" cm="1">
        <f t="array" ref="BG21">_xlfn.SWITCH($A$2,"average", AVERAGE(Instances!BG21:Instances!BG21),"median", MEDIAN(Instances!BG21:Instances!BG21),"min", MIN(Instances!BG21:Instances!BG21),"max", MAX(Instances!BG21:Instances!BG21),"diff", MAX(Instances!BG21:Instances!BG21)-MIN(Instances!BG21:Instances!BG21))</f>
        <v>0</v>
      </c>
      <c r="BH21" s="1" cm="1">
        <f t="array" ref="BH21">_xlfn.SWITCH($A$2,"average", AVERAGE(Instances!BH21:Instances!BH21),"median", MEDIAN(Instances!BH21:Instances!BH21),"min", MIN(Instances!BH21:Instances!BH21),"max", MAX(Instances!BH21:Instances!BH21),"diff", MAX(Instances!BH21:Instances!BH21)-MIN(Instances!BH21:Instances!BH21))</f>
        <v>0</v>
      </c>
      <c r="BI21" s="1" cm="1">
        <f t="array" ref="BI21">_xlfn.SWITCH($A$2,"average", AVERAGE(Instances!BI21:Instances!BI21),"median", MEDIAN(Instances!BI21:Instances!BI21),"min", MIN(Instances!BI21:Instances!BI21),"max", MAX(Instances!BI21:Instances!BI21),"diff", MAX(Instances!BI21:Instances!BI21)-MIN(Instances!BI21:Instances!BI21))</f>
        <v>0</v>
      </c>
      <c r="BJ21" s="1" cm="1">
        <f t="array" ref="BJ21">_xlfn.SWITCH($A$2,"average", AVERAGE(Instances!BJ21:Instances!BJ21),"median", MEDIAN(Instances!BJ21:Instances!BJ21),"min", MIN(Instances!BJ21:Instances!BJ21),"max", MAX(Instances!BJ21:Instances!BJ21),"diff", MAX(Instances!BJ21:Instances!BJ21)-MIN(Instances!BJ21:Instances!BJ21))</f>
        <v>0</v>
      </c>
      <c r="BK21" s="1" cm="1">
        <f t="array" ref="BK21">_xlfn.SWITCH($A$2,"average", AVERAGE(Instances!BK21:Instances!BK21),"median", MEDIAN(Instances!BK21:Instances!BK21),"min", MIN(Instances!BK21:Instances!BK21),"max", MAX(Instances!BK21:Instances!BK21),"diff", MAX(Instances!BK21:Instances!BK21)-MIN(Instances!BK21:Instances!BK21))</f>
        <v>0</v>
      </c>
      <c r="BL21" s="1" cm="1">
        <f t="array" ref="BL21">_xlfn.SWITCH($A$2,"average", AVERAGE(Instances!BL21:Instances!BL21),"median", MEDIAN(Instances!BL21:Instances!BL21),"min", MIN(Instances!BL21:Instances!BL21),"max", MAX(Instances!BL21:Instances!BL21),"diff", MAX(Instances!BL21:Instances!BL21)-MIN(Instances!BL21:Instances!BL21))</f>
        <v>0</v>
      </c>
      <c r="BM21" s="1" cm="1">
        <f t="array" ref="BM21">_xlfn.SWITCH($A$2,"average", AVERAGE(Instances!BM21:Instances!BM21),"median", MEDIAN(Instances!BM21:Instances!BM21),"min", MIN(Instances!BM21:Instances!BM21),"max", MAX(Instances!BM21:Instances!BM21),"diff", MAX(Instances!BM21:Instances!BM21)-MIN(Instances!BM21:Instances!BM21))</f>
        <v>0</v>
      </c>
      <c r="BN21" s="1" cm="1">
        <f t="array" ref="BN21">_xlfn.SWITCH($A$2,"average", AVERAGE(Instances!BN21:Instances!BN21),"median", MEDIAN(Instances!BN21:Instances!BN21),"min", MIN(Instances!BN21:Instances!BN21),"max", MAX(Instances!BN21:Instances!BN21),"diff", MAX(Instances!BN21:Instances!BN21)-MIN(Instances!BN21:Instances!BN21))</f>
        <v>0</v>
      </c>
      <c r="BO21" s="1" cm="1">
        <f t="array" ref="BO21">_xlfn.SWITCH($A$2,"average", AVERAGE(Instances!BO21:Instances!BO21),"median", MEDIAN(Instances!BO21:Instances!BO21),"min", MIN(Instances!BO21:Instances!BO21),"max", MAX(Instances!BO21:Instances!BO21),"diff", MAX(Instances!BO21:Instances!BO21)-MIN(Instances!BO21:Instances!BO21))</f>
        <v>0</v>
      </c>
      <c r="BP21" s="1" cm="1">
        <f t="array" ref="BP21">_xlfn.SWITCH($A$2,"average", AVERAGE(Instances!BP21:Instances!BP21),"median", MEDIAN(Instances!BP21:Instances!BP21),"min", MIN(Instances!BP21:Instances!BP21),"max", MAX(Instances!BP21:Instances!BP21),"diff", MAX(Instances!BP21:Instances!BP21)-MIN(Instances!BP21:Instances!BP21))</f>
        <v>0</v>
      </c>
      <c r="BQ21" s="1" cm="1">
        <f t="array" ref="BQ21">_xlfn.SWITCH($A$2,"average", AVERAGE(Instances!BQ21:Instances!BQ21),"median", MEDIAN(Instances!BQ21:Instances!BQ21),"min", MIN(Instances!BQ21:Instances!BQ21),"max", MAX(Instances!BQ21:Instances!BQ21),"diff", MAX(Instances!BQ21:Instances!BQ21)-MIN(Instances!BQ21:Instances!BQ21))</f>
        <v>0</v>
      </c>
      <c r="BR21" s="1"/>
      <c r="BS21" s="1" cm="1">
        <f t="array" ref="BS21">_xlfn.SWITCH($A$2,"average", AVERAGE(Instances!BS21:Instances!BS21),"median", MEDIAN(Instances!BS21:Instances!BS21),"min", MIN(Instances!BS21:Instances!BS21),"max", MAX(Instances!BS21:Instances!BS21),"diff", MAX(Instances!BS21:Instances!BS21)-MIN(Instances!BS21:Instances!BS21))</f>
        <v>0</v>
      </c>
      <c r="BT21" s="1" cm="1">
        <f t="array" ref="BT21">_xlfn.SWITCH($A$2,"average", AVERAGE(Instances!BT21:Instances!BT21),"median", MEDIAN(Instances!BT21:Instances!BT21),"min", MIN(Instances!BT21:Instances!BT21),"max", MAX(Instances!BT21:Instances!BT21),"diff", MAX(Instances!BT21:Instances!BT21)-MIN(Instances!BT21:Instances!BT21))</f>
        <v>0</v>
      </c>
      <c r="BU21" s="1" cm="1">
        <f t="array" ref="BU21">_xlfn.SWITCH($A$2,"average", AVERAGE(Instances!BU21:Instances!BU21),"median", MEDIAN(Instances!BU21:Instances!BU21),"min", MIN(Instances!BU21:Instances!BU21),"max", MAX(Instances!BU21:Instances!BU21),"diff", MAX(Instances!BU21:Instances!BU21)-MIN(Instances!BU21:Instances!BU21))</f>
        <v>0</v>
      </c>
      <c r="BV21" s="1" cm="1">
        <f t="array" ref="BV21">_xlfn.SWITCH($A$2,"average", AVERAGE(Instances!BV21:Instances!BV21),"median", MEDIAN(Instances!BV21:Instances!BV21),"min", MIN(Instances!BV21:Instances!BV21),"max", MAX(Instances!BV21:Instances!BV21),"diff", MAX(Instances!BV21:Instances!BV21)-MIN(Instances!BV21:Instances!BV21))</f>
        <v>0</v>
      </c>
      <c r="BW21" s="1" cm="1">
        <f t="array" ref="BW21">_xlfn.SWITCH($A$2,"average", AVERAGE(Instances!BW21:Instances!BW21),"median", MEDIAN(Instances!BW21:Instances!BW21),"min", MIN(Instances!BW21:Instances!BW21),"max", MAX(Instances!BW21:Instances!BW21),"diff", MAX(Instances!BW21:Instances!BW21)-MIN(Instances!BW21:Instances!BW21))</f>
        <v>0</v>
      </c>
      <c r="BX21" s="1" cm="1">
        <f t="array" ref="BX21">_xlfn.SWITCH($A$2,"average", AVERAGE(Instances!BX21:Instances!BX21),"median", MEDIAN(Instances!BX21:Instances!BX21),"min", MIN(Instances!BX21:Instances!BX21),"max", MAX(Instances!BX21:Instances!BX21),"diff", MAX(Instances!BX21:Instances!BX21)-MIN(Instances!BX21:Instances!BX21))</f>
        <v>0</v>
      </c>
      <c r="BY21" s="1" cm="1">
        <f t="array" ref="BY21">_xlfn.SWITCH($A$2,"average", AVERAGE(Instances!BY21:Instances!BY21),"median", MEDIAN(Instances!BY21:Instances!BY21),"min", MIN(Instances!BY21:Instances!BY21),"max", MAX(Instances!BY21:Instances!BY21),"diff", MAX(Instances!BY21:Instances!BY21)-MIN(Instances!BY21:Instances!BY21))</f>
        <v>0</v>
      </c>
      <c r="BZ21" s="1" cm="1">
        <f t="array" ref="BZ21">_xlfn.SWITCH($A$2,"average", AVERAGE(Instances!BZ21:Instances!BZ21),"median", MEDIAN(Instances!BZ21:Instances!BZ21),"min", MIN(Instances!BZ21:Instances!BZ21),"max", MAX(Instances!BZ21:Instances!BZ21),"diff", MAX(Instances!BZ21:Instances!BZ21)-MIN(Instances!BZ21:Instances!BZ21))</f>
        <v>0</v>
      </c>
      <c r="CA21" s="1" cm="1">
        <f t="array" ref="CA21">_xlfn.SWITCH($A$2,"average", AVERAGE(Instances!CA21:Instances!CA21),"median", MEDIAN(Instances!CA21:Instances!CA21),"min", MIN(Instances!CA21:Instances!CA21),"max", MAX(Instances!CA21:Instances!CA21),"diff", MAX(Instances!CA21:Instances!CA21)-MIN(Instances!CA21:Instances!CA21))</f>
        <v>0</v>
      </c>
      <c r="CB21" s="1" cm="1">
        <f t="array" ref="CB21">_xlfn.SWITCH($A$2,"average", AVERAGE(Instances!CB21:Instances!CB21),"median", MEDIAN(Instances!CB21:Instances!CB21),"min", MIN(Instances!CB21:Instances!CB21),"max", MAX(Instances!CB21:Instances!CB21),"diff", MAX(Instances!CB21:Instances!CB21)-MIN(Instances!CB21:Instances!CB21))</f>
        <v>0</v>
      </c>
      <c r="CC21" s="1" cm="1">
        <f t="array" ref="CC21">_xlfn.SWITCH($A$2,"average", AVERAGE(Instances!CC21:Instances!CC21),"median", MEDIAN(Instances!CC21:Instances!CC21),"min", MIN(Instances!CC21:Instances!CC21),"max", MAX(Instances!CC21:Instances!CC21),"diff", MAX(Instances!CC21:Instances!CC21)-MIN(Instances!CC21:Instances!CC21))</f>
        <v>0</v>
      </c>
      <c r="CD21" s="1" cm="1">
        <f t="array" ref="CD21">_xlfn.SWITCH($A$2,"average", AVERAGE(Instances!CD21:Instances!CD21),"median", MEDIAN(Instances!CD21:Instances!CD21),"min", MIN(Instances!CD21:Instances!CD21),"max", MAX(Instances!CD21:Instances!CD21),"diff", MAX(Instances!CD21:Instances!CD21)-MIN(Instances!CD21:Instances!CD21))</f>
        <v>0</v>
      </c>
      <c r="CE21" s="1" cm="1">
        <f t="array" ref="CE21">_xlfn.SWITCH($A$2,"average", AVERAGE(Instances!CE21:Instances!CE21),"median", MEDIAN(Instances!CE21:Instances!CE21),"min", MIN(Instances!CE21:Instances!CE21),"max", MAX(Instances!CE21:Instances!CE21),"diff", MAX(Instances!CE21:Instances!CE21)-MIN(Instances!CE21:Instances!CE21))</f>
        <v>0</v>
      </c>
      <c r="CF21" s="1" cm="1">
        <f t="array" ref="CF21">_xlfn.SWITCH($A$2,"average", AVERAGE(Instances!CF21:Instances!CF21),"median", MEDIAN(Instances!CF21:Instances!CF21),"min", MIN(Instances!CF21:Instances!CF21),"max", MAX(Instances!CF21:Instances!CF21),"diff", MAX(Instances!CF21:Instances!CF21)-MIN(Instances!CF21:Instances!CF21))</f>
        <v>0</v>
      </c>
      <c r="CG21" s="1" cm="1">
        <f t="array" ref="CG21">_xlfn.SWITCH($A$2,"average", AVERAGE(Instances!CG21:Instances!CG21),"median", MEDIAN(Instances!CG21:Instances!CG21),"min", MIN(Instances!CG21:Instances!CG21),"max", MAX(Instances!CG21:Instances!CG21),"diff", MAX(Instances!CG21:Instances!CG21)-MIN(Instances!CG21:Instances!CG21))</f>
        <v>0</v>
      </c>
      <c r="CH21" s="1" cm="1">
        <f t="array" ref="CH21">_xlfn.SWITCH($A$2,"average", AVERAGE(Instances!CH21:Instances!CH21),"median", MEDIAN(Instances!CH21:Instances!CH21),"min", MIN(Instances!CH21:Instances!CH21),"max", MAX(Instances!CH21:Instances!CH21),"diff", MAX(Instances!CH21:Instances!CH21)-MIN(Instances!CH21:Instances!CH21))</f>
        <v>0</v>
      </c>
      <c r="CI21" s="1" cm="1">
        <f t="array" ref="CI21">_xlfn.SWITCH($A$2,"average", AVERAGE(Instances!CI21:Instances!CI21),"median", MEDIAN(Instances!CI21:Instances!CI21),"min", MIN(Instances!CI21:Instances!CI21),"max", MAX(Instances!CI21:Instances!CI21),"diff", MAX(Instances!CI21:Instances!CI21)-MIN(Instances!CI21:Instances!CI21))</f>
        <v>0</v>
      </c>
      <c r="CJ21" s="1"/>
      <c r="CK21" s="1" cm="1">
        <f t="array" ref="CK21">_xlfn.SWITCH($A$2,"average", AVERAGE(Instances!CK21:Instances!CK21),"median", MEDIAN(Instances!CK21:Instances!CK21),"min", MIN(Instances!CK21:Instances!CK21),"max", MAX(Instances!CK21:Instances!CK21),"diff", MAX(Instances!CK21:Instances!CK21)-MIN(Instances!CK21:Instances!CK21))</f>
        <v>0</v>
      </c>
      <c r="CL21" s="1" cm="1">
        <f t="array" ref="CL21">_xlfn.SWITCH($A$2,"average", AVERAGE(Instances!CL21:Instances!CL21),"median", MEDIAN(Instances!CL21:Instances!CL21),"min", MIN(Instances!CL21:Instances!CL21),"max", MAX(Instances!CL21:Instances!CL21),"diff", MAX(Instances!CL21:Instances!CL21)-MIN(Instances!CL21:Instances!CL21))</f>
        <v>0</v>
      </c>
      <c r="CM21" s="1" cm="1">
        <f t="array" ref="CM21">_xlfn.SWITCH($A$2,"average", AVERAGE(Instances!CM21:Instances!CM21),"median", MEDIAN(Instances!CM21:Instances!CM21),"min", MIN(Instances!CM21:Instances!CM21),"max", MAX(Instances!CM21:Instances!CM21),"diff", MAX(Instances!CM21:Instances!CM21)-MIN(Instances!CM21:Instances!CM21))</f>
        <v>0</v>
      </c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 cm="1">
        <f t="array" ref="DX21">_xlfn.SWITCH($A$2,"average", AVERAGE(Instances!DX21:Instances!DX21),"median", MEDIAN(Instances!DX21:Instances!DX21),"min", MIN(Instances!DX21:Instances!DX21),"max", MAX(Instances!DX21:Instances!DX21),"diff", MAX(Instances!DX21:Instances!DX21)-MIN(Instances!DX21:Instances!DX21))</f>
        <v>0</v>
      </c>
      <c r="DY21" s="1" cm="1">
        <f t="array" ref="DY21">_xlfn.SWITCH($A$2,"average", AVERAGE(Instances!DY21:Instances!DY21),"median", MEDIAN(Instances!DY21:Instances!DY21),"min", MIN(Instances!DY21:Instances!DY21),"max", MAX(Instances!DY21:Instances!DY21),"diff", MAX(Instances!DY21:Instances!DY21)-MIN(Instances!DY21:Instances!DY21))</f>
        <v>0</v>
      </c>
      <c r="DZ21" s="1" cm="1">
        <f t="array" ref="DZ21">_xlfn.SWITCH($A$2,"average", AVERAGE(Instances!DZ21:Instances!DZ21),"median", MEDIAN(Instances!DZ21:Instances!DZ21),"min", MIN(Instances!DZ21:Instances!DZ21),"max", MAX(Instances!DZ21:Instances!DZ21),"diff", MAX(Instances!DZ21:Instances!DZ21)-MIN(Instances!DZ21:Instances!DZ21))</f>
        <v>0</v>
      </c>
      <c r="EA21" s="1" cm="1">
        <f t="array" ref="EA21">_xlfn.SWITCH($A$2,"average", AVERAGE(Instances!EA21:Instances!EA21),"median", MEDIAN(Instances!EA21:Instances!EA21),"min", MIN(Instances!EA21:Instances!EA21),"max", MAX(Instances!EA21:Instances!EA21),"diff", MAX(Instances!EA21:Instances!EA21)-MIN(Instances!EA21:Instances!EA21))</f>
        <v>0</v>
      </c>
      <c r="EB21" s="1" cm="1">
        <f t="array" ref="EB21">_xlfn.SWITCH($A$2,"average", AVERAGE(Instances!EB21:Instances!EB21),"median", MEDIAN(Instances!EB21:Instances!EB21),"min", MIN(Instances!EB21:Instances!EB21),"max", MAX(Instances!EB21:Instances!EB21),"diff", MAX(Instances!EB21:Instances!EB21)-MIN(Instances!EB21:Instances!EB21))</f>
        <v>0</v>
      </c>
      <c r="EC21" s="1" cm="1">
        <f t="array" ref="EC21">_xlfn.SWITCH($A$2,"average", AVERAGE(Instances!EC21:Instances!EC21),"median", MEDIAN(Instances!EC21:Instances!EC21),"min", MIN(Instances!EC21:Instances!EC21),"max", MAX(Instances!EC21:Instances!EC21),"diff", MAX(Instances!EC21:Instances!EC21)-MIN(Instances!EC21:Instances!EC21))</f>
        <v>0</v>
      </c>
      <c r="ED21" s="1" cm="1">
        <f t="array" ref="ED21">_xlfn.SWITCH($A$2,"average", AVERAGE(Instances!ED21:Instances!ED21),"median", MEDIAN(Instances!ED21:Instances!ED21),"min", MIN(Instances!ED21:Instances!ED21),"max", MAX(Instances!ED21:Instances!ED21),"diff", MAX(Instances!ED21:Instances!ED21)-MIN(Instances!ED21:Instances!ED21))</f>
        <v>0</v>
      </c>
      <c r="EE21" s="1" cm="1">
        <f t="array" ref="EE21">_xlfn.SWITCH($A$2,"average", AVERAGE(Instances!EE21:Instances!EE21),"median", MEDIAN(Instances!EE21:Instances!EE21),"min", MIN(Instances!EE21:Instances!EE21),"max", MAX(Instances!EE21:Instances!EE21),"diff", MAX(Instances!EE21:Instances!EE21)-MIN(Instances!EE21:Instances!EE21))</f>
        <v>0</v>
      </c>
      <c r="EF21" s="1" cm="1">
        <f t="array" ref="EF21">_xlfn.SWITCH($A$2,"average", AVERAGE(Instances!EF21:Instances!EF21),"median", MEDIAN(Instances!EF21:Instances!EF21),"min", MIN(Instances!EF21:Instances!EF21),"max", MAX(Instances!EF21:Instances!EF21),"diff", MAX(Instances!EF21:Instances!EF21)-MIN(Instances!EF21:Instances!EF21))</f>
        <v>0</v>
      </c>
      <c r="EG21" s="1" cm="1">
        <f t="array" ref="EG21">_xlfn.SWITCH($A$2,"average", AVERAGE(Instances!EG21:Instances!EG21),"median", MEDIAN(Instances!EG21:Instances!EG21),"min", MIN(Instances!EG21:Instances!EG21),"max", MAX(Instances!EG21:Instances!EG21),"diff", MAX(Instances!EG21:Instances!EG21)-MIN(Instances!EG21:Instances!EG21))</f>
        <v>0</v>
      </c>
      <c r="EH21" s="1" cm="1">
        <f t="array" ref="EH21">_xlfn.SWITCH($A$2,"average", AVERAGE(Instances!EH21:Instances!EH21),"median", MEDIAN(Instances!EH21:Instances!EH21),"min", MIN(Instances!EH21:Instances!EH21),"max", MAX(Instances!EH21:Instances!EH21),"diff", MAX(Instances!EH21:Instances!EH21)-MIN(Instances!EH21:Instances!EH21))</f>
        <v>0</v>
      </c>
      <c r="EI21" s="1" cm="1">
        <f t="array" ref="EI21">_xlfn.SWITCH($A$2,"average", AVERAGE(Instances!EI21:Instances!EI21),"median", MEDIAN(Instances!EI21:Instances!EI21),"min", MIN(Instances!EI21:Instances!EI21),"max", MAX(Instances!EI21:Instances!EI21),"diff", MAX(Instances!EI21:Instances!EI21)-MIN(Instances!EI21:Instances!EI21))</f>
        <v>0</v>
      </c>
      <c r="EJ21" s="1" cm="1">
        <f t="array" ref="EJ21">_xlfn.SWITCH($A$2,"average", AVERAGE(Instances!EJ21:Instances!EJ21),"median", MEDIAN(Instances!EJ21:Instances!EJ21),"min", MIN(Instances!EJ21:Instances!EJ21),"max", MAX(Instances!EJ21:Instances!EJ21),"diff", MAX(Instances!EJ21:Instances!EJ21)-MIN(Instances!EJ21:Instances!EJ21))</f>
        <v>0</v>
      </c>
      <c r="EK21" s="1" cm="1">
        <f t="array" ref="EK21">_xlfn.SWITCH($A$2,"average", AVERAGE(Instances!EK21:Instances!EK21),"median", MEDIAN(Instances!EK21:Instances!EK21),"min", MIN(Instances!EK21:Instances!EK21),"max", MAX(Instances!EK21:Instances!EK21),"diff", MAX(Instances!EK21:Instances!EK21)-MIN(Instances!EK21:Instances!EK21))</f>
        <v>0</v>
      </c>
      <c r="EL21" s="1"/>
      <c r="EM21" s="1" cm="1">
        <f t="array" ref="EM21">_xlfn.SWITCH($A$2,"average", AVERAGE(Instances!EM21:Instances!EM21),"median", MEDIAN(Instances!EM21:Instances!EM21),"min", MIN(Instances!EM21:Instances!EM21),"max", MAX(Instances!EM21:Instances!EM21),"diff", MAX(Instances!EM21:Instances!EM21)-MIN(Instances!EM21:Instances!EM21))</f>
        <v>0</v>
      </c>
      <c r="EN21" s="1" cm="1">
        <f t="array" ref="EN21">_xlfn.SWITCH($A$2,"average", AVERAGE(Instances!EN21:Instances!EN21),"median", MEDIAN(Instances!EN21:Instances!EN21),"min", MIN(Instances!EN21:Instances!EN21),"max", MAX(Instances!EN21:Instances!EN21),"diff", MAX(Instances!EN21:Instances!EN21)-MIN(Instances!EN21:Instances!EN21))</f>
        <v>0</v>
      </c>
      <c r="EO21" s="1" cm="1">
        <f t="array" ref="EO21">_xlfn.SWITCH($A$2,"average", AVERAGE(Instances!EO21:Instances!EO21),"median", MEDIAN(Instances!EO21:Instances!EO21),"min", MIN(Instances!EO21:Instances!EO21),"max", MAX(Instances!EO21:Instances!EO21),"diff", MAX(Instances!EO21:Instances!EO21)-MIN(Instances!EO21:Instances!EO21))</f>
        <v>0</v>
      </c>
      <c r="EP21" s="1" cm="1">
        <f t="array" ref="EP21">_xlfn.SWITCH($A$2,"average", AVERAGE(Instances!EP21:Instances!EP21),"median", MEDIAN(Instances!EP21:Instances!EP21),"min", MIN(Instances!EP21:Instances!EP21),"max", MAX(Instances!EP21:Instances!EP21),"diff", MAX(Instances!EP21:Instances!EP21)-MIN(Instances!EP21:Instances!EP21))</f>
        <v>0</v>
      </c>
      <c r="EQ21" s="1" cm="1">
        <f t="array" ref="EQ21">_xlfn.SWITCH($A$2,"average", AVERAGE(Instances!EQ21:Instances!EQ21),"median", MEDIAN(Instances!EQ21:Instances!EQ21),"min", MIN(Instances!EQ21:Instances!EQ21),"max", MAX(Instances!EQ21:Instances!EQ21),"diff", MAX(Instances!EQ21:Instances!EQ21)-MIN(Instances!EQ21:Instances!EQ21))</f>
        <v>0</v>
      </c>
      <c r="ER21" s="1" cm="1">
        <f t="array" ref="ER21">_xlfn.SWITCH($A$2,"average", AVERAGE(Instances!ER21:Instances!ER21),"median", MEDIAN(Instances!ER21:Instances!ER21),"min", MIN(Instances!ER21:Instances!ER21),"max", MAX(Instances!ER21:Instances!ER21),"diff", MAX(Instances!ER21:Instances!ER21)-MIN(Instances!ER21:Instances!ER21))</f>
        <v>0</v>
      </c>
      <c r="ES21" s="1" cm="1">
        <f t="array" ref="ES21">_xlfn.SWITCH($A$2,"average", AVERAGE(Instances!ES21:Instances!ES21),"median", MEDIAN(Instances!ES21:Instances!ES21),"min", MIN(Instances!ES21:Instances!ES21),"max", MAX(Instances!ES21:Instances!ES21),"diff", MAX(Instances!ES21:Instances!ES21)-MIN(Instances!ES21:Instances!ES21))</f>
        <v>0</v>
      </c>
      <c r="ET21" s="1" cm="1">
        <f t="array" ref="ET21">_xlfn.SWITCH($A$2,"average", AVERAGE(Instances!ET21:Instances!ET21),"median", MEDIAN(Instances!ET21:Instances!ET21),"min", MIN(Instances!ET21:Instances!ET21),"max", MAX(Instances!ET21:Instances!ET21),"diff", MAX(Instances!ET21:Instances!ET21)-MIN(Instances!ET21:Instances!ET21))</f>
        <v>0</v>
      </c>
      <c r="EU21" s="1" cm="1">
        <f t="array" ref="EU21">_xlfn.SWITCH($A$2,"average", AVERAGE(Instances!EU21:Instances!EU21),"median", MEDIAN(Instances!EU21:Instances!EU21),"min", MIN(Instances!EU21:Instances!EU21),"max", MAX(Instances!EU21:Instances!EU21),"diff", MAX(Instances!EU21:Instances!EU21)-MIN(Instances!EU21:Instances!EU21))</f>
        <v>0</v>
      </c>
      <c r="EV21" s="1" cm="1">
        <f t="array" ref="EV21">_xlfn.SWITCH($A$2,"average", AVERAGE(Instances!EV21:Instances!EV21),"median", MEDIAN(Instances!EV21:Instances!EV21),"min", MIN(Instances!EV21:Instances!EV21),"max", MAX(Instances!EV21:Instances!EV21),"diff", MAX(Instances!EV21:Instances!EV21)-MIN(Instances!EV21:Instances!EV21))</f>
        <v>0</v>
      </c>
      <c r="EW21" s="1" cm="1">
        <f t="array" ref="EW21">_xlfn.SWITCH($A$2,"average", AVERAGE(Instances!EW21:Instances!EW21),"median", MEDIAN(Instances!EW21:Instances!EW21),"min", MIN(Instances!EW21:Instances!EW21),"max", MAX(Instances!EW21:Instances!EW21),"diff", MAX(Instances!EW21:Instances!EW21)-MIN(Instances!EW21:Instances!EW21))</f>
        <v>0</v>
      </c>
      <c r="EX21" s="1" cm="1">
        <f t="array" ref="EX21">_xlfn.SWITCH($A$2,"average", AVERAGE(Instances!EX21:Instances!EX21),"median", MEDIAN(Instances!EX21:Instances!EX21),"min", MIN(Instances!EX21:Instances!EX21),"max", MAX(Instances!EX21:Instances!EX21),"diff", MAX(Instances!EX21:Instances!EX21)-MIN(Instances!EX21:Instances!EX21))</f>
        <v>0</v>
      </c>
      <c r="EY21" s="1" cm="1">
        <f t="array" ref="EY21">_xlfn.SWITCH($A$2,"average", AVERAGE(Instances!EY21:Instances!EY21),"median", MEDIAN(Instances!EY21:Instances!EY21),"min", MIN(Instances!EY21:Instances!EY21),"max", MAX(Instances!EY21:Instances!EY21),"diff", MAX(Instances!EY21:Instances!EY21)-MIN(Instances!EY21:Instances!EY21))</f>
        <v>0</v>
      </c>
      <c r="EZ21" s="1" cm="1">
        <f t="array" ref="EZ21">_xlfn.SWITCH($A$2,"average", AVERAGE(Instances!EZ21:Instances!EZ21),"median", MEDIAN(Instances!EZ21:Instances!EZ21),"min", MIN(Instances!EZ21:Instances!EZ21),"max", MAX(Instances!EZ21:Instances!EZ21),"diff", MAX(Instances!EZ21:Instances!EZ21)-MIN(Instances!EZ21:Instances!EZ21))</f>
        <v>0</v>
      </c>
      <c r="FA21" s="1" cm="1">
        <f t="array" ref="FA21">_xlfn.SWITCH($A$2,"average", AVERAGE(Instances!FA21:Instances!FA21),"median", MEDIAN(Instances!FA21:Instances!FA21),"min", MIN(Instances!FA21:Instances!FA21),"max", MAX(Instances!FA21:Instances!FA21),"diff", MAX(Instances!FA21:Instances!FA21)-MIN(Instances!FA21:Instances!FA21))</f>
        <v>0</v>
      </c>
      <c r="FB21" s="1" cm="1">
        <f t="array" ref="FB21">_xlfn.SWITCH($A$2,"average", AVERAGE(Instances!FB21:Instances!FB21),"median", MEDIAN(Instances!FB21:Instances!FB21),"min", MIN(Instances!FB21:Instances!FB21),"max", MAX(Instances!FB21:Instances!FB21),"diff", MAX(Instances!FB21:Instances!FB21)-MIN(Instances!FB21:Instances!FB21))</f>
        <v>0</v>
      </c>
      <c r="FC21" s="1" cm="1">
        <f t="array" ref="FC21">_xlfn.SWITCH($A$2,"average", AVERAGE(Instances!FC21:Instances!FC21),"median", MEDIAN(Instances!FC21:Instances!FC21),"min", MIN(Instances!FC21:Instances!FC21),"max", MAX(Instances!FC21:Instances!FC21),"diff", MAX(Instances!FC21:Instances!FC21)-MIN(Instances!FC21:Instances!FC21))</f>
        <v>0</v>
      </c>
      <c r="FD21" s="1"/>
      <c r="FE21" s="1" cm="1">
        <f t="array" ref="FE21">_xlfn.SWITCH($A$2,"average", AVERAGE(Instances!FE21:Instances!FE21),"median", MEDIAN(Instances!FE21:Instances!FE21),"min", MIN(Instances!FE21:Instances!FE21),"max", MAX(Instances!FE21:Instances!FE21),"diff", MAX(Instances!FE21:Instances!FE21)-MIN(Instances!FE21:Instances!FE21))</f>
        <v>0</v>
      </c>
      <c r="FF21" s="1" cm="1">
        <f t="array" ref="FF21">_xlfn.SWITCH($A$2,"average", AVERAGE(Instances!FF21:Instances!FF21),"median", MEDIAN(Instances!FF21:Instances!FF21),"min", MIN(Instances!FF21:Instances!FF21),"max", MAX(Instances!FF21:Instances!FF21),"diff", MAX(Instances!FF21:Instances!FF21)-MIN(Instances!FF21:Instances!FF21))</f>
        <v>0</v>
      </c>
      <c r="FG21" s="1" cm="1">
        <f t="array" ref="FG21">_xlfn.SWITCH($A$2,"average", AVERAGE(Instances!FG21:Instances!FG21),"median", MEDIAN(Instances!FG21:Instances!FG21),"min", MIN(Instances!FG21:Instances!FG21),"max", MAX(Instances!FG21:Instances!FG21),"diff", MAX(Instances!FG21:Instances!FG21)-MIN(Instances!FG21:Instances!FG21))</f>
        <v>0</v>
      </c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 cm="1">
        <f t="array" ref="FZ21">_xlfn.SWITCH($A$2,"average", AVERAGE(Instances!FZ21:Instances!FZ21),"median", MEDIAN(Instances!FZ21:Instances!FZ21),"min", MIN(Instances!FZ21:Instances!FZ21),"max", MAX(Instances!FZ21:Instances!FZ21),"diff", MAX(Instances!FZ21:Instances!FZ21)-MIN(Instances!FZ21:Instances!FZ21))</f>
        <v>0</v>
      </c>
      <c r="GA21" s="1" cm="1">
        <f t="array" ref="GA21">_xlfn.SWITCH($A$2,"average", AVERAGE(Instances!GA21:Instances!GA21),"median", MEDIAN(Instances!GA21:Instances!GA21),"min", MIN(Instances!GA21:Instances!GA21),"max", MAX(Instances!GA21:Instances!GA21),"diff", MAX(Instances!GA21:Instances!GA21)-MIN(Instances!GA21:Instances!GA21))</f>
        <v>0</v>
      </c>
      <c r="GB21" s="1" cm="1">
        <f t="array" ref="GB21">_xlfn.SWITCH($A$2,"average", AVERAGE(Instances!GB21:Instances!GB21),"median", MEDIAN(Instances!GB21:Instances!GB21),"min", MIN(Instances!GB21:Instances!GB21),"max", MAX(Instances!GB21:Instances!GB21),"diff", MAX(Instances!GB21:Instances!GB21)-MIN(Instances!GB21:Instances!GB21))</f>
        <v>0</v>
      </c>
      <c r="GC21" s="1" cm="1">
        <f t="array" ref="GC21">_xlfn.SWITCH($A$2,"average", AVERAGE(Instances!GC21:Instances!GC21),"median", MEDIAN(Instances!GC21:Instances!GC21),"min", MIN(Instances!GC21:Instances!GC21),"max", MAX(Instances!GC21:Instances!GC21),"diff", MAX(Instances!GC21:Instances!GC21)-MIN(Instances!GC21:Instances!GC21))</f>
        <v>0</v>
      </c>
      <c r="GD21" s="1" cm="1">
        <f t="array" ref="GD21">_xlfn.SWITCH($A$2,"average", AVERAGE(Instances!GD21:Instances!GD21),"median", MEDIAN(Instances!GD21:Instances!GD21),"min", MIN(Instances!GD21:Instances!GD21),"max", MAX(Instances!GD21:Instances!GD21),"diff", MAX(Instances!GD21:Instances!GD21)-MIN(Instances!GD21:Instances!GD21))</f>
        <v>0</v>
      </c>
      <c r="GE21" s="1" cm="1">
        <f t="array" ref="GE21">_xlfn.SWITCH($A$2,"average", AVERAGE(Instances!GE21:Instances!GE21),"median", MEDIAN(Instances!GE21:Instances!GE21),"min", MIN(Instances!GE21:Instances!GE21),"max", MAX(Instances!GE21:Instances!GE21),"diff", MAX(Instances!GE21:Instances!GE21)-MIN(Instances!GE21:Instances!GE21))</f>
        <v>0</v>
      </c>
      <c r="GF21" s="1" cm="1">
        <f t="array" ref="GF21">_xlfn.SWITCH($A$2,"average", AVERAGE(Instances!GF21:Instances!GF21),"median", MEDIAN(Instances!GF21:Instances!GF21),"min", MIN(Instances!GF21:Instances!GF21),"max", MAX(Instances!GF21:Instances!GF21),"diff", MAX(Instances!GF21:Instances!GF21)-MIN(Instances!GF21:Instances!GF21))</f>
        <v>0</v>
      </c>
      <c r="GG21" s="1" cm="1">
        <f t="array" ref="GG21">_xlfn.SWITCH($A$2,"average", AVERAGE(Instances!GG21:Instances!GG21),"median", MEDIAN(Instances!GG21:Instances!GG21),"min", MIN(Instances!GG21:Instances!GG21),"max", MAX(Instances!GG21:Instances!GG21),"diff", MAX(Instances!GG21:Instances!GG21)-MIN(Instances!GG21:Instances!GG21))</f>
        <v>0</v>
      </c>
      <c r="GH21" s="1" cm="1">
        <f t="array" ref="GH21">_xlfn.SWITCH($A$2,"average", AVERAGE(Instances!GH21:Instances!GH21),"median", MEDIAN(Instances!GH21:Instances!GH21),"min", MIN(Instances!GH21:Instances!GH21),"max", MAX(Instances!GH21:Instances!GH21),"diff", MAX(Instances!GH21:Instances!GH21)-MIN(Instances!GH21:Instances!GH21))</f>
        <v>0</v>
      </c>
      <c r="GI21" s="1" cm="1">
        <f t="array" ref="GI21">_xlfn.SWITCH($A$2,"average", AVERAGE(Instances!GI21:Instances!GI21),"median", MEDIAN(Instances!GI21:Instances!GI21),"min", MIN(Instances!GI21:Instances!GI21),"max", MAX(Instances!GI21:Instances!GI21),"diff", MAX(Instances!GI21:Instances!GI21)-MIN(Instances!GI21:Instances!GI21))</f>
        <v>0</v>
      </c>
      <c r="GJ21" s="1" cm="1">
        <f t="array" ref="GJ21">_xlfn.SWITCH($A$2,"average", AVERAGE(Instances!GJ21:Instances!GJ21),"median", MEDIAN(Instances!GJ21:Instances!GJ21),"min", MIN(Instances!GJ21:Instances!GJ21),"max", MAX(Instances!GJ21:Instances!GJ21),"diff", MAX(Instances!GJ21:Instances!GJ21)-MIN(Instances!GJ21:Instances!GJ21))</f>
        <v>0</v>
      </c>
      <c r="GK21" s="1" cm="1">
        <f t="array" ref="GK21">_xlfn.SWITCH($A$2,"average", AVERAGE(Instances!GK21:Instances!GK21),"median", MEDIAN(Instances!GK21:Instances!GK21),"min", MIN(Instances!GK21:Instances!GK21),"max", MAX(Instances!GK21:Instances!GK21),"diff", MAX(Instances!GK21:Instances!GK21)-MIN(Instances!GK21:Instances!GK21))</f>
        <v>0</v>
      </c>
      <c r="GL21" s="1" cm="1">
        <f t="array" ref="GL21">_xlfn.SWITCH($A$2,"average", AVERAGE(Instances!GL21:Instances!GL21),"median", MEDIAN(Instances!GL21:Instances!GL21),"min", MIN(Instances!GL21:Instances!GL21),"max", MAX(Instances!GL21:Instances!GL21),"diff", MAX(Instances!GL21:Instances!GL21)-MIN(Instances!GL21:Instances!GL21))</f>
        <v>0</v>
      </c>
      <c r="GM21" s="1" cm="1">
        <f t="array" ref="GM21">_xlfn.SWITCH($A$2,"average", AVERAGE(Instances!GM21:Instances!GM21),"median", MEDIAN(Instances!GM21:Instances!GM21),"min", MIN(Instances!GM21:Instances!GM21),"max", MAX(Instances!GM21:Instances!GM21),"diff", MAX(Instances!GM21:Instances!GM21)-MIN(Instances!GM21:Instances!GM21))</f>
        <v>0</v>
      </c>
      <c r="GN21" s="1"/>
      <c r="GO21" s="1" cm="1">
        <f t="array" ref="GO21">_xlfn.SWITCH($A$2,"average", AVERAGE(Instances!GO21:Instances!GO21),"median", MEDIAN(Instances!GO21:Instances!GO21),"min", MIN(Instances!GO21:Instances!GO21),"max", MAX(Instances!GO21:Instances!GO21),"diff", MAX(Instances!GO21:Instances!GO21)-MIN(Instances!GO21:Instances!GO21))</f>
        <v>0</v>
      </c>
      <c r="GP21" s="1" cm="1">
        <f t="array" ref="GP21">_xlfn.SWITCH($A$2,"average", AVERAGE(Instances!GP21:Instances!GP21),"median", MEDIAN(Instances!GP21:Instances!GP21),"min", MIN(Instances!GP21:Instances!GP21),"max", MAX(Instances!GP21:Instances!GP21),"diff", MAX(Instances!GP21:Instances!GP21)-MIN(Instances!GP21:Instances!GP21))</f>
        <v>0</v>
      </c>
      <c r="GQ21" s="1" cm="1">
        <f t="array" ref="GQ21">_xlfn.SWITCH($A$2,"average", AVERAGE(Instances!GQ21:Instances!GQ21),"median", MEDIAN(Instances!GQ21:Instances!GQ21),"min", MIN(Instances!GQ21:Instances!GQ21),"max", MAX(Instances!GQ21:Instances!GQ21),"diff", MAX(Instances!GQ21:Instances!GQ21)-MIN(Instances!GQ21:Instances!GQ21))</f>
        <v>0</v>
      </c>
      <c r="GR21" s="1" cm="1">
        <f t="array" ref="GR21">_xlfn.SWITCH($A$2,"average", AVERAGE(Instances!GR21:Instances!GR21),"median", MEDIAN(Instances!GR21:Instances!GR21),"min", MIN(Instances!GR21:Instances!GR21),"max", MAX(Instances!GR21:Instances!GR21),"diff", MAX(Instances!GR21:Instances!GR21)-MIN(Instances!GR21:Instances!GR21))</f>
        <v>0</v>
      </c>
      <c r="GS21" s="1" cm="1">
        <f t="array" ref="GS21">_xlfn.SWITCH($A$2,"average", AVERAGE(Instances!GS21:Instances!GS21),"median", MEDIAN(Instances!GS21:Instances!GS21),"min", MIN(Instances!GS21:Instances!GS21),"max", MAX(Instances!GS21:Instances!GS21),"diff", MAX(Instances!GS21:Instances!GS21)-MIN(Instances!GS21:Instances!GS21))</f>
        <v>0</v>
      </c>
      <c r="GT21" s="1" cm="1">
        <f t="array" ref="GT21">_xlfn.SWITCH($A$2,"average", AVERAGE(Instances!GT21:Instances!GT21),"median", MEDIAN(Instances!GT21:Instances!GT21),"min", MIN(Instances!GT21:Instances!GT21),"max", MAX(Instances!GT21:Instances!GT21),"diff", MAX(Instances!GT21:Instances!GT21)-MIN(Instances!GT21:Instances!GT21))</f>
        <v>0</v>
      </c>
      <c r="GU21" s="1" cm="1">
        <f t="array" ref="GU21">_xlfn.SWITCH($A$2,"average", AVERAGE(Instances!GU21:Instances!GU21),"median", MEDIAN(Instances!GU21:Instances!GU21),"min", MIN(Instances!GU21:Instances!GU21),"max", MAX(Instances!GU21:Instances!GU21),"diff", MAX(Instances!GU21:Instances!GU21)-MIN(Instances!GU21:Instances!GU21))</f>
        <v>0</v>
      </c>
      <c r="GV21" s="1" cm="1">
        <f t="array" ref="GV21">_xlfn.SWITCH($A$2,"average", AVERAGE(Instances!GV21:Instances!GV21),"median", MEDIAN(Instances!GV21:Instances!GV21),"min", MIN(Instances!GV21:Instances!GV21),"max", MAX(Instances!GV21:Instances!GV21),"diff", MAX(Instances!GV21:Instances!GV21)-MIN(Instances!GV21:Instances!GV21))</f>
        <v>0</v>
      </c>
      <c r="GW21" s="1" cm="1">
        <f t="array" ref="GW21">_xlfn.SWITCH($A$2,"average", AVERAGE(Instances!GW21:Instances!GW21),"median", MEDIAN(Instances!GW21:Instances!GW21),"min", MIN(Instances!GW21:Instances!GW21),"max", MAX(Instances!GW21:Instances!GW21),"diff", MAX(Instances!GW21:Instances!GW21)-MIN(Instances!GW21:Instances!GW21))</f>
        <v>0</v>
      </c>
      <c r="GX21" s="1" cm="1">
        <f t="array" ref="GX21">_xlfn.SWITCH($A$2,"average", AVERAGE(Instances!GX21:Instances!GX21),"median", MEDIAN(Instances!GX21:Instances!GX21),"min", MIN(Instances!GX21:Instances!GX21),"max", MAX(Instances!GX21:Instances!GX21),"diff", MAX(Instances!GX21:Instances!GX21)-MIN(Instances!GX21:Instances!GX21))</f>
        <v>0</v>
      </c>
      <c r="GY21" s="1" cm="1">
        <f t="array" ref="GY21">_xlfn.SWITCH($A$2,"average", AVERAGE(Instances!GY21:Instances!GY21),"median", MEDIAN(Instances!GY21:Instances!GY21),"min", MIN(Instances!GY21:Instances!GY21),"max", MAX(Instances!GY21:Instances!GY21),"diff", MAX(Instances!GY21:Instances!GY21)-MIN(Instances!GY21:Instances!GY21))</f>
        <v>0</v>
      </c>
      <c r="GZ21" s="1" cm="1">
        <f t="array" ref="GZ21">_xlfn.SWITCH($A$2,"average", AVERAGE(Instances!GZ21:Instances!GZ21),"median", MEDIAN(Instances!GZ21:Instances!GZ21),"min", MIN(Instances!GZ21:Instances!GZ21),"max", MAX(Instances!GZ21:Instances!GZ21),"diff", MAX(Instances!GZ21:Instances!GZ21)-MIN(Instances!GZ21:Instances!GZ21))</f>
        <v>0</v>
      </c>
      <c r="HA21" s="1" cm="1">
        <f t="array" ref="HA21">_xlfn.SWITCH($A$2,"average", AVERAGE(Instances!HA21:Instances!HA21),"median", MEDIAN(Instances!HA21:Instances!HA21),"min", MIN(Instances!HA21:Instances!HA21),"max", MAX(Instances!HA21:Instances!HA21),"diff", MAX(Instances!HA21:Instances!HA21)-MIN(Instances!HA21:Instances!HA21))</f>
        <v>0</v>
      </c>
      <c r="HB21" s="1" cm="1">
        <f t="array" ref="HB21">_xlfn.SWITCH($A$2,"average", AVERAGE(Instances!HB21:Instances!HB21),"median", MEDIAN(Instances!HB21:Instances!HB21),"min", MIN(Instances!HB21:Instances!HB21),"max", MAX(Instances!HB21:Instances!HB21),"diff", MAX(Instances!HB21:Instances!HB21)-MIN(Instances!HB21:Instances!HB21))</f>
        <v>0</v>
      </c>
      <c r="HC21" s="1" cm="1">
        <f t="array" ref="HC21">_xlfn.SWITCH($A$2,"average", AVERAGE(Instances!HC21:Instances!HC21),"median", MEDIAN(Instances!HC21:Instances!HC21),"min", MIN(Instances!HC21:Instances!HC21),"max", MAX(Instances!HC21:Instances!HC21),"diff", MAX(Instances!HC21:Instances!HC21)-MIN(Instances!HC21:Instances!HC21))</f>
        <v>0</v>
      </c>
      <c r="HD21" s="1" cm="1">
        <f t="array" ref="HD21">_xlfn.SWITCH($A$2,"average", AVERAGE(Instances!HD21:Instances!HD21),"median", MEDIAN(Instances!HD21:Instances!HD21),"min", MIN(Instances!HD21:Instances!HD21),"max", MAX(Instances!HD21:Instances!HD21),"diff", MAX(Instances!HD21:Instances!HD21)-MIN(Instances!HD21:Instances!HD21))</f>
        <v>0</v>
      </c>
      <c r="HE21" s="1" cm="1">
        <f t="array" ref="HE21">_xlfn.SWITCH($A$2,"average", AVERAGE(Instances!HE21:Instances!HE21),"median", MEDIAN(Instances!HE21:Instances!HE21),"min", MIN(Instances!HE21:Instances!HE21),"max", MAX(Instances!HE21:Instances!HE21),"diff", MAX(Instances!HE21:Instances!HE21)-MIN(Instances!HE21:Instances!HE21))</f>
        <v>0</v>
      </c>
      <c r="HF21" s="1"/>
      <c r="HG21" s="1" cm="1">
        <f t="array" ref="HG21">_xlfn.SWITCH($A$2,"average", AVERAGE(Instances!HG21:Instances!HG21),"median", MEDIAN(Instances!HG21:Instances!HG21),"min", MIN(Instances!HG21:Instances!HG21),"max", MAX(Instances!HG21:Instances!HG21),"diff", MAX(Instances!HG21:Instances!HG21)-MIN(Instances!HG21:Instances!HG21))</f>
        <v>0</v>
      </c>
      <c r="HH21" s="1" cm="1">
        <f t="array" ref="HH21">_xlfn.SWITCH($A$2,"average", AVERAGE(Instances!HH21:Instances!HH21),"median", MEDIAN(Instances!HH21:Instances!HH21),"min", MIN(Instances!HH21:Instances!HH21),"max", MAX(Instances!HH21:Instances!HH21),"diff", MAX(Instances!HH21:Instances!HH21)-MIN(Instances!HH21:Instances!HH21))</f>
        <v>0</v>
      </c>
      <c r="HI21" s="1" cm="1">
        <f t="array" ref="HI21">_xlfn.SWITCH($A$2,"average", AVERAGE(Instances!HI21:Instances!HI21),"median", MEDIAN(Instances!HI21:Instances!HI21),"min", MIN(Instances!HI21:Instances!HI21),"max", MAX(Instances!HI21:Instances!HI21),"diff", MAX(Instances!HI21:Instances!HI21)-MIN(Instances!HI21:Instances!HI21))</f>
        <v>0</v>
      </c>
      <c r="HJ21" s="1" cm="1">
        <f t="array" ref="HJ21">_xlfn.SWITCH($A$2,"average", AVERAGE(Instances!HJ21:Instances!HJ21),"median", MEDIAN(Instances!HJ21:Instances!HJ21),"min", MIN(Instances!HJ21:Instances!HJ21),"max", MAX(Instances!HJ21:Instances!HJ21),"diff", MAX(Instances!HJ21:Instances!HJ21)-MIN(Instances!HJ21:Instances!HJ21))</f>
        <v>0</v>
      </c>
      <c r="HK21" s="1" cm="1">
        <f t="array" ref="HK21">_xlfn.SWITCH($A$2,"average", AVERAGE(Instances!HK21:Instances!HK21),"median", MEDIAN(Instances!HK21:Instances!HK21),"min", MIN(Instances!HK21:Instances!HK21),"max", MAX(Instances!HK21:Instances!HK21),"diff", MAX(Instances!HK21:Instances!HK21)-MIN(Instances!HK21:Instances!HK21))</f>
        <v>0</v>
      </c>
      <c r="HL21" s="1" cm="1">
        <f t="array" ref="HL21">_xlfn.SWITCH($A$2,"average", AVERAGE(Instances!HL21:Instances!HL21),"median", MEDIAN(Instances!HL21:Instances!HL21),"min", MIN(Instances!HL21:Instances!HL21),"max", MAX(Instances!HL21:Instances!HL21),"diff", MAX(Instances!HL21:Instances!HL21)-MIN(Instances!HL21:Instances!HL21))</f>
        <v>0</v>
      </c>
      <c r="HM21" s="1" cm="1">
        <f t="array" ref="HM21">_xlfn.SWITCH($A$2,"average", AVERAGE(Instances!HM21:Instances!HM21),"median", MEDIAN(Instances!HM21:Instances!HM21),"min", MIN(Instances!HM21:Instances!HM21),"max", MAX(Instances!HM21:Instances!HM21),"diff", MAX(Instances!HM21:Instances!HM21)-MIN(Instances!HM21:Instances!HM21))</f>
        <v>0</v>
      </c>
      <c r="HN21" s="1" cm="1">
        <f t="array" ref="HN21">_xlfn.SWITCH($A$2,"average", AVERAGE(Instances!HN21:Instances!HN21),"median", MEDIAN(Instances!HN21:Instances!HN21),"min", MIN(Instances!HN21:Instances!HN21),"max", MAX(Instances!HN21:Instances!HN21),"diff", MAX(Instances!HN21:Instances!HN21)-MIN(Instances!HN21:Instances!HN21))</f>
        <v>0</v>
      </c>
      <c r="HO21" s="1" cm="1">
        <f t="array" ref="HO21">_xlfn.SWITCH($A$2,"average", AVERAGE(Instances!HO21:Instances!HO21),"median", MEDIAN(Instances!HO21:Instances!HO21),"min", MIN(Instances!HO21:Instances!HO21),"max", MAX(Instances!HO21:Instances!HO21),"diff", MAX(Instances!HO21:Instances!HO21)-MIN(Instances!HO21:Instances!HO21))</f>
        <v>0</v>
      </c>
      <c r="HP21" s="1" cm="1">
        <f t="array" ref="HP21">_xlfn.SWITCH($A$2,"average", AVERAGE(Instances!HP21:Instances!HP21),"median", MEDIAN(Instances!HP21:Instances!HP21),"min", MIN(Instances!HP21:Instances!HP21),"max", MAX(Instances!HP21:Instances!HP21),"diff", MAX(Instances!HP21:Instances!HP21)-MIN(Instances!HP21:Instances!HP21))</f>
        <v>0</v>
      </c>
      <c r="HQ21" s="1" cm="1">
        <f t="array" ref="HQ21">_xlfn.SWITCH($A$2,"average", AVERAGE(Instances!HQ21:Instances!HQ21),"median", MEDIAN(Instances!HQ21:Instances!HQ21),"min", MIN(Instances!HQ21:Instances!HQ21),"max", MAX(Instances!HQ21:Instances!HQ21),"diff", MAX(Instances!HQ21:Instances!HQ21)-MIN(Instances!HQ21:Instances!HQ21))</f>
        <v>0</v>
      </c>
      <c r="HR21" s="1" cm="1">
        <f t="array" ref="HR21">_xlfn.SWITCH($A$2,"average", AVERAGE(Instances!HR21:Instances!HR21),"median", MEDIAN(Instances!HR21:Instances!HR21),"min", MIN(Instances!HR21:Instances!HR21),"max", MAX(Instances!HR21:Instances!HR21),"diff", MAX(Instances!HR21:Instances!HR21)-MIN(Instances!HR21:Instances!HR21))</f>
        <v>0</v>
      </c>
      <c r="HS21" s="1" cm="1">
        <f t="array" ref="HS21">_xlfn.SWITCH($A$2,"average", AVERAGE(Instances!HS21:Instances!HS21),"median", MEDIAN(Instances!HS21:Instances!HS21),"min", MIN(Instances!HS21:Instances!HS21),"max", MAX(Instances!HS21:Instances!HS21),"diff", MAX(Instances!HS21:Instances!HS21)-MIN(Instances!HS21:Instances!HS21))</f>
        <v>0</v>
      </c>
      <c r="HT21" s="1" cm="1">
        <f t="array" ref="HT21">_xlfn.SWITCH($A$2,"average", AVERAGE(Instances!HT21:Instances!HT21),"median", MEDIAN(Instances!HT21:Instances!HT21),"min", MIN(Instances!HT21:Instances!HT21),"max", MAX(Instances!HT21:Instances!HT21),"diff", MAX(Instances!HT21:Instances!HT21)-MIN(Instances!HT21:Instances!HT21))</f>
        <v>0</v>
      </c>
      <c r="HU21" s="1" cm="1">
        <f t="array" ref="HU21">_xlfn.SWITCH($A$2,"average", AVERAGE(Instances!HU21:Instances!HU21),"median", MEDIAN(Instances!HU21:Instances!HU21),"min", MIN(Instances!HU21:Instances!HU21),"max", MAX(Instances!HU21:Instances!HU21),"diff", MAX(Instances!HU21:Instances!HU21)-MIN(Instances!HU21:Instances!HU21))</f>
        <v>0</v>
      </c>
      <c r="HV21" s="1" cm="1">
        <f t="array" ref="HV21">_xlfn.SWITCH($A$2,"average", AVERAGE(Instances!HV21:Instances!HV21),"median", MEDIAN(Instances!HV21:Instances!HV21),"min", MIN(Instances!HV21:Instances!HV21),"max", MAX(Instances!HV21:Instances!HV21),"diff", MAX(Instances!HV21:Instances!HV21)-MIN(Instances!HV21:Instances!HV21))</f>
        <v>0</v>
      </c>
      <c r="HW21" s="1" cm="1">
        <f t="array" ref="HW21">_xlfn.SWITCH($A$2,"average", AVERAGE(Instances!HW21:Instances!HW21),"median", MEDIAN(Instances!HW21:Instances!HW21),"min", MIN(Instances!HW21:Instances!HW21),"max", MAX(Instances!HW21:Instances!HW21),"diff", MAX(Instances!HW21:Instances!HW21)-MIN(Instances!HW21:Instances!HW21))</f>
        <v>0</v>
      </c>
      <c r="HX21" s="1"/>
      <c r="HY21" s="1" cm="1">
        <f t="array" ref="HY21">_xlfn.SWITCH($A$2,"average", AVERAGE(Instances!HY21:Instances!HY21),"median", MEDIAN(Instances!HY21:Instances!HY21),"min", MIN(Instances!HY21:Instances!HY21),"max", MAX(Instances!HY21:Instances!HY21),"diff", MAX(Instances!HY21:Instances!HY21)-MIN(Instances!HY21:Instances!HY21))</f>
        <v>0</v>
      </c>
      <c r="HZ21" s="1" cm="1">
        <f t="array" ref="HZ21">_xlfn.SWITCH($A$2,"average", AVERAGE(Instances!HZ21:Instances!HZ21),"median", MEDIAN(Instances!HZ21:Instances!HZ21),"min", MIN(Instances!HZ21:Instances!HZ21),"max", MAX(Instances!HZ21:Instances!HZ21),"diff", MAX(Instances!HZ21:Instances!HZ21)-MIN(Instances!HZ21:Instances!HZ21))</f>
        <v>0</v>
      </c>
      <c r="IA21" s="1" cm="1">
        <f t="array" ref="IA21">_xlfn.SWITCH($A$2,"average", AVERAGE(Instances!IA21:Instances!IA21),"median", MEDIAN(Instances!IA21:Instances!IA21),"min", MIN(Instances!IA21:Instances!IA21),"max", MAX(Instances!IA21:Instances!IA21),"diff", MAX(Instances!IA21:Instances!IA21)-MIN(Instances!IA21:Instances!IA21))</f>
        <v>0</v>
      </c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 cm="1">
        <f t="array" ref="JL21">_xlfn.SWITCH($A$2,"average", AVERAGE(Instances!JL21:Instances!JL21),"median", MEDIAN(Instances!JL21:Instances!JL21),"min", MIN(Instances!JL21:Instances!JL21),"max", MAX(Instances!JL21:Instances!JL21),"diff", MAX(Instances!JL21:Instances!JL21)-MIN(Instances!JL21:Instances!JL21))</f>
        <v>0</v>
      </c>
      <c r="JM21" s="1" cm="1">
        <f t="array" ref="JM21">_xlfn.SWITCH($A$2,"average", AVERAGE(Instances!JM21:Instances!JM21),"median", MEDIAN(Instances!JM21:Instances!JM21),"min", MIN(Instances!JM21:Instances!JM21),"max", MAX(Instances!JM21:Instances!JM21),"diff", MAX(Instances!JM21:Instances!JM21)-MIN(Instances!JM21:Instances!JM21))</f>
        <v>0</v>
      </c>
      <c r="JN21" s="1" cm="1">
        <f t="array" ref="JN21">_xlfn.SWITCH($A$2,"average", AVERAGE(Instances!JN21:Instances!JN21),"median", MEDIAN(Instances!JN21:Instances!JN21),"min", MIN(Instances!JN21:Instances!JN21),"max", MAX(Instances!JN21:Instances!JN21),"diff", MAX(Instances!JN21:Instances!JN21)-MIN(Instances!JN21:Instances!JN21))</f>
        <v>0</v>
      </c>
      <c r="JO21" s="1" cm="1">
        <f t="array" ref="JO21">_xlfn.SWITCH($A$2,"average", AVERAGE(Instances!JO21:Instances!JO21),"median", MEDIAN(Instances!JO21:Instances!JO21),"min", MIN(Instances!JO21:Instances!JO21),"max", MAX(Instances!JO21:Instances!JO21),"diff", MAX(Instances!JO21:Instances!JO21)-MIN(Instances!JO21:Instances!JO21))</f>
        <v>0</v>
      </c>
      <c r="JP21" s="1" cm="1">
        <f t="array" ref="JP21">_xlfn.SWITCH($A$2,"average", AVERAGE(Instances!JP21:Instances!JP21),"median", MEDIAN(Instances!JP21:Instances!JP21),"min", MIN(Instances!JP21:Instances!JP21),"max", MAX(Instances!JP21:Instances!JP21),"diff", MAX(Instances!JP21:Instances!JP21)-MIN(Instances!JP21:Instances!JP21))</f>
        <v>0</v>
      </c>
      <c r="JQ21" s="1" cm="1">
        <f t="array" ref="JQ21">_xlfn.SWITCH($A$2,"average", AVERAGE(Instances!JQ21:Instances!JQ21),"median", MEDIAN(Instances!JQ21:Instances!JQ21),"min", MIN(Instances!JQ21:Instances!JQ21),"max", MAX(Instances!JQ21:Instances!JQ21),"diff", MAX(Instances!JQ21:Instances!JQ21)-MIN(Instances!JQ21:Instances!JQ21))</f>
        <v>0</v>
      </c>
      <c r="JR21" s="1" cm="1">
        <f t="array" ref="JR21">_xlfn.SWITCH($A$2,"average", AVERAGE(Instances!JR21:Instances!JR21),"median", MEDIAN(Instances!JR21:Instances!JR21),"min", MIN(Instances!JR21:Instances!JR21),"max", MAX(Instances!JR21:Instances!JR21),"diff", MAX(Instances!JR21:Instances!JR21)-MIN(Instances!JR21:Instances!JR21))</f>
        <v>0</v>
      </c>
      <c r="JS21" s="1" cm="1">
        <f t="array" ref="JS21">_xlfn.SWITCH($A$2,"average", AVERAGE(Instances!JS21:Instances!JS21),"median", MEDIAN(Instances!JS21:Instances!JS21),"min", MIN(Instances!JS21:Instances!JS21),"max", MAX(Instances!JS21:Instances!JS21),"diff", MAX(Instances!JS21:Instances!JS21)-MIN(Instances!JS21:Instances!JS21))</f>
        <v>0</v>
      </c>
      <c r="JT21" s="1" cm="1">
        <f t="array" ref="JT21">_xlfn.SWITCH($A$2,"average", AVERAGE(Instances!JT21:Instances!JT21),"median", MEDIAN(Instances!JT21:Instances!JT21),"min", MIN(Instances!JT21:Instances!JT21),"max", MAX(Instances!JT21:Instances!JT21),"diff", MAX(Instances!JT21:Instances!JT21)-MIN(Instances!JT21:Instances!JT21))</f>
        <v>0</v>
      </c>
      <c r="JU21" s="1" cm="1">
        <f t="array" ref="JU21">_xlfn.SWITCH($A$2,"average", AVERAGE(Instances!JU21:Instances!JU21),"median", MEDIAN(Instances!JU21:Instances!JU21),"min", MIN(Instances!JU21:Instances!JU21),"max", MAX(Instances!JU21:Instances!JU21),"diff", MAX(Instances!JU21:Instances!JU21)-MIN(Instances!JU21:Instances!JU21))</f>
        <v>0</v>
      </c>
      <c r="JV21" s="1" cm="1">
        <f t="array" ref="JV21">_xlfn.SWITCH($A$2,"average", AVERAGE(Instances!JV21:Instances!JV21),"median", MEDIAN(Instances!JV21:Instances!JV21),"min", MIN(Instances!JV21:Instances!JV21),"max", MAX(Instances!JV21:Instances!JV21),"diff", MAX(Instances!JV21:Instances!JV21)-MIN(Instances!JV21:Instances!JV21))</f>
        <v>0</v>
      </c>
      <c r="JW21" s="1" cm="1">
        <f t="array" ref="JW21">_xlfn.SWITCH($A$2,"average", AVERAGE(Instances!JW21:Instances!JW21),"median", MEDIAN(Instances!JW21:Instances!JW21),"min", MIN(Instances!JW21:Instances!JW21),"max", MAX(Instances!JW21:Instances!JW21),"diff", MAX(Instances!JW21:Instances!JW21)-MIN(Instances!JW21:Instances!JW21))</f>
        <v>0</v>
      </c>
      <c r="JX21" s="1" cm="1">
        <f t="array" ref="JX21">_xlfn.SWITCH($A$2,"average", AVERAGE(Instances!JX21:Instances!JX21),"median", MEDIAN(Instances!JX21:Instances!JX21),"min", MIN(Instances!JX21:Instances!JX21),"max", MAX(Instances!JX21:Instances!JX21),"diff", MAX(Instances!JX21:Instances!JX21)-MIN(Instances!JX21:Instances!JX21))</f>
        <v>0</v>
      </c>
      <c r="JY21" s="1" cm="1">
        <f t="array" ref="JY21">_xlfn.SWITCH($A$2,"average", AVERAGE(Instances!JY21:Instances!JY21),"median", MEDIAN(Instances!JY21:Instances!JY21),"min", MIN(Instances!JY21:Instances!JY21),"max", MAX(Instances!JY21:Instances!JY21),"diff", MAX(Instances!JY21:Instances!JY21)-MIN(Instances!JY21:Instances!JY21))</f>
        <v>0</v>
      </c>
      <c r="JZ21" s="1"/>
      <c r="KA21" s="1" cm="1">
        <f t="array" ref="KA21">_xlfn.SWITCH($A$2,"average", AVERAGE(Instances!KA21:Instances!KA21),"median", MEDIAN(Instances!KA21:Instances!KA21),"min", MIN(Instances!KA21:Instances!KA21),"max", MAX(Instances!KA21:Instances!KA21),"diff", MAX(Instances!KA21:Instances!KA21)-MIN(Instances!KA21:Instances!KA21))</f>
        <v>0</v>
      </c>
      <c r="KB21" s="1" cm="1">
        <f t="array" ref="KB21">_xlfn.SWITCH($A$2,"average", AVERAGE(Instances!KB21:Instances!KB21),"median", MEDIAN(Instances!KB21:Instances!KB21),"min", MIN(Instances!KB21:Instances!KB21),"max", MAX(Instances!KB21:Instances!KB21),"diff", MAX(Instances!KB21:Instances!KB21)-MIN(Instances!KB21:Instances!KB21))</f>
        <v>0</v>
      </c>
      <c r="KC21" s="1" cm="1">
        <f t="array" ref="KC21">_xlfn.SWITCH($A$2,"average", AVERAGE(Instances!KC21:Instances!KC21),"median", MEDIAN(Instances!KC21:Instances!KC21),"min", MIN(Instances!KC21:Instances!KC21),"max", MAX(Instances!KC21:Instances!KC21),"diff", MAX(Instances!KC21:Instances!KC21)-MIN(Instances!KC21:Instances!KC21))</f>
        <v>0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 cm="1">
        <f t="array" ref="L22">_xlfn.SWITCH($A$2,"average", AVERAGE(Instances!L22:Instances!L22),"median", MEDIAN(Instances!L22:Instances!L22),"min", MIN(Instances!L22:Instances!L22),"max", MAX(Instances!L22:Instances!L22),"diff", MAX(Instances!L22:Instances!L22)-MIN(Instances!L22:Instances!L22))</f>
        <v>0</v>
      </c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 cm="1">
        <f t="array" ref="O22">_xlfn.SWITCH($A$2,"average", AVERAGE(Instances!O22:Instances!O22),"median", MEDIAN(Instances!O22:Instances!O22),"min", MIN(Instances!O22:Instances!O22),"max", MAX(Instances!O22:Instances!O22),"diff", MAX(Instances!O22:Instances!O22)-MIN(Instances!O22:Instances!O22))</f>
        <v>0</v>
      </c>
      <c r="P22" s="1"/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 cm="1">
        <f t="array" ref="S22">_xlfn.SWITCH($A$2,"average", AVERAGE(Instances!S22:Instances!S22),"median", MEDIAN(Instances!S22:Instances!S22),"min", MIN(Instances!S22:Instances!S22),"max", MAX(Instances!S22:Instances!S22),"diff", MAX(Instances!S22:Instances!S22)-MIN(Instances!S22:Instances!S22))</f>
        <v>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 cm="1">
        <f t="array" ref="AL22">_xlfn.SWITCH($A$2,"average", AVERAGE(Instances!AL22:Instances!AL22),"median", MEDIAN(Instances!AL22:Instances!AL22),"min", MIN(Instances!AL22:Instances!AL22),"max", MAX(Instances!AL22:Instances!AL22),"diff", MAX(Instances!AL22:Instances!AL22)-MIN(Instances!AL22:Instances!AL22))</f>
        <v>0</v>
      </c>
      <c r="AM22" s="1" cm="1">
        <f t="array" ref="AM22">_xlfn.SWITCH($A$2,"average", AVERAGE(Instances!AM22:Instances!AM22),"median", MEDIAN(Instances!AM22:Instances!AM22),"min", MIN(Instances!AM22:Instances!AM22),"max", MAX(Instances!AM22:Instances!AM22),"diff", MAX(Instances!AM22:Instances!AM22)-MIN(Instances!AM22:Instances!AM22))</f>
        <v>0</v>
      </c>
      <c r="AN22" s="1" cm="1">
        <f t="array" ref="AN22">_xlfn.SWITCH($A$2,"average", AVERAGE(Instances!AN22:Instances!AN22),"median", MEDIAN(Instances!AN22:Instances!AN22),"min", MIN(Instances!AN22:Instances!AN22),"max", MAX(Instances!AN22:Instances!AN22),"diff", MAX(Instances!AN22:Instances!AN22)-MIN(Instances!AN22:Instances!AN22))</f>
        <v>0</v>
      </c>
      <c r="AO22" s="1" cm="1">
        <f t="array" ref="AO22">_xlfn.SWITCH($A$2,"average", AVERAGE(Instances!AO22:Instances!AO22),"median", MEDIAN(Instances!AO22:Instances!AO22),"min", MIN(Instances!AO22:Instances!AO22),"max", MAX(Instances!AO22:Instances!AO22),"diff", MAX(Instances!AO22:Instances!AO22)-MIN(Instances!AO22:Instances!AO22))</f>
        <v>0</v>
      </c>
      <c r="AP22" s="1" cm="1">
        <f t="array" ref="AP22">_xlfn.SWITCH($A$2,"average", AVERAGE(Instances!AP22:Instances!AP22),"median", MEDIAN(Instances!AP22:Instances!AP22),"min", MIN(Instances!AP22:Instances!AP22),"max", MAX(Instances!AP22:Instances!AP22),"diff", MAX(Instances!AP22:Instances!AP22)-MIN(Instances!AP22:Instances!AP22))</f>
        <v>0</v>
      </c>
      <c r="AQ22" s="1" cm="1">
        <f t="array" ref="AQ22">_xlfn.SWITCH($A$2,"average", AVERAGE(Instances!AQ22:Instances!AQ22),"median", MEDIAN(Instances!AQ22:Instances!AQ22),"min", MIN(Instances!AQ22:Instances!AQ22),"max", MAX(Instances!AQ22:Instances!AQ22),"diff", MAX(Instances!AQ22:Instances!AQ22)-MIN(Instances!AQ22:Instances!AQ22))</f>
        <v>0</v>
      </c>
      <c r="AR22" s="1" cm="1">
        <f t="array" ref="AR22">_xlfn.SWITCH($A$2,"average", AVERAGE(Instances!AR22:Instances!AR22),"median", MEDIAN(Instances!AR22:Instances!AR22),"min", MIN(Instances!AR22:Instances!AR22),"max", MAX(Instances!AR22:Instances!AR22),"diff", MAX(Instances!AR22:Instances!AR22)-MIN(Instances!AR22:Instances!AR22))</f>
        <v>0</v>
      </c>
      <c r="AS22" s="1" cm="1">
        <f t="array" ref="AS22">_xlfn.SWITCH($A$2,"average", AVERAGE(Instances!AS22:Instances!AS22),"median", MEDIAN(Instances!AS22:Instances!AS22),"min", MIN(Instances!AS22:Instances!AS22),"max", MAX(Instances!AS22:Instances!AS22),"diff", MAX(Instances!AS22:Instances!AS22)-MIN(Instances!AS22:Instances!AS22))</f>
        <v>0</v>
      </c>
      <c r="AT22" s="1" cm="1">
        <f t="array" ref="AT22">_xlfn.SWITCH($A$2,"average", AVERAGE(Instances!AT22:Instances!AT22),"median", MEDIAN(Instances!AT22:Instances!AT22),"min", MIN(Instances!AT22:Instances!AT22),"max", MAX(Instances!AT22:Instances!AT22),"diff", MAX(Instances!AT22:Instances!AT22)-MIN(Instances!AT22:Instances!AT22))</f>
        <v>0</v>
      </c>
      <c r="AU22" s="1" cm="1">
        <f t="array" ref="AU22">_xlfn.SWITCH($A$2,"average", AVERAGE(Instances!AU22:Instances!AU22),"median", MEDIAN(Instances!AU22:Instances!AU22),"min", MIN(Instances!AU22:Instances!AU22),"max", MAX(Instances!AU22:Instances!AU22),"diff", MAX(Instances!AU22:Instances!AU22)-MIN(Instances!AU22:Instances!AU22))</f>
        <v>0</v>
      </c>
      <c r="AV22" s="1" cm="1">
        <f t="array" ref="AV22">_xlfn.SWITCH($A$2,"average", AVERAGE(Instances!AV22:Instances!AV22),"median", MEDIAN(Instances!AV22:Instances!AV22),"min", MIN(Instances!AV22:Instances!AV22),"max", MAX(Instances!AV22:Instances!AV22),"diff", MAX(Instances!AV22:Instances!AV22)-MIN(Instances!AV22:Instances!AV22))</f>
        <v>0</v>
      </c>
      <c r="AW22" s="1" cm="1">
        <f t="array" ref="AW22">_xlfn.SWITCH($A$2,"average", AVERAGE(Instances!AW22:Instances!AW22),"median", MEDIAN(Instances!AW22:Instances!AW22),"min", MIN(Instances!AW22:Instances!AW22),"max", MAX(Instances!AW22:Instances!AW22),"diff", MAX(Instances!AW22:Instances!AW22)-MIN(Instances!AW22:Instances!AW22))</f>
        <v>0</v>
      </c>
      <c r="AX22" s="1" cm="1">
        <f t="array" ref="AX22">_xlfn.SWITCH($A$2,"average", AVERAGE(Instances!AX22:Instances!AX22),"median", MEDIAN(Instances!AX22:Instances!AX22),"min", MIN(Instances!AX22:Instances!AX22),"max", MAX(Instances!AX22:Instances!AX22),"diff", MAX(Instances!AX22:Instances!AX22)-MIN(Instances!AX22:Instances!AX22))</f>
        <v>0</v>
      </c>
      <c r="AY22" s="1" cm="1">
        <f t="array" ref="AY22">_xlfn.SWITCH($A$2,"average", AVERAGE(Instances!AY22:Instances!AY22),"median", MEDIAN(Instances!AY22:Instances!AY22),"min", MIN(Instances!AY22:Instances!AY22),"max", MAX(Instances!AY22:Instances!AY22),"diff", MAX(Instances!AY22:Instances!AY22)-MIN(Instances!AY22:Instances!AY22))</f>
        <v>0</v>
      </c>
      <c r="AZ22" s="1"/>
      <c r="BA22" s="1" cm="1">
        <f t="array" ref="BA22">_xlfn.SWITCH($A$2,"average", AVERAGE(Instances!BA22:Instances!BA22),"median", MEDIAN(Instances!BA22:Instances!BA22),"min", MIN(Instances!BA22:Instances!BA22),"max", MAX(Instances!BA22:Instances!BA22),"diff", MAX(Instances!BA22:Instances!BA22)-MIN(Instances!BA22:Instances!BA22))</f>
        <v>0</v>
      </c>
      <c r="BB22" s="1" cm="1">
        <f t="array" ref="BB22">_xlfn.SWITCH($A$2,"average", AVERAGE(Instances!BB22:Instances!BB22),"median", MEDIAN(Instances!BB22:Instances!BB22),"min", MIN(Instances!BB22:Instances!BB22),"max", MAX(Instances!BB22:Instances!BB22),"diff", MAX(Instances!BB22:Instances!BB22)-MIN(Instances!BB22:Instances!BB22))</f>
        <v>0</v>
      </c>
      <c r="BC22" s="1" cm="1">
        <f t="array" ref="BC22">_xlfn.SWITCH($A$2,"average", AVERAGE(Instances!BC22:Instances!BC22),"median", MEDIAN(Instances!BC22:Instances!BC22),"min", MIN(Instances!BC22:Instances!BC22),"max", MAX(Instances!BC22:Instances!BC22),"diff", MAX(Instances!BC22:Instances!BC22)-MIN(Instances!BC22:Instances!BC22))</f>
        <v>0</v>
      </c>
      <c r="BD22" s="1" cm="1">
        <f t="array" ref="BD22">_xlfn.SWITCH($A$2,"average", AVERAGE(Instances!BD22:Instances!BD22),"median", MEDIAN(Instances!BD22:Instances!BD22),"min", MIN(Instances!BD22:Instances!BD22),"max", MAX(Instances!BD22:Instances!BD22),"diff", MAX(Instances!BD22:Instances!BD22)-MIN(Instances!BD22:Instances!BD22))</f>
        <v>0</v>
      </c>
      <c r="BE22" s="1" cm="1">
        <f t="array" ref="BE22">_xlfn.SWITCH($A$2,"average", AVERAGE(Instances!BE22:Instances!BE22),"median", MEDIAN(Instances!BE22:Instances!BE22),"min", MIN(Instances!BE22:Instances!BE22),"max", MAX(Instances!BE22:Instances!BE22),"diff", MAX(Instances!BE22:Instances!BE22)-MIN(Instances!BE22:Instances!BE22))</f>
        <v>0</v>
      </c>
      <c r="BF22" s="1" cm="1">
        <f t="array" ref="BF22">_xlfn.SWITCH($A$2,"average", AVERAGE(Instances!BF22:Instances!BF22),"median", MEDIAN(Instances!BF22:Instances!BF22),"min", MIN(Instances!BF22:Instances!BF22),"max", MAX(Instances!BF22:Instances!BF22),"diff", MAX(Instances!BF22:Instances!BF22)-MIN(Instances!BF22:Instances!BF22))</f>
        <v>0</v>
      </c>
      <c r="BG22" s="1" cm="1">
        <f t="array" ref="BG22">_xlfn.SWITCH($A$2,"average", AVERAGE(Instances!BG22:Instances!BG22),"median", MEDIAN(Instances!BG22:Instances!BG22),"min", MIN(Instances!BG22:Instances!BG22),"max", MAX(Instances!BG22:Instances!BG22),"diff", MAX(Instances!BG22:Instances!BG22)-MIN(Instances!BG22:Instances!BG22))</f>
        <v>0</v>
      </c>
      <c r="BH22" s="1" cm="1">
        <f t="array" ref="BH22">_xlfn.SWITCH($A$2,"average", AVERAGE(Instances!BH22:Instances!BH22),"median", MEDIAN(Instances!BH22:Instances!BH22),"min", MIN(Instances!BH22:Instances!BH22),"max", MAX(Instances!BH22:Instances!BH22),"diff", MAX(Instances!BH22:Instances!BH22)-MIN(Instances!BH22:Instances!BH22))</f>
        <v>0</v>
      </c>
      <c r="BI22" s="1" cm="1">
        <f t="array" ref="BI22">_xlfn.SWITCH($A$2,"average", AVERAGE(Instances!BI22:Instances!BI22),"median", MEDIAN(Instances!BI22:Instances!BI22),"min", MIN(Instances!BI22:Instances!BI22),"max", MAX(Instances!BI22:Instances!BI22),"diff", MAX(Instances!BI22:Instances!BI22)-MIN(Instances!BI22:Instances!BI22))</f>
        <v>0</v>
      </c>
      <c r="BJ22" s="1" cm="1">
        <f t="array" ref="BJ22">_xlfn.SWITCH($A$2,"average", AVERAGE(Instances!BJ22:Instances!BJ22),"median", MEDIAN(Instances!BJ22:Instances!BJ22),"min", MIN(Instances!BJ22:Instances!BJ22),"max", MAX(Instances!BJ22:Instances!BJ22),"diff", MAX(Instances!BJ22:Instances!BJ22)-MIN(Instances!BJ22:Instances!BJ22))</f>
        <v>0</v>
      </c>
      <c r="BK22" s="1" cm="1">
        <f t="array" ref="BK22">_xlfn.SWITCH($A$2,"average", AVERAGE(Instances!BK22:Instances!BK22),"median", MEDIAN(Instances!BK22:Instances!BK22),"min", MIN(Instances!BK22:Instances!BK22),"max", MAX(Instances!BK22:Instances!BK22),"diff", MAX(Instances!BK22:Instances!BK22)-MIN(Instances!BK22:Instances!BK22))</f>
        <v>0</v>
      </c>
      <c r="BL22" s="1" cm="1">
        <f t="array" ref="BL22">_xlfn.SWITCH($A$2,"average", AVERAGE(Instances!BL22:Instances!BL22),"median", MEDIAN(Instances!BL22:Instances!BL22),"min", MIN(Instances!BL22:Instances!BL22),"max", MAX(Instances!BL22:Instances!BL22),"diff", MAX(Instances!BL22:Instances!BL22)-MIN(Instances!BL22:Instances!BL22))</f>
        <v>0</v>
      </c>
      <c r="BM22" s="1" cm="1">
        <f t="array" ref="BM22">_xlfn.SWITCH($A$2,"average", AVERAGE(Instances!BM22:Instances!BM22),"median", MEDIAN(Instances!BM22:Instances!BM22),"min", MIN(Instances!BM22:Instances!BM22),"max", MAX(Instances!BM22:Instances!BM22),"diff", MAX(Instances!BM22:Instances!BM22)-MIN(Instances!BM22:Instances!BM22))</f>
        <v>0</v>
      </c>
      <c r="BN22" s="1" cm="1">
        <f t="array" ref="BN22">_xlfn.SWITCH($A$2,"average", AVERAGE(Instances!BN22:Instances!BN22),"median", MEDIAN(Instances!BN22:Instances!BN22),"min", MIN(Instances!BN22:Instances!BN22),"max", MAX(Instances!BN22:Instances!BN22),"diff", MAX(Instances!BN22:Instances!BN22)-MIN(Instances!BN22:Instances!BN22))</f>
        <v>0</v>
      </c>
      <c r="BO22" s="1" cm="1">
        <f t="array" ref="BO22">_xlfn.SWITCH($A$2,"average", AVERAGE(Instances!BO22:Instances!BO22),"median", MEDIAN(Instances!BO22:Instances!BO22),"min", MIN(Instances!BO22:Instances!BO22),"max", MAX(Instances!BO22:Instances!BO22),"diff", MAX(Instances!BO22:Instances!BO22)-MIN(Instances!BO22:Instances!BO22))</f>
        <v>0</v>
      </c>
      <c r="BP22" s="1" cm="1">
        <f t="array" ref="BP22">_xlfn.SWITCH($A$2,"average", AVERAGE(Instances!BP22:Instances!BP22),"median", MEDIAN(Instances!BP22:Instances!BP22),"min", MIN(Instances!BP22:Instances!BP22),"max", MAX(Instances!BP22:Instances!BP22),"diff", MAX(Instances!BP22:Instances!BP22)-MIN(Instances!BP22:Instances!BP22))</f>
        <v>0</v>
      </c>
      <c r="BQ22" s="1" cm="1">
        <f t="array" ref="BQ22">_xlfn.SWITCH($A$2,"average", AVERAGE(Instances!BQ22:Instances!BQ22),"median", MEDIAN(Instances!BQ22:Instances!BQ22),"min", MIN(Instances!BQ22:Instances!BQ22),"max", MAX(Instances!BQ22:Instances!BQ22),"diff", MAX(Instances!BQ22:Instances!BQ22)-MIN(Instances!BQ22:Instances!BQ22))</f>
        <v>0</v>
      </c>
      <c r="BR22" s="1"/>
      <c r="BS22" s="1" cm="1">
        <f t="array" ref="BS22">_xlfn.SWITCH($A$2,"average", AVERAGE(Instances!BS22:Instances!BS22),"median", MEDIAN(Instances!BS22:Instances!BS22),"min", MIN(Instances!BS22:Instances!BS22),"max", MAX(Instances!BS22:Instances!BS22),"diff", MAX(Instances!BS22:Instances!BS22)-MIN(Instances!BS22:Instances!BS22))</f>
        <v>0</v>
      </c>
      <c r="BT22" s="1" cm="1">
        <f t="array" ref="BT22">_xlfn.SWITCH($A$2,"average", AVERAGE(Instances!BT22:Instances!BT22),"median", MEDIAN(Instances!BT22:Instances!BT22),"min", MIN(Instances!BT22:Instances!BT22),"max", MAX(Instances!BT22:Instances!BT22),"diff", MAX(Instances!BT22:Instances!BT22)-MIN(Instances!BT22:Instances!BT22))</f>
        <v>0</v>
      </c>
      <c r="BU22" s="1" cm="1">
        <f t="array" ref="BU22">_xlfn.SWITCH($A$2,"average", AVERAGE(Instances!BU22:Instances!BU22),"median", MEDIAN(Instances!BU22:Instances!BU22),"min", MIN(Instances!BU22:Instances!BU22),"max", MAX(Instances!BU22:Instances!BU22),"diff", MAX(Instances!BU22:Instances!BU22)-MIN(Instances!BU22:Instances!BU22))</f>
        <v>0</v>
      </c>
      <c r="BV22" s="1" cm="1">
        <f t="array" ref="BV22">_xlfn.SWITCH($A$2,"average", AVERAGE(Instances!BV22:Instances!BV22),"median", MEDIAN(Instances!BV22:Instances!BV22),"min", MIN(Instances!BV22:Instances!BV22),"max", MAX(Instances!BV22:Instances!BV22),"diff", MAX(Instances!BV22:Instances!BV22)-MIN(Instances!BV22:Instances!BV22))</f>
        <v>0</v>
      </c>
      <c r="BW22" s="1" cm="1">
        <f t="array" ref="BW22">_xlfn.SWITCH($A$2,"average", AVERAGE(Instances!BW22:Instances!BW22),"median", MEDIAN(Instances!BW22:Instances!BW22),"min", MIN(Instances!BW22:Instances!BW22),"max", MAX(Instances!BW22:Instances!BW22),"diff", MAX(Instances!BW22:Instances!BW22)-MIN(Instances!BW22:Instances!BW22))</f>
        <v>0</v>
      </c>
      <c r="BX22" s="1" cm="1">
        <f t="array" ref="BX22">_xlfn.SWITCH($A$2,"average", AVERAGE(Instances!BX22:Instances!BX22),"median", MEDIAN(Instances!BX22:Instances!BX22),"min", MIN(Instances!BX22:Instances!BX22),"max", MAX(Instances!BX22:Instances!BX22),"diff", MAX(Instances!BX22:Instances!BX22)-MIN(Instances!BX22:Instances!BX22))</f>
        <v>0</v>
      </c>
      <c r="BY22" s="1" cm="1">
        <f t="array" ref="BY22">_xlfn.SWITCH($A$2,"average", AVERAGE(Instances!BY22:Instances!BY22),"median", MEDIAN(Instances!BY22:Instances!BY22),"min", MIN(Instances!BY22:Instances!BY22),"max", MAX(Instances!BY22:Instances!BY22),"diff", MAX(Instances!BY22:Instances!BY22)-MIN(Instances!BY22:Instances!BY22))</f>
        <v>0</v>
      </c>
      <c r="BZ22" s="1" cm="1">
        <f t="array" ref="BZ22">_xlfn.SWITCH($A$2,"average", AVERAGE(Instances!BZ22:Instances!BZ22),"median", MEDIAN(Instances!BZ22:Instances!BZ22),"min", MIN(Instances!BZ22:Instances!BZ22),"max", MAX(Instances!BZ22:Instances!BZ22),"diff", MAX(Instances!BZ22:Instances!BZ22)-MIN(Instances!BZ22:Instances!BZ22))</f>
        <v>0</v>
      </c>
      <c r="CA22" s="1" cm="1">
        <f t="array" ref="CA22">_xlfn.SWITCH($A$2,"average", AVERAGE(Instances!CA22:Instances!CA22),"median", MEDIAN(Instances!CA22:Instances!CA22),"min", MIN(Instances!CA22:Instances!CA22),"max", MAX(Instances!CA22:Instances!CA22),"diff", MAX(Instances!CA22:Instances!CA22)-MIN(Instances!CA22:Instances!CA22))</f>
        <v>0</v>
      </c>
      <c r="CB22" s="1" cm="1">
        <f t="array" ref="CB22">_xlfn.SWITCH($A$2,"average", AVERAGE(Instances!CB22:Instances!CB22),"median", MEDIAN(Instances!CB22:Instances!CB22),"min", MIN(Instances!CB22:Instances!CB22),"max", MAX(Instances!CB22:Instances!CB22),"diff", MAX(Instances!CB22:Instances!CB22)-MIN(Instances!CB22:Instances!CB22))</f>
        <v>0</v>
      </c>
      <c r="CC22" s="1" cm="1">
        <f t="array" ref="CC22">_xlfn.SWITCH($A$2,"average", AVERAGE(Instances!CC22:Instances!CC22),"median", MEDIAN(Instances!CC22:Instances!CC22),"min", MIN(Instances!CC22:Instances!CC22),"max", MAX(Instances!CC22:Instances!CC22),"diff", MAX(Instances!CC22:Instances!CC22)-MIN(Instances!CC22:Instances!CC22))</f>
        <v>0</v>
      </c>
      <c r="CD22" s="1" cm="1">
        <f t="array" ref="CD22">_xlfn.SWITCH($A$2,"average", AVERAGE(Instances!CD22:Instances!CD22),"median", MEDIAN(Instances!CD22:Instances!CD22),"min", MIN(Instances!CD22:Instances!CD22),"max", MAX(Instances!CD22:Instances!CD22),"diff", MAX(Instances!CD22:Instances!CD22)-MIN(Instances!CD22:Instances!CD22))</f>
        <v>0</v>
      </c>
      <c r="CE22" s="1" cm="1">
        <f t="array" ref="CE22">_xlfn.SWITCH($A$2,"average", AVERAGE(Instances!CE22:Instances!CE22),"median", MEDIAN(Instances!CE22:Instances!CE22),"min", MIN(Instances!CE22:Instances!CE22),"max", MAX(Instances!CE22:Instances!CE22),"diff", MAX(Instances!CE22:Instances!CE22)-MIN(Instances!CE22:Instances!CE22))</f>
        <v>0</v>
      </c>
      <c r="CF22" s="1" cm="1">
        <f t="array" ref="CF22">_xlfn.SWITCH($A$2,"average", AVERAGE(Instances!CF22:Instances!CF22),"median", MEDIAN(Instances!CF22:Instances!CF22),"min", MIN(Instances!CF22:Instances!CF22),"max", MAX(Instances!CF22:Instances!CF22),"diff", MAX(Instances!CF22:Instances!CF22)-MIN(Instances!CF22:Instances!CF22))</f>
        <v>0</v>
      </c>
      <c r="CG22" s="1" cm="1">
        <f t="array" ref="CG22">_xlfn.SWITCH($A$2,"average", AVERAGE(Instances!CG22:Instances!CG22),"median", MEDIAN(Instances!CG22:Instances!CG22),"min", MIN(Instances!CG22:Instances!CG22),"max", MAX(Instances!CG22:Instances!CG22),"diff", MAX(Instances!CG22:Instances!CG22)-MIN(Instances!CG22:Instances!CG22))</f>
        <v>0</v>
      </c>
      <c r="CH22" s="1" cm="1">
        <f t="array" ref="CH22">_xlfn.SWITCH($A$2,"average", AVERAGE(Instances!CH22:Instances!CH22),"median", MEDIAN(Instances!CH22:Instances!CH22),"min", MIN(Instances!CH22:Instances!CH22),"max", MAX(Instances!CH22:Instances!CH22),"diff", MAX(Instances!CH22:Instances!CH22)-MIN(Instances!CH22:Instances!CH22))</f>
        <v>0</v>
      </c>
      <c r="CI22" s="1" cm="1">
        <f t="array" ref="CI22">_xlfn.SWITCH($A$2,"average", AVERAGE(Instances!CI22:Instances!CI22),"median", MEDIAN(Instances!CI22:Instances!CI22),"min", MIN(Instances!CI22:Instances!CI22),"max", MAX(Instances!CI22:Instances!CI22),"diff", MAX(Instances!CI22:Instances!CI22)-MIN(Instances!CI22:Instances!CI22))</f>
        <v>0</v>
      </c>
      <c r="CJ22" s="1"/>
      <c r="CK22" s="1" cm="1">
        <f t="array" ref="CK22">_xlfn.SWITCH($A$2,"average", AVERAGE(Instances!CK22:Instances!CK22),"median", MEDIAN(Instances!CK22:Instances!CK22),"min", MIN(Instances!CK22:Instances!CK22),"max", MAX(Instances!CK22:Instances!CK22),"diff", MAX(Instances!CK22:Instances!CK22)-MIN(Instances!CK22:Instances!CK22))</f>
        <v>0</v>
      </c>
      <c r="CL22" s="1" cm="1">
        <f t="array" ref="CL22">_xlfn.SWITCH($A$2,"average", AVERAGE(Instances!CL22:Instances!CL22),"median", MEDIAN(Instances!CL22:Instances!CL22),"min", MIN(Instances!CL22:Instances!CL22),"max", MAX(Instances!CL22:Instances!CL22),"diff", MAX(Instances!CL22:Instances!CL22)-MIN(Instances!CL22:Instances!CL22))</f>
        <v>0</v>
      </c>
      <c r="CM22" s="1" cm="1">
        <f t="array" ref="CM22">_xlfn.SWITCH($A$2,"average", AVERAGE(Instances!CM22:Instances!CM22),"median", MEDIAN(Instances!CM22:Instances!CM22),"min", MIN(Instances!CM22:Instances!CM22),"max", MAX(Instances!CM22:Instances!CM22),"diff", MAX(Instances!CM22:Instances!CM22)-MIN(Instances!CM22:Instances!CM22))</f>
        <v>0</v>
      </c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 cm="1">
        <f t="array" ref="DX22">_xlfn.SWITCH($A$2,"average", AVERAGE(Instances!DX22:Instances!DX22),"median", MEDIAN(Instances!DX22:Instances!DX22),"min", MIN(Instances!DX22:Instances!DX22),"max", MAX(Instances!DX22:Instances!DX22),"diff", MAX(Instances!DX22:Instances!DX22)-MIN(Instances!DX22:Instances!DX22))</f>
        <v>0</v>
      </c>
      <c r="DY22" s="1" cm="1">
        <f t="array" ref="DY22">_xlfn.SWITCH($A$2,"average", AVERAGE(Instances!DY22:Instances!DY22),"median", MEDIAN(Instances!DY22:Instances!DY22),"min", MIN(Instances!DY22:Instances!DY22),"max", MAX(Instances!DY22:Instances!DY22),"diff", MAX(Instances!DY22:Instances!DY22)-MIN(Instances!DY22:Instances!DY22))</f>
        <v>0</v>
      </c>
      <c r="DZ22" s="1" cm="1">
        <f t="array" ref="DZ22">_xlfn.SWITCH($A$2,"average", AVERAGE(Instances!DZ22:Instances!DZ22),"median", MEDIAN(Instances!DZ22:Instances!DZ22),"min", MIN(Instances!DZ22:Instances!DZ22),"max", MAX(Instances!DZ22:Instances!DZ22),"diff", MAX(Instances!DZ22:Instances!DZ22)-MIN(Instances!DZ22:Instances!DZ22))</f>
        <v>0</v>
      </c>
      <c r="EA22" s="1" cm="1">
        <f t="array" ref="EA22">_xlfn.SWITCH($A$2,"average", AVERAGE(Instances!EA22:Instances!EA22),"median", MEDIAN(Instances!EA22:Instances!EA22),"min", MIN(Instances!EA22:Instances!EA22),"max", MAX(Instances!EA22:Instances!EA22),"diff", MAX(Instances!EA22:Instances!EA22)-MIN(Instances!EA22:Instances!EA22))</f>
        <v>0</v>
      </c>
      <c r="EB22" s="1" cm="1">
        <f t="array" ref="EB22">_xlfn.SWITCH($A$2,"average", AVERAGE(Instances!EB22:Instances!EB22),"median", MEDIAN(Instances!EB22:Instances!EB22),"min", MIN(Instances!EB22:Instances!EB22),"max", MAX(Instances!EB22:Instances!EB22),"diff", MAX(Instances!EB22:Instances!EB22)-MIN(Instances!EB22:Instances!EB22))</f>
        <v>0</v>
      </c>
      <c r="EC22" s="1" cm="1">
        <f t="array" ref="EC22">_xlfn.SWITCH($A$2,"average", AVERAGE(Instances!EC22:Instances!EC22),"median", MEDIAN(Instances!EC22:Instances!EC22),"min", MIN(Instances!EC22:Instances!EC22),"max", MAX(Instances!EC22:Instances!EC22),"diff", MAX(Instances!EC22:Instances!EC22)-MIN(Instances!EC22:Instances!EC22))</f>
        <v>0</v>
      </c>
      <c r="ED22" s="1" cm="1">
        <f t="array" ref="ED22">_xlfn.SWITCH($A$2,"average", AVERAGE(Instances!ED22:Instances!ED22),"median", MEDIAN(Instances!ED22:Instances!ED22),"min", MIN(Instances!ED22:Instances!ED22),"max", MAX(Instances!ED22:Instances!ED22),"diff", MAX(Instances!ED22:Instances!ED22)-MIN(Instances!ED22:Instances!ED22))</f>
        <v>0</v>
      </c>
      <c r="EE22" s="1" cm="1">
        <f t="array" ref="EE22">_xlfn.SWITCH($A$2,"average", AVERAGE(Instances!EE22:Instances!EE22),"median", MEDIAN(Instances!EE22:Instances!EE22),"min", MIN(Instances!EE22:Instances!EE22),"max", MAX(Instances!EE22:Instances!EE22),"diff", MAX(Instances!EE22:Instances!EE22)-MIN(Instances!EE22:Instances!EE22))</f>
        <v>0</v>
      </c>
      <c r="EF22" s="1" cm="1">
        <f t="array" ref="EF22">_xlfn.SWITCH($A$2,"average", AVERAGE(Instances!EF22:Instances!EF22),"median", MEDIAN(Instances!EF22:Instances!EF22),"min", MIN(Instances!EF22:Instances!EF22),"max", MAX(Instances!EF22:Instances!EF22),"diff", MAX(Instances!EF22:Instances!EF22)-MIN(Instances!EF22:Instances!EF22))</f>
        <v>0</v>
      </c>
      <c r="EG22" s="1" cm="1">
        <f t="array" ref="EG22">_xlfn.SWITCH($A$2,"average", AVERAGE(Instances!EG22:Instances!EG22),"median", MEDIAN(Instances!EG22:Instances!EG22),"min", MIN(Instances!EG22:Instances!EG22),"max", MAX(Instances!EG22:Instances!EG22),"diff", MAX(Instances!EG22:Instances!EG22)-MIN(Instances!EG22:Instances!EG22))</f>
        <v>0</v>
      </c>
      <c r="EH22" s="1" cm="1">
        <f t="array" ref="EH22">_xlfn.SWITCH($A$2,"average", AVERAGE(Instances!EH22:Instances!EH22),"median", MEDIAN(Instances!EH22:Instances!EH22),"min", MIN(Instances!EH22:Instances!EH22),"max", MAX(Instances!EH22:Instances!EH22),"diff", MAX(Instances!EH22:Instances!EH22)-MIN(Instances!EH22:Instances!EH22))</f>
        <v>0</v>
      </c>
      <c r="EI22" s="1" cm="1">
        <f t="array" ref="EI22">_xlfn.SWITCH($A$2,"average", AVERAGE(Instances!EI22:Instances!EI22),"median", MEDIAN(Instances!EI22:Instances!EI22),"min", MIN(Instances!EI22:Instances!EI22),"max", MAX(Instances!EI22:Instances!EI22),"diff", MAX(Instances!EI22:Instances!EI22)-MIN(Instances!EI22:Instances!EI22))</f>
        <v>0</v>
      </c>
      <c r="EJ22" s="1" cm="1">
        <f t="array" ref="EJ22">_xlfn.SWITCH($A$2,"average", AVERAGE(Instances!EJ22:Instances!EJ22),"median", MEDIAN(Instances!EJ22:Instances!EJ22),"min", MIN(Instances!EJ22:Instances!EJ22),"max", MAX(Instances!EJ22:Instances!EJ22),"diff", MAX(Instances!EJ22:Instances!EJ22)-MIN(Instances!EJ22:Instances!EJ22))</f>
        <v>0</v>
      </c>
      <c r="EK22" s="1" cm="1">
        <f t="array" ref="EK22">_xlfn.SWITCH($A$2,"average", AVERAGE(Instances!EK22:Instances!EK22),"median", MEDIAN(Instances!EK22:Instances!EK22),"min", MIN(Instances!EK22:Instances!EK22),"max", MAX(Instances!EK22:Instances!EK22),"diff", MAX(Instances!EK22:Instances!EK22)-MIN(Instances!EK22:Instances!EK22))</f>
        <v>0</v>
      </c>
      <c r="EL22" s="1"/>
      <c r="EM22" s="1" cm="1">
        <f t="array" ref="EM22">_xlfn.SWITCH($A$2,"average", AVERAGE(Instances!EM22:Instances!EM22),"median", MEDIAN(Instances!EM22:Instances!EM22),"min", MIN(Instances!EM22:Instances!EM22),"max", MAX(Instances!EM22:Instances!EM22),"diff", MAX(Instances!EM22:Instances!EM22)-MIN(Instances!EM22:Instances!EM22))</f>
        <v>0</v>
      </c>
      <c r="EN22" s="1" cm="1">
        <f t="array" ref="EN22">_xlfn.SWITCH($A$2,"average", AVERAGE(Instances!EN22:Instances!EN22),"median", MEDIAN(Instances!EN22:Instances!EN22),"min", MIN(Instances!EN22:Instances!EN22),"max", MAX(Instances!EN22:Instances!EN22),"diff", MAX(Instances!EN22:Instances!EN22)-MIN(Instances!EN22:Instances!EN22))</f>
        <v>0</v>
      </c>
      <c r="EO22" s="1" cm="1">
        <f t="array" ref="EO22">_xlfn.SWITCH($A$2,"average", AVERAGE(Instances!EO22:Instances!EO22),"median", MEDIAN(Instances!EO22:Instances!EO22),"min", MIN(Instances!EO22:Instances!EO22),"max", MAX(Instances!EO22:Instances!EO22),"diff", MAX(Instances!EO22:Instances!EO22)-MIN(Instances!EO22:Instances!EO22))</f>
        <v>0</v>
      </c>
      <c r="EP22" s="1" cm="1">
        <f t="array" ref="EP22">_xlfn.SWITCH($A$2,"average", AVERAGE(Instances!EP22:Instances!EP22),"median", MEDIAN(Instances!EP22:Instances!EP22),"min", MIN(Instances!EP22:Instances!EP22),"max", MAX(Instances!EP22:Instances!EP22),"diff", MAX(Instances!EP22:Instances!EP22)-MIN(Instances!EP22:Instances!EP22))</f>
        <v>0</v>
      </c>
      <c r="EQ22" s="1" cm="1">
        <f t="array" ref="EQ22">_xlfn.SWITCH($A$2,"average", AVERAGE(Instances!EQ22:Instances!EQ22),"median", MEDIAN(Instances!EQ22:Instances!EQ22),"min", MIN(Instances!EQ22:Instances!EQ22),"max", MAX(Instances!EQ22:Instances!EQ22),"diff", MAX(Instances!EQ22:Instances!EQ22)-MIN(Instances!EQ22:Instances!EQ22))</f>
        <v>0</v>
      </c>
      <c r="ER22" s="1" cm="1">
        <f t="array" ref="ER22">_xlfn.SWITCH($A$2,"average", AVERAGE(Instances!ER22:Instances!ER22),"median", MEDIAN(Instances!ER22:Instances!ER22),"min", MIN(Instances!ER22:Instances!ER22),"max", MAX(Instances!ER22:Instances!ER22),"diff", MAX(Instances!ER22:Instances!ER22)-MIN(Instances!ER22:Instances!ER22))</f>
        <v>0</v>
      </c>
      <c r="ES22" s="1" cm="1">
        <f t="array" ref="ES22">_xlfn.SWITCH($A$2,"average", AVERAGE(Instances!ES22:Instances!ES22),"median", MEDIAN(Instances!ES22:Instances!ES22),"min", MIN(Instances!ES22:Instances!ES22),"max", MAX(Instances!ES22:Instances!ES22),"diff", MAX(Instances!ES22:Instances!ES22)-MIN(Instances!ES22:Instances!ES22))</f>
        <v>0</v>
      </c>
      <c r="ET22" s="1" cm="1">
        <f t="array" ref="ET22">_xlfn.SWITCH($A$2,"average", AVERAGE(Instances!ET22:Instances!ET22),"median", MEDIAN(Instances!ET22:Instances!ET22),"min", MIN(Instances!ET22:Instances!ET22),"max", MAX(Instances!ET22:Instances!ET22),"diff", MAX(Instances!ET22:Instances!ET22)-MIN(Instances!ET22:Instances!ET22))</f>
        <v>0</v>
      </c>
      <c r="EU22" s="1" cm="1">
        <f t="array" ref="EU22">_xlfn.SWITCH($A$2,"average", AVERAGE(Instances!EU22:Instances!EU22),"median", MEDIAN(Instances!EU22:Instances!EU22),"min", MIN(Instances!EU22:Instances!EU22),"max", MAX(Instances!EU22:Instances!EU22),"diff", MAX(Instances!EU22:Instances!EU22)-MIN(Instances!EU22:Instances!EU22))</f>
        <v>0</v>
      </c>
      <c r="EV22" s="1" cm="1">
        <f t="array" ref="EV22">_xlfn.SWITCH($A$2,"average", AVERAGE(Instances!EV22:Instances!EV22),"median", MEDIAN(Instances!EV22:Instances!EV22),"min", MIN(Instances!EV22:Instances!EV22),"max", MAX(Instances!EV22:Instances!EV22),"diff", MAX(Instances!EV22:Instances!EV22)-MIN(Instances!EV22:Instances!EV22))</f>
        <v>0</v>
      </c>
      <c r="EW22" s="1" cm="1">
        <f t="array" ref="EW22">_xlfn.SWITCH($A$2,"average", AVERAGE(Instances!EW22:Instances!EW22),"median", MEDIAN(Instances!EW22:Instances!EW22),"min", MIN(Instances!EW22:Instances!EW22),"max", MAX(Instances!EW22:Instances!EW22),"diff", MAX(Instances!EW22:Instances!EW22)-MIN(Instances!EW22:Instances!EW22))</f>
        <v>0</v>
      </c>
      <c r="EX22" s="1" cm="1">
        <f t="array" ref="EX22">_xlfn.SWITCH($A$2,"average", AVERAGE(Instances!EX22:Instances!EX22),"median", MEDIAN(Instances!EX22:Instances!EX22),"min", MIN(Instances!EX22:Instances!EX22),"max", MAX(Instances!EX22:Instances!EX22),"diff", MAX(Instances!EX22:Instances!EX22)-MIN(Instances!EX22:Instances!EX22))</f>
        <v>0</v>
      </c>
      <c r="EY22" s="1" cm="1">
        <f t="array" ref="EY22">_xlfn.SWITCH($A$2,"average", AVERAGE(Instances!EY22:Instances!EY22),"median", MEDIAN(Instances!EY22:Instances!EY22),"min", MIN(Instances!EY22:Instances!EY22),"max", MAX(Instances!EY22:Instances!EY22),"diff", MAX(Instances!EY22:Instances!EY22)-MIN(Instances!EY22:Instances!EY22))</f>
        <v>0</v>
      </c>
      <c r="EZ22" s="1" cm="1">
        <f t="array" ref="EZ22">_xlfn.SWITCH($A$2,"average", AVERAGE(Instances!EZ22:Instances!EZ22),"median", MEDIAN(Instances!EZ22:Instances!EZ22),"min", MIN(Instances!EZ22:Instances!EZ22),"max", MAX(Instances!EZ22:Instances!EZ22),"diff", MAX(Instances!EZ22:Instances!EZ22)-MIN(Instances!EZ22:Instances!EZ22))</f>
        <v>0</v>
      </c>
      <c r="FA22" s="1" cm="1">
        <f t="array" ref="FA22">_xlfn.SWITCH($A$2,"average", AVERAGE(Instances!FA22:Instances!FA22),"median", MEDIAN(Instances!FA22:Instances!FA22),"min", MIN(Instances!FA22:Instances!FA22),"max", MAX(Instances!FA22:Instances!FA22),"diff", MAX(Instances!FA22:Instances!FA22)-MIN(Instances!FA22:Instances!FA22))</f>
        <v>0</v>
      </c>
      <c r="FB22" s="1" cm="1">
        <f t="array" ref="FB22">_xlfn.SWITCH($A$2,"average", AVERAGE(Instances!FB22:Instances!FB22),"median", MEDIAN(Instances!FB22:Instances!FB22),"min", MIN(Instances!FB22:Instances!FB22),"max", MAX(Instances!FB22:Instances!FB22),"diff", MAX(Instances!FB22:Instances!FB22)-MIN(Instances!FB22:Instances!FB22))</f>
        <v>0</v>
      </c>
      <c r="FC22" s="1" cm="1">
        <f t="array" ref="FC22">_xlfn.SWITCH($A$2,"average", AVERAGE(Instances!FC22:Instances!FC22),"median", MEDIAN(Instances!FC22:Instances!FC22),"min", MIN(Instances!FC22:Instances!FC22),"max", MAX(Instances!FC22:Instances!FC22),"diff", MAX(Instances!FC22:Instances!FC22)-MIN(Instances!FC22:Instances!FC22))</f>
        <v>0</v>
      </c>
      <c r="FD22" s="1"/>
      <c r="FE22" s="1" cm="1">
        <f t="array" ref="FE22">_xlfn.SWITCH($A$2,"average", AVERAGE(Instances!FE22:Instances!FE22),"median", MEDIAN(Instances!FE22:Instances!FE22),"min", MIN(Instances!FE22:Instances!FE22),"max", MAX(Instances!FE22:Instances!FE22),"diff", MAX(Instances!FE22:Instances!FE22)-MIN(Instances!FE22:Instances!FE22))</f>
        <v>0</v>
      </c>
      <c r="FF22" s="1" cm="1">
        <f t="array" ref="FF22">_xlfn.SWITCH($A$2,"average", AVERAGE(Instances!FF22:Instances!FF22),"median", MEDIAN(Instances!FF22:Instances!FF22),"min", MIN(Instances!FF22:Instances!FF22),"max", MAX(Instances!FF22:Instances!FF22),"diff", MAX(Instances!FF22:Instances!FF22)-MIN(Instances!FF22:Instances!FF22))</f>
        <v>0</v>
      </c>
      <c r="FG22" s="1" cm="1">
        <f t="array" ref="FG22">_xlfn.SWITCH($A$2,"average", AVERAGE(Instances!FG22:Instances!FG22),"median", MEDIAN(Instances!FG22:Instances!FG22),"min", MIN(Instances!FG22:Instances!FG22),"max", MAX(Instances!FG22:Instances!FG22),"diff", MAX(Instances!FG22:Instances!FG22)-MIN(Instances!FG22:Instances!FG22))</f>
        <v>0</v>
      </c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 cm="1">
        <f t="array" ref="FZ22">_xlfn.SWITCH($A$2,"average", AVERAGE(Instances!FZ22:Instances!FZ22),"median", MEDIAN(Instances!FZ22:Instances!FZ22),"min", MIN(Instances!FZ22:Instances!FZ22),"max", MAX(Instances!FZ22:Instances!FZ22),"diff", MAX(Instances!FZ22:Instances!FZ22)-MIN(Instances!FZ22:Instances!FZ22))</f>
        <v>0</v>
      </c>
      <c r="GA22" s="1" cm="1">
        <f t="array" ref="GA22">_xlfn.SWITCH($A$2,"average", AVERAGE(Instances!GA22:Instances!GA22),"median", MEDIAN(Instances!GA22:Instances!GA22),"min", MIN(Instances!GA22:Instances!GA22),"max", MAX(Instances!GA22:Instances!GA22),"diff", MAX(Instances!GA22:Instances!GA22)-MIN(Instances!GA22:Instances!GA22))</f>
        <v>0</v>
      </c>
      <c r="GB22" s="1" cm="1">
        <f t="array" ref="GB22">_xlfn.SWITCH($A$2,"average", AVERAGE(Instances!GB22:Instances!GB22),"median", MEDIAN(Instances!GB22:Instances!GB22),"min", MIN(Instances!GB22:Instances!GB22),"max", MAX(Instances!GB22:Instances!GB22),"diff", MAX(Instances!GB22:Instances!GB22)-MIN(Instances!GB22:Instances!GB22))</f>
        <v>0</v>
      </c>
      <c r="GC22" s="1" cm="1">
        <f t="array" ref="GC22">_xlfn.SWITCH($A$2,"average", AVERAGE(Instances!GC22:Instances!GC22),"median", MEDIAN(Instances!GC22:Instances!GC22),"min", MIN(Instances!GC22:Instances!GC22),"max", MAX(Instances!GC22:Instances!GC22),"diff", MAX(Instances!GC22:Instances!GC22)-MIN(Instances!GC22:Instances!GC22))</f>
        <v>0</v>
      </c>
      <c r="GD22" s="1" cm="1">
        <f t="array" ref="GD22">_xlfn.SWITCH($A$2,"average", AVERAGE(Instances!GD22:Instances!GD22),"median", MEDIAN(Instances!GD22:Instances!GD22),"min", MIN(Instances!GD22:Instances!GD22),"max", MAX(Instances!GD22:Instances!GD22),"diff", MAX(Instances!GD22:Instances!GD22)-MIN(Instances!GD22:Instances!GD22))</f>
        <v>0</v>
      </c>
      <c r="GE22" s="1" cm="1">
        <f t="array" ref="GE22">_xlfn.SWITCH($A$2,"average", AVERAGE(Instances!GE22:Instances!GE22),"median", MEDIAN(Instances!GE22:Instances!GE22),"min", MIN(Instances!GE22:Instances!GE22),"max", MAX(Instances!GE22:Instances!GE22),"diff", MAX(Instances!GE22:Instances!GE22)-MIN(Instances!GE22:Instances!GE22))</f>
        <v>0</v>
      </c>
      <c r="GF22" s="1" cm="1">
        <f t="array" ref="GF22">_xlfn.SWITCH($A$2,"average", AVERAGE(Instances!GF22:Instances!GF22),"median", MEDIAN(Instances!GF22:Instances!GF22),"min", MIN(Instances!GF22:Instances!GF22),"max", MAX(Instances!GF22:Instances!GF22),"diff", MAX(Instances!GF22:Instances!GF22)-MIN(Instances!GF22:Instances!GF22))</f>
        <v>0</v>
      </c>
      <c r="GG22" s="1" cm="1">
        <f t="array" ref="GG22">_xlfn.SWITCH($A$2,"average", AVERAGE(Instances!GG22:Instances!GG22),"median", MEDIAN(Instances!GG22:Instances!GG22),"min", MIN(Instances!GG22:Instances!GG22),"max", MAX(Instances!GG22:Instances!GG22),"diff", MAX(Instances!GG22:Instances!GG22)-MIN(Instances!GG22:Instances!GG22))</f>
        <v>0</v>
      </c>
      <c r="GH22" s="1" cm="1">
        <f t="array" ref="GH22">_xlfn.SWITCH($A$2,"average", AVERAGE(Instances!GH22:Instances!GH22),"median", MEDIAN(Instances!GH22:Instances!GH22),"min", MIN(Instances!GH22:Instances!GH22),"max", MAX(Instances!GH22:Instances!GH22),"diff", MAX(Instances!GH22:Instances!GH22)-MIN(Instances!GH22:Instances!GH22))</f>
        <v>0</v>
      </c>
      <c r="GI22" s="1" cm="1">
        <f t="array" ref="GI22">_xlfn.SWITCH($A$2,"average", AVERAGE(Instances!GI22:Instances!GI22),"median", MEDIAN(Instances!GI22:Instances!GI22),"min", MIN(Instances!GI22:Instances!GI22),"max", MAX(Instances!GI22:Instances!GI22),"diff", MAX(Instances!GI22:Instances!GI22)-MIN(Instances!GI22:Instances!GI22))</f>
        <v>0</v>
      </c>
      <c r="GJ22" s="1" cm="1">
        <f t="array" ref="GJ22">_xlfn.SWITCH($A$2,"average", AVERAGE(Instances!GJ22:Instances!GJ22),"median", MEDIAN(Instances!GJ22:Instances!GJ22),"min", MIN(Instances!GJ22:Instances!GJ22),"max", MAX(Instances!GJ22:Instances!GJ22),"diff", MAX(Instances!GJ22:Instances!GJ22)-MIN(Instances!GJ22:Instances!GJ22))</f>
        <v>0</v>
      </c>
      <c r="GK22" s="1" cm="1">
        <f t="array" ref="GK22">_xlfn.SWITCH($A$2,"average", AVERAGE(Instances!GK22:Instances!GK22),"median", MEDIAN(Instances!GK22:Instances!GK22),"min", MIN(Instances!GK22:Instances!GK22),"max", MAX(Instances!GK22:Instances!GK22),"diff", MAX(Instances!GK22:Instances!GK22)-MIN(Instances!GK22:Instances!GK22))</f>
        <v>0</v>
      </c>
      <c r="GL22" s="1" cm="1">
        <f t="array" ref="GL22">_xlfn.SWITCH($A$2,"average", AVERAGE(Instances!GL22:Instances!GL22),"median", MEDIAN(Instances!GL22:Instances!GL22),"min", MIN(Instances!GL22:Instances!GL22),"max", MAX(Instances!GL22:Instances!GL22),"diff", MAX(Instances!GL22:Instances!GL22)-MIN(Instances!GL22:Instances!GL22))</f>
        <v>0</v>
      </c>
      <c r="GM22" s="1" cm="1">
        <f t="array" ref="GM22">_xlfn.SWITCH($A$2,"average", AVERAGE(Instances!GM22:Instances!GM22),"median", MEDIAN(Instances!GM22:Instances!GM22),"min", MIN(Instances!GM22:Instances!GM22),"max", MAX(Instances!GM22:Instances!GM22),"diff", MAX(Instances!GM22:Instances!GM22)-MIN(Instances!GM22:Instances!GM22))</f>
        <v>0</v>
      </c>
      <c r="GN22" s="1"/>
      <c r="GO22" s="1" cm="1">
        <f t="array" ref="GO22">_xlfn.SWITCH($A$2,"average", AVERAGE(Instances!GO22:Instances!GO22),"median", MEDIAN(Instances!GO22:Instances!GO22),"min", MIN(Instances!GO22:Instances!GO22),"max", MAX(Instances!GO22:Instances!GO22),"diff", MAX(Instances!GO22:Instances!GO22)-MIN(Instances!GO22:Instances!GO22))</f>
        <v>0</v>
      </c>
      <c r="GP22" s="1" cm="1">
        <f t="array" ref="GP22">_xlfn.SWITCH($A$2,"average", AVERAGE(Instances!GP22:Instances!GP22),"median", MEDIAN(Instances!GP22:Instances!GP22),"min", MIN(Instances!GP22:Instances!GP22),"max", MAX(Instances!GP22:Instances!GP22),"diff", MAX(Instances!GP22:Instances!GP22)-MIN(Instances!GP22:Instances!GP22))</f>
        <v>0</v>
      </c>
      <c r="GQ22" s="1" cm="1">
        <f t="array" ref="GQ22">_xlfn.SWITCH($A$2,"average", AVERAGE(Instances!GQ22:Instances!GQ22),"median", MEDIAN(Instances!GQ22:Instances!GQ22),"min", MIN(Instances!GQ22:Instances!GQ22),"max", MAX(Instances!GQ22:Instances!GQ22),"diff", MAX(Instances!GQ22:Instances!GQ22)-MIN(Instances!GQ22:Instances!GQ22))</f>
        <v>0</v>
      </c>
      <c r="GR22" s="1" cm="1">
        <f t="array" ref="GR22">_xlfn.SWITCH($A$2,"average", AVERAGE(Instances!GR22:Instances!GR22),"median", MEDIAN(Instances!GR22:Instances!GR22),"min", MIN(Instances!GR22:Instances!GR22),"max", MAX(Instances!GR22:Instances!GR22),"diff", MAX(Instances!GR22:Instances!GR22)-MIN(Instances!GR22:Instances!GR22))</f>
        <v>0</v>
      </c>
      <c r="GS22" s="1" cm="1">
        <f t="array" ref="GS22">_xlfn.SWITCH($A$2,"average", AVERAGE(Instances!GS22:Instances!GS22),"median", MEDIAN(Instances!GS22:Instances!GS22),"min", MIN(Instances!GS22:Instances!GS22),"max", MAX(Instances!GS22:Instances!GS22),"diff", MAX(Instances!GS22:Instances!GS22)-MIN(Instances!GS22:Instances!GS22))</f>
        <v>0</v>
      </c>
      <c r="GT22" s="1" cm="1">
        <f t="array" ref="GT22">_xlfn.SWITCH($A$2,"average", AVERAGE(Instances!GT22:Instances!GT22),"median", MEDIAN(Instances!GT22:Instances!GT22),"min", MIN(Instances!GT22:Instances!GT22),"max", MAX(Instances!GT22:Instances!GT22),"diff", MAX(Instances!GT22:Instances!GT22)-MIN(Instances!GT22:Instances!GT22))</f>
        <v>0</v>
      </c>
      <c r="GU22" s="1" cm="1">
        <f t="array" ref="GU22">_xlfn.SWITCH($A$2,"average", AVERAGE(Instances!GU22:Instances!GU22),"median", MEDIAN(Instances!GU22:Instances!GU22),"min", MIN(Instances!GU22:Instances!GU22),"max", MAX(Instances!GU22:Instances!GU22),"diff", MAX(Instances!GU22:Instances!GU22)-MIN(Instances!GU22:Instances!GU22))</f>
        <v>0</v>
      </c>
      <c r="GV22" s="1" cm="1">
        <f t="array" ref="GV22">_xlfn.SWITCH($A$2,"average", AVERAGE(Instances!GV22:Instances!GV22),"median", MEDIAN(Instances!GV22:Instances!GV22),"min", MIN(Instances!GV22:Instances!GV22),"max", MAX(Instances!GV22:Instances!GV22),"diff", MAX(Instances!GV22:Instances!GV22)-MIN(Instances!GV22:Instances!GV22))</f>
        <v>0</v>
      </c>
      <c r="GW22" s="1" cm="1">
        <f t="array" ref="GW22">_xlfn.SWITCH($A$2,"average", AVERAGE(Instances!GW22:Instances!GW22),"median", MEDIAN(Instances!GW22:Instances!GW22),"min", MIN(Instances!GW22:Instances!GW22),"max", MAX(Instances!GW22:Instances!GW22),"diff", MAX(Instances!GW22:Instances!GW22)-MIN(Instances!GW22:Instances!GW22))</f>
        <v>0</v>
      </c>
      <c r="GX22" s="1" cm="1">
        <f t="array" ref="GX22">_xlfn.SWITCH($A$2,"average", AVERAGE(Instances!GX22:Instances!GX22),"median", MEDIAN(Instances!GX22:Instances!GX22),"min", MIN(Instances!GX22:Instances!GX22),"max", MAX(Instances!GX22:Instances!GX22),"diff", MAX(Instances!GX22:Instances!GX22)-MIN(Instances!GX22:Instances!GX22))</f>
        <v>0</v>
      </c>
      <c r="GY22" s="1" cm="1">
        <f t="array" ref="GY22">_xlfn.SWITCH($A$2,"average", AVERAGE(Instances!GY22:Instances!GY22),"median", MEDIAN(Instances!GY22:Instances!GY22),"min", MIN(Instances!GY22:Instances!GY22),"max", MAX(Instances!GY22:Instances!GY22),"diff", MAX(Instances!GY22:Instances!GY22)-MIN(Instances!GY22:Instances!GY22))</f>
        <v>0</v>
      </c>
      <c r="GZ22" s="1" cm="1">
        <f t="array" ref="GZ22">_xlfn.SWITCH($A$2,"average", AVERAGE(Instances!GZ22:Instances!GZ22),"median", MEDIAN(Instances!GZ22:Instances!GZ22),"min", MIN(Instances!GZ22:Instances!GZ22),"max", MAX(Instances!GZ22:Instances!GZ22),"diff", MAX(Instances!GZ22:Instances!GZ22)-MIN(Instances!GZ22:Instances!GZ22))</f>
        <v>0</v>
      </c>
      <c r="HA22" s="1" cm="1">
        <f t="array" ref="HA22">_xlfn.SWITCH($A$2,"average", AVERAGE(Instances!HA22:Instances!HA22),"median", MEDIAN(Instances!HA22:Instances!HA22),"min", MIN(Instances!HA22:Instances!HA22),"max", MAX(Instances!HA22:Instances!HA22),"diff", MAX(Instances!HA22:Instances!HA22)-MIN(Instances!HA22:Instances!HA22))</f>
        <v>0</v>
      </c>
      <c r="HB22" s="1" cm="1">
        <f t="array" ref="HB22">_xlfn.SWITCH($A$2,"average", AVERAGE(Instances!HB22:Instances!HB22),"median", MEDIAN(Instances!HB22:Instances!HB22),"min", MIN(Instances!HB22:Instances!HB22),"max", MAX(Instances!HB22:Instances!HB22),"diff", MAX(Instances!HB22:Instances!HB22)-MIN(Instances!HB22:Instances!HB22))</f>
        <v>0</v>
      </c>
      <c r="HC22" s="1" cm="1">
        <f t="array" ref="HC22">_xlfn.SWITCH($A$2,"average", AVERAGE(Instances!HC22:Instances!HC22),"median", MEDIAN(Instances!HC22:Instances!HC22),"min", MIN(Instances!HC22:Instances!HC22),"max", MAX(Instances!HC22:Instances!HC22),"diff", MAX(Instances!HC22:Instances!HC22)-MIN(Instances!HC22:Instances!HC22))</f>
        <v>0</v>
      </c>
      <c r="HD22" s="1" cm="1">
        <f t="array" ref="HD22">_xlfn.SWITCH($A$2,"average", AVERAGE(Instances!HD22:Instances!HD22),"median", MEDIAN(Instances!HD22:Instances!HD22),"min", MIN(Instances!HD22:Instances!HD22),"max", MAX(Instances!HD22:Instances!HD22),"diff", MAX(Instances!HD22:Instances!HD22)-MIN(Instances!HD22:Instances!HD22))</f>
        <v>0</v>
      </c>
      <c r="HE22" s="1" cm="1">
        <f t="array" ref="HE22">_xlfn.SWITCH($A$2,"average", AVERAGE(Instances!HE22:Instances!HE22),"median", MEDIAN(Instances!HE22:Instances!HE22),"min", MIN(Instances!HE22:Instances!HE22),"max", MAX(Instances!HE22:Instances!HE22),"diff", MAX(Instances!HE22:Instances!HE22)-MIN(Instances!HE22:Instances!HE22))</f>
        <v>0</v>
      </c>
      <c r="HF22" s="1"/>
      <c r="HG22" s="1" cm="1">
        <f t="array" ref="HG22">_xlfn.SWITCH($A$2,"average", AVERAGE(Instances!HG22:Instances!HG22),"median", MEDIAN(Instances!HG22:Instances!HG22),"min", MIN(Instances!HG22:Instances!HG22),"max", MAX(Instances!HG22:Instances!HG22),"diff", MAX(Instances!HG22:Instances!HG22)-MIN(Instances!HG22:Instances!HG22))</f>
        <v>0</v>
      </c>
      <c r="HH22" s="1" cm="1">
        <f t="array" ref="HH22">_xlfn.SWITCH($A$2,"average", AVERAGE(Instances!HH22:Instances!HH22),"median", MEDIAN(Instances!HH22:Instances!HH22),"min", MIN(Instances!HH22:Instances!HH22),"max", MAX(Instances!HH22:Instances!HH22),"diff", MAX(Instances!HH22:Instances!HH22)-MIN(Instances!HH22:Instances!HH22))</f>
        <v>0</v>
      </c>
      <c r="HI22" s="1" cm="1">
        <f t="array" ref="HI22">_xlfn.SWITCH($A$2,"average", AVERAGE(Instances!HI22:Instances!HI22),"median", MEDIAN(Instances!HI22:Instances!HI22),"min", MIN(Instances!HI22:Instances!HI22),"max", MAX(Instances!HI22:Instances!HI22),"diff", MAX(Instances!HI22:Instances!HI22)-MIN(Instances!HI22:Instances!HI22))</f>
        <v>0</v>
      </c>
      <c r="HJ22" s="1" cm="1">
        <f t="array" ref="HJ22">_xlfn.SWITCH($A$2,"average", AVERAGE(Instances!HJ22:Instances!HJ22),"median", MEDIAN(Instances!HJ22:Instances!HJ22),"min", MIN(Instances!HJ22:Instances!HJ22),"max", MAX(Instances!HJ22:Instances!HJ22),"diff", MAX(Instances!HJ22:Instances!HJ22)-MIN(Instances!HJ22:Instances!HJ22))</f>
        <v>0</v>
      </c>
      <c r="HK22" s="1" cm="1">
        <f t="array" ref="HK22">_xlfn.SWITCH($A$2,"average", AVERAGE(Instances!HK22:Instances!HK22),"median", MEDIAN(Instances!HK22:Instances!HK22),"min", MIN(Instances!HK22:Instances!HK22),"max", MAX(Instances!HK22:Instances!HK22),"diff", MAX(Instances!HK22:Instances!HK22)-MIN(Instances!HK22:Instances!HK22))</f>
        <v>0</v>
      </c>
      <c r="HL22" s="1" cm="1">
        <f t="array" ref="HL22">_xlfn.SWITCH($A$2,"average", AVERAGE(Instances!HL22:Instances!HL22),"median", MEDIAN(Instances!HL22:Instances!HL22),"min", MIN(Instances!HL22:Instances!HL22),"max", MAX(Instances!HL22:Instances!HL22),"diff", MAX(Instances!HL22:Instances!HL22)-MIN(Instances!HL22:Instances!HL22))</f>
        <v>0</v>
      </c>
      <c r="HM22" s="1" cm="1">
        <f t="array" ref="HM22">_xlfn.SWITCH($A$2,"average", AVERAGE(Instances!HM22:Instances!HM22),"median", MEDIAN(Instances!HM22:Instances!HM22),"min", MIN(Instances!HM22:Instances!HM22),"max", MAX(Instances!HM22:Instances!HM22),"diff", MAX(Instances!HM22:Instances!HM22)-MIN(Instances!HM22:Instances!HM22))</f>
        <v>0</v>
      </c>
      <c r="HN22" s="1" cm="1">
        <f t="array" ref="HN22">_xlfn.SWITCH($A$2,"average", AVERAGE(Instances!HN22:Instances!HN22),"median", MEDIAN(Instances!HN22:Instances!HN22),"min", MIN(Instances!HN22:Instances!HN22),"max", MAX(Instances!HN22:Instances!HN22),"diff", MAX(Instances!HN22:Instances!HN22)-MIN(Instances!HN22:Instances!HN22))</f>
        <v>0</v>
      </c>
      <c r="HO22" s="1" cm="1">
        <f t="array" ref="HO22">_xlfn.SWITCH($A$2,"average", AVERAGE(Instances!HO22:Instances!HO22),"median", MEDIAN(Instances!HO22:Instances!HO22),"min", MIN(Instances!HO22:Instances!HO22),"max", MAX(Instances!HO22:Instances!HO22),"diff", MAX(Instances!HO22:Instances!HO22)-MIN(Instances!HO22:Instances!HO22))</f>
        <v>0</v>
      </c>
      <c r="HP22" s="1" cm="1">
        <f t="array" ref="HP22">_xlfn.SWITCH($A$2,"average", AVERAGE(Instances!HP22:Instances!HP22),"median", MEDIAN(Instances!HP22:Instances!HP22),"min", MIN(Instances!HP22:Instances!HP22),"max", MAX(Instances!HP22:Instances!HP22),"diff", MAX(Instances!HP22:Instances!HP22)-MIN(Instances!HP22:Instances!HP22))</f>
        <v>0</v>
      </c>
      <c r="HQ22" s="1" cm="1">
        <f t="array" ref="HQ22">_xlfn.SWITCH($A$2,"average", AVERAGE(Instances!HQ22:Instances!HQ22),"median", MEDIAN(Instances!HQ22:Instances!HQ22),"min", MIN(Instances!HQ22:Instances!HQ22),"max", MAX(Instances!HQ22:Instances!HQ22),"diff", MAX(Instances!HQ22:Instances!HQ22)-MIN(Instances!HQ22:Instances!HQ22))</f>
        <v>0</v>
      </c>
      <c r="HR22" s="1" cm="1">
        <f t="array" ref="HR22">_xlfn.SWITCH($A$2,"average", AVERAGE(Instances!HR22:Instances!HR22),"median", MEDIAN(Instances!HR22:Instances!HR22),"min", MIN(Instances!HR22:Instances!HR22),"max", MAX(Instances!HR22:Instances!HR22),"diff", MAX(Instances!HR22:Instances!HR22)-MIN(Instances!HR22:Instances!HR22))</f>
        <v>0</v>
      </c>
      <c r="HS22" s="1" cm="1">
        <f t="array" ref="HS22">_xlfn.SWITCH($A$2,"average", AVERAGE(Instances!HS22:Instances!HS22),"median", MEDIAN(Instances!HS22:Instances!HS22),"min", MIN(Instances!HS22:Instances!HS22),"max", MAX(Instances!HS22:Instances!HS22),"diff", MAX(Instances!HS22:Instances!HS22)-MIN(Instances!HS22:Instances!HS22))</f>
        <v>0</v>
      </c>
      <c r="HT22" s="1" cm="1">
        <f t="array" ref="HT22">_xlfn.SWITCH($A$2,"average", AVERAGE(Instances!HT22:Instances!HT22),"median", MEDIAN(Instances!HT22:Instances!HT22),"min", MIN(Instances!HT22:Instances!HT22),"max", MAX(Instances!HT22:Instances!HT22),"diff", MAX(Instances!HT22:Instances!HT22)-MIN(Instances!HT22:Instances!HT22))</f>
        <v>0</v>
      </c>
      <c r="HU22" s="1" cm="1">
        <f t="array" ref="HU22">_xlfn.SWITCH($A$2,"average", AVERAGE(Instances!HU22:Instances!HU22),"median", MEDIAN(Instances!HU22:Instances!HU22),"min", MIN(Instances!HU22:Instances!HU22),"max", MAX(Instances!HU22:Instances!HU22),"diff", MAX(Instances!HU22:Instances!HU22)-MIN(Instances!HU22:Instances!HU22))</f>
        <v>0</v>
      </c>
      <c r="HV22" s="1" cm="1">
        <f t="array" ref="HV22">_xlfn.SWITCH($A$2,"average", AVERAGE(Instances!HV22:Instances!HV22),"median", MEDIAN(Instances!HV22:Instances!HV22),"min", MIN(Instances!HV22:Instances!HV22),"max", MAX(Instances!HV22:Instances!HV22),"diff", MAX(Instances!HV22:Instances!HV22)-MIN(Instances!HV22:Instances!HV22))</f>
        <v>0</v>
      </c>
      <c r="HW22" s="1" cm="1">
        <f t="array" ref="HW22">_xlfn.SWITCH($A$2,"average", AVERAGE(Instances!HW22:Instances!HW22),"median", MEDIAN(Instances!HW22:Instances!HW22),"min", MIN(Instances!HW22:Instances!HW22),"max", MAX(Instances!HW22:Instances!HW22),"diff", MAX(Instances!HW22:Instances!HW22)-MIN(Instances!HW22:Instances!HW22))</f>
        <v>0</v>
      </c>
      <c r="HX22" s="1"/>
      <c r="HY22" s="1" cm="1">
        <f t="array" ref="HY22">_xlfn.SWITCH($A$2,"average", AVERAGE(Instances!HY22:Instances!HY22),"median", MEDIAN(Instances!HY22:Instances!HY22),"min", MIN(Instances!HY22:Instances!HY22),"max", MAX(Instances!HY22:Instances!HY22),"diff", MAX(Instances!HY22:Instances!HY22)-MIN(Instances!HY22:Instances!HY22))</f>
        <v>0</v>
      </c>
      <c r="HZ22" s="1" cm="1">
        <f t="array" ref="HZ22">_xlfn.SWITCH($A$2,"average", AVERAGE(Instances!HZ22:Instances!HZ22),"median", MEDIAN(Instances!HZ22:Instances!HZ22),"min", MIN(Instances!HZ22:Instances!HZ22),"max", MAX(Instances!HZ22:Instances!HZ22),"diff", MAX(Instances!HZ22:Instances!HZ22)-MIN(Instances!HZ22:Instances!HZ22))</f>
        <v>0</v>
      </c>
      <c r="IA22" s="1" cm="1">
        <f t="array" ref="IA22">_xlfn.SWITCH($A$2,"average", AVERAGE(Instances!IA22:Instances!IA22),"median", MEDIAN(Instances!IA22:Instances!IA22),"min", MIN(Instances!IA22:Instances!IA22),"max", MAX(Instances!IA22:Instances!IA22),"diff", MAX(Instances!IA22:Instances!IA22)-MIN(Instances!IA22:Instances!IA22))</f>
        <v>0</v>
      </c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 cm="1">
        <f t="array" ref="JL22">_xlfn.SWITCH($A$2,"average", AVERAGE(Instances!JL22:Instances!JL22),"median", MEDIAN(Instances!JL22:Instances!JL22),"min", MIN(Instances!JL22:Instances!JL22),"max", MAX(Instances!JL22:Instances!JL22),"diff", MAX(Instances!JL22:Instances!JL22)-MIN(Instances!JL22:Instances!JL22))</f>
        <v>0</v>
      </c>
      <c r="JM22" s="1" cm="1">
        <f t="array" ref="JM22">_xlfn.SWITCH($A$2,"average", AVERAGE(Instances!JM22:Instances!JM22),"median", MEDIAN(Instances!JM22:Instances!JM22),"min", MIN(Instances!JM22:Instances!JM22),"max", MAX(Instances!JM22:Instances!JM22),"diff", MAX(Instances!JM22:Instances!JM22)-MIN(Instances!JM22:Instances!JM22))</f>
        <v>0</v>
      </c>
      <c r="JN22" s="1" cm="1">
        <f t="array" ref="JN22">_xlfn.SWITCH($A$2,"average", AVERAGE(Instances!JN22:Instances!JN22),"median", MEDIAN(Instances!JN22:Instances!JN22),"min", MIN(Instances!JN22:Instances!JN22),"max", MAX(Instances!JN22:Instances!JN22),"diff", MAX(Instances!JN22:Instances!JN22)-MIN(Instances!JN22:Instances!JN22))</f>
        <v>0</v>
      </c>
      <c r="JO22" s="1" cm="1">
        <f t="array" ref="JO22">_xlfn.SWITCH($A$2,"average", AVERAGE(Instances!JO22:Instances!JO22),"median", MEDIAN(Instances!JO22:Instances!JO22),"min", MIN(Instances!JO22:Instances!JO22),"max", MAX(Instances!JO22:Instances!JO22),"diff", MAX(Instances!JO22:Instances!JO22)-MIN(Instances!JO22:Instances!JO22))</f>
        <v>0</v>
      </c>
      <c r="JP22" s="1" cm="1">
        <f t="array" ref="JP22">_xlfn.SWITCH($A$2,"average", AVERAGE(Instances!JP22:Instances!JP22),"median", MEDIAN(Instances!JP22:Instances!JP22),"min", MIN(Instances!JP22:Instances!JP22),"max", MAX(Instances!JP22:Instances!JP22),"diff", MAX(Instances!JP22:Instances!JP22)-MIN(Instances!JP22:Instances!JP22))</f>
        <v>0</v>
      </c>
      <c r="JQ22" s="1" cm="1">
        <f t="array" ref="JQ22">_xlfn.SWITCH($A$2,"average", AVERAGE(Instances!JQ22:Instances!JQ22),"median", MEDIAN(Instances!JQ22:Instances!JQ22),"min", MIN(Instances!JQ22:Instances!JQ22),"max", MAX(Instances!JQ22:Instances!JQ22),"diff", MAX(Instances!JQ22:Instances!JQ22)-MIN(Instances!JQ22:Instances!JQ22))</f>
        <v>0</v>
      </c>
      <c r="JR22" s="1" cm="1">
        <f t="array" ref="JR22">_xlfn.SWITCH($A$2,"average", AVERAGE(Instances!JR22:Instances!JR22),"median", MEDIAN(Instances!JR22:Instances!JR22),"min", MIN(Instances!JR22:Instances!JR22),"max", MAX(Instances!JR22:Instances!JR22),"diff", MAX(Instances!JR22:Instances!JR22)-MIN(Instances!JR22:Instances!JR22))</f>
        <v>0</v>
      </c>
      <c r="JS22" s="1" cm="1">
        <f t="array" ref="JS22">_xlfn.SWITCH($A$2,"average", AVERAGE(Instances!JS22:Instances!JS22),"median", MEDIAN(Instances!JS22:Instances!JS22),"min", MIN(Instances!JS22:Instances!JS22),"max", MAX(Instances!JS22:Instances!JS22),"diff", MAX(Instances!JS22:Instances!JS22)-MIN(Instances!JS22:Instances!JS22))</f>
        <v>0</v>
      </c>
      <c r="JT22" s="1" cm="1">
        <f t="array" ref="JT22">_xlfn.SWITCH($A$2,"average", AVERAGE(Instances!JT22:Instances!JT22),"median", MEDIAN(Instances!JT22:Instances!JT22),"min", MIN(Instances!JT22:Instances!JT22),"max", MAX(Instances!JT22:Instances!JT22),"diff", MAX(Instances!JT22:Instances!JT22)-MIN(Instances!JT22:Instances!JT22))</f>
        <v>0</v>
      </c>
      <c r="JU22" s="1" cm="1">
        <f t="array" ref="JU22">_xlfn.SWITCH($A$2,"average", AVERAGE(Instances!JU22:Instances!JU22),"median", MEDIAN(Instances!JU22:Instances!JU22),"min", MIN(Instances!JU22:Instances!JU22),"max", MAX(Instances!JU22:Instances!JU22),"diff", MAX(Instances!JU22:Instances!JU22)-MIN(Instances!JU22:Instances!JU22))</f>
        <v>0</v>
      </c>
      <c r="JV22" s="1" cm="1">
        <f t="array" ref="JV22">_xlfn.SWITCH($A$2,"average", AVERAGE(Instances!JV22:Instances!JV22),"median", MEDIAN(Instances!JV22:Instances!JV22),"min", MIN(Instances!JV22:Instances!JV22),"max", MAX(Instances!JV22:Instances!JV22),"diff", MAX(Instances!JV22:Instances!JV22)-MIN(Instances!JV22:Instances!JV22))</f>
        <v>0</v>
      </c>
      <c r="JW22" s="1" cm="1">
        <f t="array" ref="JW22">_xlfn.SWITCH($A$2,"average", AVERAGE(Instances!JW22:Instances!JW22),"median", MEDIAN(Instances!JW22:Instances!JW22),"min", MIN(Instances!JW22:Instances!JW22),"max", MAX(Instances!JW22:Instances!JW22),"diff", MAX(Instances!JW22:Instances!JW22)-MIN(Instances!JW22:Instances!JW22))</f>
        <v>0</v>
      </c>
      <c r="JX22" s="1" cm="1">
        <f t="array" ref="JX22">_xlfn.SWITCH($A$2,"average", AVERAGE(Instances!JX22:Instances!JX22),"median", MEDIAN(Instances!JX22:Instances!JX22),"min", MIN(Instances!JX22:Instances!JX22),"max", MAX(Instances!JX22:Instances!JX22),"diff", MAX(Instances!JX22:Instances!JX22)-MIN(Instances!JX22:Instances!JX22))</f>
        <v>0</v>
      </c>
      <c r="JY22" s="1" cm="1">
        <f t="array" ref="JY22">_xlfn.SWITCH($A$2,"average", AVERAGE(Instances!JY22:Instances!JY22),"median", MEDIAN(Instances!JY22:Instances!JY22),"min", MIN(Instances!JY22:Instances!JY22),"max", MAX(Instances!JY22:Instances!JY22),"diff", MAX(Instances!JY22:Instances!JY22)-MIN(Instances!JY22:Instances!JY22))</f>
        <v>0</v>
      </c>
      <c r="JZ22" s="1"/>
      <c r="KA22" s="1" cm="1">
        <f t="array" ref="KA22">_xlfn.SWITCH($A$2,"average", AVERAGE(Instances!KA22:Instances!KA22),"median", MEDIAN(Instances!KA22:Instances!KA22),"min", MIN(Instances!KA22:Instances!KA22),"max", MAX(Instances!KA22:Instances!KA22),"diff", MAX(Instances!KA22:Instances!KA22)-MIN(Instances!KA22:Instances!KA22))</f>
        <v>0</v>
      </c>
      <c r="KB22" s="1" cm="1">
        <f t="array" ref="KB22">_xlfn.SWITCH($A$2,"average", AVERAGE(Instances!KB22:Instances!KB22),"median", MEDIAN(Instances!KB22:Instances!KB22),"min", MIN(Instances!KB22:Instances!KB22),"max", MAX(Instances!KB22:Instances!KB22),"diff", MAX(Instances!KB22:Instances!KB22)-MIN(Instances!KB22:Instances!KB22))</f>
        <v>0</v>
      </c>
      <c r="KC22" s="1" cm="1">
        <f t="array" ref="KC22">_xlfn.SWITCH($A$2,"average", AVERAGE(Instances!KC22:Instances!KC22),"median", MEDIAN(Instances!KC22:Instances!KC22),"min", MIN(Instances!KC22:Instances!KC22),"max", MAX(Instances!KC22:Instances!KC22),"diff", MAX(Instances!KC22:Instances!KC22)-MIN(Instances!KC22:Instances!KC22))</f>
        <v>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 cm="1">
        <f t="array" ref="L23">_xlfn.SWITCH($A$2,"average", AVERAGE(Instances!L23:Instances!L23),"median", MEDIAN(Instances!L23:Instances!L23),"min", MIN(Instances!L23:Instances!L23),"max", MAX(Instances!L23:Instances!L23),"diff", MAX(Instances!L23:Instances!L23)-MIN(Instances!L23:Instances!L23))</f>
        <v>0</v>
      </c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 cm="1">
        <f t="array" ref="O23">_xlfn.SWITCH($A$2,"average", AVERAGE(Instances!O23:Instances!O23),"median", MEDIAN(Instances!O23:Instances!O23),"min", MIN(Instances!O23:Instances!O23),"max", MAX(Instances!O23:Instances!O23),"diff", MAX(Instances!O23:Instances!O23)-MIN(Instances!O23:Instances!O23))</f>
        <v>0</v>
      </c>
      <c r="P23" s="1"/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 cm="1">
        <f t="array" ref="S23">_xlfn.SWITCH($A$2,"average", AVERAGE(Instances!S23:Instances!S23),"median", MEDIAN(Instances!S23:Instances!S23),"min", MIN(Instances!S23:Instances!S23),"max", MAX(Instances!S23:Instances!S23),"diff", MAX(Instances!S23:Instances!S23)-MIN(Instances!S23:Instances!S23))</f>
        <v>0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 cm="1">
        <f t="array" ref="AL23">_xlfn.SWITCH($A$2,"average", AVERAGE(Instances!AL23:Instances!AL23),"median", MEDIAN(Instances!AL23:Instances!AL23),"min", MIN(Instances!AL23:Instances!AL23),"max", MAX(Instances!AL23:Instances!AL23),"diff", MAX(Instances!AL23:Instances!AL23)-MIN(Instances!AL23:Instances!AL23))</f>
        <v>0</v>
      </c>
      <c r="AM23" s="1" cm="1">
        <f t="array" ref="AM23">_xlfn.SWITCH($A$2,"average", AVERAGE(Instances!AM23:Instances!AM23),"median", MEDIAN(Instances!AM23:Instances!AM23),"min", MIN(Instances!AM23:Instances!AM23),"max", MAX(Instances!AM23:Instances!AM23),"diff", MAX(Instances!AM23:Instances!AM23)-MIN(Instances!AM23:Instances!AM23))</f>
        <v>0</v>
      </c>
      <c r="AN23" s="1" cm="1">
        <f t="array" ref="AN23">_xlfn.SWITCH($A$2,"average", AVERAGE(Instances!AN23:Instances!AN23),"median", MEDIAN(Instances!AN23:Instances!AN23),"min", MIN(Instances!AN23:Instances!AN23),"max", MAX(Instances!AN23:Instances!AN23),"diff", MAX(Instances!AN23:Instances!AN23)-MIN(Instances!AN23:Instances!AN23))</f>
        <v>0</v>
      </c>
      <c r="AO23" s="1" cm="1">
        <f t="array" ref="AO23">_xlfn.SWITCH($A$2,"average", AVERAGE(Instances!AO23:Instances!AO23),"median", MEDIAN(Instances!AO23:Instances!AO23),"min", MIN(Instances!AO23:Instances!AO23),"max", MAX(Instances!AO23:Instances!AO23),"diff", MAX(Instances!AO23:Instances!AO23)-MIN(Instances!AO23:Instances!AO23))</f>
        <v>0</v>
      </c>
      <c r="AP23" s="1" cm="1">
        <f t="array" ref="AP23">_xlfn.SWITCH($A$2,"average", AVERAGE(Instances!AP23:Instances!AP23),"median", MEDIAN(Instances!AP23:Instances!AP23),"min", MIN(Instances!AP23:Instances!AP23),"max", MAX(Instances!AP23:Instances!AP23),"diff", MAX(Instances!AP23:Instances!AP23)-MIN(Instances!AP23:Instances!AP23))</f>
        <v>0</v>
      </c>
      <c r="AQ23" s="1" cm="1">
        <f t="array" ref="AQ23">_xlfn.SWITCH($A$2,"average", AVERAGE(Instances!AQ23:Instances!AQ23),"median", MEDIAN(Instances!AQ23:Instances!AQ23),"min", MIN(Instances!AQ23:Instances!AQ23),"max", MAX(Instances!AQ23:Instances!AQ23),"diff", MAX(Instances!AQ23:Instances!AQ23)-MIN(Instances!AQ23:Instances!AQ23))</f>
        <v>0</v>
      </c>
      <c r="AR23" s="1" cm="1">
        <f t="array" ref="AR23">_xlfn.SWITCH($A$2,"average", AVERAGE(Instances!AR23:Instances!AR23),"median", MEDIAN(Instances!AR23:Instances!AR23),"min", MIN(Instances!AR23:Instances!AR23),"max", MAX(Instances!AR23:Instances!AR23),"diff", MAX(Instances!AR23:Instances!AR23)-MIN(Instances!AR23:Instances!AR23))</f>
        <v>0</v>
      </c>
      <c r="AS23" s="1" cm="1">
        <f t="array" ref="AS23">_xlfn.SWITCH($A$2,"average", AVERAGE(Instances!AS23:Instances!AS23),"median", MEDIAN(Instances!AS23:Instances!AS23),"min", MIN(Instances!AS23:Instances!AS23),"max", MAX(Instances!AS23:Instances!AS23),"diff", MAX(Instances!AS23:Instances!AS23)-MIN(Instances!AS23:Instances!AS23))</f>
        <v>0</v>
      </c>
      <c r="AT23" s="1" cm="1">
        <f t="array" ref="AT23">_xlfn.SWITCH($A$2,"average", AVERAGE(Instances!AT23:Instances!AT23),"median", MEDIAN(Instances!AT23:Instances!AT23),"min", MIN(Instances!AT23:Instances!AT23),"max", MAX(Instances!AT23:Instances!AT23),"diff", MAX(Instances!AT23:Instances!AT23)-MIN(Instances!AT23:Instances!AT23))</f>
        <v>0</v>
      </c>
      <c r="AU23" s="1" cm="1">
        <f t="array" ref="AU23">_xlfn.SWITCH($A$2,"average", AVERAGE(Instances!AU23:Instances!AU23),"median", MEDIAN(Instances!AU23:Instances!AU23),"min", MIN(Instances!AU23:Instances!AU23),"max", MAX(Instances!AU23:Instances!AU23),"diff", MAX(Instances!AU23:Instances!AU23)-MIN(Instances!AU23:Instances!AU23))</f>
        <v>0</v>
      </c>
      <c r="AV23" s="1" cm="1">
        <f t="array" ref="AV23">_xlfn.SWITCH($A$2,"average", AVERAGE(Instances!AV23:Instances!AV23),"median", MEDIAN(Instances!AV23:Instances!AV23),"min", MIN(Instances!AV23:Instances!AV23),"max", MAX(Instances!AV23:Instances!AV23),"diff", MAX(Instances!AV23:Instances!AV23)-MIN(Instances!AV23:Instances!AV23))</f>
        <v>0</v>
      </c>
      <c r="AW23" s="1" cm="1">
        <f t="array" ref="AW23">_xlfn.SWITCH($A$2,"average", AVERAGE(Instances!AW23:Instances!AW23),"median", MEDIAN(Instances!AW23:Instances!AW23),"min", MIN(Instances!AW23:Instances!AW23),"max", MAX(Instances!AW23:Instances!AW23),"diff", MAX(Instances!AW23:Instances!AW23)-MIN(Instances!AW23:Instances!AW23))</f>
        <v>0</v>
      </c>
      <c r="AX23" s="1" cm="1">
        <f t="array" ref="AX23">_xlfn.SWITCH($A$2,"average", AVERAGE(Instances!AX23:Instances!AX23),"median", MEDIAN(Instances!AX23:Instances!AX23),"min", MIN(Instances!AX23:Instances!AX23),"max", MAX(Instances!AX23:Instances!AX23),"diff", MAX(Instances!AX23:Instances!AX23)-MIN(Instances!AX23:Instances!AX23))</f>
        <v>0</v>
      </c>
      <c r="AY23" s="1" cm="1">
        <f t="array" ref="AY23">_xlfn.SWITCH($A$2,"average", AVERAGE(Instances!AY23:Instances!AY23),"median", MEDIAN(Instances!AY23:Instances!AY23),"min", MIN(Instances!AY23:Instances!AY23),"max", MAX(Instances!AY23:Instances!AY23),"diff", MAX(Instances!AY23:Instances!AY23)-MIN(Instances!AY23:Instances!AY23))</f>
        <v>0</v>
      </c>
      <c r="AZ23" s="1"/>
      <c r="BA23" s="1" cm="1">
        <f t="array" ref="BA23">_xlfn.SWITCH($A$2,"average", AVERAGE(Instances!BA23:Instances!BA23),"median", MEDIAN(Instances!BA23:Instances!BA23),"min", MIN(Instances!BA23:Instances!BA23),"max", MAX(Instances!BA23:Instances!BA23),"diff", MAX(Instances!BA23:Instances!BA23)-MIN(Instances!BA23:Instances!BA23))</f>
        <v>0</v>
      </c>
      <c r="BB23" s="1" cm="1">
        <f t="array" ref="BB23">_xlfn.SWITCH($A$2,"average", AVERAGE(Instances!BB23:Instances!BB23),"median", MEDIAN(Instances!BB23:Instances!BB23),"min", MIN(Instances!BB23:Instances!BB23),"max", MAX(Instances!BB23:Instances!BB23),"diff", MAX(Instances!BB23:Instances!BB23)-MIN(Instances!BB23:Instances!BB23))</f>
        <v>0</v>
      </c>
      <c r="BC23" s="1" cm="1">
        <f t="array" ref="BC23">_xlfn.SWITCH($A$2,"average", AVERAGE(Instances!BC23:Instances!BC23),"median", MEDIAN(Instances!BC23:Instances!BC23),"min", MIN(Instances!BC23:Instances!BC23),"max", MAX(Instances!BC23:Instances!BC23),"diff", MAX(Instances!BC23:Instances!BC23)-MIN(Instances!BC23:Instances!BC23))</f>
        <v>0</v>
      </c>
      <c r="BD23" s="1" cm="1">
        <f t="array" ref="BD23">_xlfn.SWITCH($A$2,"average", AVERAGE(Instances!BD23:Instances!BD23),"median", MEDIAN(Instances!BD23:Instances!BD23),"min", MIN(Instances!BD23:Instances!BD23),"max", MAX(Instances!BD23:Instances!BD23),"diff", MAX(Instances!BD23:Instances!BD23)-MIN(Instances!BD23:Instances!BD23))</f>
        <v>0</v>
      </c>
      <c r="BE23" s="1" cm="1">
        <f t="array" ref="BE23">_xlfn.SWITCH($A$2,"average", AVERAGE(Instances!BE23:Instances!BE23),"median", MEDIAN(Instances!BE23:Instances!BE23),"min", MIN(Instances!BE23:Instances!BE23),"max", MAX(Instances!BE23:Instances!BE23),"diff", MAX(Instances!BE23:Instances!BE23)-MIN(Instances!BE23:Instances!BE23))</f>
        <v>0</v>
      </c>
      <c r="BF23" s="1" cm="1">
        <f t="array" ref="BF23">_xlfn.SWITCH($A$2,"average", AVERAGE(Instances!BF23:Instances!BF23),"median", MEDIAN(Instances!BF23:Instances!BF23),"min", MIN(Instances!BF23:Instances!BF23),"max", MAX(Instances!BF23:Instances!BF23),"diff", MAX(Instances!BF23:Instances!BF23)-MIN(Instances!BF23:Instances!BF23))</f>
        <v>0</v>
      </c>
      <c r="BG23" s="1" cm="1">
        <f t="array" ref="BG23">_xlfn.SWITCH($A$2,"average", AVERAGE(Instances!BG23:Instances!BG23),"median", MEDIAN(Instances!BG23:Instances!BG23),"min", MIN(Instances!BG23:Instances!BG23),"max", MAX(Instances!BG23:Instances!BG23),"diff", MAX(Instances!BG23:Instances!BG23)-MIN(Instances!BG23:Instances!BG23))</f>
        <v>0</v>
      </c>
      <c r="BH23" s="1" cm="1">
        <f t="array" ref="BH23">_xlfn.SWITCH($A$2,"average", AVERAGE(Instances!BH23:Instances!BH23),"median", MEDIAN(Instances!BH23:Instances!BH23),"min", MIN(Instances!BH23:Instances!BH23),"max", MAX(Instances!BH23:Instances!BH23),"diff", MAX(Instances!BH23:Instances!BH23)-MIN(Instances!BH23:Instances!BH23))</f>
        <v>0</v>
      </c>
      <c r="BI23" s="1" cm="1">
        <f t="array" ref="BI23">_xlfn.SWITCH($A$2,"average", AVERAGE(Instances!BI23:Instances!BI23),"median", MEDIAN(Instances!BI23:Instances!BI23),"min", MIN(Instances!BI23:Instances!BI23),"max", MAX(Instances!BI23:Instances!BI23),"diff", MAX(Instances!BI23:Instances!BI23)-MIN(Instances!BI23:Instances!BI23))</f>
        <v>0</v>
      </c>
      <c r="BJ23" s="1" cm="1">
        <f t="array" ref="BJ23">_xlfn.SWITCH($A$2,"average", AVERAGE(Instances!BJ23:Instances!BJ23),"median", MEDIAN(Instances!BJ23:Instances!BJ23),"min", MIN(Instances!BJ23:Instances!BJ23),"max", MAX(Instances!BJ23:Instances!BJ23),"diff", MAX(Instances!BJ23:Instances!BJ23)-MIN(Instances!BJ23:Instances!BJ23))</f>
        <v>0</v>
      </c>
      <c r="BK23" s="1" cm="1">
        <f t="array" ref="BK23">_xlfn.SWITCH($A$2,"average", AVERAGE(Instances!BK23:Instances!BK23),"median", MEDIAN(Instances!BK23:Instances!BK23),"min", MIN(Instances!BK23:Instances!BK23),"max", MAX(Instances!BK23:Instances!BK23),"diff", MAX(Instances!BK23:Instances!BK23)-MIN(Instances!BK23:Instances!BK23))</f>
        <v>0</v>
      </c>
      <c r="BL23" s="1" cm="1">
        <f t="array" ref="BL23">_xlfn.SWITCH($A$2,"average", AVERAGE(Instances!BL23:Instances!BL23),"median", MEDIAN(Instances!BL23:Instances!BL23),"min", MIN(Instances!BL23:Instances!BL23),"max", MAX(Instances!BL23:Instances!BL23),"diff", MAX(Instances!BL23:Instances!BL23)-MIN(Instances!BL23:Instances!BL23))</f>
        <v>0</v>
      </c>
      <c r="BM23" s="1" cm="1">
        <f t="array" ref="BM23">_xlfn.SWITCH($A$2,"average", AVERAGE(Instances!BM23:Instances!BM23),"median", MEDIAN(Instances!BM23:Instances!BM23),"min", MIN(Instances!BM23:Instances!BM23),"max", MAX(Instances!BM23:Instances!BM23),"diff", MAX(Instances!BM23:Instances!BM23)-MIN(Instances!BM23:Instances!BM23))</f>
        <v>0</v>
      </c>
      <c r="BN23" s="1" cm="1">
        <f t="array" ref="BN23">_xlfn.SWITCH($A$2,"average", AVERAGE(Instances!BN23:Instances!BN23),"median", MEDIAN(Instances!BN23:Instances!BN23),"min", MIN(Instances!BN23:Instances!BN23),"max", MAX(Instances!BN23:Instances!BN23),"diff", MAX(Instances!BN23:Instances!BN23)-MIN(Instances!BN23:Instances!BN23))</f>
        <v>0</v>
      </c>
      <c r="BO23" s="1" cm="1">
        <f t="array" ref="BO23">_xlfn.SWITCH($A$2,"average", AVERAGE(Instances!BO23:Instances!BO23),"median", MEDIAN(Instances!BO23:Instances!BO23),"min", MIN(Instances!BO23:Instances!BO23),"max", MAX(Instances!BO23:Instances!BO23),"diff", MAX(Instances!BO23:Instances!BO23)-MIN(Instances!BO23:Instances!BO23))</f>
        <v>0</v>
      </c>
      <c r="BP23" s="1" cm="1">
        <f t="array" ref="BP23">_xlfn.SWITCH($A$2,"average", AVERAGE(Instances!BP23:Instances!BP23),"median", MEDIAN(Instances!BP23:Instances!BP23),"min", MIN(Instances!BP23:Instances!BP23),"max", MAX(Instances!BP23:Instances!BP23),"diff", MAX(Instances!BP23:Instances!BP23)-MIN(Instances!BP23:Instances!BP23))</f>
        <v>0</v>
      </c>
      <c r="BQ23" s="1" cm="1">
        <f t="array" ref="BQ23">_xlfn.SWITCH($A$2,"average", AVERAGE(Instances!BQ23:Instances!BQ23),"median", MEDIAN(Instances!BQ23:Instances!BQ23),"min", MIN(Instances!BQ23:Instances!BQ23),"max", MAX(Instances!BQ23:Instances!BQ23),"diff", MAX(Instances!BQ23:Instances!BQ23)-MIN(Instances!BQ23:Instances!BQ23))</f>
        <v>0</v>
      </c>
      <c r="BR23" s="1"/>
      <c r="BS23" s="1" cm="1">
        <f t="array" ref="BS23">_xlfn.SWITCH($A$2,"average", AVERAGE(Instances!BS23:Instances!BS23),"median", MEDIAN(Instances!BS23:Instances!BS23),"min", MIN(Instances!BS23:Instances!BS23),"max", MAX(Instances!BS23:Instances!BS23),"diff", MAX(Instances!BS23:Instances!BS23)-MIN(Instances!BS23:Instances!BS23))</f>
        <v>0</v>
      </c>
      <c r="BT23" s="1" cm="1">
        <f t="array" ref="BT23">_xlfn.SWITCH($A$2,"average", AVERAGE(Instances!BT23:Instances!BT23),"median", MEDIAN(Instances!BT23:Instances!BT23),"min", MIN(Instances!BT23:Instances!BT23),"max", MAX(Instances!BT23:Instances!BT23),"diff", MAX(Instances!BT23:Instances!BT23)-MIN(Instances!BT23:Instances!BT23))</f>
        <v>0</v>
      </c>
      <c r="BU23" s="1" cm="1">
        <f t="array" ref="BU23">_xlfn.SWITCH($A$2,"average", AVERAGE(Instances!BU23:Instances!BU23),"median", MEDIAN(Instances!BU23:Instances!BU23),"min", MIN(Instances!BU23:Instances!BU23),"max", MAX(Instances!BU23:Instances!BU23),"diff", MAX(Instances!BU23:Instances!BU23)-MIN(Instances!BU23:Instances!BU23))</f>
        <v>0</v>
      </c>
      <c r="BV23" s="1" cm="1">
        <f t="array" ref="BV23">_xlfn.SWITCH($A$2,"average", AVERAGE(Instances!BV23:Instances!BV23),"median", MEDIAN(Instances!BV23:Instances!BV23),"min", MIN(Instances!BV23:Instances!BV23),"max", MAX(Instances!BV23:Instances!BV23),"diff", MAX(Instances!BV23:Instances!BV23)-MIN(Instances!BV23:Instances!BV23))</f>
        <v>0</v>
      </c>
      <c r="BW23" s="1" cm="1">
        <f t="array" ref="BW23">_xlfn.SWITCH($A$2,"average", AVERAGE(Instances!BW23:Instances!BW23),"median", MEDIAN(Instances!BW23:Instances!BW23),"min", MIN(Instances!BW23:Instances!BW23),"max", MAX(Instances!BW23:Instances!BW23),"diff", MAX(Instances!BW23:Instances!BW23)-MIN(Instances!BW23:Instances!BW23))</f>
        <v>0</v>
      </c>
      <c r="BX23" s="1" cm="1">
        <f t="array" ref="BX23">_xlfn.SWITCH($A$2,"average", AVERAGE(Instances!BX23:Instances!BX23),"median", MEDIAN(Instances!BX23:Instances!BX23),"min", MIN(Instances!BX23:Instances!BX23),"max", MAX(Instances!BX23:Instances!BX23),"diff", MAX(Instances!BX23:Instances!BX23)-MIN(Instances!BX23:Instances!BX23))</f>
        <v>0</v>
      </c>
      <c r="BY23" s="1" cm="1">
        <f t="array" ref="BY23">_xlfn.SWITCH($A$2,"average", AVERAGE(Instances!BY23:Instances!BY23),"median", MEDIAN(Instances!BY23:Instances!BY23),"min", MIN(Instances!BY23:Instances!BY23),"max", MAX(Instances!BY23:Instances!BY23),"diff", MAX(Instances!BY23:Instances!BY23)-MIN(Instances!BY23:Instances!BY23))</f>
        <v>0</v>
      </c>
      <c r="BZ23" s="1" cm="1">
        <f t="array" ref="BZ23">_xlfn.SWITCH($A$2,"average", AVERAGE(Instances!BZ23:Instances!BZ23),"median", MEDIAN(Instances!BZ23:Instances!BZ23),"min", MIN(Instances!BZ23:Instances!BZ23),"max", MAX(Instances!BZ23:Instances!BZ23),"diff", MAX(Instances!BZ23:Instances!BZ23)-MIN(Instances!BZ23:Instances!BZ23))</f>
        <v>0</v>
      </c>
      <c r="CA23" s="1" cm="1">
        <f t="array" ref="CA23">_xlfn.SWITCH($A$2,"average", AVERAGE(Instances!CA23:Instances!CA23),"median", MEDIAN(Instances!CA23:Instances!CA23),"min", MIN(Instances!CA23:Instances!CA23),"max", MAX(Instances!CA23:Instances!CA23),"diff", MAX(Instances!CA23:Instances!CA23)-MIN(Instances!CA23:Instances!CA23))</f>
        <v>0</v>
      </c>
      <c r="CB23" s="1" cm="1">
        <f t="array" ref="CB23">_xlfn.SWITCH($A$2,"average", AVERAGE(Instances!CB23:Instances!CB23),"median", MEDIAN(Instances!CB23:Instances!CB23),"min", MIN(Instances!CB23:Instances!CB23),"max", MAX(Instances!CB23:Instances!CB23),"diff", MAX(Instances!CB23:Instances!CB23)-MIN(Instances!CB23:Instances!CB23))</f>
        <v>0</v>
      </c>
      <c r="CC23" s="1" cm="1">
        <f t="array" ref="CC23">_xlfn.SWITCH($A$2,"average", AVERAGE(Instances!CC23:Instances!CC23),"median", MEDIAN(Instances!CC23:Instances!CC23),"min", MIN(Instances!CC23:Instances!CC23),"max", MAX(Instances!CC23:Instances!CC23),"diff", MAX(Instances!CC23:Instances!CC23)-MIN(Instances!CC23:Instances!CC23))</f>
        <v>0</v>
      </c>
      <c r="CD23" s="1" cm="1">
        <f t="array" ref="CD23">_xlfn.SWITCH($A$2,"average", AVERAGE(Instances!CD23:Instances!CD23),"median", MEDIAN(Instances!CD23:Instances!CD23),"min", MIN(Instances!CD23:Instances!CD23),"max", MAX(Instances!CD23:Instances!CD23),"diff", MAX(Instances!CD23:Instances!CD23)-MIN(Instances!CD23:Instances!CD23))</f>
        <v>0</v>
      </c>
      <c r="CE23" s="1" cm="1">
        <f t="array" ref="CE23">_xlfn.SWITCH($A$2,"average", AVERAGE(Instances!CE23:Instances!CE23),"median", MEDIAN(Instances!CE23:Instances!CE23),"min", MIN(Instances!CE23:Instances!CE23),"max", MAX(Instances!CE23:Instances!CE23),"diff", MAX(Instances!CE23:Instances!CE23)-MIN(Instances!CE23:Instances!CE23))</f>
        <v>0</v>
      </c>
      <c r="CF23" s="1" cm="1">
        <f t="array" ref="CF23">_xlfn.SWITCH($A$2,"average", AVERAGE(Instances!CF23:Instances!CF23),"median", MEDIAN(Instances!CF23:Instances!CF23),"min", MIN(Instances!CF23:Instances!CF23),"max", MAX(Instances!CF23:Instances!CF23),"diff", MAX(Instances!CF23:Instances!CF23)-MIN(Instances!CF23:Instances!CF23))</f>
        <v>0</v>
      </c>
      <c r="CG23" s="1" cm="1">
        <f t="array" ref="CG23">_xlfn.SWITCH($A$2,"average", AVERAGE(Instances!CG23:Instances!CG23),"median", MEDIAN(Instances!CG23:Instances!CG23),"min", MIN(Instances!CG23:Instances!CG23),"max", MAX(Instances!CG23:Instances!CG23),"diff", MAX(Instances!CG23:Instances!CG23)-MIN(Instances!CG23:Instances!CG23))</f>
        <v>0</v>
      </c>
      <c r="CH23" s="1" cm="1">
        <f t="array" ref="CH23">_xlfn.SWITCH($A$2,"average", AVERAGE(Instances!CH23:Instances!CH23),"median", MEDIAN(Instances!CH23:Instances!CH23),"min", MIN(Instances!CH23:Instances!CH23),"max", MAX(Instances!CH23:Instances!CH23),"diff", MAX(Instances!CH23:Instances!CH23)-MIN(Instances!CH23:Instances!CH23))</f>
        <v>0</v>
      </c>
      <c r="CI23" s="1" cm="1">
        <f t="array" ref="CI23">_xlfn.SWITCH($A$2,"average", AVERAGE(Instances!CI23:Instances!CI23),"median", MEDIAN(Instances!CI23:Instances!CI23),"min", MIN(Instances!CI23:Instances!CI23),"max", MAX(Instances!CI23:Instances!CI23),"diff", MAX(Instances!CI23:Instances!CI23)-MIN(Instances!CI23:Instances!CI23))</f>
        <v>0</v>
      </c>
      <c r="CJ23" s="1"/>
      <c r="CK23" s="1" cm="1">
        <f t="array" ref="CK23">_xlfn.SWITCH($A$2,"average", AVERAGE(Instances!CK23:Instances!CK23),"median", MEDIAN(Instances!CK23:Instances!CK23),"min", MIN(Instances!CK23:Instances!CK23),"max", MAX(Instances!CK23:Instances!CK23),"diff", MAX(Instances!CK23:Instances!CK23)-MIN(Instances!CK23:Instances!CK23))</f>
        <v>0</v>
      </c>
      <c r="CL23" s="1" cm="1">
        <f t="array" ref="CL23">_xlfn.SWITCH($A$2,"average", AVERAGE(Instances!CL23:Instances!CL23),"median", MEDIAN(Instances!CL23:Instances!CL23),"min", MIN(Instances!CL23:Instances!CL23),"max", MAX(Instances!CL23:Instances!CL23),"diff", MAX(Instances!CL23:Instances!CL23)-MIN(Instances!CL23:Instances!CL23))</f>
        <v>0</v>
      </c>
      <c r="CM23" s="1" cm="1">
        <f t="array" ref="CM23">_xlfn.SWITCH($A$2,"average", AVERAGE(Instances!CM23:Instances!CM23),"median", MEDIAN(Instances!CM23:Instances!CM23),"min", MIN(Instances!CM23:Instances!CM23),"max", MAX(Instances!CM23:Instances!CM23),"diff", MAX(Instances!CM23:Instances!CM23)-MIN(Instances!CM23:Instances!CM23))</f>
        <v>0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 cm="1">
        <f t="array" ref="DX23">_xlfn.SWITCH($A$2,"average", AVERAGE(Instances!DX23:Instances!DX23),"median", MEDIAN(Instances!DX23:Instances!DX23),"min", MIN(Instances!DX23:Instances!DX23),"max", MAX(Instances!DX23:Instances!DX23),"diff", MAX(Instances!DX23:Instances!DX23)-MIN(Instances!DX23:Instances!DX23))</f>
        <v>0</v>
      </c>
      <c r="DY23" s="1" cm="1">
        <f t="array" ref="DY23">_xlfn.SWITCH($A$2,"average", AVERAGE(Instances!DY23:Instances!DY23),"median", MEDIAN(Instances!DY23:Instances!DY23),"min", MIN(Instances!DY23:Instances!DY23),"max", MAX(Instances!DY23:Instances!DY23),"diff", MAX(Instances!DY23:Instances!DY23)-MIN(Instances!DY23:Instances!DY23))</f>
        <v>0</v>
      </c>
      <c r="DZ23" s="1" cm="1">
        <f t="array" ref="DZ23">_xlfn.SWITCH($A$2,"average", AVERAGE(Instances!DZ23:Instances!DZ23),"median", MEDIAN(Instances!DZ23:Instances!DZ23),"min", MIN(Instances!DZ23:Instances!DZ23),"max", MAX(Instances!DZ23:Instances!DZ23),"diff", MAX(Instances!DZ23:Instances!DZ23)-MIN(Instances!DZ23:Instances!DZ23))</f>
        <v>0</v>
      </c>
      <c r="EA23" s="1" cm="1">
        <f t="array" ref="EA23">_xlfn.SWITCH($A$2,"average", AVERAGE(Instances!EA23:Instances!EA23),"median", MEDIAN(Instances!EA23:Instances!EA23),"min", MIN(Instances!EA23:Instances!EA23),"max", MAX(Instances!EA23:Instances!EA23),"diff", MAX(Instances!EA23:Instances!EA23)-MIN(Instances!EA23:Instances!EA23))</f>
        <v>0</v>
      </c>
      <c r="EB23" s="1" cm="1">
        <f t="array" ref="EB23">_xlfn.SWITCH($A$2,"average", AVERAGE(Instances!EB23:Instances!EB23),"median", MEDIAN(Instances!EB23:Instances!EB23),"min", MIN(Instances!EB23:Instances!EB23),"max", MAX(Instances!EB23:Instances!EB23),"diff", MAX(Instances!EB23:Instances!EB23)-MIN(Instances!EB23:Instances!EB23))</f>
        <v>0</v>
      </c>
      <c r="EC23" s="1" cm="1">
        <f t="array" ref="EC23">_xlfn.SWITCH($A$2,"average", AVERAGE(Instances!EC23:Instances!EC23),"median", MEDIAN(Instances!EC23:Instances!EC23),"min", MIN(Instances!EC23:Instances!EC23),"max", MAX(Instances!EC23:Instances!EC23),"diff", MAX(Instances!EC23:Instances!EC23)-MIN(Instances!EC23:Instances!EC23))</f>
        <v>0</v>
      </c>
      <c r="ED23" s="1" cm="1">
        <f t="array" ref="ED23">_xlfn.SWITCH($A$2,"average", AVERAGE(Instances!ED23:Instances!ED23),"median", MEDIAN(Instances!ED23:Instances!ED23),"min", MIN(Instances!ED23:Instances!ED23),"max", MAX(Instances!ED23:Instances!ED23),"diff", MAX(Instances!ED23:Instances!ED23)-MIN(Instances!ED23:Instances!ED23))</f>
        <v>0</v>
      </c>
      <c r="EE23" s="1" cm="1">
        <f t="array" ref="EE23">_xlfn.SWITCH($A$2,"average", AVERAGE(Instances!EE23:Instances!EE23),"median", MEDIAN(Instances!EE23:Instances!EE23),"min", MIN(Instances!EE23:Instances!EE23),"max", MAX(Instances!EE23:Instances!EE23),"diff", MAX(Instances!EE23:Instances!EE23)-MIN(Instances!EE23:Instances!EE23))</f>
        <v>0</v>
      </c>
      <c r="EF23" s="1" cm="1">
        <f t="array" ref="EF23">_xlfn.SWITCH($A$2,"average", AVERAGE(Instances!EF23:Instances!EF23),"median", MEDIAN(Instances!EF23:Instances!EF23),"min", MIN(Instances!EF23:Instances!EF23),"max", MAX(Instances!EF23:Instances!EF23),"diff", MAX(Instances!EF23:Instances!EF23)-MIN(Instances!EF23:Instances!EF23))</f>
        <v>0</v>
      </c>
      <c r="EG23" s="1" cm="1">
        <f t="array" ref="EG23">_xlfn.SWITCH($A$2,"average", AVERAGE(Instances!EG23:Instances!EG23),"median", MEDIAN(Instances!EG23:Instances!EG23),"min", MIN(Instances!EG23:Instances!EG23),"max", MAX(Instances!EG23:Instances!EG23),"diff", MAX(Instances!EG23:Instances!EG23)-MIN(Instances!EG23:Instances!EG23))</f>
        <v>0</v>
      </c>
      <c r="EH23" s="1" cm="1">
        <f t="array" ref="EH23">_xlfn.SWITCH($A$2,"average", AVERAGE(Instances!EH23:Instances!EH23),"median", MEDIAN(Instances!EH23:Instances!EH23),"min", MIN(Instances!EH23:Instances!EH23),"max", MAX(Instances!EH23:Instances!EH23),"diff", MAX(Instances!EH23:Instances!EH23)-MIN(Instances!EH23:Instances!EH23))</f>
        <v>0</v>
      </c>
      <c r="EI23" s="1" cm="1">
        <f t="array" ref="EI23">_xlfn.SWITCH($A$2,"average", AVERAGE(Instances!EI23:Instances!EI23),"median", MEDIAN(Instances!EI23:Instances!EI23),"min", MIN(Instances!EI23:Instances!EI23),"max", MAX(Instances!EI23:Instances!EI23),"diff", MAX(Instances!EI23:Instances!EI23)-MIN(Instances!EI23:Instances!EI23))</f>
        <v>0</v>
      </c>
      <c r="EJ23" s="1" cm="1">
        <f t="array" ref="EJ23">_xlfn.SWITCH($A$2,"average", AVERAGE(Instances!EJ23:Instances!EJ23),"median", MEDIAN(Instances!EJ23:Instances!EJ23),"min", MIN(Instances!EJ23:Instances!EJ23),"max", MAX(Instances!EJ23:Instances!EJ23),"diff", MAX(Instances!EJ23:Instances!EJ23)-MIN(Instances!EJ23:Instances!EJ23))</f>
        <v>0</v>
      </c>
      <c r="EK23" s="1" cm="1">
        <f t="array" ref="EK23">_xlfn.SWITCH($A$2,"average", AVERAGE(Instances!EK23:Instances!EK23),"median", MEDIAN(Instances!EK23:Instances!EK23),"min", MIN(Instances!EK23:Instances!EK23),"max", MAX(Instances!EK23:Instances!EK23),"diff", MAX(Instances!EK23:Instances!EK23)-MIN(Instances!EK23:Instances!EK23))</f>
        <v>0</v>
      </c>
      <c r="EL23" s="1"/>
      <c r="EM23" s="1" cm="1">
        <f t="array" ref="EM23">_xlfn.SWITCH($A$2,"average", AVERAGE(Instances!EM23:Instances!EM23),"median", MEDIAN(Instances!EM23:Instances!EM23),"min", MIN(Instances!EM23:Instances!EM23),"max", MAX(Instances!EM23:Instances!EM23),"diff", MAX(Instances!EM23:Instances!EM23)-MIN(Instances!EM23:Instances!EM23))</f>
        <v>0</v>
      </c>
      <c r="EN23" s="1" cm="1">
        <f t="array" ref="EN23">_xlfn.SWITCH($A$2,"average", AVERAGE(Instances!EN23:Instances!EN23),"median", MEDIAN(Instances!EN23:Instances!EN23),"min", MIN(Instances!EN23:Instances!EN23),"max", MAX(Instances!EN23:Instances!EN23),"diff", MAX(Instances!EN23:Instances!EN23)-MIN(Instances!EN23:Instances!EN23))</f>
        <v>0</v>
      </c>
      <c r="EO23" s="1" cm="1">
        <f t="array" ref="EO23">_xlfn.SWITCH($A$2,"average", AVERAGE(Instances!EO23:Instances!EO23),"median", MEDIAN(Instances!EO23:Instances!EO23),"min", MIN(Instances!EO23:Instances!EO23),"max", MAX(Instances!EO23:Instances!EO23),"diff", MAX(Instances!EO23:Instances!EO23)-MIN(Instances!EO23:Instances!EO23))</f>
        <v>0</v>
      </c>
      <c r="EP23" s="1" cm="1">
        <f t="array" ref="EP23">_xlfn.SWITCH($A$2,"average", AVERAGE(Instances!EP23:Instances!EP23),"median", MEDIAN(Instances!EP23:Instances!EP23),"min", MIN(Instances!EP23:Instances!EP23),"max", MAX(Instances!EP23:Instances!EP23),"diff", MAX(Instances!EP23:Instances!EP23)-MIN(Instances!EP23:Instances!EP23))</f>
        <v>0</v>
      </c>
      <c r="EQ23" s="1" cm="1">
        <f t="array" ref="EQ23">_xlfn.SWITCH($A$2,"average", AVERAGE(Instances!EQ23:Instances!EQ23),"median", MEDIAN(Instances!EQ23:Instances!EQ23),"min", MIN(Instances!EQ23:Instances!EQ23),"max", MAX(Instances!EQ23:Instances!EQ23),"diff", MAX(Instances!EQ23:Instances!EQ23)-MIN(Instances!EQ23:Instances!EQ23))</f>
        <v>0</v>
      </c>
      <c r="ER23" s="1" cm="1">
        <f t="array" ref="ER23">_xlfn.SWITCH($A$2,"average", AVERAGE(Instances!ER23:Instances!ER23),"median", MEDIAN(Instances!ER23:Instances!ER23),"min", MIN(Instances!ER23:Instances!ER23),"max", MAX(Instances!ER23:Instances!ER23),"diff", MAX(Instances!ER23:Instances!ER23)-MIN(Instances!ER23:Instances!ER23))</f>
        <v>0</v>
      </c>
      <c r="ES23" s="1" cm="1">
        <f t="array" ref="ES23">_xlfn.SWITCH($A$2,"average", AVERAGE(Instances!ES23:Instances!ES23),"median", MEDIAN(Instances!ES23:Instances!ES23),"min", MIN(Instances!ES23:Instances!ES23),"max", MAX(Instances!ES23:Instances!ES23),"diff", MAX(Instances!ES23:Instances!ES23)-MIN(Instances!ES23:Instances!ES23))</f>
        <v>0</v>
      </c>
      <c r="ET23" s="1" cm="1">
        <f t="array" ref="ET23">_xlfn.SWITCH($A$2,"average", AVERAGE(Instances!ET23:Instances!ET23),"median", MEDIAN(Instances!ET23:Instances!ET23),"min", MIN(Instances!ET23:Instances!ET23),"max", MAX(Instances!ET23:Instances!ET23),"diff", MAX(Instances!ET23:Instances!ET23)-MIN(Instances!ET23:Instances!ET23))</f>
        <v>0</v>
      </c>
      <c r="EU23" s="1" cm="1">
        <f t="array" ref="EU23">_xlfn.SWITCH($A$2,"average", AVERAGE(Instances!EU23:Instances!EU23),"median", MEDIAN(Instances!EU23:Instances!EU23),"min", MIN(Instances!EU23:Instances!EU23),"max", MAX(Instances!EU23:Instances!EU23),"diff", MAX(Instances!EU23:Instances!EU23)-MIN(Instances!EU23:Instances!EU23))</f>
        <v>0</v>
      </c>
      <c r="EV23" s="1" cm="1">
        <f t="array" ref="EV23">_xlfn.SWITCH($A$2,"average", AVERAGE(Instances!EV23:Instances!EV23),"median", MEDIAN(Instances!EV23:Instances!EV23),"min", MIN(Instances!EV23:Instances!EV23),"max", MAX(Instances!EV23:Instances!EV23),"diff", MAX(Instances!EV23:Instances!EV23)-MIN(Instances!EV23:Instances!EV23))</f>
        <v>0</v>
      </c>
      <c r="EW23" s="1" cm="1">
        <f t="array" ref="EW23">_xlfn.SWITCH($A$2,"average", AVERAGE(Instances!EW23:Instances!EW23),"median", MEDIAN(Instances!EW23:Instances!EW23),"min", MIN(Instances!EW23:Instances!EW23),"max", MAX(Instances!EW23:Instances!EW23),"diff", MAX(Instances!EW23:Instances!EW23)-MIN(Instances!EW23:Instances!EW23))</f>
        <v>0</v>
      </c>
      <c r="EX23" s="1" cm="1">
        <f t="array" ref="EX23">_xlfn.SWITCH($A$2,"average", AVERAGE(Instances!EX23:Instances!EX23),"median", MEDIAN(Instances!EX23:Instances!EX23),"min", MIN(Instances!EX23:Instances!EX23),"max", MAX(Instances!EX23:Instances!EX23),"diff", MAX(Instances!EX23:Instances!EX23)-MIN(Instances!EX23:Instances!EX23))</f>
        <v>0</v>
      </c>
      <c r="EY23" s="1" cm="1">
        <f t="array" ref="EY23">_xlfn.SWITCH($A$2,"average", AVERAGE(Instances!EY23:Instances!EY23),"median", MEDIAN(Instances!EY23:Instances!EY23),"min", MIN(Instances!EY23:Instances!EY23),"max", MAX(Instances!EY23:Instances!EY23),"diff", MAX(Instances!EY23:Instances!EY23)-MIN(Instances!EY23:Instances!EY23))</f>
        <v>0</v>
      </c>
      <c r="EZ23" s="1" cm="1">
        <f t="array" ref="EZ23">_xlfn.SWITCH($A$2,"average", AVERAGE(Instances!EZ23:Instances!EZ23),"median", MEDIAN(Instances!EZ23:Instances!EZ23),"min", MIN(Instances!EZ23:Instances!EZ23),"max", MAX(Instances!EZ23:Instances!EZ23),"diff", MAX(Instances!EZ23:Instances!EZ23)-MIN(Instances!EZ23:Instances!EZ23))</f>
        <v>0</v>
      </c>
      <c r="FA23" s="1" cm="1">
        <f t="array" ref="FA23">_xlfn.SWITCH($A$2,"average", AVERAGE(Instances!FA23:Instances!FA23),"median", MEDIAN(Instances!FA23:Instances!FA23),"min", MIN(Instances!FA23:Instances!FA23),"max", MAX(Instances!FA23:Instances!FA23),"diff", MAX(Instances!FA23:Instances!FA23)-MIN(Instances!FA23:Instances!FA23))</f>
        <v>0</v>
      </c>
      <c r="FB23" s="1" cm="1">
        <f t="array" ref="FB23">_xlfn.SWITCH($A$2,"average", AVERAGE(Instances!FB23:Instances!FB23),"median", MEDIAN(Instances!FB23:Instances!FB23),"min", MIN(Instances!FB23:Instances!FB23),"max", MAX(Instances!FB23:Instances!FB23),"diff", MAX(Instances!FB23:Instances!FB23)-MIN(Instances!FB23:Instances!FB23))</f>
        <v>0</v>
      </c>
      <c r="FC23" s="1" cm="1">
        <f t="array" ref="FC23">_xlfn.SWITCH($A$2,"average", AVERAGE(Instances!FC23:Instances!FC23),"median", MEDIAN(Instances!FC23:Instances!FC23),"min", MIN(Instances!FC23:Instances!FC23),"max", MAX(Instances!FC23:Instances!FC23),"diff", MAX(Instances!FC23:Instances!FC23)-MIN(Instances!FC23:Instances!FC23))</f>
        <v>0</v>
      </c>
      <c r="FD23" s="1"/>
      <c r="FE23" s="1" cm="1">
        <f t="array" ref="FE23">_xlfn.SWITCH($A$2,"average", AVERAGE(Instances!FE23:Instances!FE23),"median", MEDIAN(Instances!FE23:Instances!FE23),"min", MIN(Instances!FE23:Instances!FE23),"max", MAX(Instances!FE23:Instances!FE23),"diff", MAX(Instances!FE23:Instances!FE23)-MIN(Instances!FE23:Instances!FE23))</f>
        <v>0</v>
      </c>
      <c r="FF23" s="1" cm="1">
        <f t="array" ref="FF23">_xlfn.SWITCH($A$2,"average", AVERAGE(Instances!FF23:Instances!FF23),"median", MEDIAN(Instances!FF23:Instances!FF23),"min", MIN(Instances!FF23:Instances!FF23),"max", MAX(Instances!FF23:Instances!FF23),"diff", MAX(Instances!FF23:Instances!FF23)-MIN(Instances!FF23:Instances!FF23))</f>
        <v>0</v>
      </c>
      <c r="FG23" s="1" cm="1">
        <f t="array" ref="FG23">_xlfn.SWITCH($A$2,"average", AVERAGE(Instances!FG23:Instances!FG23),"median", MEDIAN(Instances!FG23:Instances!FG23),"min", MIN(Instances!FG23:Instances!FG23),"max", MAX(Instances!FG23:Instances!FG23),"diff", MAX(Instances!FG23:Instances!FG23)-MIN(Instances!FG23:Instances!FG23))</f>
        <v>0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 cm="1">
        <f t="array" ref="FZ23">_xlfn.SWITCH($A$2,"average", AVERAGE(Instances!FZ23:Instances!FZ23),"median", MEDIAN(Instances!FZ23:Instances!FZ23),"min", MIN(Instances!FZ23:Instances!FZ23),"max", MAX(Instances!FZ23:Instances!FZ23),"diff", MAX(Instances!FZ23:Instances!FZ23)-MIN(Instances!FZ23:Instances!FZ23))</f>
        <v>0</v>
      </c>
      <c r="GA23" s="1" cm="1">
        <f t="array" ref="GA23">_xlfn.SWITCH($A$2,"average", AVERAGE(Instances!GA23:Instances!GA23),"median", MEDIAN(Instances!GA23:Instances!GA23),"min", MIN(Instances!GA23:Instances!GA23),"max", MAX(Instances!GA23:Instances!GA23),"diff", MAX(Instances!GA23:Instances!GA23)-MIN(Instances!GA23:Instances!GA23))</f>
        <v>0</v>
      </c>
      <c r="GB23" s="1" cm="1">
        <f t="array" ref="GB23">_xlfn.SWITCH($A$2,"average", AVERAGE(Instances!GB23:Instances!GB23),"median", MEDIAN(Instances!GB23:Instances!GB23),"min", MIN(Instances!GB23:Instances!GB23),"max", MAX(Instances!GB23:Instances!GB23),"diff", MAX(Instances!GB23:Instances!GB23)-MIN(Instances!GB23:Instances!GB23))</f>
        <v>0</v>
      </c>
      <c r="GC23" s="1" cm="1">
        <f t="array" ref="GC23">_xlfn.SWITCH($A$2,"average", AVERAGE(Instances!GC23:Instances!GC23),"median", MEDIAN(Instances!GC23:Instances!GC23),"min", MIN(Instances!GC23:Instances!GC23),"max", MAX(Instances!GC23:Instances!GC23),"diff", MAX(Instances!GC23:Instances!GC23)-MIN(Instances!GC23:Instances!GC23))</f>
        <v>0</v>
      </c>
      <c r="GD23" s="1" cm="1">
        <f t="array" ref="GD23">_xlfn.SWITCH($A$2,"average", AVERAGE(Instances!GD23:Instances!GD23),"median", MEDIAN(Instances!GD23:Instances!GD23),"min", MIN(Instances!GD23:Instances!GD23),"max", MAX(Instances!GD23:Instances!GD23),"diff", MAX(Instances!GD23:Instances!GD23)-MIN(Instances!GD23:Instances!GD23))</f>
        <v>0</v>
      </c>
      <c r="GE23" s="1" cm="1">
        <f t="array" ref="GE23">_xlfn.SWITCH($A$2,"average", AVERAGE(Instances!GE23:Instances!GE23),"median", MEDIAN(Instances!GE23:Instances!GE23),"min", MIN(Instances!GE23:Instances!GE23),"max", MAX(Instances!GE23:Instances!GE23),"diff", MAX(Instances!GE23:Instances!GE23)-MIN(Instances!GE23:Instances!GE23))</f>
        <v>0</v>
      </c>
      <c r="GF23" s="1" cm="1">
        <f t="array" ref="GF23">_xlfn.SWITCH($A$2,"average", AVERAGE(Instances!GF23:Instances!GF23),"median", MEDIAN(Instances!GF23:Instances!GF23),"min", MIN(Instances!GF23:Instances!GF23),"max", MAX(Instances!GF23:Instances!GF23),"diff", MAX(Instances!GF23:Instances!GF23)-MIN(Instances!GF23:Instances!GF23))</f>
        <v>0</v>
      </c>
      <c r="GG23" s="1" cm="1">
        <f t="array" ref="GG23">_xlfn.SWITCH($A$2,"average", AVERAGE(Instances!GG23:Instances!GG23),"median", MEDIAN(Instances!GG23:Instances!GG23),"min", MIN(Instances!GG23:Instances!GG23),"max", MAX(Instances!GG23:Instances!GG23),"diff", MAX(Instances!GG23:Instances!GG23)-MIN(Instances!GG23:Instances!GG23))</f>
        <v>0</v>
      </c>
      <c r="GH23" s="1" cm="1">
        <f t="array" ref="GH23">_xlfn.SWITCH($A$2,"average", AVERAGE(Instances!GH23:Instances!GH23),"median", MEDIAN(Instances!GH23:Instances!GH23),"min", MIN(Instances!GH23:Instances!GH23),"max", MAX(Instances!GH23:Instances!GH23),"diff", MAX(Instances!GH23:Instances!GH23)-MIN(Instances!GH23:Instances!GH23))</f>
        <v>0</v>
      </c>
      <c r="GI23" s="1" cm="1">
        <f t="array" ref="GI23">_xlfn.SWITCH($A$2,"average", AVERAGE(Instances!GI23:Instances!GI23),"median", MEDIAN(Instances!GI23:Instances!GI23),"min", MIN(Instances!GI23:Instances!GI23),"max", MAX(Instances!GI23:Instances!GI23),"diff", MAX(Instances!GI23:Instances!GI23)-MIN(Instances!GI23:Instances!GI23))</f>
        <v>0</v>
      </c>
      <c r="GJ23" s="1" cm="1">
        <f t="array" ref="GJ23">_xlfn.SWITCH($A$2,"average", AVERAGE(Instances!GJ23:Instances!GJ23),"median", MEDIAN(Instances!GJ23:Instances!GJ23),"min", MIN(Instances!GJ23:Instances!GJ23),"max", MAX(Instances!GJ23:Instances!GJ23),"diff", MAX(Instances!GJ23:Instances!GJ23)-MIN(Instances!GJ23:Instances!GJ23))</f>
        <v>0</v>
      </c>
      <c r="GK23" s="1" cm="1">
        <f t="array" ref="GK23">_xlfn.SWITCH($A$2,"average", AVERAGE(Instances!GK23:Instances!GK23),"median", MEDIAN(Instances!GK23:Instances!GK23),"min", MIN(Instances!GK23:Instances!GK23),"max", MAX(Instances!GK23:Instances!GK23),"diff", MAX(Instances!GK23:Instances!GK23)-MIN(Instances!GK23:Instances!GK23))</f>
        <v>0</v>
      </c>
      <c r="GL23" s="1" cm="1">
        <f t="array" ref="GL23">_xlfn.SWITCH($A$2,"average", AVERAGE(Instances!GL23:Instances!GL23),"median", MEDIAN(Instances!GL23:Instances!GL23),"min", MIN(Instances!GL23:Instances!GL23),"max", MAX(Instances!GL23:Instances!GL23),"diff", MAX(Instances!GL23:Instances!GL23)-MIN(Instances!GL23:Instances!GL23))</f>
        <v>0</v>
      </c>
      <c r="GM23" s="1" cm="1">
        <f t="array" ref="GM23">_xlfn.SWITCH($A$2,"average", AVERAGE(Instances!GM23:Instances!GM23),"median", MEDIAN(Instances!GM23:Instances!GM23),"min", MIN(Instances!GM23:Instances!GM23),"max", MAX(Instances!GM23:Instances!GM23),"diff", MAX(Instances!GM23:Instances!GM23)-MIN(Instances!GM23:Instances!GM23))</f>
        <v>0</v>
      </c>
      <c r="GN23" s="1"/>
      <c r="GO23" s="1" cm="1">
        <f t="array" ref="GO23">_xlfn.SWITCH($A$2,"average", AVERAGE(Instances!GO23:Instances!GO23),"median", MEDIAN(Instances!GO23:Instances!GO23),"min", MIN(Instances!GO23:Instances!GO23),"max", MAX(Instances!GO23:Instances!GO23),"diff", MAX(Instances!GO23:Instances!GO23)-MIN(Instances!GO23:Instances!GO23))</f>
        <v>0</v>
      </c>
      <c r="GP23" s="1" cm="1">
        <f t="array" ref="GP23">_xlfn.SWITCH($A$2,"average", AVERAGE(Instances!GP23:Instances!GP23),"median", MEDIAN(Instances!GP23:Instances!GP23),"min", MIN(Instances!GP23:Instances!GP23),"max", MAX(Instances!GP23:Instances!GP23),"diff", MAX(Instances!GP23:Instances!GP23)-MIN(Instances!GP23:Instances!GP23))</f>
        <v>0</v>
      </c>
      <c r="GQ23" s="1" cm="1">
        <f t="array" ref="GQ23">_xlfn.SWITCH($A$2,"average", AVERAGE(Instances!GQ23:Instances!GQ23),"median", MEDIAN(Instances!GQ23:Instances!GQ23),"min", MIN(Instances!GQ23:Instances!GQ23),"max", MAX(Instances!GQ23:Instances!GQ23),"diff", MAX(Instances!GQ23:Instances!GQ23)-MIN(Instances!GQ23:Instances!GQ23))</f>
        <v>0</v>
      </c>
      <c r="GR23" s="1" cm="1">
        <f t="array" ref="GR23">_xlfn.SWITCH($A$2,"average", AVERAGE(Instances!GR23:Instances!GR23),"median", MEDIAN(Instances!GR23:Instances!GR23),"min", MIN(Instances!GR23:Instances!GR23),"max", MAX(Instances!GR23:Instances!GR23),"diff", MAX(Instances!GR23:Instances!GR23)-MIN(Instances!GR23:Instances!GR23))</f>
        <v>0</v>
      </c>
      <c r="GS23" s="1" cm="1">
        <f t="array" ref="GS23">_xlfn.SWITCH($A$2,"average", AVERAGE(Instances!GS23:Instances!GS23),"median", MEDIAN(Instances!GS23:Instances!GS23),"min", MIN(Instances!GS23:Instances!GS23),"max", MAX(Instances!GS23:Instances!GS23),"diff", MAX(Instances!GS23:Instances!GS23)-MIN(Instances!GS23:Instances!GS23))</f>
        <v>0</v>
      </c>
      <c r="GT23" s="1" cm="1">
        <f t="array" ref="GT23">_xlfn.SWITCH($A$2,"average", AVERAGE(Instances!GT23:Instances!GT23),"median", MEDIAN(Instances!GT23:Instances!GT23),"min", MIN(Instances!GT23:Instances!GT23),"max", MAX(Instances!GT23:Instances!GT23),"diff", MAX(Instances!GT23:Instances!GT23)-MIN(Instances!GT23:Instances!GT23))</f>
        <v>0</v>
      </c>
      <c r="GU23" s="1" cm="1">
        <f t="array" ref="GU23">_xlfn.SWITCH($A$2,"average", AVERAGE(Instances!GU23:Instances!GU23),"median", MEDIAN(Instances!GU23:Instances!GU23),"min", MIN(Instances!GU23:Instances!GU23),"max", MAX(Instances!GU23:Instances!GU23),"diff", MAX(Instances!GU23:Instances!GU23)-MIN(Instances!GU23:Instances!GU23))</f>
        <v>0</v>
      </c>
      <c r="GV23" s="1" cm="1">
        <f t="array" ref="GV23">_xlfn.SWITCH($A$2,"average", AVERAGE(Instances!GV23:Instances!GV23),"median", MEDIAN(Instances!GV23:Instances!GV23),"min", MIN(Instances!GV23:Instances!GV23),"max", MAX(Instances!GV23:Instances!GV23),"diff", MAX(Instances!GV23:Instances!GV23)-MIN(Instances!GV23:Instances!GV23))</f>
        <v>0</v>
      </c>
      <c r="GW23" s="1" cm="1">
        <f t="array" ref="GW23">_xlfn.SWITCH($A$2,"average", AVERAGE(Instances!GW23:Instances!GW23),"median", MEDIAN(Instances!GW23:Instances!GW23),"min", MIN(Instances!GW23:Instances!GW23),"max", MAX(Instances!GW23:Instances!GW23),"diff", MAX(Instances!GW23:Instances!GW23)-MIN(Instances!GW23:Instances!GW23))</f>
        <v>0</v>
      </c>
      <c r="GX23" s="1" cm="1">
        <f t="array" ref="GX23">_xlfn.SWITCH($A$2,"average", AVERAGE(Instances!GX23:Instances!GX23),"median", MEDIAN(Instances!GX23:Instances!GX23),"min", MIN(Instances!GX23:Instances!GX23),"max", MAX(Instances!GX23:Instances!GX23),"diff", MAX(Instances!GX23:Instances!GX23)-MIN(Instances!GX23:Instances!GX23))</f>
        <v>0</v>
      </c>
      <c r="GY23" s="1" cm="1">
        <f t="array" ref="GY23">_xlfn.SWITCH($A$2,"average", AVERAGE(Instances!GY23:Instances!GY23),"median", MEDIAN(Instances!GY23:Instances!GY23),"min", MIN(Instances!GY23:Instances!GY23),"max", MAX(Instances!GY23:Instances!GY23),"diff", MAX(Instances!GY23:Instances!GY23)-MIN(Instances!GY23:Instances!GY23))</f>
        <v>0</v>
      </c>
      <c r="GZ23" s="1" cm="1">
        <f t="array" ref="GZ23">_xlfn.SWITCH($A$2,"average", AVERAGE(Instances!GZ23:Instances!GZ23),"median", MEDIAN(Instances!GZ23:Instances!GZ23),"min", MIN(Instances!GZ23:Instances!GZ23),"max", MAX(Instances!GZ23:Instances!GZ23),"diff", MAX(Instances!GZ23:Instances!GZ23)-MIN(Instances!GZ23:Instances!GZ23))</f>
        <v>0</v>
      </c>
      <c r="HA23" s="1" cm="1">
        <f t="array" ref="HA23">_xlfn.SWITCH($A$2,"average", AVERAGE(Instances!HA23:Instances!HA23),"median", MEDIAN(Instances!HA23:Instances!HA23),"min", MIN(Instances!HA23:Instances!HA23),"max", MAX(Instances!HA23:Instances!HA23),"diff", MAX(Instances!HA23:Instances!HA23)-MIN(Instances!HA23:Instances!HA23))</f>
        <v>0</v>
      </c>
      <c r="HB23" s="1" cm="1">
        <f t="array" ref="HB23">_xlfn.SWITCH($A$2,"average", AVERAGE(Instances!HB23:Instances!HB23),"median", MEDIAN(Instances!HB23:Instances!HB23),"min", MIN(Instances!HB23:Instances!HB23),"max", MAX(Instances!HB23:Instances!HB23),"diff", MAX(Instances!HB23:Instances!HB23)-MIN(Instances!HB23:Instances!HB23))</f>
        <v>0</v>
      </c>
      <c r="HC23" s="1" cm="1">
        <f t="array" ref="HC23">_xlfn.SWITCH($A$2,"average", AVERAGE(Instances!HC23:Instances!HC23),"median", MEDIAN(Instances!HC23:Instances!HC23),"min", MIN(Instances!HC23:Instances!HC23),"max", MAX(Instances!HC23:Instances!HC23),"diff", MAX(Instances!HC23:Instances!HC23)-MIN(Instances!HC23:Instances!HC23))</f>
        <v>0</v>
      </c>
      <c r="HD23" s="1" cm="1">
        <f t="array" ref="HD23">_xlfn.SWITCH($A$2,"average", AVERAGE(Instances!HD23:Instances!HD23),"median", MEDIAN(Instances!HD23:Instances!HD23),"min", MIN(Instances!HD23:Instances!HD23),"max", MAX(Instances!HD23:Instances!HD23),"diff", MAX(Instances!HD23:Instances!HD23)-MIN(Instances!HD23:Instances!HD23))</f>
        <v>0</v>
      </c>
      <c r="HE23" s="1" cm="1">
        <f t="array" ref="HE23">_xlfn.SWITCH($A$2,"average", AVERAGE(Instances!HE23:Instances!HE23),"median", MEDIAN(Instances!HE23:Instances!HE23),"min", MIN(Instances!HE23:Instances!HE23),"max", MAX(Instances!HE23:Instances!HE23),"diff", MAX(Instances!HE23:Instances!HE23)-MIN(Instances!HE23:Instances!HE23))</f>
        <v>0</v>
      </c>
      <c r="HF23" s="1"/>
      <c r="HG23" s="1" cm="1">
        <f t="array" ref="HG23">_xlfn.SWITCH($A$2,"average", AVERAGE(Instances!HG23:Instances!HG23),"median", MEDIAN(Instances!HG23:Instances!HG23),"min", MIN(Instances!HG23:Instances!HG23),"max", MAX(Instances!HG23:Instances!HG23),"diff", MAX(Instances!HG23:Instances!HG23)-MIN(Instances!HG23:Instances!HG23))</f>
        <v>0</v>
      </c>
      <c r="HH23" s="1" cm="1">
        <f t="array" ref="HH23">_xlfn.SWITCH($A$2,"average", AVERAGE(Instances!HH23:Instances!HH23),"median", MEDIAN(Instances!HH23:Instances!HH23),"min", MIN(Instances!HH23:Instances!HH23),"max", MAX(Instances!HH23:Instances!HH23),"diff", MAX(Instances!HH23:Instances!HH23)-MIN(Instances!HH23:Instances!HH23))</f>
        <v>0</v>
      </c>
      <c r="HI23" s="1" cm="1">
        <f t="array" ref="HI23">_xlfn.SWITCH($A$2,"average", AVERAGE(Instances!HI23:Instances!HI23),"median", MEDIAN(Instances!HI23:Instances!HI23),"min", MIN(Instances!HI23:Instances!HI23),"max", MAX(Instances!HI23:Instances!HI23),"diff", MAX(Instances!HI23:Instances!HI23)-MIN(Instances!HI23:Instances!HI23))</f>
        <v>0</v>
      </c>
      <c r="HJ23" s="1" cm="1">
        <f t="array" ref="HJ23">_xlfn.SWITCH($A$2,"average", AVERAGE(Instances!HJ23:Instances!HJ23),"median", MEDIAN(Instances!HJ23:Instances!HJ23),"min", MIN(Instances!HJ23:Instances!HJ23),"max", MAX(Instances!HJ23:Instances!HJ23),"diff", MAX(Instances!HJ23:Instances!HJ23)-MIN(Instances!HJ23:Instances!HJ23))</f>
        <v>0</v>
      </c>
      <c r="HK23" s="1" cm="1">
        <f t="array" ref="HK23">_xlfn.SWITCH($A$2,"average", AVERAGE(Instances!HK23:Instances!HK23),"median", MEDIAN(Instances!HK23:Instances!HK23),"min", MIN(Instances!HK23:Instances!HK23),"max", MAX(Instances!HK23:Instances!HK23),"diff", MAX(Instances!HK23:Instances!HK23)-MIN(Instances!HK23:Instances!HK23))</f>
        <v>0</v>
      </c>
      <c r="HL23" s="1" cm="1">
        <f t="array" ref="HL23">_xlfn.SWITCH($A$2,"average", AVERAGE(Instances!HL23:Instances!HL23),"median", MEDIAN(Instances!HL23:Instances!HL23),"min", MIN(Instances!HL23:Instances!HL23),"max", MAX(Instances!HL23:Instances!HL23),"diff", MAX(Instances!HL23:Instances!HL23)-MIN(Instances!HL23:Instances!HL23))</f>
        <v>0</v>
      </c>
      <c r="HM23" s="1" cm="1">
        <f t="array" ref="HM23">_xlfn.SWITCH($A$2,"average", AVERAGE(Instances!HM23:Instances!HM23),"median", MEDIAN(Instances!HM23:Instances!HM23),"min", MIN(Instances!HM23:Instances!HM23),"max", MAX(Instances!HM23:Instances!HM23),"diff", MAX(Instances!HM23:Instances!HM23)-MIN(Instances!HM23:Instances!HM23))</f>
        <v>0</v>
      </c>
      <c r="HN23" s="1" cm="1">
        <f t="array" ref="HN23">_xlfn.SWITCH($A$2,"average", AVERAGE(Instances!HN23:Instances!HN23),"median", MEDIAN(Instances!HN23:Instances!HN23),"min", MIN(Instances!HN23:Instances!HN23),"max", MAX(Instances!HN23:Instances!HN23),"diff", MAX(Instances!HN23:Instances!HN23)-MIN(Instances!HN23:Instances!HN23))</f>
        <v>0</v>
      </c>
      <c r="HO23" s="1" cm="1">
        <f t="array" ref="HO23">_xlfn.SWITCH($A$2,"average", AVERAGE(Instances!HO23:Instances!HO23),"median", MEDIAN(Instances!HO23:Instances!HO23),"min", MIN(Instances!HO23:Instances!HO23),"max", MAX(Instances!HO23:Instances!HO23),"diff", MAX(Instances!HO23:Instances!HO23)-MIN(Instances!HO23:Instances!HO23))</f>
        <v>0</v>
      </c>
      <c r="HP23" s="1" cm="1">
        <f t="array" ref="HP23">_xlfn.SWITCH($A$2,"average", AVERAGE(Instances!HP23:Instances!HP23),"median", MEDIAN(Instances!HP23:Instances!HP23),"min", MIN(Instances!HP23:Instances!HP23),"max", MAX(Instances!HP23:Instances!HP23),"diff", MAX(Instances!HP23:Instances!HP23)-MIN(Instances!HP23:Instances!HP23))</f>
        <v>0</v>
      </c>
      <c r="HQ23" s="1" cm="1">
        <f t="array" ref="HQ23">_xlfn.SWITCH($A$2,"average", AVERAGE(Instances!HQ23:Instances!HQ23),"median", MEDIAN(Instances!HQ23:Instances!HQ23),"min", MIN(Instances!HQ23:Instances!HQ23),"max", MAX(Instances!HQ23:Instances!HQ23),"diff", MAX(Instances!HQ23:Instances!HQ23)-MIN(Instances!HQ23:Instances!HQ23))</f>
        <v>0</v>
      </c>
      <c r="HR23" s="1" cm="1">
        <f t="array" ref="HR23">_xlfn.SWITCH($A$2,"average", AVERAGE(Instances!HR23:Instances!HR23),"median", MEDIAN(Instances!HR23:Instances!HR23),"min", MIN(Instances!HR23:Instances!HR23),"max", MAX(Instances!HR23:Instances!HR23),"diff", MAX(Instances!HR23:Instances!HR23)-MIN(Instances!HR23:Instances!HR23))</f>
        <v>0</v>
      </c>
      <c r="HS23" s="1" cm="1">
        <f t="array" ref="HS23">_xlfn.SWITCH($A$2,"average", AVERAGE(Instances!HS23:Instances!HS23),"median", MEDIAN(Instances!HS23:Instances!HS23),"min", MIN(Instances!HS23:Instances!HS23),"max", MAX(Instances!HS23:Instances!HS23),"diff", MAX(Instances!HS23:Instances!HS23)-MIN(Instances!HS23:Instances!HS23))</f>
        <v>0</v>
      </c>
      <c r="HT23" s="1" cm="1">
        <f t="array" ref="HT23">_xlfn.SWITCH($A$2,"average", AVERAGE(Instances!HT23:Instances!HT23),"median", MEDIAN(Instances!HT23:Instances!HT23),"min", MIN(Instances!HT23:Instances!HT23),"max", MAX(Instances!HT23:Instances!HT23),"diff", MAX(Instances!HT23:Instances!HT23)-MIN(Instances!HT23:Instances!HT23))</f>
        <v>0</v>
      </c>
      <c r="HU23" s="1" cm="1">
        <f t="array" ref="HU23">_xlfn.SWITCH($A$2,"average", AVERAGE(Instances!HU23:Instances!HU23),"median", MEDIAN(Instances!HU23:Instances!HU23),"min", MIN(Instances!HU23:Instances!HU23),"max", MAX(Instances!HU23:Instances!HU23),"diff", MAX(Instances!HU23:Instances!HU23)-MIN(Instances!HU23:Instances!HU23))</f>
        <v>0</v>
      </c>
      <c r="HV23" s="1" cm="1">
        <f t="array" ref="HV23">_xlfn.SWITCH($A$2,"average", AVERAGE(Instances!HV23:Instances!HV23),"median", MEDIAN(Instances!HV23:Instances!HV23),"min", MIN(Instances!HV23:Instances!HV23),"max", MAX(Instances!HV23:Instances!HV23),"diff", MAX(Instances!HV23:Instances!HV23)-MIN(Instances!HV23:Instances!HV23))</f>
        <v>0</v>
      </c>
      <c r="HW23" s="1" cm="1">
        <f t="array" ref="HW23">_xlfn.SWITCH($A$2,"average", AVERAGE(Instances!HW23:Instances!HW23),"median", MEDIAN(Instances!HW23:Instances!HW23),"min", MIN(Instances!HW23:Instances!HW23),"max", MAX(Instances!HW23:Instances!HW23),"diff", MAX(Instances!HW23:Instances!HW23)-MIN(Instances!HW23:Instances!HW23))</f>
        <v>0</v>
      </c>
      <c r="HX23" s="1"/>
      <c r="HY23" s="1" cm="1">
        <f t="array" ref="HY23">_xlfn.SWITCH($A$2,"average", AVERAGE(Instances!HY23:Instances!HY23),"median", MEDIAN(Instances!HY23:Instances!HY23),"min", MIN(Instances!HY23:Instances!HY23),"max", MAX(Instances!HY23:Instances!HY23),"diff", MAX(Instances!HY23:Instances!HY23)-MIN(Instances!HY23:Instances!HY23))</f>
        <v>0</v>
      </c>
      <c r="HZ23" s="1" cm="1">
        <f t="array" ref="HZ23">_xlfn.SWITCH($A$2,"average", AVERAGE(Instances!HZ23:Instances!HZ23),"median", MEDIAN(Instances!HZ23:Instances!HZ23),"min", MIN(Instances!HZ23:Instances!HZ23),"max", MAX(Instances!HZ23:Instances!HZ23),"diff", MAX(Instances!HZ23:Instances!HZ23)-MIN(Instances!HZ23:Instances!HZ23))</f>
        <v>0</v>
      </c>
      <c r="IA23" s="1" cm="1">
        <f t="array" ref="IA23">_xlfn.SWITCH($A$2,"average", AVERAGE(Instances!IA23:Instances!IA23),"median", MEDIAN(Instances!IA23:Instances!IA23),"min", MIN(Instances!IA23:Instances!IA23),"max", MAX(Instances!IA23:Instances!IA23),"diff", MAX(Instances!IA23:Instances!IA23)-MIN(Instances!IA23:Instances!IA23))</f>
        <v>0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 cm="1">
        <f t="array" ref="JL23">_xlfn.SWITCH($A$2,"average", AVERAGE(Instances!JL23:Instances!JL23),"median", MEDIAN(Instances!JL23:Instances!JL23),"min", MIN(Instances!JL23:Instances!JL23),"max", MAX(Instances!JL23:Instances!JL23),"diff", MAX(Instances!JL23:Instances!JL23)-MIN(Instances!JL23:Instances!JL23))</f>
        <v>0</v>
      </c>
      <c r="JM23" s="1" cm="1">
        <f t="array" ref="JM23">_xlfn.SWITCH($A$2,"average", AVERAGE(Instances!JM23:Instances!JM23),"median", MEDIAN(Instances!JM23:Instances!JM23),"min", MIN(Instances!JM23:Instances!JM23),"max", MAX(Instances!JM23:Instances!JM23),"diff", MAX(Instances!JM23:Instances!JM23)-MIN(Instances!JM23:Instances!JM23))</f>
        <v>0</v>
      </c>
      <c r="JN23" s="1" cm="1">
        <f t="array" ref="JN23">_xlfn.SWITCH($A$2,"average", AVERAGE(Instances!JN23:Instances!JN23),"median", MEDIAN(Instances!JN23:Instances!JN23),"min", MIN(Instances!JN23:Instances!JN23),"max", MAX(Instances!JN23:Instances!JN23),"diff", MAX(Instances!JN23:Instances!JN23)-MIN(Instances!JN23:Instances!JN23))</f>
        <v>0</v>
      </c>
      <c r="JO23" s="1" cm="1">
        <f t="array" ref="JO23">_xlfn.SWITCH($A$2,"average", AVERAGE(Instances!JO23:Instances!JO23),"median", MEDIAN(Instances!JO23:Instances!JO23),"min", MIN(Instances!JO23:Instances!JO23),"max", MAX(Instances!JO23:Instances!JO23),"diff", MAX(Instances!JO23:Instances!JO23)-MIN(Instances!JO23:Instances!JO23))</f>
        <v>0</v>
      </c>
      <c r="JP23" s="1" cm="1">
        <f t="array" ref="JP23">_xlfn.SWITCH($A$2,"average", AVERAGE(Instances!JP23:Instances!JP23),"median", MEDIAN(Instances!JP23:Instances!JP23),"min", MIN(Instances!JP23:Instances!JP23),"max", MAX(Instances!JP23:Instances!JP23),"diff", MAX(Instances!JP23:Instances!JP23)-MIN(Instances!JP23:Instances!JP23))</f>
        <v>0</v>
      </c>
      <c r="JQ23" s="1" cm="1">
        <f t="array" ref="JQ23">_xlfn.SWITCH($A$2,"average", AVERAGE(Instances!JQ23:Instances!JQ23),"median", MEDIAN(Instances!JQ23:Instances!JQ23),"min", MIN(Instances!JQ23:Instances!JQ23),"max", MAX(Instances!JQ23:Instances!JQ23),"diff", MAX(Instances!JQ23:Instances!JQ23)-MIN(Instances!JQ23:Instances!JQ23))</f>
        <v>0</v>
      </c>
      <c r="JR23" s="1" cm="1">
        <f t="array" ref="JR23">_xlfn.SWITCH($A$2,"average", AVERAGE(Instances!JR23:Instances!JR23),"median", MEDIAN(Instances!JR23:Instances!JR23),"min", MIN(Instances!JR23:Instances!JR23),"max", MAX(Instances!JR23:Instances!JR23),"diff", MAX(Instances!JR23:Instances!JR23)-MIN(Instances!JR23:Instances!JR23))</f>
        <v>0</v>
      </c>
      <c r="JS23" s="1" cm="1">
        <f t="array" ref="JS23">_xlfn.SWITCH($A$2,"average", AVERAGE(Instances!JS23:Instances!JS23),"median", MEDIAN(Instances!JS23:Instances!JS23),"min", MIN(Instances!JS23:Instances!JS23),"max", MAX(Instances!JS23:Instances!JS23),"diff", MAX(Instances!JS23:Instances!JS23)-MIN(Instances!JS23:Instances!JS23))</f>
        <v>0</v>
      </c>
      <c r="JT23" s="1" cm="1">
        <f t="array" ref="JT23">_xlfn.SWITCH($A$2,"average", AVERAGE(Instances!JT23:Instances!JT23),"median", MEDIAN(Instances!JT23:Instances!JT23),"min", MIN(Instances!JT23:Instances!JT23),"max", MAX(Instances!JT23:Instances!JT23),"diff", MAX(Instances!JT23:Instances!JT23)-MIN(Instances!JT23:Instances!JT23))</f>
        <v>0</v>
      </c>
      <c r="JU23" s="1" cm="1">
        <f t="array" ref="JU23">_xlfn.SWITCH($A$2,"average", AVERAGE(Instances!JU23:Instances!JU23),"median", MEDIAN(Instances!JU23:Instances!JU23),"min", MIN(Instances!JU23:Instances!JU23),"max", MAX(Instances!JU23:Instances!JU23),"diff", MAX(Instances!JU23:Instances!JU23)-MIN(Instances!JU23:Instances!JU23))</f>
        <v>0</v>
      </c>
      <c r="JV23" s="1" cm="1">
        <f t="array" ref="JV23">_xlfn.SWITCH($A$2,"average", AVERAGE(Instances!JV23:Instances!JV23),"median", MEDIAN(Instances!JV23:Instances!JV23),"min", MIN(Instances!JV23:Instances!JV23),"max", MAX(Instances!JV23:Instances!JV23),"diff", MAX(Instances!JV23:Instances!JV23)-MIN(Instances!JV23:Instances!JV23))</f>
        <v>0</v>
      </c>
      <c r="JW23" s="1" cm="1">
        <f t="array" ref="JW23">_xlfn.SWITCH($A$2,"average", AVERAGE(Instances!JW23:Instances!JW23),"median", MEDIAN(Instances!JW23:Instances!JW23),"min", MIN(Instances!JW23:Instances!JW23),"max", MAX(Instances!JW23:Instances!JW23),"diff", MAX(Instances!JW23:Instances!JW23)-MIN(Instances!JW23:Instances!JW23))</f>
        <v>0</v>
      </c>
      <c r="JX23" s="1" cm="1">
        <f t="array" ref="JX23">_xlfn.SWITCH($A$2,"average", AVERAGE(Instances!JX23:Instances!JX23),"median", MEDIAN(Instances!JX23:Instances!JX23),"min", MIN(Instances!JX23:Instances!JX23),"max", MAX(Instances!JX23:Instances!JX23),"diff", MAX(Instances!JX23:Instances!JX23)-MIN(Instances!JX23:Instances!JX23))</f>
        <v>0</v>
      </c>
      <c r="JY23" s="1" cm="1">
        <f t="array" ref="JY23">_xlfn.SWITCH($A$2,"average", AVERAGE(Instances!JY23:Instances!JY23),"median", MEDIAN(Instances!JY23:Instances!JY23),"min", MIN(Instances!JY23:Instances!JY23),"max", MAX(Instances!JY23:Instances!JY23),"diff", MAX(Instances!JY23:Instances!JY23)-MIN(Instances!JY23:Instances!JY23))</f>
        <v>0</v>
      </c>
      <c r="JZ23" s="1"/>
      <c r="KA23" s="1" cm="1">
        <f t="array" ref="KA23">_xlfn.SWITCH($A$2,"average", AVERAGE(Instances!KA23:Instances!KA23),"median", MEDIAN(Instances!KA23:Instances!KA23),"min", MIN(Instances!KA23:Instances!KA23),"max", MAX(Instances!KA23:Instances!KA23),"diff", MAX(Instances!KA23:Instances!KA23)-MIN(Instances!KA23:Instances!KA23))</f>
        <v>0</v>
      </c>
      <c r="KB23" s="1" cm="1">
        <f t="array" ref="KB23">_xlfn.SWITCH($A$2,"average", AVERAGE(Instances!KB23:Instances!KB23),"median", MEDIAN(Instances!KB23:Instances!KB23),"min", MIN(Instances!KB23:Instances!KB23),"max", MAX(Instances!KB23:Instances!KB23),"diff", MAX(Instances!KB23:Instances!KB23)-MIN(Instances!KB23:Instances!KB23))</f>
        <v>0</v>
      </c>
      <c r="KC23" s="1" cm="1">
        <f t="array" ref="KC23">_xlfn.SWITCH($A$2,"average", AVERAGE(Instances!KC23:Instances!KC23),"median", MEDIAN(Instances!KC23:Instances!KC23),"min", MIN(Instances!KC23:Instances!KC23),"max", MAX(Instances!KC23:Instances!KC23),"diff", MAX(Instances!KC23:Instances!KC23)-MIN(Instances!KC23:Instances!KC23))</f>
        <v>0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 cm="1">
        <f t="array" ref="L24">_xlfn.SWITCH($A$2,"average", AVERAGE(Instances!L24:Instances!L24),"median", MEDIAN(Instances!L24:Instances!L24),"min", MIN(Instances!L24:Instances!L24),"max", MAX(Instances!L24:Instances!L24),"diff", MAX(Instances!L24:Instances!L24)-MIN(Instances!L24:Instances!L24))</f>
        <v>0</v>
      </c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 cm="1">
        <f t="array" ref="O24">_xlfn.SWITCH($A$2,"average", AVERAGE(Instances!O24:Instances!O24),"median", MEDIAN(Instances!O24:Instances!O24),"min", MIN(Instances!O24:Instances!O24),"max", MAX(Instances!O24:Instances!O24),"diff", MAX(Instances!O24:Instances!O24)-MIN(Instances!O24:Instances!O24))</f>
        <v>0</v>
      </c>
      <c r="P24" s="1"/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 cm="1">
        <f t="array" ref="S24">_xlfn.SWITCH($A$2,"average", AVERAGE(Instances!S24:Instances!S24),"median", MEDIAN(Instances!S24:Instances!S24),"min", MIN(Instances!S24:Instances!S24),"max", MAX(Instances!S24:Instances!S24),"diff", MAX(Instances!S24:Instances!S24)-MIN(Instances!S24:Instances!S24))</f>
        <v>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 cm="1">
        <f t="array" ref="AL24">_xlfn.SWITCH($A$2,"average", AVERAGE(Instances!AL24:Instances!AL24),"median", MEDIAN(Instances!AL24:Instances!AL24),"min", MIN(Instances!AL24:Instances!AL24),"max", MAX(Instances!AL24:Instances!AL24),"diff", MAX(Instances!AL24:Instances!AL24)-MIN(Instances!AL24:Instances!AL24))</f>
        <v>0</v>
      </c>
      <c r="AM24" s="1" cm="1">
        <f t="array" ref="AM24">_xlfn.SWITCH($A$2,"average", AVERAGE(Instances!AM24:Instances!AM24),"median", MEDIAN(Instances!AM24:Instances!AM24),"min", MIN(Instances!AM24:Instances!AM24),"max", MAX(Instances!AM24:Instances!AM24),"diff", MAX(Instances!AM24:Instances!AM24)-MIN(Instances!AM24:Instances!AM24))</f>
        <v>0</v>
      </c>
      <c r="AN24" s="1" cm="1">
        <f t="array" ref="AN24">_xlfn.SWITCH($A$2,"average", AVERAGE(Instances!AN24:Instances!AN24),"median", MEDIAN(Instances!AN24:Instances!AN24),"min", MIN(Instances!AN24:Instances!AN24),"max", MAX(Instances!AN24:Instances!AN24),"diff", MAX(Instances!AN24:Instances!AN24)-MIN(Instances!AN24:Instances!AN24))</f>
        <v>0</v>
      </c>
      <c r="AO24" s="1" cm="1">
        <f t="array" ref="AO24">_xlfn.SWITCH($A$2,"average", AVERAGE(Instances!AO24:Instances!AO24),"median", MEDIAN(Instances!AO24:Instances!AO24),"min", MIN(Instances!AO24:Instances!AO24),"max", MAX(Instances!AO24:Instances!AO24),"diff", MAX(Instances!AO24:Instances!AO24)-MIN(Instances!AO24:Instances!AO24))</f>
        <v>0</v>
      </c>
      <c r="AP24" s="1" cm="1">
        <f t="array" ref="AP24">_xlfn.SWITCH($A$2,"average", AVERAGE(Instances!AP24:Instances!AP24),"median", MEDIAN(Instances!AP24:Instances!AP24),"min", MIN(Instances!AP24:Instances!AP24),"max", MAX(Instances!AP24:Instances!AP24),"diff", MAX(Instances!AP24:Instances!AP24)-MIN(Instances!AP24:Instances!AP24))</f>
        <v>0</v>
      </c>
      <c r="AQ24" s="1" cm="1">
        <f t="array" ref="AQ24">_xlfn.SWITCH($A$2,"average", AVERAGE(Instances!AQ24:Instances!AQ24),"median", MEDIAN(Instances!AQ24:Instances!AQ24),"min", MIN(Instances!AQ24:Instances!AQ24),"max", MAX(Instances!AQ24:Instances!AQ24),"diff", MAX(Instances!AQ24:Instances!AQ24)-MIN(Instances!AQ24:Instances!AQ24))</f>
        <v>0</v>
      </c>
      <c r="AR24" s="1" cm="1">
        <f t="array" ref="AR24">_xlfn.SWITCH($A$2,"average", AVERAGE(Instances!AR24:Instances!AR24),"median", MEDIAN(Instances!AR24:Instances!AR24),"min", MIN(Instances!AR24:Instances!AR24),"max", MAX(Instances!AR24:Instances!AR24),"diff", MAX(Instances!AR24:Instances!AR24)-MIN(Instances!AR24:Instances!AR24))</f>
        <v>0</v>
      </c>
      <c r="AS24" s="1" cm="1">
        <f t="array" ref="AS24">_xlfn.SWITCH($A$2,"average", AVERAGE(Instances!AS24:Instances!AS24),"median", MEDIAN(Instances!AS24:Instances!AS24),"min", MIN(Instances!AS24:Instances!AS24),"max", MAX(Instances!AS24:Instances!AS24),"diff", MAX(Instances!AS24:Instances!AS24)-MIN(Instances!AS24:Instances!AS24))</f>
        <v>0</v>
      </c>
      <c r="AT24" s="1" cm="1">
        <f t="array" ref="AT24">_xlfn.SWITCH($A$2,"average", AVERAGE(Instances!AT24:Instances!AT24),"median", MEDIAN(Instances!AT24:Instances!AT24),"min", MIN(Instances!AT24:Instances!AT24),"max", MAX(Instances!AT24:Instances!AT24),"diff", MAX(Instances!AT24:Instances!AT24)-MIN(Instances!AT24:Instances!AT24))</f>
        <v>0</v>
      </c>
      <c r="AU24" s="1" cm="1">
        <f t="array" ref="AU24">_xlfn.SWITCH($A$2,"average", AVERAGE(Instances!AU24:Instances!AU24),"median", MEDIAN(Instances!AU24:Instances!AU24),"min", MIN(Instances!AU24:Instances!AU24),"max", MAX(Instances!AU24:Instances!AU24),"diff", MAX(Instances!AU24:Instances!AU24)-MIN(Instances!AU24:Instances!AU24))</f>
        <v>0</v>
      </c>
      <c r="AV24" s="1" cm="1">
        <f t="array" ref="AV24">_xlfn.SWITCH($A$2,"average", AVERAGE(Instances!AV24:Instances!AV24),"median", MEDIAN(Instances!AV24:Instances!AV24),"min", MIN(Instances!AV24:Instances!AV24),"max", MAX(Instances!AV24:Instances!AV24),"diff", MAX(Instances!AV24:Instances!AV24)-MIN(Instances!AV24:Instances!AV24))</f>
        <v>0</v>
      </c>
      <c r="AW24" s="1" cm="1">
        <f t="array" ref="AW24">_xlfn.SWITCH($A$2,"average", AVERAGE(Instances!AW24:Instances!AW24),"median", MEDIAN(Instances!AW24:Instances!AW24),"min", MIN(Instances!AW24:Instances!AW24),"max", MAX(Instances!AW24:Instances!AW24),"diff", MAX(Instances!AW24:Instances!AW24)-MIN(Instances!AW24:Instances!AW24))</f>
        <v>0</v>
      </c>
      <c r="AX24" s="1" cm="1">
        <f t="array" ref="AX24">_xlfn.SWITCH($A$2,"average", AVERAGE(Instances!AX24:Instances!AX24),"median", MEDIAN(Instances!AX24:Instances!AX24),"min", MIN(Instances!AX24:Instances!AX24),"max", MAX(Instances!AX24:Instances!AX24),"diff", MAX(Instances!AX24:Instances!AX24)-MIN(Instances!AX24:Instances!AX24))</f>
        <v>0</v>
      </c>
      <c r="AY24" s="1" cm="1">
        <f t="array" ref="AY24">_xlfn.SWITCH($A$2,"average", AVERAGE(Instances!AY24:Instances!AY24),"median", MEDIAN(Instances!AY24:Instances!AY24),"min", MIN(Instances!AY24:Instances!AY24),"max", MAX(Instances!AY24:Instances!AY24),"diff", MAX(Instances!AY24:Instances!AY24)-MIN(Instances!AY24:Instances!AY24))</f>
        <v>0</v>
      </c>
      <c r="AZ24" s="1"/>
      <c r="BA24" s="1" cm="1">
        <f t="array" ref="BA24">_xlfn.SWITCH($A$2,"average", AVERAGE(Instances!BA24:Instances!BA24),"median", MEDIAN(Instances!BA24:Instances!BA24),"min", MIN(Instances!BA24:Instances!BA24),"max", MAX(Instances!BA24:Instances!BA24),"diff", MAX(Instances!BA24:Instances!BA24)-MIN(Instances!BA24:Instances!BA24))</f>
        <v>0</v>
      </c>
      <c r="BB24" s="1" cm="1">
        <f t="array" ref="BB24">_xlfn.SWITCH($A$2,"average", AVERAGE(Instances!BB24:Instances!BB24),"median", MEDIAN(Instances!BB24:Instances!BB24),"min", MIN(Instances!BB24:Instances!BB24),"max", MAX(Instances!BB24:Instances!BB24),"diff", MAX(Instances!BB24:Instances!BB24)-MIN(Instances!BB24:Instances!BB24))</f>
        <v>0</v>
      </c>
      <c r="BC24" s="1" cm="1">
        <f t="array" ref="BC24">_xlfn.SWITCH($A$2,"average", AVERAGE(Instances!BC24:Instances!BC24),"median", MEDIAN(Instances!BC24:Instances!BC24),"min", MIN(Instances!BC24:Instances!BC24),"max", MAX(Instances!BC24:Instances!BC24),"diff", MAX(Instances!BC24:Instances!BC24)-MIN(Instances!BC24:Instances!BC24))</f>
        <v>0</v>
      </c>
      <c r="BD24" s="1" cm="1">
        <f t="array" ref="BD24">_xlfn.SWITCH($A$2,"average", AVERAGE(Instances!BD24:Instances!BD24),"median", MEDIAN(Instances!BD24:Instances!BD24),"min", MIN(Instances!BD24:Instances!BD24),"max", MAX(Instances!BD24:Instances!BD24),"diff", MAX(Instances!BD24:Instances!BD24)-MIN(Instances!BD24:Instances!BD24))</f>
        <v>0</v>
      </c>
      <c r="BE24" s="1" cm="1">
        <f t="array" ref="BE24">_xlfn.SWITCH($A$2,"average", AVERAGE(Instances!BE24:Instances!BE24),"median", MEDIAN(Instances!BE24:Instances!BE24),"min", MIN(Instances!BE24:Instances!BE24),"max", MAX(Instances!BE24:Instances!BE24),"diff", MAX(Instances!BE24:Instances!BE24)-MIN(Instances!BE24:Instances!BE24))</f>
        <v>0</v>
      </c>
      <c r="BF24" s="1" cm="1">
        <f t="array" ref="BF24">_xlfn.SWITCH($A$2,"average", AVERAGE(Instances!BF24:Instances!BF24),"median", MEDIAN(Instances!BF24:Instances!BF24),"min", MIN(Instances!BF24:Instances!BF24),"max", MAX(Instances!BF24:Instances!BF24),"diff", MAX(Instances!BF24:Instances!BF24)-MIN(Instances!BF24:Instances!BF24))</f>
        <v>0</v>
      </c>
      <c r="BG24" s="1" cm="1">
        <f t="array" ref="BG24">_xlfn.SWITCH($A$2,"average", AVERAGE(Instances!BG24:Instances!BG24),"median", MEDIAN(Instances!BG24:Instances!BG24),"min", MIN(Instances!BG24:Instances!BG24),"max", MAX(Instances!BG24:Instances!BG24),"diff", MAX(Instances!BG24:Instances!BG24)-MIN(Instances!BG24:Instances!BG24))</f>
        <v>0</v>
      </c>
      <c r="BH24" s="1" cm="1">
        <f t="array" ref="BH24">_xlfn.SWITCH($A$2,"average", AVERAGE(Instances!BH24:Instances!BH24),"median", MEDIAN(Instances!BH24:Instances!BH24),"min", MIN(Instances!BH24:Instances!BH24),"max", MAX(Instances!BH24:Instances!BH24),"diff", MAX(Instances!BH24:Instances!BH24)-MIN(Instances!BH24:Instances!BH24))</f>
        <v>0</v>
      </c>
      <c r="BI24" s="1" cm="1">
        <f t="array" ref="BI24">_xlfn.SWITCH($A$2,"average", AVERAGE(Instances!BI24:Instances!BI24),"median", MEDIAN(Instances!BI24:Instances!BI24),"min", MIN(Instances!BI24:Instances!BI24),"max", MAX(Instances!BI24:Instances!BI24),"diff", MAX(Instances!BI24:Instances!BI24)-MIN(Instances!BI24:Instances!BI24))</f>
        <v>0</v>
      </c>
      <c r="BJ24" s="1" cm="1">
        <f t="array" ref="BJ24">_xlfn.SWITCH($A$2,"average", AVERAGE(Instances!BJ24:Instances!BJ24),"median", MEDIAN(Instances!BJ24:Instances!BJ24),"min", MIN(Instances!BJ24:Instances!BJ24),"max", MAX(Instances!BJ24:Instances!BJ24),"diff", MAX(Instances!BJ24:Instances!BJ24)-MIN(Instances!BJ24:Instances!BJ24))</f>
        <v>0</v>
      </c>
      <c r="BK24" s="1" cm="1">
        <f t="array" ref="BK24">_xlfn.SWITCH($A$2,"average", AVERAGE(Instances!BK24:Instances!BK24),"median", MEDIAN(Instances!BK24:Instances!BK24),"min", MIN(Instances!BK24:Instances!BK24),"max", MAX(Instances!BK24:Instances!BK24),"diff", MAX(Instances!BK24:Instances!BK24)-MIN(Instances!BK24:Instances!BK24))</f>
        <v>0</v>
      </c>
      <c r="BL24" s="1" cm="1">
        <f t="array" ref="BL24">_xlfn.SWITCH($A$2,"average", AVERAGE(Instances!BL24:Instances!BL24),"median", MEDIAN(Instances!BL24:Instances!BL24),"min", MIN(Instances!BL24:Instances!BL24),"max", MAX(Instances!BL24:Instances!BL24),"diff", MAX(Instances!BL24:Instances!BL24)-MIN(Instances!BL24:Instances!BL24))</f>
        <v>0</v>
      </c>
      <c r="BM24" s="1" cm="1">
        <f t="array" ref="BM24">_xlfn.SWITCH($A$2,"average", AVERAGE(Instances!BM24:Instances!BM24),"median", MEDIAN(Instances!BM24:Instances!BM24),"min", MIN(Instances!BM24:Instances!BM24),"max", MAX(Instances!BM24:Instances!BM24),"diff", MAX(Instances!BM24:Instances!BM24)-MIN(Instances!BM24:Instances!BM24))</f>
        <v>0</v>
      </c>
      <c r="BN24" s="1" cm="1">
        <f t="array" ref="BN24">_xlfn.SWITCH($A$2,"average", AVERAGE(Instances!BN24:Instances!BN24),"median", MEDIAN(Instances!BN24:Instances!BN24),"min", MIN(Instances!BN24:Instances!BN24),"max", MAX(Instances!BN24:Instances!BN24),"diff", MAX(Instances!BN24:Instances!BN24)-MIN(Instances!BN24:Instances!BN24))</f>
        <v>0</v>
      </c>
      <c r="BO24" s="1" cm="1">
        <f t="array" ref="BO24">_xlfn.SWITCH($A$2,"average", AVERAGE(Instances!BO24:Instances!BO24),"median", MEDIAN(Instances!BO24:Instances!BO24),"min", MIN(Instances!BO24:Instances!BO24),"max", MAX(Instances!BO24:Instances!BO24),"diff", MAX(Instances!BO24:Instances!BO24)-MIN(Instances!BO24:Instances!BO24))</f>
        <v>0</v>
      </c>
      <c r="BP24" s="1" cm="1">
        <f t="array" ref="BP24">_xlfn.SWITCH($A$2,"average", AVERAGE(Instances!BP24:Instances!BP24),"median", MEDIAN(Instances!BP24:Instances!BP24),"min", MIN(Instances!BP24:Instances!BP24),"max", MAX(Instances!BP24:Instances!BP24),"diff", MAX(Instances!BP24:Instances!BP24)-MIN(Instances!BP24:Instances!BP24))</f>
        <v>0</v>
      </c>
      <c r="BQ24" s="1" cm="1">
        <f t="array" ref="BQ24">_xlfn.SWITCH($A$2,"average", AVERAGE(Instances!BQ24:Instances!BQ24),"median", MEDIAN(Instances!BQ24:Instances!BQ24),"min", MIN(Instances!BQ24:Instances!BQ24),"max", MAX(Instances!BQ24:Instances!BQ24),"diff", MAX(Instances!BQ24:Instances!BQ24)-MIN(Instances!BQ24:Instances!BQ24))</f>
        <v>0</v>
      </c>
      <c r="BR24" s="1"/>
      <c r="BS24" s="1" cm="1">
        <f t="array" ref="BS24">_xlfn.SWITCH($A$2,"average", AVERAGE(Instances!BS24:Instances!BS24),"median", MEDIAN(Instances!BS24:Instances!BS24),"min", MIN(Instances!BS24:Instances!BS24),"max", MAX(Instances!BS24:Instances!BS24),"diff", MAX(Instances!BS24:Instances!BS24)-MIN(Instances!BS24:Instances!BS24))</f>
        <v>0</v>
      </c>
      <c r="BT24" s="1" cm="1">
        <f t="array" ref="BT24">_xlfn.SWITCH($A$2,"average", AVERAGE(Instances!BT24:Instances!BT24),"median", MEDIAN(Instances!BT24:Instances!BT24),"min", MIN(Instances!BT24:Instances!BT24),"max", MAX(Instances!BT24:Instances!BT24),"diff", MAX(Instances!BT24:Instances!BT24)-MIN(Instances!BT24:Instances!BT24))</f>
        <v>0</v>
      </c>
      <c r="BU24" s="1" cm="1">
        <f t="array" ref="BU24">_xlfn.SWITCH($A$2,"average", AVERAGE(Instances!BU24:Instances!BU24),"median", MEDIAN(Instances!BU24:Instances!BU24),"min", MIN(Instances!BU24:Instances!BU24),"max", MAX(Instances!BU24:Instances!BU24),"diff", MAX(Instances!BU24:Instances!BU24)-MIN(Instances!BU24:Instances!BU24))</f>
        <v>0</v>
      </c>
      <c r="BV24" s="1" cm="1">
        <f t="array" ref="BV24">_xlfn.SWITCH($A$2,"average", AVERAGE(Instances!BV24:Instances!BV24),"median", MEDIAN(Instances!BV24:Instances!BV24),"min", MIN(Instances!BV24:Instances!BV24),"max", MAX(Instances!BV24:Instances!BV24),"diff", MAX(Instances!BV24:Instances!BV24)-MIN(Instances!BV24:Instances!BV24))</f>
        <v>0</v>
      </c>
      <c r="BW24" s="1" cm="1">
        <f t="array" ref="BW24">_xlfn.SWITCH($A$2,"average", AVERAGE(Instances!BW24:Instances!BW24),"median", MEDIAN(Instances!BW24:Instances!BW24),"min", MIN(Instances!BW24:Instances!BW24),"max", MAX(Instances!BW24:Instances!BW24),"diff", MAX(Instances!BW24:Instances!BW24)-MIN(Instances!BW24:Instances!BW24))</f>
        <v>0</v>
      </c>
      <c r="BX24" s="1" cm="1">
        <f t="array" ref="BX24">_xlfn.SWITCH($A$2,"average", AVERAGE(Instances!BX24:Instances!BX24),"median", MEDIAN(Instances!BX24:Instances!BX24),"min", MIN(Instances!BX24:Instances!BX24),"max", MAX(Instances!BX24:Instances!BX24),"diff", MAX(Instances!BX24:Instances!BX24)-MIN(Instances!BX24:Instances!BX24))</f>
        <v>0</v>
      </c>
      <c r="BY24" s="1" cm="1">
        <f t="array" ref="BY24">_xlfn.SWITCH($A$2,"average", AVERAGE(Instances!BY24:Instances!BY24),"median", MEDIAN(Instances!BY24:Instances!BY24),"min", MIN(Instances!BY24:Instances!BY24),"max", MAX(Instances!BY24:Instances!BY24),"diff", MAX(Instances!BY24:Instances!BY24)-MIN(Instances!BY24:Instances!BY24))</f>
        <v>0</v>
      </c>
      <c r="BZ24" s="1" cm="1">
        <f t="array" ref="BZ24">_xlfn.SWITCH($A$2,"average", AVERAGE(Instances!BZ24:Instances!BZ24),"median", MEDIAN(Instances!BZ24:Instances!BZ24),"min", MIN(Instances!BZ24:Instances!BZ24),"max", MAX(Instances!BZ24:Instances!BZ24),"diff", MAX(Instances!BZ24:Instances!BZ24)-MIN(Instances!BZ24:Instances!BZ24))</f>
        <v>0</v>
      </c>
      <c r="CA24" s="1" cm="1">
        <f t="array" ref="CA24">_xlfn.SWITCH($A$2,"average", AVERAGE(Instances!CA24:Instances!CA24),"median", MEDIAN(Instances!CA24:Instances!CA24),"min", MIN(Instances!CA24:Instances!CA24),"max", MAX(Instances!CA24:Instances!CA24),"diff", MAX(Instances!CA24:Instances!CA24)-MIN(Instances!CA24:Instances!CA24))</f>
        <v>0</v>
      </c>
      <c r="CB24" s="1" cm="1">
        <f t="array" ref="CB24">_xlfn.SWITCH($A$2,"average", AVERAGE(Instances!CB24:Instances!CB24),"median", MEDIAN(Instances!CB24:Instances!CB24),"min", MIN(Instances!CB24:Instances!CB24),"max", MAX(Instances!CB24:Instances!CB24),"diff", MAX(Instances!CB24:Instances!CB24)-MIN(Instances!CB24:Instances!CB24))</f>
        <v>0</v>
      </c>
      <c r="CC24" s="1" cm="1">
        <f t="array" ref="CC24">_xlfn.SWITCH($A$2,"average", AVERAGE(Instances!CC24:Instances!CC24),"median", MEDIAN(Instances!CC24:Instances!CC24),"min", MIN(Instances!CC24:Instances!CC24),"max", MAX(Instances!CC24:Instances!CC24),"diff", MAX(Instances!CC24:Instances!CC24)-MIN(Instances!CC24:Instances!CC24))</f>
        <v>0</v>
      </c>
      <c r="CD24" s="1" cm="1">
        <f t="array" ref="CD24">_xlfn.SWITCH($A$2,"average", AVERAGE(Instances!CD24:Instances!CD24),"median", MEDIAN(Instances!CD24:Instances!CD24),"min", MIN(Instances!CD24:Instances!CD24),"max", MAX(Instances!CD24:Instances!CD24),"diff", MAX(Instances!CD24:Instances!CD24)-MIN(Instances!CD24:Instances!CD24))</f>
        <v>0</v>
      </c>
      <c r="CE24" s="1" cm="1">
        <f t="array" ref="CE24">_xlfn.SWITCH($A$2,"average", AVERAGE(Instances!CE24:Instances!CE24),"median", MEDIAN(Instances!CE24:Instances!CE24),"min", MIN(Instances!CE24:Instances!CE24),"max", MAX(Instances!CE24:Instances!CE24),"diff", MAX(Instances!CE24:Instances!CE24)-MIN(Instances!CE24:Instances!CE24))</f>
        <v>0</v>
      </c>
      <c r="CF24" s="1" cm="1">
        <f t="array" ref="CF24">_xlfn.SWITCH($A$2,"average", AVERAGE(Instances!CF24:Instances!CF24),"median", MEDIAN(Instances!CF24:Instances!CF24),"min", MIN(Instances!CF24:Instances!CF24),"max", MAX(Instances!CF24:Instances!CF24),"diff", MAX(Instances!CF24:Instances!CF24)-MIN(Instances!CF24:Instances!CF24))</f>
        <v>0</v>
      </c>
      <c r="CG24" s="1" cm="1">
        <f t="array" ref="CG24">_xlfn.SWITCH($A$2,"average", AVERAGE(Instances!CG24:Instances!CG24),"median", MEDIAN(Instances!CG24:Instances!CG24),"min", MIN(Instances!CG24:Instances!CG24),"max", MAX(Instances!CG24:Instances!CG24),"diff", MAX(Instances!CG24:Instances!CG24)-MIN(Instances!CG24:Instances!CG24))</f>
        <v>0</v>
      </c>
      <c r="CH24" s="1" cm="1">
        <f t="array" ref="CH24">_xlfn.SWITCH($A$2,"average", AVERAGE(Instances!CH24:Instances!CH24),"median", MEDIAN(Instances!CH24:Instances!CH24),"min", MIN(Instances!CH24:Instances!CH24),"max", MAX(Instances!CH24:Instances!CH24),"diff", MAX(Instances!CH24:Instances!CH24)-MIN(Instances!CH24:Instances!CH24))</f>
        <v>0</v>
      </c>
      <c r="CI24" s="1" cm="1">
        <f t="array" ref="CI24">_xlfn.SWITCH($A$2,"average", AVERAGE(Instances!CI24:Instances!CI24),"median", MEDIAN(Instances!CI24:Instances!CI24),"min", MIN(Instances!CI24:Instances!CI24),"max", MAX(Instances!CI24:Instances!CI24),"diff", MAX(Instances!CI24:Instances!CI24)-MIN(Instances!CI24:Instances!CI24))</f>
        <v>0</v>
      </c>
      <c r="CJ24" s="1"/>
      <c r="CK24" s="1" cm="1">
        <f t="array" ref="CK24">_xlfn.SWITCH($A$2,"average", AVERAGE(Instances!CK24:Instances!CK24),"median", MEDIAN(Instances!CK24:Instances!CK24),"min", MIN(Instances!CK24:Instances!CK24),"max", MAX(Instances!CK24:Instances!CK24),"diff", MAX(Instances!CK24:Instances!CK24)-MIN(Instances!CK24:Instances!CK24))</f>
        <v>0</v>
      </c>
      <c r="CL24" s="1" cm="1">
        <f t="array" ref="CL24">_xlfn.SWITCH($A$2,"average", AVERAGE(Instances!CL24:Instances!CL24),"median", MEDIAN(Instances!CL24:Instances!CL24),"min", MIN(Instances!CL24:Instances!CL24),"max", MAX(Instances!CL24:Instances!CL24),"diff", MAX(Instances!CL24:Instances!CL24)-MIN(Instances!CL24:Instances!CL24))</f>
        <v>0</v>
      </c>
      <c r="CM24" s="1" cm="1">
        <f t="array" ref="CM24">_xlfn.SWITCH($A$2,"average", AVERAGE(Instances!CM24:Instances!CM24),"median", MEDIAN(Instances!CM24:Instances!CM24),"min", MIN(Instances!CM24:Instances!CM24),"max", MAX(Instances!CM24:Instances!CM24),"diff", MAX(Instances!CM24:Instances!CM24)-MIN(Instances!CM24:Instances!CM24))</f>
        <v>0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 cm="1">
        <f t="array" ref="DX24">_xlfn.SWITCH($A$2,"average", AVERAGE(Instances!DX24:Instances!DX24),"median", MEDIAN(Instances!DX24:Instances!DX24),"min", MIN(Instances!DX24:Instances!DX24),"max", MAX(Instances!DX24:Instances!DX24),"diff", MAX(Instances!DX24:Instances!DX24)-MIN(Instances!DX24:Instances!DX24))</f>
        <v>0</v>
      </c>
      <c r="DY24" s="1" cm="1">
        <f t="array" ref="DY24">_xlfn.SWITCH($A$2,"average", AVERAGE(Instances!DY24:Instances!DY24),"median", MEDIAN(Instances!DY24:Instances!DY24),"min", MIN(Instances!DY24:Instances!DY24),"max", MAX(Instances!DY24:Instances!DY24),"diff", MAX(Instances!DY24:Instances!DY24)-MIN(Instances!DY24:Instances!DY24))</f>
        <v>0</v>
      </c>
      <c r="DZ24" s="1" cm="1">
        <f t="array" ref="DZ24">_xlfn.SWITCH($A$2,"average", AVERAGE(Instances!DZ24:Instances!DZ24),"median", MEDIAN(Instances!DZ24:Instances!DZ24),"min", MIN(Instances!DZ24:Instances!DZ24),"max", MAX(Instances!DZ24:Instances!DZ24),"diff", MAX(Instances!DZ24:Instances!DZ24)-MIN(Instances!DZ24:Instances!DZ24))</f>
        <v>0</v>
      </c>
      <c r="EA24" s="1" cm="1">
        <f t="array" ref="EA24">_xlfn.SWITCH($A$2,"average", AVERAGE(Instances!EA24:Instances!EA24),"median", MEDIAN(Instances!EA24:Instances!EA24),"min", MIN(Instances!EA24:Instances!EA24),"max", MAX(Instances!EA24:Instances!EA24),"diff", MAX(Instances!EA24:Instances!EA24)-MIN(Instances!EA24:Instances!EA24))</f>
        <v>0</v>
      </c>
      <c r="EB24" s="1" cm="1">
        <f t="array" ref="EB24">_xlfn.SWITCH($A$2,"average", AVERAGE(Instances!EB24:Instances!EB24),"median", MEDIAN(Instances!EB24:Instances!EB24),"min", MIN(Instances!EB24:Instances!EB24),"max", MAX(Instances!EB24:Instances!EB24),"diff", MAX(Instances!EB24:Instances!EB24)-MIN(Instances!EB24:Instances!EB24))</f>
        <v>0</v>
      </c>
      <c r="EC24" s="1" cm="1">
        <f t="array" ref="EC24">_xlfn.SWITCH($A$2,"average", AVERAGE(Instances!EC24:Instances!EC24),"median", MEDIAN(Instances!EC24:Instances!EC24),"min", MIN(Instances!EC24:Instances!EC24),"max", MAX(Instances!EC24:Instances!EC24),"diff", MAX(Instances!EC24:Instances!EC24)-MIN(Instances!EC24:Instances!EC24))</f>
        <v>0</v>
      </c>
      <c r="ED24" s="1" cm="1">
        <f t="array" ref="ED24">_xlfn.SWITCH($A$2,"average", AVERAGE(Instances!ED24:Instances!ED24),"median", MEDIAN(Instances!ED24:Instances!ED24),"min", MIN(Instances!ED24:Instances!ED24),"max", MAX(Instances!ED24:Instances!ED24),"diff", MAX(Instances!ED24:Instances!ED24)-MIN(Instances!ED24:Instances!ED24))</f>
        <v>0</v>
      </c>
      <c r="EE24" s="1" cm="1">
        <f t="array" ref="EE24">_xlfn.SWITCH($A$2,"average", AVERAGE(Instances!EE24:Instances!EE24),"median", MEDIAN(Instances!EE24:Instances!EE24),"min", MIN(Instances!EE24:Instances!EE24),"max", MAX(Instances!EE24:Instances!EE24),"diff", MAX(Instances!EE24:Instances!EE24)-MIN(Instances!EE24:Instances!EE24))</f>
        <v>0</v>
      </c>
      <c r="EF24" s="1" cm="1">
        <f t="array" ref="EF24">_xlfn.SWITCH($A$2,"average", AVERAGE(Instances!EF24:Instances!EF24),"median", MEDIAN(Instances!EF24:Instances!EF24),"min", MIN(Instances!EF24:Instances!EF24),"max", MAX(Instances!EF24:Instances!EF24),"diff", MAX(Instances!EF24:Instances!EF24)-MIN(Instances!EF24:Instances!EF24))</f>
        <v>0</v>
      </c>
      <c r="EG24" s="1" cm="1">
        <f t="array" ref="EG24">_xlfn.SWITCH($A$2,"average", AVERAGE(Instances!EG24:Instances!EG24),"median", MEDIAN(Instances!EG24:Instances!EG24),"min", MIN(Instances!EG24:Instances!EG24),"max", MAX(Instances!EG24:Instances!EG24),"diff", MAX(Instances!EG24:Instances!EG24)-MIN(Instances!EG24:Instances!EG24))</f>
        <v>0</v>
      </c>
      <c r="EH24" s="1" cm="1">
        <f t="array" ref="EH24">_xlfn.SWITCH($A$2,"average", AVERAGE(Instances!EH24:Instances!EH24),"median", MEDIAN(Instances!EH24:Instances!EH24),"min", MIN(Instances!EH24:Instances!EH24),"max", MAX(Instances!EH24:Instances!EH24),"diff", MAX(Instances!EH24:Instances!EH24)-MIN(Instances!EH24:Instances!EH24))</f>
        <v>0</v>
      </c>
      <c r="EI24" s="1" cm="1">
        <f t="array" ref="EI24">_xlfn.SWITCH($A$2,"average", AVERAGE(Instances!EI24:Instances!EI24),"median", MEDIAN(Instances!EI24:Instances!EI24),"min", MIN(Instances!EI24:Instances!EI24),"max", MAX(Instances!EI24:Instances!EI24),"diff", MAX(Instances!EI24:Instances!EI24)-MIN(Instances!EI24:Instances!EI24))</f>
        <v>0</v>
      </c>
      <c r="EJ24" s="1" cm="1">
        <f t="array" ref="EJ24">_xlfn.SWITCH($A$2,"average", AVERAGE(Instances!EJ24:Instances!EJ24),"median", MEDIAN(Instances!EJ24:Instances!EJ24),"min", MIN(Instances!EJ24:Instances!EJ24),"max", MAX(Instances!EJ24:Instances!EJ24),"diff", MAX(Instances!EJ24:Instances!EJ24)-MIN(Instances!EJ24:Instances!EJ24))</f>
        <v>0</v>
      </c>
      <c r="EK24" s="1" cm="1">
        <f t="array" ref="EK24">_xlfn.SWITCH($A$2,"average", AVERAGE(Instances!EK24:Instances!EK24),"median", MEDIAN(Instances!EK24:Instances!EK24),"min", MIN(Instances!EK24:Instances!EK24),"max", MAX(Instances!EK24:Instances!EK24),"diff", MAX(Instances!EK24:Instances!EK24)-MIN(Instances!EK24:Instances!EK24))</f>
        <v>0</v>
      </c>
      <c r="EL24" s="1"/>
      <c r="EM24" s="1" cm="1">
        <f t="array" ref="EM24">_xlfn.SWITCH($A$2,"average", AVERAGE(Instances!EM24:Instances!EM24),"median", MEDIAN(Instances!EM24:Instances!EM24),"min", MIN(Instances!EM24:Instances!EM24),"max", MAX(Instances!EM24:Instances!EM24),"diff", MAX(Instances!EM24:Instances!EM24)-MIN(Instances!EM24:Instances!EM24))</f>
        <v>0</v>
      </c>
      <c r="EN24" s="1" cm="1">
        <f t="array" ref="EN24">_xlfn.SWITCH($A$2,"average", AVERAGE(Instances!EN24:Instances!EN24),"median", MEDIAN(Instances!EN24:Instances!EN24),"min", MIN(Instances!EN24:Instances!EN24),"max", MAX(Instances!EN24:Instances!EN24),"diff", MAX(Instances!EN24:Instances!EN24)-MIN(Instances!EN24:Instances!EN24))</f>
        <v>0</v>
      </c>
      <c r="EO24" s="1" cm="1">
        <f t="array" ref="EO24">_xlfn.SWITCH($A$2,"average", AVERAGE(Instances!EO24:Instances!EO24),"median", MEDIAN(Instances!EO24:Instances!EO24),"min", MIN(Instances!EO24:Instances!EO24),"max", MAX(Instances!EO24:Instances!EO24),"diff", MAX(Instances!EO24:Instances!EO24)-MIN(Instances!EO24:Instances!EO24))</f>
        <v>0</v>
      </c>
      <c r="EP24" s="1" cm="1">
        <f t="array" ref="EP24">_xlfn.SWITCH($A$2,"average", AVERAGE(Instances!EP24:Instances!EP24),"median", MEDIAN(Instances!EP24:Instances!EP24),"min", MIN(Instances!EP24:Instances!EP24),"max", MAX(Instances!EP24:Instances!EP24),"diff", MAX(Instances!EP24:Instances!EP24)-MIN(Instances!EP24:Instances!EP24))</f>
        <v>0</v>
      </c>
      <c r="EQ24" s="1" cm="1">
        <f t="array" ref="EQ24">_xlfn.SWITCH($A$2,"average", AVERAGE(Instances!EQ24:Instances!EQ24),"median", MEDIAN(Instances!EQ24:Instances!EQ24),"min", MIN(Instances!EQ24:Instances!EQ24),"max", MAX(Instances!EQ24:Instances!EQ24),"diff", MAX(Instances!EQ24:Instances!EQ24)-MIN(Instances!EQ24:Instances!EQ24))</f>
        <v>0</v>
      </c>
      <c r="ER24" s="1" cm="1">
        <f t="array" ref="ER24">_xlfn.SWITCH($A$2,"average", AVERAGE(Instances!ER24:Instances!ER24),"median", MEDIAN(Instances!ER24:Instances!ER24),"min", MIN(Instances!ER24:Instances!ER24),"max", MAX(Instances!ER24:Instances!ER24),"diff", MAX(Instances!ER24:Instances!ER24)-MIN(Instances!ER24:Instances!ER24))</f>
        <v>0</v>
      </c>
      <c r="ES24" s="1" cm="1">
        <f t="array" ref="ES24">_xlfn.SWITCH($A$2,"average", AVERAGE(Instances!ES24:Instances!ES24),"median", MEDIAN(Instances!ES24:Instances!ES24),"min", MIN(Instances!ES24:Instances!ES24),"max", MAX(Instances!ES24:Instances!ES24),"diff", MAX(Instances!ES24:Instances!ES24)-MIN(Instances!ES24:Instances!ES24))</f>
        <v>0</v>
      </c>
      <c r="ET24" s="1" cm="1">
        <f t="array" ref="ET24">_xlfn.SWITCH($A$2,"average", AVERAGE(Instances!ET24:Instances!ET24),"median", MEDIAN(Instances!ET24:Instances!ET24),"min", MIN(Instances!ET24:Instances!ET24),"max", MAX(Instances!ET24:Instances!ET24),"diff", MAX(Instances!ET24:Instances!ET24)-MIN(Instances!ET24:Instances!ET24))</f>
        <v>0</v>
      </c>
      <c r="EU24" s="1" cm="1">
        <f t="array" ref="EU24">_xlfn.SWITCH($A$2,"average", AVERAGE(Instances!EU24:Instances!EU24),"median", MEDIAN(Instances!EU24:Instances!EU24),"min", MIN(Instances!EU24:Instances!EU24),"max", MAX(Instances!EU24:Instances!EU24),"diff", MAX(Instances!EU24:Instances!EU24)-MIN(Instances!EU24:Instances!EU24))</f>
        <v>0</v>
      </c>
      <c r="EV24" s="1" cm="1">
        <f t="array" ref="EV24">_xlfn.SWITCH($A$2,"average", AVERAGE(Instances!EV24:Instances!EV24),"median", MEDIAN(Instances!EV24:Instances!EV24),"min", MIN(Instances!EV24:Instances!EV24),"max", MAX(Instances!EV24:Instances!EV24),"diff", MAX(Instances!EV24:Instances!EV24)-MIN(Instances!EV24:Instances!EV24))</f>
        <v>0</v>
      </c>
      <c r="EW24" s="1" cm="1">
        <f t="array" ref="EW24">_xlfn.SWITCH($A$2,"average", AVERAGE(Instances!EW24:Instances!EW24),"median", MEDIAN(Instances!EW24:Instances!EW24),"min", MIN(Instances!EW24:Instances!EW24),"max", MAX(Instances!EW24:Instances!EW24),"diff", MAX(Instances!EW24:Instances!EW24)-MIN(Instances!EW24:Instances!EW24))</f>
        <v>0</v>
      </c>
      <c r="EX24" s="1" cm="1">
        <f t="array" ref="EX24">_xlfn.SWITCH($A$2,"average", AVERAGE(Instances!EX24:Instances!EX24),"median", MEDIAN(Instances!EX24:Instances!EX24),"min", MIN(Instances!EX24:Instances!EX24),"max", MAX(Instances!EX24:Instances!EX24),"diff", MAX(Instances!EX24:Instances!EX24)-MIN(Instances!EX24:Instances!EX24))</f>
        <v>0</v>
      </c>
      <c r="EY24" s="1" cm="1">
        <f t="array" ref="EY24">_xlfn.SWITCH($A$2,"average", AVERAGE(Instances!EY24:Instances!EY24),"median", MEDIAN(Instances!EY24:Instances!EY24),"min", MIN(Instances!EY24:Instances!EY24),"max", MAX(Instances!EY24:Instances!EY24),"diff", MAX(Instances!EY24:Instances!EY24)-MIN(Instances!EY24:Instances!EY24))</f>
        <v>0</v>
      </c>
      <c r="EZ24" s="1" cm="1">
        <f t="array" ref="EZ24">_xlfn.SWITCH($A$2,"average", AVERAGE(Instances!EZ24:Instances!EZ24),"median", MEDIAN(Instances!EZ24:Instances!EZ24),"min", MIN(Instances!EZ24:Instances!EZ24),"max", MAX(Instances!EZ24:Instances!EZ24),"diff", MAX(Instances!EZ24:Instances!EZ24)-MIN(Instances!EZ24:Instances!EZ24))</f>
        <v>0</v>
      </c>
      <c r="FA24" s="1" cm="1">
        <f t="array" ref="FA24">_xlfn.SWITCH($A$2,"average", AVERAGE(Instances!FA24:Instances!FA24),"median", MEDIAN(Instances!FA24:Instances!FA24),"min", MIN(Instances!FA24:Instances!FA24),"max", MAX(Instances!FA24:Instances!FA24),"diff", MAX(Instances!FA24:Instances!FA24)-MIN(Instances!FA24:Instances!FA24))</f>
        <v>0</v>
      </c>
      <c r="FB24" s="1" cm="1">
        <f t="array" ref="FB24">_xlfn.SWITCH($A$2,"average", AVERAGE(Instances!FB24:Instances!FB24),"median", MEDIAN(Instances!FB24:Instances!FB24),"min", MIN(Instances!FB24:Instances!FB24),"max", MAX(Instances!FB24:Instances!FB24),"diff", MAX(Instances!FB24:Instances!FB24)-MIN(Instances!FB24:Instances!FB24))</f>
        <v>0</v>
      </c>
      <c r="FC24" s="1" cm="1">
        <f t="array" ref="FC24">_xlfn.SWITCH($A$2,"average", AVERAGE(Instances!FC24:Instances!FC24),"median", MEDIAN(Instances!FC24:Instances!FC24),"min", MIN(Instances!FC24:Instances!FC24),"max", MAX(Instances!FC24:Instances!FC24),"diff", MAX(Instances!FC24:Instances!FC24)-MIN(Instances!FC24:Instances!FC24))</f>
        <v>0</v>
      </c>
      <c r="FD24" s="1"/>
      <c r="FE24" s="1" cm="1">
        <f t="array" ref="FE24">_xlfn.SWITCH($A$2,"average", AVERAGE(Instances!FE24:Instances!FE24),"median", MEDIAN(Instances!FE24:Instances!FE24),"min", MIN(Instances!FE24:Instances!FE24),"max", MAX(Instances!FE24:Instances!FE24),"diff", MAX(Instances!FE24:Instances!FE24)-MIN(Instances!FE24:Instances!FE24))</f>
        <v>0</v>
      </c>
      <c r="FF24" s="1" cm="1">
        <f t="array" ref="FF24">_xlfn.SWITCH($A$2,"average", AVERAGE(Instances!FF24:Instances!FF24),"median", MEDIAN(Instances!FF24:Instances!FF24),"min", MIN(Instances!FF24:Instances!FF24),"max", MAX(Instances!FF24:Instances!FF24),"diff", MAX(Instances!FF24:Instances!FF24)-MIN(Instances!FF24:Instances!FF24))</f>
        <v>0</v>
      </c>
      <c r="FG24" s="1" cm="1">
        <f t="array" ref="FG24">_xlfn.SWITCH($A$2,"average", AVERAGE(Instances!FG24:Instances!FG24),"median", MEDIAN(Instances!FG24:Instances!FG24),"min", MIN(Instances!FG24:Instances!FG24),"max", MAX(Instances!FG24:Instances!FG24),"diff", MAX(Instances!FG24:Instances!FG24)-MIN(Instances!FG24:Instances!FG24))</f>
        <v>0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 cm="1">
        <f t="array" ref="FZ24">_xlfn.SWITCH($A$2,"average", AVERAGE(Instances!FZ24:Instances!FZ24),"median", MEDIAN(Instances!FZ24:Instances!FZ24),"min", MIN(Instances!FZ24:Instances!FZ24),"max", MAX(Instances!FZ24:Instances!FZ24),"diff", MAX(Instances!FZ24:Instances!FZ24)-MIN(Instances!FZ24:Instances!FZ24))</f>
        <v>0</v>
      </c>
      <c r="GA24" s="1" cm="1">
        <f t="array" ref="GA24">_xlfn.SWITCH($A$2,"average", AVERAGE(Instances!GA24:Instances!GA24),"median", MEDIAN(Instances!GA24:Instances!GA24),"min", MIN(Instances!GA24:Instances!GA24),"max", MAX(Instances!GA24:Instances!GA24),"diff", MAX(Instances!GA24:Instances!GA24)-MIN(Instances!GA24:Instances!GA24))</f>
        <v>0</v>
      </c>
      <c r="GB24" s="1" cm="1">
        <f t="array" ref="GB24">_xlfn.SWITCH($A$2,"average", AVERAGE(Instances!GB24:Instances!GB24),"median", MEDIAN(Instances!GB24:Instances!GB24),"min", MIN(Instances!GB24:Instances!GB24),"max", MAX(Instances!GB24:Instances!GB24),"diff", MAX(Instances!GB24:Instances!GB24)-MIN(Instances!GB24:Instances!GB24))</f>
        <v>0</v>
      </c>
      <c r="GC24" s="1" cm="1">
        <f t="array" ref="GC24">_xlfn.SWITCH($A$2,"average", AVERAGE(Instances!GC24:Instances!GC24),"median", MEDIAN(Instances!GC24:Instances!GC24),"min", MIN(Instances!GC24:Instances!GC24),"max", MAX(Instances!GC24:Instances!GC24),"diff", MAX(Instances!GC24:Instances!GC24)-MIN(Instances!GC24:Instances!GC24))</f>
        <v>0</v>
      </c>
      <c r="GD24" s="1" cm="1">
        <f t="array" ref="GD24">_xlfn.SWITCH($A$2,"average", AVERAGE(Instances!GD24:Instances!GD24),"median", MEDIAN(Instances!GD24:Instances!GD24),"min", MIN(Instances!GD24:Instances!GD24),"max", MAX(Instances!GD24:Instances!GD24),"diff", MAX(Instances!GD24:Instances!GD24)-MIN(Instances!GD24:Instances!GD24))</f>
        <v>0</v>
      </c>
      <c r="GE24" s="1" cm="1">
        <f t="array" ref="GE24">_xlfn.SWITCH($A$2,"average", AVERAGE(Instances!GE24:Instances!GE24),"median", MEDIAN(Instances!GE24:Instances!GE24),"min", MIN(Instances!GE24:Instances!GE24),"max", MAX(Instances!GE24:Instances!GE24),"diff", MAX(Instances!GE24:Instances!GE24)-MIN(Instances!GE24:Instances!GE24))</f>
        <v>0</v>
      </c>
      <c r="GF24" s="1" cm="1">
        <f t="array" ref="GF24">_xlfn.SWITCH($A$2,"average", AVERAGE(Instances!GF24:Instances!GF24),"median", MEDIAN(Instances!GF24:Instances!GF24),"min", MIN(Instances!GF24:Instances!GF24),"max", MAX(Instances!GF24:Instances!GF24),"diff", MAX(Instances!GF24:Instances!GF24)-MIN(Instances!GF24:Instances!GF24))</f>
        <v>0</v>
      </c>
      <c r="GG24" s="1" cm="1">
        <f t="array" ref="GG24">_xlfn.SWITCH($A$2,"average", AVERAGE(Instances!GG24:Instances!GG24),"median", MEDIAN(Instances!GG24:Instances!GG24),"min", MIN(Instances!GG24:Instances!GG24),"max", MAX(Instances!GG24:Instances!GG24),"diff", MAX(Instances!GG24:Instances!GG24)-MIN(Instances!GG24:Instances!GG24))</f>
        <v>0</v>
      </c>
      <c r="GH24" s="1" cm="1">
        <f t="array" ref="GH24">_xlfn.SWITCH($A$2,"average", AVERAGE(Instances!GH24:Instances!GH24),"median", MEDIAN(Instances!GH24:Instances!GH24),"min", MIN(Instances!GH24:Instances!GH24),"max", MAX(Instances!GH24:Instances!GH24),"diff", MAX(Instances!GH24:Instances!GH24)-MIN(Instances!GH24:Instances!GH24))</f>
        <v>0</v>
      </c>
      <c r="GI24" s="1" cm="1">
        <f t="array" ref="GI24">_xlfn.SWITCH($A$2,"average", AVERAGE(Instances!GI24:Instances!GI24),"median", MEDIAN(Instances!GI24:Instances!GI24),"min", MIN(Instances!GI24:Instances!GI24),"max", MAX(Instances!GI24:Instances!GI24),"diff", MAX(Instances!GI24:Instances!GI24)-MIN(Instances!GI24:Instances!GI24))</f>
        <v>0</v>
      </c>
      <c r="GJ24" s="1" cm="1">
        <f t="array" ref="GJ24">_xlfn.SWITCH($A$2,"average", AVERAGE(Instances!GJ24:Instances!GJ24),"median", MEDIAN(Instances!GJ24:Instances!GJ24),"min", MIN(Instances!GJ24:Instances!GJ24),"max", MAX(Instances!GJ24:Instances!GJ24),"diff", MAX(Instances!GJ24:Instances!GJ24)-MIN(Instances!GJ24:Instances!GJ24))</f>
        <v>0</v>
      </c>
      <c r="GK24" s="1" cm="1">
        <f t="array" ref="GK24">_xlfn.SWITCH($A$2,"average", AVERAGE(Instances!GK24:Instances!GK24),"median", MEDIAN(Instances!GK24:Instances!GK24),"min", MIN(Instances!GK24:Instances!GK24),"max", MAX(Instances!GK24:Instances!GK24),"diff", MAX(Instances!GK24:Instances!GK24)-MIN(Instances!GK24:Instances!GK24))</f>
        <v>0</v>
      </c>
      <c r="GL24" s="1" cm="1">
        <f t="array" ref="GL24">_xlfn.SWITCH($A$2,"average", AVERAGE(Instances!GL24:Instances!GL24),"median", MEDIAN(Instances!GL24:Instances!GL24),"min", MIN(Instances!GL24:Instances!GL24),"max", MAX(Instances!GL24:Instances!GL24),"diff", MAX(Instances!GL24:Instances!GL24)-MIN(Instances!GL24:Instances!GL24))</f>
        <v>0</v>
      </c>
      <c r="GM24" s="1" cm="1">
        <f t="array" ref="GM24">_xlfn.SWITCH($A$2,"average", AVERAGE(Instances!GM24:Instances!GM24),"median", MEDIAN(Instances!GM24:Instances!GM24),"min", MIN(Instances!GM24:Instances!GM24),"max", MAX(Instances!GM24:Instances!GM24),"diff", MAX(Instances!GM24:Instances!GM24)-MIN(Instances!GM24:Instances!GM24))</f>
        <v>0</v>
      </c>
      <c r="GN24" s="1"/>
      <c r="GO24" s="1" cm="1">
        <f t="array" ref="GO24">_xlfn.SWITCH($A$2,"average", AVERAGE(Instances!GO24:Instances!GO24),"median", MEDIAN(Instances!GO24:Instances!GO24),"min", MIN(Instances!GO24:Instances!GO24),"max", MAX(Instances!GO24:Instances!GO24),"diff", MAX(Instances!GO24:Instances!GO24)-MIN(Instances!GO24:Instances!GO24))</f>
        <v>0</v>
      </c>
      <c r="GP24" s="1" cm="1">
        <f t="array" ref="GP24">_xlfn.SWITCH($A$2,"average", AVERAGE(Instances!GP24:Instances!GP24),"median", MEDIAN(Instances!GP24:Instances!GP24),"min", MIN(Instances!GP24:Instances!GP24),"max", MAX(Instances!GP24:Instances!GP24),"diff", MAX(Instances!GP24:Instances!GP24)-MIN(Instances!GP24:Instances!GP24))</f>
        <v>0</v>
      </c>
      <c r="GQ24" s="1" cm="1">
        <f t="array" ref="GQ24">_xlfn.SWITCH($A$2,"average", AVERAGE(Instances!GQ24:Instances!GQ24),"median", MEDIAN(Instances!GQ24:Instances!GQ24),"min", MIN(Instances!GQ24:Instances!GQ24),"max", MAX(Instances!GQ24:Instances!GQ24),"diff", MAX(Instances!GQ24:Instances!GQ24)-MIN(Instances!GQ24:Instances!GQ24))</f>
        <v>0</v>
      </c>
      <c r="GR24" s="1" cm="1">
        <f t="array" ref="GR24">_xlfn.SWITCH($A$2,"average", AVERAGE(Instances!GR24:Instances!GR24),"median", MEDIAN(Instances!GR24:Instances!GR24),"min", MIN(Instances!GR24:Instances!GR24),"max", MAX(Instances!GR24:Instances!GR24),"diff", MAX(Instances!GR24:Instances!GR24)-MIN(Instances!GR24:Instances!GR24))</f>
        <v>0</v>
      </c>
      <c r="GS24" s="1" cm="1">
        <f t="array" ref="GS24">_xlfn.SWITCH($A$2,"average", AVERAGE(Instances!GS24:Instances!GS24),"median", MEDIAN(Instances!GS24:Instances!GS24),"min", MIN(Instances!GS24:Instances!GS24),"max", MAX(Instances!GS24:Instances!GS24),"diff", MAX(Instances!GS24:Instances!GS24)-MIN(Instances!GS24:Instances!GS24))</f>
        <v>0</v>
      </c>
      <c r="GT24" s="1" cm="1">
        <f t="array" ref="GT24">_xlfn.SWITCH($A$2,"average", AVERAGE(Instances!GT24:Instances!GT24),"median", MEDIAN(Instances!GT24:Instances!GT24),"min", MIN(Instances!GT24:Instances!GT24),"max", MAX(Instances!GT24:Instances!GT24),"diff", MAX(Instances!GT24:Instances!GT24)-MIN(Instances!GT24:Instances!GT24))</f>
        <v>0</v>
      </c>
      <c r="GU24" s="1" cm="1">
        <f t="array" ref="GU24">_xlfn.SWITCH($A$2,"average", AVERAGE(Instances!GU24:Instances!GU24),"median", MEDIAN(Instances!GU24:Instances!GU24),"min", MIN(Instances!GU24:Instances!GU24),"max", MAX(Instances!GU24:Instances!GU24),"diff", MAX(Instances!GU24:Instances!GU24)-MIN(Instances!GU24:Instances!GU24))</f>
        <v>0</v>
      </c>
      <c r="GV24" s="1" cm="1">
        <f t="array" ref="GV24">_xlfn.SWITCH($A$2,"average", AVERAGE(Instances!GV24:Instances!GV24),"median", MEDIAN(Instances!GV24:Instances!GV24),"min", MIN(Instances!GV24:Instances!GV24),"max", MAX(Instances!GV24:Instances!GV24),"diff", MAX(Instances!GV24:Instances!GV24)-MIN(Instances!GV24:Instances!GV24))</f>
        <v>0</v>
      </c>
      <c r="GW24" s="1" cm="1">
        <f t="array" ref="GW24">_xlfn.SWITCH($A$2,"average", AVERAGE(Instances!GW24:Instances!GW24),"median", MEDIAN(Instances!GW24:Instances!GW24),"min", MIN(Instances!GW24:Instances!GW24),"max", MAX(Instances!GW24:Instances!GW24),"diff", MAX(Instances!GW24:Instances!GW24)-MIN(Instances!GW24:Instances!GW24))</f>
        <v>0</v>
      </c>
      <c r="GX24" s="1" cm="1">
        <f t="array" ref="GX24">_xlfn.SWITCH($A$2,"average", AVERAGE(Instances!GX24:Instances!GX24),"median", MEDIAN(Instances!GX24:Instances!GX24),"min", MIN(Instances!GX24:Instances!GX24),"max", MAX(Instances!GX24:Instances!GX24),"diff", MAX(Instances!GX24:Instances!GX24)-MIN(Instances!GX24:Instances!GX24))</f>
        <v>0</v>
      </c>
      <c r="GY24" s="1" cm="1">
        <f t="array" ref="GY24">_xlfn.SWITCH($A$2,"average", AVERAGE(Instances!GY24:Instances!GY24),"median", MEDIAN(Instances!GY24:Instances!GY24),"min", MIN(Instances!GY24:Instances!GY24),"max", MAX(Instances!GY24:Instances!GY24),"diff", MAX(Instances!GY24:Instances!GY24)-MIN(Instances!GY24:Instances!GY24))</f>
        <v>0</v>
      </c>
      <c r="GZ24" s="1" cm="1">
        <f t="array" ref="GZ24">_xlfn.SWITCH($A$2,"average", AVERAGE(Instances!GZ24:Instances!GZ24),"median", MEDIAN(Instances!GZ24:Instances!GZ24),"min", MIN(Instances!GZ24:Instances!GZ24),"max", MAX(Instances!GZ24:Instances!GZ24),"diff", MAX(Instances!GZ24:Instances!GZ24)-MIN(Instances!GZ24:Instances!GZ24))</f>
        <v>0</v>
      </c>
      <c r="HA24" s="1" cm="1">
        <f t="array" ref="HA24">_xlfn.SWITCH($A$2,"average", AVERAGE(Instances!HA24:Instances!HA24),"median", MEDIAN(Instances!HA24:Instances!HA24),"min", MIN(Instances!HA24:Instances!HA24),"max", MAX(Instances!HA24:Instances!HA24),"diff", MAX(Instances!HA24:Instances!HA24)-MIN(Instances!HA24:Instances!HA24))</f>
        <v>0</v>
      </c>
      <c r="HB24" s="1" cm="1">
        <f t="array" ref="HB24">_xlfn.SWITCH($A$2,"average", AVERAGE(Instances!HB24:Instances!HB24),"median", MEDIAN(Instances!HB24:Instances!HB24),"min", MIN(Instances!HB24:Instances!HB24),"max", MAX(Instances!HB24:Instances!HB24),"diff", MAX(Instances!HB24:Instances!HB24)-MIN(Instances!HB24:Instances!HB24))</f>
        <v>0</v>
      </c>
      <c r="HC24" s="1" cm="1">
        <f t="array" ref="HC24">_xlfn.SWITCH($A$2,"average", AVERAGE(Instances!HC24:Instances!HC24),"median", MEDIAN(Instances!HC24:Instances!HC24),"min", MIN(Instances!HC24:Instances!HC24),"max", MAX(Instances!HC24:Instances!HC24),"diff", MAX(Instances!HC24:Instances!HC24)-MIN(Instances!HC24:Instances!HC24))</f>
        <v>0</v>
      </c>
      <c r="HD24" s="1" cm="1">
        <f t="array" ref="HD24">_xlfn.SWITCH($A$2,"average", AVERAGE(Instances!HD24:Instances!HD24),"median", MEDIAN(Instances!HD24:Instances!HD24),"min", MIN(Instances!HD24:Instances!HD24),"max", MAX(Instances!HD24:Instances!HD24),"diff", MAX(Instances!HD24:Instances!HD24)-MIN(Instances!HD24:Instances!HD24))</f>
        <v>0</v>
      </c>
      <c r="HE24" s="1" cm="1">
        <f t="array" ref="HE24">_xlfn.SWITCH($A$2,"average", AVERAGE(Instances!HE24:Instances!HE24),"median", MEDIAN(Instances!HE24:Instances!HE24),"min", MIN(Instances!HE24:Instances!HE24),"max", MAX(Instances!HE24:Instances!HE24),"diff", MAX(Instances!HE24:Instances!HE24)-MIN(Instances!HE24:Instances!HE24))</f>
        <v>0</v>
      </c>
      <c r="HF24" s="1"/>
      <c r="HG24" s="1" cm="1">
        <f t="array" ref="HG24">_xlfn.SWITCH($A$2,"average", AVERAGE(Instances!HG24:Instances!HG24),"median", MEDIAN(Instances!HG24:Instances!HG24),"min", MIN(Instances!HG24:Instances!HG24),"max", MAX(Instances!HG24:Instances!HG24),"diff", MAX(Instances!HG24:Instances!HG24)-MIN(Instances!HG24:Instances!HG24))</f>
        <v>0</v>
      </c>
      <c r="HH24" s="1" cm="1">
        <f t="array" ref="HH24">_xlfn.SWITCH($A$2,"average", AVERAGE(Instances!HH24:Instances!HH24),"median", MEDIAN(Instances!HH24:Instances!HH24),"min", MIN(Instances!HH24:Instances!HH24),"max", MAX(Instances!HH24:Instances!HH24),"diff", MAX(Instances!HH24:Instances!HH24)-MIN(Instances!HH24:Instances!HH24))</f>
        <v>0</v>
      </c>
      <c r="HI24" s="1" cm="1">
        <f t="array" ref="HI24">_xlfn.SWITCH($A$2,"average", AVERAGE(Instances!HI24:Instances!HI24),"median", MEDIAN(Instances!HI24:Instances!HI24),"min", MIN(Instances!HI24:Instances!HI24),"max", MAX(Instances!HI24:Instances!HI24),"diff", MAX(Instances!HI24:Instances!HI24)-MIN(Instances!HI24:Instances!HI24))</f>
        <v>0</v>
      </c>
      <c r="HJ24" s="1" cm="1">
        <f t="array" ref="HJ24">_xlfn.SWITCH($A$2,"average", AVERAGE(Instances!HJ24:Instances!HJ24),"median", MEDIAN(Instances!HJ24:Instances!HJ24),"min", MIN(Instances!HJ24:Instances!HJ24),"max", MAX(Instances!HJ24:Instances!HJ24),"diff", MAX(Instances!HJ24:Instances!HJ24)-MIN(Instances!HJ24:Instances!HJ24))</f>
        <v>0</v>
      </c>
      <c r="HK24" s="1" cm="1">
        <f t="array" ref="HK24">_xlfn.SWITCH($A$2,"average", AVERAGE(Instances!HK24:Instances!HK24),"median", MEDIAN(Instances!HK24:Instances!HK24),"min", MIN(Instances!HK24:Instances!HK24),"max", MAX(Instances!HK24:Instances!HK24),"diff", MAX(Instances!HK24:Instances!HK24)-MIN(Instances!HK24:Instances!HK24))</f>
        <v>0</v>
      </c>
      <c r="HL24" s="1" cm="1">
        <f t="array" ref="HL24">_xlfn.SWITCH($A$2,"average", AVERAGE(Instances!HL24:Instances!HL24),"median", MEDIAN(Instances!HL24:Instances!HL24),"min", MIN(Instances!HL24:Instances!HL24),"max", MAX(Instances!HL24:Instances!HL24),"diff", MAX(Instances!HL24:Instances!HL24)-MIN(Instances!HL24:Instances!HL24))</f>
        <v>0</v>
      </c>
      <c r="HM24" s="1" cm="1">
        <f t="array" ref="HM24">_xlfn.SWITCH($A$2,"average", AVERAGE(Instances!HM24:Instances!HM24),"median", MEDIAN(Instances!HM24:Instances!HM24),"min", MIN(Instances!HM24:Instances!HM24),"max", MAX(Instances!HM24:Instances!HM24),"diff", MAX(Instances!HM24:Instances!HM24)-MIN(Instances!HM24:Instances!HM24))</f>
        <v>0</v>
      </c>
      <c r="HN24" s="1" cm="1">
        <f t="array" ref="HN24">_xlfn.SWITCH($A$2,"average", AVERAGE(Instances!HN24:Instances!HN24),"median", MEDIAN(Instances!HN24:Instances!HN24),"min", MIN(Instances!HN24:Instances!HN24),"max", MAX(Instances!HN24:Instances!HN24),"diff", MAX(Instances!HN24:Instances!HN24)-MIN(Instances!HN24:Instances!HN24))</f>
        <v>0</v>
      </c>
      <c r="HO24" s="1" cm="1">
        <f t="array" ref="HO24">_xlfn.SWITCH($A$2,"average", AVERAGE(Instances!HO24:Instances!HO24),"median", MEDIAN(Instances!HO24:Instances!HO24),"min", MIN(Instances!HO24:Instances!HO24),"max", MAX(Instances!HO24:Instances!HO24),"diff", MAX(Instances!HO24:Instances!HO24)-MIN(Instances!HO24:Instances!HO24))</f>
        <v>0</v>
      </c>
      <c r="HP24" s="1" cm="1">
        <f t="array" ref="HP24">_xlfn.SWITCH($A$2,"average", AVERAGE(Instances!HP24:Instances!HP24),"median", MEDIAN(Instances!HP24:Instances!HP24),"min", MIN(Instances!HP24:Instances!HP24),"max", MAX(Instances!HP24:Instances!HP24),"diff", MAX(Instances!HP24:Instances!HP24)-MIN(Instances!HP24:Instances!HP24))</f>
        <v>0</v>
      </c>
      <c r="HQ24" s="1" cm="1">
        <f t="array" ref="HQ24">_xlfn.SWITCH($A$2,"average", AVERAGE(Instances!HQ24:Instances!HQ24),"median", MEDIAN(Instances!HQ24:Instances!HQ24),"min", MIN(Instances!HQ24:Instances!HQ24),"max", MAX(Instances!HQ24:Instances!HQ24),"diff", MAX(Instances!HQ24:Instances!HQ24)-MIN(Instances!HQ24:Instances!HQ24))</f>
        <v>0</v>
      </c>
      <c r="HR24" s="1" cm="1">
        <f t="array" ref="HR24">_xlfn.SWITCH($A$2,"average", AVERAGE(Instances!HR24:Instances!HR24),"median", MEDIAN(Instances!HR24:Instances!HR24),"min", MIN(Instances!HR24:Instances!HR24),"max", MAX(Instances!HR24:Instances!HR24),"diff", MAX(Instances!HR24:Instances!HR24)-MIN(Instances!HR24:Instances!HR24))</f>
        <v>0</v>
      </c>
      <c r="HS24" s="1" cm="1">
        <f t="array" ref="HS24">_xlfn.SWITCH($A$2,"average", AVERAGE(Instances!HS24:Instances!HS24),"median", MEDIAN(Instances!HS24:Instances!HS24),"min", MIN(Instances!HS24:Instances!HS24),"max", MAX(Instances!HS24:Instances!HS24),"diff", MAX(Instances!HS24:Instances!HS24)-MIN(Instances!HS24:Instances!HS24))</f>
        <v>0</v>
      </c>
      <c r="HT24" s="1" cm="1">
        <f t="array" ref="HT24">_xlfn.SWITCH($A$2,"average", AVERAGE(Instances!HT24:Instances!HT24),"median", MEDIAN(Instances!HT24:Instances!HT24),"min", MIN(Instances!HT24:Instances!HT24),"max", MAX(Instances!HT24:Instances!HT24),"diff", MAX(Instances!HT24:Instances!HT24)-MIN(Instances!HT24:Instances!HT24))</f>
        <v>0</v>
      </c>
      <c r="HU24" s="1" cm="1">
        <f t="array" ref="HU24">_xlfn.SWITCH($A$2,"average", AVERAGE(Instances!HU24:Instances!HU24),"median", MEDIAN(Instances!HU24:Instances!HU24),"min", MIN(Instances!HU24:Instances!HU24),"max", MAX(Instances!HU24:Instances!HU24),"diff", MAX(Instances!HU24:Instances!HU24)-MIN(Instances!HU24:Instances!HU24))</f>
        <v>0</v>
      </c>
      <c r="HV24" s="1" cm="1">
        <f t="array" ref="HV24">_xlfn.SWITCH($A$2,"average", AVERAGE(Instances!HV24:Instances!HV24),"median", MEDIAN(Instances!HV24:Instances!HV24),"min", MIN(Instances!HV24:Instances!HV24),"max", MAX(Instances!HV24:Instances!HV24),"diff", MAX(Instances!HV24:Instances!HV24)-MIN(Instances!HV24:Instances!HV24))</f>
        <v>0</v>
      </c>
      <c r="HW24" s="1" cm="1">
        <f t="array" ref="HW24">_xlfn.SWITCH($A$2,"average", AVERAGE(Instances!HW24:Instances!HW24),"median", MEDIAN(Instances!HW24:Instances!HW24),"min", MIN(Instances!HW24:Instances!HW24),"max", MAX(Instances!HW24:Instances!HW24),"diff", MAX(Instances!HW24:Instances!HW24)-MIN(Instances!HW24:Instances!HW24))</f>
        <v>0</v>
      </c>
      <c r="HX24" s="1"/>
      <c r="HY24" s="1" cm="1">
        <f t="array" ref="HY24">_xlfn.SWITCH($A$2,"average", AVERAGE(Instances!HY24:Instances!HY24),"median", MEDIAN(Instances!HY24:Instances!HY24),"min", MIN(Instances!HY24:Instances!HY24),"max", MAX(Instances!HY24:Instances!HY24),"diff", MAX(Instances!HY24:Instances!HY24)-MIN(Instances!HY24:Instances!HY24))</f>
        <v>0</v>
      </c>
      <c r="HZ24" s="1" cm="1">
        <f t="array" ref="HZ24">_xlfn.SWITCH($A$2,"average", AVERAGE(Instances!HZ24:Instances!HZ24),"median", MEDIAN(Instances!HZ24:Instances!HZ24),"min", MIN(Instances!HZ24:Instances!HZ24),"max", MAX(Instances!HZ24:Instances!HZ24),"diff", MAX(Instances!HZ24:Instances!HZ24)-MIN(Instances!HZ24:Instances!HZ24))</f>
        <v>0</v>
      </c>
      <c r="IA24" s="1" cm="1">
        <f t="array" ref="IA24">_xlfn.SWITCH($A$2,"average", AVERAGE(Instances!IA24:Instances!IA24),"median", MEDIAN(Instances!IA24:Instances!IA24),"min", MIN(Instances!IA24:Instances!IA24),"max", MAX(Instances!IA24:Instances!IA24),"diff", MAX(Instances!IA24:Instances!IA24)-MIN(Instances!IA24:Instances!IA24))</f>
        <v>0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 cm="1">
        <f t="array" ref="JL24">_xlfn.SWITCH($A$2,"average", AVERAGE(Instances!JL24:Instances!JL24),"median", MEDIAN(Instances!JL24:Instances!JL24),"min", MIN(Instances!JL24:Instances!JL24),"max", MAX(Instances!JL24:Instances!JL24),"diff", MAX(Instances!JL24:Instances!JL24)-MIN(Instances!JL24:Instances!JL24))</f>
        <v>0</v>
      </c>
      <c r="JM24" s="1" cm="1">
        <f t="array" ref="JM24">_xlfn.SWITCH($A$2,"average", AVERAGE(Instances!JM24:Instances!JM24),"median", MEDIAN(Instances!JM24:Instances!JM24),"min", MIN(Instances!JM24:Instances!JM24),"max", MAX(Instances!JM24:Instances!JM24),"diff", MAX(Instances!JM24:Instances!JM24)-MIN(Instances!JM24:Instances!JM24))</f>
        <v>0</v>
      </c>
      <c r="JN24" s="1" cm="1">
        <f t="array" ref="JN24">_xlfn.SWITCH($A$2,"average", AVERAGE(Instances!JN24:Instances!JN24),"median", MEDIAN(Instances!JN24:Instances!JN24),"min", MIN(Instances!JN24:Instances!JN24),"max", MAX(Instances!JN24:Instances!JN24),"diff", MAX(Instances!JN24:Instances!JN24)-MIN(Instances!JN24:Instances!JN24))</f>
        <v>0</v>
      </c>
      <c r="JO24" s="1" cm="1">
        <f t="array" ref="JO24">_xlfn.SWITCH($A$2,"average", AVERAGE(Instances!JO24:Instances!JO24),"median", MEDIAN(Instances!JO24:Instances!JO24),"min", MIN(Instances!JO24:Instances!JO24),"max", MAX(Instances!JO24:Instances!JO24),"diff", MAX(Instances!JO24:Instances!JO24)-MIN(Instances!JO24:Instances!JO24))</f>
        <v>0</v>
      </c>
      <c r="JP24" s="1" cm="1">
        <f t="array" ref="JP24">_xlfn.SWITCH($A$2,"average", AVERAGE(Instances!JP24:Instances!JP24),"median", MEDIAN(Instances!JP24:Instances!JP24),"min", MIN(Instances!JP24:Instances!JP24),"max", MAX(Instances!JP24:Instances!JP24),"diff", MAX(Instances!JP24:Instances!JP24)-MIN(Instances!JP24:Instances!JP24))</f>
        <v>0</v>
      </c>
      <c r="JQ24" s="1" cm="1">
        <f t="array" ref="JQ24">_xlfn.SWITCH($A$2,"average", AVERAGE(Instances!JQ24:Instances!JQ24),"median", MEDIAN(Instances!JQ24:Instances!JQ24),"min", MIN(Instances!JQ24:Instances!JQ24),"max", MAX(Instances!JQ24:Instances!JQ24),"diff", MAX(Instances!JQ24:Instances!JQ24)-MIN(Instances!JQ24:Instances!JQ24))</f>
        <v>0</v>
      </c>
      <c r="JR24" s="1" cm="1">
        <f t="array" ref="JR24">_xlfn.SWITCH($A$2,"average", AVERAGE(Instances!JR24:Instances!JR24),"median", MEDIAN(Instances!JR24:Instances!JR24),"min", MIN(Instances!JR24:Instances!JR24),"max", MAX(Instances!JR24:Instances!JR24),"diff", MAX(Instances!JR24:Instances!JR24)-MIN(Instances!JR24:Instances!JR24))</f>
        <v>0</v>
      </c>
      <c r="JS24" s="1" cm="1">
        <f t="array" ref="JS24">_xlfn.SWITCH($A$2,"average", AVERAGE(Instances!JS24:Instances!JS24),"median", MEDIAN(Instances!JS24:Instances!JS24),"min", MIN(Instances!JS24:Instances!JS24),"max", MAX(Instances!JS24:Instances!JS24),"diff", MAX(Instances!JS24:Instances!JS24)-MIN(Instances!JS24:Instances!JS24))</f>
        <v>0</v>
      </c>
      <c r="JT24" s="1" cm="1">
        <f t="array" ref="JT24">_xlfn.SWITCH($A$2,"average", AVERAGE(Instances!JT24:Instances!JT24),"median", MEDIAN(Instances!JT24:Instances!JT24),"min", MIN(Instances!JT24:Instances!JT24),"max", MAX(Instances!JT24:Instances!JT24),"diff", MAX(Instances!JT24:Instances!JT24)-MIN(Instances!JT24:Instances!JT24))</f>
        <v>0</v>
      </c>
      <c r="JU24" s="1" cm="1">
        <f t="array" ref="JU24">_xlfn.SWITCH($A$2,"average", AVERAGE(Instances!JU24:Instances!JU24),"median", MEDIAN(Instances!JU24:Instances!JU24),"min", MIN(Instances!JU24:Instances!JU24),"max", MAX(Instances!JU24:Instances!JU24),"diff", MAX(Instances!JU24:Instances!JU24)-MIN(Instances!JU24:Instances!JU24))</f>
        <v>0</v>
      </c>
      <c r="JV24" s="1" cm="1">
        <f t="array" ref="JV24">_xlfn.SWITCH($A$2,"average", AVERAGE(Instances!JV24:Instances!JV24),"median", MEDIAN(Instances!JV24:Instances!JV24),"min", MIN(Instances!JV24:Instances!JV24),"max", MAX(Instances!JV24:Instances!JV24),"diff", MAX(Instances!JV24:Instances!JV24)-MIN(Instances!JV24:Instances!JV24))</f>
        <v>0</v>
      </c>
      <c r="JW24" s="1" cm="1">
        <f t="array" ref="JW24">_xlfn.SWITCH($A$2,"average", AVERAGE(Instances!JW24:Instances!JW24),"median", MEDIAN(Instances!JW24:Instances!JW24),"min", MIN(Instances!JW24:Instances!JW24),"max", MAX(Instances!JW24:Instances!JW24),"diff", MAX(Instances!JW24:Instances!JW24)-MIN(Instances!JW24:Instances!JW24))</f>
        <v>0</v>
      </c>
      <c r="JX24" s="1" cm="1">
        <f t="array" ref="JX24">_xlfn.SWITCH($A$2,"average", AVERAGE(Instances!JX24:Instances!JX24),"median", MEDIAN(Instances!JX24:Instances!JX24),"min", MIN(Instances!JX24:Instances!JX24),"max", MAX(Instances!JX24:Instances!JX24),"diff", MAX(Instances!JX24:Instances!JX24)-MIN(Instances!JX24:Instances!JX24))</f>
        <v>0</v>
      </c>
      <c r="JY24" s="1" cm="1">
        <f t="array" ref="JY24">_xlfn.SWITCH($A$2,"average", AVERAGE(Instances!JY24:Instances!JY24),"median", MEDIAN(Instances!JY24:Instances!JY24),"min", MIN(Instances!JY24:Instances!JY24),"max", MAX(Instances!JY24:Instances!JY24),"diff", MAX(Instances!JY24:Instances!JY24)-MIN(Instances!JY24:Instances!JY24))</f>
        <v>0</v>
      </c>
      <c r="JZ24" s="1"/>
      <c r="KA24" s="1" cm="1">
        <f t="array" ref="KA24">_xlfn.SWITCH($A$2,"average", AVERAGE(Instances!KA24:Instances!KA24),"median", MEDIAN(Instances!KA24:Instances!KA24),"min", MIN(Instances!KA24:Instances!KA24),"max", MAX(Instances!KA24:Instances!KA24),"diff", MAX(Instances!KA24:Instances!KA24)-MIN(Instances!KA24:Instances!KA24))</f>
        <v>0</v>
      </c>
      <c r="KB24" s="1" cm="1">
        <f t="array" ref="KB24">_xlfn.SWITCH($A$2,"average", AVERAGE(Instances!KB24:Instances!KB24),"median", MEDIAN(Instances!KB24:Instances!KB24),"min", MIN(Instances!KB24:Instances!KB24),"max", MAX(Instances!KB24:Instances!KB24),"diff", MAX(Instances!KB24:Instances!KB24)-MIN(Instances!KB24:Instances!KB24))</f>
        <v>0</v>
      </c>
      <c r="KC24" s="1" cm="1">
        <f t="array" ref="KC24">_xlfn.SWITCH($A$2,"average", AVERAGE(Instances!KC24:Instances!KC24),"median", MEDIAN(Instances!KC24:Instances!KC24),"min", MIN(Instances!KC24:Instances!KC24),"max", MAX(Instances!KC24:Instances!KC24),"diff", MAX(Instances!KC24:Instances!KC24)-MIN(Instances!KC24:Instances!KC24))</f>
        <v>0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 cm="1">
        <f t="array" ref="L25">_xlfn.SWITCH($A$2,"average", AVERAGE(Instances!L25:Instances!L25),"median", MEDIAN(Instances!L25:Instances!L25),"min", MIN(Instances!L25:Instances!L25),"max", MAX(Instances!L25:Instances!L25),"diff", MAX(Instances!L25:Instances!L25)-MIN(Instances!L25:Instances!L25))</f>
        <v>0</v>
      </c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 cm="1">
        <f t="array" ref="O25">_xlfn.SWITCH($A$2,"average", AVERAGE(Instances!O25:Instances!O25),"median", MEDIAN(Instances!O25:Instances!O25),"min", MIN(Instances!O25:Instances!O25),"max", MAX(Instances!O25:Instances!O25),"diff", MAX(Instances!O25:Instances!O25)-MIN(Instances!O25:Instances!O25))</f>
        <v>0</v>
      </c>
      <c r="P25" s="1"/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 cm="1">
        <f t="array" ref="S25">_xlfn.SWITCH($A$2,"average", AVERAGE(Instances!S25:Instances!S25),"median", MEDIAN(Instances!S25:Instances!S25),"min", MIN(Instances!S25:Instances!S25),"max", MAX(Instances!S25:Instances!S25),"diff", MAX(Instances!S25:Instances!S25)-MIN(Instances!S25:Instances!S25))</f>
        <v>0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 cm="1">
        <f t="array" ref="AL25">_xlfn.SWITCH($A$2,"average", AVERAGE(Instances!AL25:Instances!AL25),"median", MEDIAN(Instances!AL25:Instances!AL25),"min", MIN(Instances!AL25:Instances!AL25),"max", MAX(Instances!AL25:Instances!AL25),"diff", MAX(Instances!AL25:Instances!AL25)-MIN(Instances!AL25:Instances!AL25))</f>
        <v>0</v>
      </c>
      <c r="AM25" s="1" cm="1">
        <f t="array" ref="AM25">_xlfn.SWITCH($A$2,"average", AVERAGE(Instances!AM25:Instances!AM25),"median", MEDIAN(Instances!AM25:Instances!AM25),"min", MIN(Instances!AM25:Instances!AM25),"max", MAX(Instances!AM25:Instances!AM25),"diff", MAX(Instances!AM25:Instances!AM25)-MIN(Instances!AM25:Instances!AM25))</f>
        <v>0</v>
      </c>
      <c r="AN25" s="1" cm="1">
        <f t="array" ref="AN25">_xlfn.SWITCH($A$2,"average", AVERAGE(Instances!AN25:Instances!AN25),"median", MEDIAN(Instances!AN25:Instances!AN25),"min", MIN(Instances!AN25:Instances!AN25),"max", MAX(Instances!AN25:Instances!AN25),"diff", MAX(Instances!AN25:Instances!AN25)-MIN(Instances!AN25:Instances!AN25))</f>
        <v>0</v>
      </c>
      <c r="AO25" s="1" cm="1">
        <f t="array" ref="AO25">_xlfn.SWITCH($A$2,"average", AVERAGE(Instances!AO25:Instances!AO25),"median", MEDIAN(Instances!AO25:Instances!AO25),"min", MIN(Instances!AO25:Instances!AO25),"max", MAX(Instances!AO25:Instances!AO25),"diff", MAX(Instances!AO25:Instances!AO25)-MIN(Instances!AO25:Instances!AO25))</f>
        <v>0</v>
      </c>
      <c r="AP25" s="1" cm="1">
        <f t="array" ref="AP25">_xlfn.SWITCH($A$2,"average", AVERAGE(Instances!AP25:Instances!AP25),"median", MEDIAN(Instances!AP25:Instances!AP25),"min", MIN(Instances!AP25:Instances!AP25),"max", MAX(Instances!AP25:Instances!AP25),"diff", MAX(Instances!AP25:Instances!AP25)-MIN(Instances!AP25:Instances!AP25))</f>
        <v>0</v>
      </c>
      <c r="AQ25" s="1" cm="1">
        <f t="array" ref="AQ25">_xlfn.SWITCH($A$2,"average", AVERAGE(Instances!AQ25:Instances!AQ25),"median", MEDIAN(Instances!AQ25:Instances!AQ25),"min", MIN(Instances!AQ25:Instances!AQ25),"max", MAX(Instances!AQ25:Instances!AQ25),"diff", MAX(Instances!AQ25:Instances!AQ25)-MIN(Instances!AQ25:Instances!AQ25))</f>
        <v>0</v>
      </c>
      <c r="AR25" s="1" cm="1">
        <f t="array" ref="AR25">_xlfn.SWITCH($A$2,"average", AVERAGE(Instances!AR25:Instances!AR25),"median", MEDIAN(Instances!AR25:Instances!AR25),"min", MIN(Instances!AR25:Instances!AR25),"max", MAX(Instances!AR25:Instances!AR25),"diff", MAX(Instances!AR25:Instances!AR25)-MIN(Instances!AR25:Instances!AR25))</f>
        <v>0</v>
      </c>
      <c r="AS25" s="1" cm="1">
        <f t="array" ref="AS25">_xlfn.SWITCH($A$2,"average", AVERAGE(Instances!AS25:Instances!AS25),"median", MEDIAN(Instances!AS25:Instances!AS25),"min", MIN(Instances!AS25:Instances!AS25),"max", MAX(Instances!AS25:Instances!AS25),"diff", MAX(Instances!AS25:Instances!AS25)-MIN(Instances!AS25:Instances!AS25))</f>
        <v>0</v>
      </c>
      <c r="AT25" s="1" cm="1">
        <f t="array" ref="AT25">_xlfn.SWITCH($A$2,"average", AVERAGE(Instances!AT25:Instances!AT25),"median", MEDIAN(Instances!AT25:Instances!AT25),"min", MIN(Instances!AT25:Instances!AT25),"max", MAX(Instances!AT25:Instances!AT25),"diff", MAX(Instances!AT25:Instances!AT25)-MIN(Instances!AT25:Instances!AT25))</f>
        <v>0</v>
      </c>
      <c r="AU25" s="1" cm="1">
        <f t="array" ref="AU25">_xlfn.SWITCH($A$2,"average", AVERAGE(Instances!AU25:Instances!AU25),"median", MEDIAN(Instances!AU25:Instances!AU25),"min", MIN(Instances!AU25:Instances!AU25),"max", MAX(Instances!AU25:Instances!AU25),"diff", MAX(Instances!AU25:Instances!AU25)-MIN(Instances!AU25:Instances!AU25))</f>
        <v>0</v>
      </c>
      <c r="AV25" s="1" cm="1">
        <f t="array" ref="AV25">_xlfn.SWITCH($A$2,"average", AVERAGE(Instances!AV25:Instances!AV25),"median", MEDIAN(Instances!AV25:Instances!AV25),"min", MIN(Instances!AV25:Instances!AV25),"max", MAX(Instances!AV25:Instances!AV25),"diff", MAX(Instances!AV25:Instances!AV25)-MIN(Instances!AV25:Instances!AV25))</f>
        <v>0</v>
      </c>
      <c r="AW25" s="1" cm="1">
        <f t="array" ref="AW25">_xlfn.SWITCH($A$2,"average", AVERAGE(Instances!AW25:Instances!AW25),"median", MEDIAN(Instances!AW25:Instances!AW25),"min", MIN(Instances!AW25:Instances!AW25),"max", MAX(Instances!AW25:Instances!AW25),"diff", MAX(Instances!AW25:Instances!AW25)-MIN(Instances!AW25:Instances!AW25))</f>
        <v>0</v>
      </c>
      <c r="AX25" s="1" cm="1">
        <f t="array" ref="AX25">_xlfn.SWITCH($A$2,"average", AVERAGE(Instances!AX25:Instances!AX25),"median", MEDIAN(Instances!AX25:Instances!AX25),"min", MIN(Instances!AX25:Instances!AX25),"max", MAX(Instances!AX25:Instances!AX25),"diff", MAX(Instances!AX25:Instances!AX25)-MIN(Instances!AX25:Instances!AX25))</f>
        <v>0</v>
      </c>
      <c r="AY25" s="1" cm="1">
        <f t="array" ref="AY25">_xlfn.SWITCH($A$2,"average", AVERAGE(Instances!AY25:Instances!AY25),"median", MEDIAN(Instances!AY25:Instances!AY25),"min", MIN(Instances!AY25:Instances!AY25),"max", MAX(Instances!AY25:Instances!AY25),"diff", MAX(Instances!AY25:Instances!AY25)-MIN(Instances!AY25:Instances!AY25))</f>
        <v>0</v>
      </c>
      <c r="AZ25" s="1"/>
      <c r="BA25" s="1" cm="1">
        <f t="array" ref="BA25">_xlfn.SWITCH($A$2,"average", AVERAGE(Instances!BA25:Instances!BA25),"median", MEDIAN(Instances!BA25:Instances!BA25),"min", MIN(Instances!BA25:Instances!BA25),"max", MAX(Instances!BA25:Instances!BA25),"diff", MAX(Instances!BA25:Instances!BA25)-MIN(Instances!BA25:Instances!BA25))</f>
        <v>0</v>
      </c>
      <c r="BB25" s="1" cm="1">
        <f t="array" ref="BB25">_xlfn.SWITCH($A$2,"average", AVERAGE(Instances!BB25:Instances!BB25),"median", MEDIAN(Instances!BB25:Instances!BB25),"min", MIN(Instances!BB25:Instances!BB25),"max", MAX(Instances!BB25:Instances!BB25),"diff", MAX(Instances!BB25:Instances!BB25)-MIN(Instances!BB25:Instances!BB25))</f>
        <v>0</v>
      </c>
      <c r="BC25" s="1" cm="1">
        <f t="array" ref="BC25">_xlfn.SWITCH($A$2,"average", AVERAGE(Instances!BC25:Instances!BC25),"median", MEDIAN(Instances!BC25:Instances!BC25),"min", MIN(Instances!BC25:Instances!BC25),"max", MAX(Instances!BC25:Instances!BC25),"diff", MAX(Instances!BC25:Instances!BC25)-MIN(Instances!BC25:Instances!BC25))</f>
        <v>0</v>
      </c>
      <c r="BD25" s="1" cm="1">
        <f t="array" ref="BD25">_xlfn.SWITCH($A$2,"average", AVERAGE(Instances!BD25:Instances!BD25),"median", MEDIAN(Instances!BD25:Instances!BD25),"min", MIN(Instances!BD25:Instances!BD25),"max", MAX(Instances!BD25:Instances!BD25),"diff", MAX(Instances!BD25:Instances!BD25)-MIN(Instances!BD25:Instances!BD25))</f>
        <v>0</v>
      </c>
      <c r="BE25" s="1" cm="1">
        <f t="array" ref="BE25">_xlfn.SWITCH($A$2,"average", AVERAGE(Instances!BE25:Instances!BE25),"median", MEDIAN(Instances!BE25:Instances!BE25),"min", MIN(Instances!BE25:Instances!BE25),"max", MAX(Instances!BE25:Instances!BE25),"diff", MAX(Instances!BE25:Instances!BE25)-MIN(Instances!BE25:Instances!BE25))</f>
        <v>0</v>
      </c>
      <c r="BF25" s="1" cm="1">
        <f t="array" ref="BF25">_xlfn.SWITCH($A$2,"average", AVERAGE(Instances!BF25:Instances!BF25),"median", MEDIAN(Instances!BF25:Instances!BF25),"min", MIN(Instances!BF25:Instances!BF25),"max", MAX(Instances!BF25:Instances!BF25),"diff", MAX(Instances!BF25:Instances!BF25)-MIN(Instances!BF25:Instances!BF25))</f>
        <v>0</v>
      </c>
      <c r="BG25" s="1" cm="1">
        <f t="array" ref="BG25">_xlfn.SWITCH($A$2,"average", AVERAGE(Instances!BG25:Instances!BG25),"median", MEDIAN(Instances!BG25:Instances!BG25),"min", MIN(Instances!BG25:Instances!BG25),"max", MAX(Instances!BG25:Instances!BG25),"diff", MAX(Instances!BG25:Instances!BG25)-MIN(Instances!BG25:Instances!BG25))</f>
        <v>0</v>
      </c>
      <c r="BH25" s="1" cm="1">
        <f t="array" ref="BH25">_xlfn.SWITCH($A$2,"average", AVERAGE(Instances!BH25:Instances!BH25),"median", MEDIAN(Instances!BH25:Instances!BH25),"min", MIN(Instances!BH25:Instances!BH25),"max", MAX(Instances!BH25:Instances!BH25),"diff", MAX(Instances!BH25:Instances!BH25)-MIN(Instances!BH25:Instances!BH25))</f>
        <v>0</v>
      </c>
      <c r="BI25" s="1" cm="1">
        <f t="array" ref="BI25">_xlfn.SWITCH($A$2,"average", AVERAGE(Instances!BI25:Instances!BI25),"median", MEDIAN(Instances!BI25:Instances!BI25),"min", MIN(Instances!BI25:Instances!BI25),"max", MAX(Instances!BI25:Instances!BI25),"diff", MAX(Instances!BI25:Instances!BI25)-MIN(Instances!BI25:Instances!BI25))</f>
        <v>0</v>
      </c>
      <c r="BJ25" s="1" cm="1">
        <f t="array" ref="BJ25">_xlfn.SWITCH($A$2,"average", AVERAGE(Instances!BJ25:Instances!BJ25),"median", MEDIAN(Instances!BJ25:Instances!BJ25),"min", MIN(Instances!BJ25:Instances!BJ25),"max", MAX(Instances!BJ25:Instances!BJ25),"diff", MAX(Instances!BJ25:Instances!BJ25)-MIN(Instances!BJ25:Instances!BJ25))</f>
        <v>0</v>
      </c>
      <c r="BK25" s="1" cm="1">
        <f t="array" ref="BK25">_xlfn.SWITCH($A$2,"average", AVERAGE(Instances!BK25:Instances!BK25),"median", MEDIAN(Instances!BK25:Instances!BK25),"min", MIN(Instances!BK25:Instances!BK25),"max", MAX(Instances!BK25:Instances!BK25),"diff", MAX(Instances!BK25:Instances!BK25)-MIN(Instances!BK25:Instances!BK25))</f>
        <v>0</v>
      </c>
      <c r="BL25" s="1" cm="1">
        <f t="array" ref="BL25">_xlfn.SWITCH($A$2,"average", AVERAGE(Instances!BL25:Instances!BL25),"median", MEDIAN(Instances!BL25:Instances!BL25),"min", MIN(Instances!BL25:Instances!BL25),"max", MAX(Instances!BL25:Instances!BL25),"diff", MAX(Instances!BL25:Instances!BL25)-MIN(Instances!BL25:Instances!BL25))</f>
        <v>0</v>
      </c>
      <c r="BM25" s="1" cm="1">
        <f t="array" ref="BM25">_xlfn.SWITCH($A$2,"average", AVERAGE(Instances!BM25:Instances!BM25),"median", MEDIAN(Instances!BM25:Instances!BM25),"min", MIN(Instances!BM25:Instances!BM25),"max", MAX(Instances!BM25:Instances!BM25),"diff", MAX(Instances!BM25:Instances!BM25)-MIN(Instances!BM25:Instances!BM25))</f>
        <v>0</v>
      </c>
      <c r="BN25" s="1" cm="1">
        <f t="array" ref="BN25">_xlfn.SWITCH($A$2,"average", AVERAGE(Instances!BN25:Instances!BN25),"median", MEDIAN(Instances!BN25:Instances!BN25),"min", MIN(Instances!BN25:Instances!BN25),"max", MAX(Instances!BN25:Instances!BN25),"diff", MAX(Instances!BN25:Instances!BN25)-MIN(Instances!BN25:Instances!BN25))</f>
        <v>0</v>
      </c>
      <c r="BO25" s="1" cm="1">
        <f t="array" ref="BO25">_xlfn.SWITCH($A$2,"average", AVERAGE(Instances!BO25:Instances!BO25),"median", MEDIAN(Instances!BO25:Instances!BO25),"min", MIN(Instances!BO25:Instances!BO25),"max", MAX(Instances!BO25:Instances!BO25),"diff", MAX(Instances!BO25:Instances!BO25)-MIN(Instances!BO25:Instances!BO25))</f>
        <v>0</v>
      </c>
      <c r="BP25" s="1" cm="1">
        <f t="array" ref="BP25">_xlfn.SWITCH($A$2,"average", AVERAGE(Instances!BP25:Instances!BP25),"median", MEDIAN(Instances!BP25:Instances!BP25),"min", MIN(Instances!BP25:Instances!BP25),"max", MAX(Instances!BP25:Instances!BP25),"diff", MAX(Instances!BP25:Instances!BP25)-MIN(Instances!BP25:Instances!BP25))</f>
        <v>0</v>
      </c>
      <c r="BQ25" s="1" cm="1">
        <f t="array" ref="BQ25">_xlfn.SWITCH($A$2,"average", AVERAGE(Instances!BQ25:Instances!BQ25),"median", MEDIAN(Instances!BQ25:Instances!BQ25),"min", MIN(Instances!BQ25:Instances!BQ25),"max", MAX(Instances!BQ25:Instances!BQ25),"diff", MAX(Instances!BQ25:Instances!BQ25)-MIN(Instances!BQ25:Instances!BQ25))</f>
        <v>0</v>
      </c>
      <c r="BR25" s="1"/>
      <c r="BS25" s="1" cm="1">
        <f t="array" ref="BS25">_xlfn.SWITCH($A$2,"average", AVERAGE(Instances!BS25:Instances!BS25),"median", MEDIAN(Instances!BS25:Instances!BS25),"min", MIN(Instances!BS25:Instances!BS25),"max", MAX(Instances!BS25:Instances!BS25),"diff", MAX(Instances!BS25:Instances!BS25)-MIN(Instances!BS25:Instances!BS25))</f>
        <v>0</v>
      </c>
      <c r="BT25" s="1" cm="1">
        <f t="array" ref="BT25">_xlfn.SWITCH($A$2,"average", AVERAGE(Instances!BT25:Instances!BT25),"median", MEDIAN(Instances!BT25:Instances!BT25),"min", MIN(Instances!BT25:Instances!BT25),"max", MAX(Instances!BT25:Instances!BT25),"diff", MAX(Instances!BT25:Instances!BT25)-MIN(Instances!BT25:Instances!BT25))</f>
        <v>0</v>
      </c>
      <c r="BU25" s="1" cm="1">
        <f t="array" ref="BU25">_xlfn.SWITCH($A$2,"average", AVERAGE(Instances!BU25:Instances!BU25),"median", MEDIAN(Instances!BU25:Instances!BU25),"min", MIN(Instances!BU25:Instances!BU25),"max", MAX(Instances!BU25:Instances!BU25),"diff", MAX(Instances!BU25:Instances!BU25)-MIN(Instances!BU25:Instances!BU25))</f>
        <v>0</v>
      </c>
      <c r="BV25" s="1" cm="1">
        <f t="array" ref="BV25">_xlfn.SWITCH($A$2,"average", AVERAGE(Instances!BV25:Instances!BV25),"median", MEDIAN(Instances!BV25:Instances!BV25),"min", MIN(Instances!BV25:Instances!BV25),"max", MAX(Instances!BV25:Instances!BV25),"diff", MAX(Instances!BV25:Instances!BV25)-MIN(Instances!BV25:Instances!BV25))</f>
        <v>0</v>
      </c>
      <c r="BW25" s="1" cm="1">
        <f t="array" ref="BW25">_xlfn.SWITCH($A$2,"average", AVERAGE(Instances!BW25:Instances!BW25),"median", MEDIAN(Instances!BW25:Instances!BW25),"min", MIN(Instances!BW25:Instances!BW25),"max", MAX(Instances!BW25:Instances!BW25),"diff", MAX(Instances!BW25:Instances!BW25)-MIN(Instances!BW25:Instances!BW25))</f>
        <v>0</v>
      </c>
      <c r="BX25" s="1" cm="1">
        <f t="array" ref="BX25">_xlfn.SWITCH($A$2,"average", AVERAGE(Instances!BX25:Instances!BX25),"median", MEDIAN(Instances!BX25:Instances!BX25),"min", MIN(Instances!BX25:Instances!BX25),"max", MAX(Instances!BX25:Instances!BX25),"diff", MAX(Instances!BX25:Instances!BX25)-MIN(Instances!BX25:Instances!BX25))</f>
        <v>0</v>
      </c>
      <c r="BY25" s="1" cm="1">
        <f t="array" ref="BY25">_xlfn.SWITCH($A$2,"average", AVERAGE(Instances!BY25:Instances!BY25),"median", MEDIAN(Instances!BY25:Instances!BY25),"min", MIN(Instances!BY25:Instances!BY25),"max", MAX(Instances!BY25:Instances!BY25),"diff", MAX(Instances!BY25:Instances!BY25)-MIN(Instances!BY25:Instances!BY25))</f>
        <v>0</v>
      </c>
      <c r="BZ25" s="1" cm="1">
        <f t="array" ref="BZ25">_xlfn.SWITCH($A$2,"average", AVERAGE(Instances!BZ25:Instances!BZ25),"median", MEDIAN(Instances!BZ25:Instances!BZ25),"min", MIN(Instances!BZ25:Instances!BZ25),"max", MAX(Instances!BZ25:Instances!BZ25),"diff", MAX(Instances!BZ25:Instances!BZ25)-MIN(Instances!BZ25:Instances!BZ25))</f>
        <v>0</v>
      </c>
      <c r="CA25" s="1" cm="1">
        <f t="array" ref="CA25">_xlfn.SWITCH($A$2,"average", AVERAGE(Instances!CA25:Instances!CA25),"median", MEDIAN(Instances!CA25:Instances!CA25),"min", MIN(Instances!CA25:Instances!CA25),"max", MAX(Instances!CA25:Instances!CA25),"diff", MAX(Instances!CA25:Instances!CA25)-MIN(Instances!CA25:Instances!CA25))</f>
        <v>0</v>
      </c>
      <c r="CB25" s="1" cm="1">
        <f t="array" ref="CB25">_xlfn.SWITCH($A$2,"average", AVERAGE(Instances!CB25:Instances!CB25),"median", MEDIAN(Instances!CB25:Instances!CB25),"min", MIN(Instances!CB25:Instances!CB25),"max", MAX(Instances!CB25:Instances!CB25),"diff", MAX(Instances!CB25:Instances!CB25)-MIN(Instances!CB25:Instances!CB25))</f>
        <v>0</v>
      </c>
      <c r="CC25" s="1" cm="1">
        <f t="array" ref="CC25">_xlfn.SWITCH($A$2,"average", AVERAGE(Instances!CC25:Instances!CC25),"median", MEDIAN(Instances!CC25:Instances!CC25),"min", MIN(Instances!CC25:Instances!CC25),"max", MAX(Instances!CC25:Instances!CC25),"diff", MAX(Instances!CC25:Instances!CC25)-MIN(Instances!CC25:Instances!CC25))</f>
        <v>0</v>
      </c>
      <c r="CD25" s="1" cm="1">
        <f t="array" ref="CD25">_xlfn.SWITCH($A$2,"average", AVERAGE(Instances!CD25:Instances!CD25),"median", MEDIAN(Instances!CD25:Instances!CD25),"min", MIN(Instances!CD25:Instances!CD25),"max", MAX(Instances!CD25:Instances!CD25),"diff", MAX(Instances!CD25:Instances!CD25)-MIN(Instances!CD25:Instances!CD25))</f>
        <v>0</v>
      </c>
      <c r="CE25" s="1" cm="1">
        <f t="array" ref="CE25">_xlfn.SWITCH($A$2,"average", AVERAGE(Instances!CE25:Instances!CE25),"median", MEDIAN(Instances!CE25:Instances!CE25),"min", MIN(Instances!CE25:Instances!CE25),"max", MAX(Instances!CE25:Instances!CE25),"diff", MAX(Instances!CE25:Instances!CE25)-MIN(Instances!CE25:Instances!CE25))</f>
        <v>0</v>
      </c>
      <c r="CF25" s="1" cm="1">
        <f t="array" ref="CF25">_xlfn.SWITCH($A$2,"average", AVERAGE(Instances!CF25:Instances!CF25),"median", MEDIAN(Instances!CF25:Instances!CF25),"min", MIN(Instances!CF25:Instances!CF25),"max", MAX(Instances!CF25:Instances!CF25),"diff", MAX(Instances!CF25:Instances!CF25)-MIN(Instances!CF25:Instances!CF25))</f>
        <v>0</v>
      </c>
      <c r="CG25" s="1" cm="1">
        <f t="array" ref="CG25">_xlfn.SWITCH($A$2,"average", AVERAGE(Instances!CG25:Instances!CG25),"median", MEDIAN(Instances!CG25:Instances!CG25),"min", MIN(Instances!CG25:Instances!CG25),"max", MAX(Instances!CG25:Instances!CG25),"diff", MAX(Instances!CG25:Instances!CG25)-MIN(Instances!CG25:Instances!CG25))</f>
        <v>0</v>
      </c>
      <c r="CH25" s="1" cm="1">
        <f t="array" ref="CH25">_xlfn.SWITCH($A$2,"average", AVERAGE(Instances!CH25:Instances!CH25),"median", MEDIAN(Instances!CH25:Instances!CH25),"min", MIN(Instances!CH25:Instances!CH25),"max", MAX(Instances!CH25:Instances!CH25),"diff", MAX(Instances!CH25:Instances!CH25)-MIN(Instances!CH25:Instances!CH25))</f>
        <v>0</v>
      </c>
      <c r="CI25" s="1" cm="1">
        <f t="array" ref="CI25">_xlfn.SWITCH($A$2,"average", AVERAGE(Instances!CI25:Instances!CI25),"median", MEDIAN(Instances!CI25:Instances!CI25),"min", MIN(Instances!CI25:Instances!CI25),"max", MAX(Instances!CI25:Instances!CI25),"diff", MAX(Instances!CI25:Instances!CI25)-MIN(Instances!CI25:Instances!CI25))</f>
        <v>0</v>
      </c>
      <c r="CJ25" s="1"/>
      <c r="CK25" s="1" cm="1">
        <f t="array" ref="CK25">_xlfn.SWITCH($A$2,"average", AVERAGE(Instances!CK25:Instances!CK25),"median", MEDIAN(Instances!CK25:Instances!CK25),"min", MIN(Instances!CK25:Instances!CK25),"max", MAX(Instances!CK25:Instances!CK25),"diff", MAX(Instances!CK25:Instances!CK25)-MIN(Instances!CK25:Instances!CK25))</f>
        <v>0</v>
      </c>
      <c r="CL25" s="1" cm="1">
        <f t="array" ref="CL25">_xlfn.SWITCH($A$2,"average", AVERAGE(Instances!CL25:Instances!CL25),"median", MEDIAN(Instances!CL25:Instances!CL25),"min", MIN(Instances!CL25:Instances!CL25),"max", MAX(Instances!CL25:Instances!CL25),"diff", MAX(Instances!CL25:Instances!CL25)-MIN(Instances!CL25:Instances!CL25))</f>
        <v>0</v>
      </c>
      <c r="CM25" s="1" cm="1">
        <f t="array" ref="CM25">_xlfn.SWITCH($A$2,"average", AVERAGE(Instances!CM25:Instances!CM25),"median", MEDIAN(Instances!CM25:Instances!CM25),"min", MIN(Instances!CM25:Instances!CM25),"max", MAX(Instances!CM25:Instances!CM25),"diff", MAX(Instances!CM25:Instances!CM25)-MIN(Instances!CM25:Instances!CM25))</f>
        <v>0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 cm="1">
        <f t="array" ref="DX25">_xlfn.SWITCH($A$2,"average", AVERAGE(Instances!DX25:Instances!DX25),"median", MEDIAN(Instances!DX25:Instances!DX25),"min", MIN(Instances!DX25:Instances!DX25),"max", MAX(Instances!DX25:Instances!DX25),"diff", MAX(Instances!DX25:Instances!DX25)-MIN(Instances!DX25:Instances!DX25))</f>
        <v>0</v>
      </c>
      <c r="DY25" s="1" cm="1">
        <f t="array" ref="DY25">_xlfn.SWITCH($A$2,"average", AVERAGE(Instances!DY25:Instances!DY25),"median", MEDIAN(Instances!DY25:Instances!DY25),"min", MIN(Instances!DY25:Instances!DY25),"max", MAX(Instances!DY25:Instances!DY25),"diff", MAX(Instances!DY25:Instances!DY25)-MIN(Instances!DY25:Instances!DY25))</f>
        <v>0</v>
      </c>
      <c r="DZ25" s="1" cm="1">
        <f t="array" ref="DZ25">_xlfn.SWITCH($A$2,"average", AVERAGE(Instances!DZ25:Instances!DZ25),"median", MEDIAN(Instances!DZ25:Instances!DZ25),"min", MIN(Instances!DZ25:Instances!DZ25),"max", MAX(Instances!DZ25:Instances!DZ25),"diff", MAX(Instances!DZ25:Instances!DZ25)-MIN(Instances!DZ25:Instances!DZ25))</f>
        <v>0</v>
      </c>
      <c r="EA25" s="1" cm="1">
        <f t="array" ref="EA25">_xlfn.SWITCH($A$2,"average", AVERAGE(Instances!EA25:Instances!EA25),"median", MEDIAN(Instances!EA25:Instances!EA25),"min", MIN(Instances!EA25:Instances!EA25),"max", MAX(Instances!EA25:Instances!EA25),"diff", MAX(Instances!EA25:Instances!EA25)-MIN(Instances!EA25:Instances!EA25))</f>
        <v>0</v>
      </c>
      <c r="EB25" s="1" cm="1">
        <f t="array" ref="EB25">_xlfn.SWITCH($A$2,"average", AVERAGE(Instances!EB25:Instances!EB25),"median", MEDIAN(Instances!EB25:Instances!EB25),"min", MIN(Instances!EB25:Instances!EB25),"max", MAX(Instances!EB25:Instances!EB25),"diff", MAX(Instances!EB25:Instances!EB25)-MIN(Instances!EB25:Instances!EB25))</f>
        <v>0</v>
      </c>
      <c r="EC25" s="1" cm="1">
        <f t="array" ref="EC25">_xlfn.SWITCH($A$2,"average", AVERAGE(Instances!EC25:Instances!EC25),"median", MEDIAN(Instances!EC25:Instances!EC25),"min", MIN(Instances!EC25:Instances!EC25),"max", MAX(Instances!EC25:Instances!EC25),"diff", MAX(Instances!EC25:Instances!EC25)-MIN(Instances!EC25:Instances!EC25))</f>
        <v>0</v>
      </c>
      <c r="ED25" s="1" cm="1">
        <f t="array" ref="ED25">_xlfn.SWITCH($A$2,"average", AVERAGE(Instances!ED25:Instances!ED25),"median", MEDIAN(Instances!ED25:Instances!ED25),"min", MIN(Instances!ED25:Instances!ED25),"max", MAX(Instances!ED25:Instances!ED25),"diff", MAX(Instances!ED25:Instances!ED25)-MIN(Instances!ED25:Instances!ED25))</f>
        <v>0</v>
      </c>
      <c r="EE25" s="1" cm="1">
        <f t="array" ref="EE25">_xlfn.SWITCH($A$2,"average", AVERAGE(Instances!EE25:Instances!EE25),"median", MEDIAN(Instances!EE25:Instances!EE25),"min", MIN(Instances!EE25:Instances!EE25),"max", MAX(Instances!EE25:Instances!EE25),"diff", MAX(Instances!EE25:Instances!EE25)-MIN(Instances!EE25:Instances!EE25))</f>
        <v>0</v>
      </c>
      <c r="EF25" s="1" cm="1">
        <f t="array" ref="EF25">_xlfn.SWITCH($A$2,"average", AVERAGE(Instances!EF25:Instances!EF25),"median", MEDIAN(Instances!EF25:Instances!EF25),"min", MIN(Instances!EF25:Instances!EF25),"max", MAX(Instances!EF25:Instances!EF25),"diff", MAX(Instances!EF25:Instances!EF25)-MIN(Instances!EF25:Instances!EF25))</f>
        <v>0</v>
      </c>
      <c r="EG25" s="1" cm="1">
        <f t="array" ref="EG25">_xlfn.SWITCH($A$2,"average", AVERAGE(Instances!EG25:Instances!EG25),"median", MEDIAN(Instances!EG25:Instances!EG25),"min", MIN(Instances!EG25:Instances!EG25),"max", MAX(Instances!EG25:Instances!EG25),"diff", MAX(Instances!EG25:Instances!EG25)-MIN(Instances!EG25:Instances!EG25))</f>
        <v>0</v>
      </c>
      <c r="EH25" s="1" cm="1">
        <f t="array" ref="EH25">_xlfn.SWITCH($A$2,"average", AVERAGE(Instances!EH25:Instances!EH25),"median", MEDIAN(Instances!EH25:Instances!EH25),"min", MIN(Instances!EH25:Instances!EH25),"max", MAX(Instances!EH25:Instances!EH25),"diff", MAX(Instances!EH25:Instances!EH25)-MIN(Instances!EH25:Instances!EH25))</f>
        <v>0</v>
      </c>
      <c r="EI25" s="1" cm="1">
        <f t="array" ref="EI25">_xlfn.SWITCH($A$2,"average", AVERAGE(Instances!EI25:Instances!EI25),"median", MEDIAN(Instances!EI25:Instances!EI25),"min", MIN(Instances!EI25:Instances!EI25),"max", MAX(Instances!EI25:Instances!EI25),"diff", MAX(Instances!EI25:Instances!EI25)-MIN(Instances!EI25:Instances!EI25))</f>
        <v>0</v>
      </c>
      <c r="EJ25" s="1" cm="1">
        <f t="array" ref="EJ25">_xlfn.SWITCH($A$2,"average", AVERAGE(Instances!EJ25:Instances!EJ25),"median", MEDIAN(Instances!EJ25:Instances!EJ25),"min", MIN(Instances!EJ25:Instances!EJ25),"max", MAX(Instances!EJ25:Instances!EJ25),"diff", MAX(Instances!EJ25:Instances!EJ25)-MIN(Instances!EJ25:Instances!EJ25))</f>
        <v>0</v>
      </c>
      <c r="EK25" s="1" cm="1">
        <f t="array" ref="EK25">_xlfn.SWITCH($A$2,"average", AVERAGE(Instances!EK25:Instances!EK25),"median", MEDIAN(Instances!EK25:Instances!EK25),"min", MIN(Instances!EK25:Instances!EK25),"max", MAX(Instances!EK25:Instances!EK25),"diff", MAX(Instances!EK25:Instances!EK25)-MIN(Instances!EK25:Instances!EK25))</f>
        <v>0</v>
      </c>
      <c r="EL25" s="1"/>
      <c r="EM25" s="1" cm="1">
        <f t="array" ref="EM25">_xlfn.SWITCH($A$2,"average", AVERAGE(Instances!EM25:Instances!EM25),"median", MEDIAN(Instances!EM25:Instances!EM25),"min", MIN(Instances!EM25:Instances!EM25),"max", MAX(Instances!EM25:Instances!EM25),"diff", MAX(Instances!EM25:Instances!EM25)-MIN(Instances!EM25:Instances!EM25))</f>
        <v>0</v>
      </c>
      <c r="EN25" s="1" cm="1">
        <f t="array" ref="EN25">_xlfn.SWITCH($A$2,"average", AVERAGE(Instances!EN25:Instances!EN25),"median", MEDIAN(Instances!EN25:Instances!EN25),"min", MIN(Instances!EN25:Instances!EN25),"max", MAX(Instances!EN25:Instances!EN25),"diff", MAX(Instances!EN25:Instances!EN25)-MIN(Instances!EN25:Instances!EN25))</f>
        <v>0</v>
      </c>
      <c r="EO25" s="1" cm="1">
        <f t="array" ref="EO25">_xlfn.SWITCH($A$2,"average", AVERAGE(Instances!EO25:Instances!EO25),"median", MEDIAN(Instances!EO25:Instances!EO25),"min", MIN(Instances!EO25:Instances!EO25),"max", MAX(Instances!EO25:Instances!EO25),"diff", MAX(Instances!EO25:Instances!EO25)-MIN(Instances!EO25:Instances!EO25))</f>
        <v>0</v>
      </c>
      <c r="EP25" s="1" cm="1">
        <f t="array" ref="EP25">_xlfn.SWITCH($A$2,"average", AVERAGE(Instances!EP25:Instances!EP25),"median", MEDIAN(Instances!EP25:Instances!EP25),"min", MIN(Instances!EP25:Instances!EP25),"max", MAX(Instances!EP25:Instances!EP25),"diff", MAX(Instances!EP25:Instances!EP25)-MIN(Instances!EP25:Instances!EP25))</f>
        <v>0</v>
      </c>
      <c r="EQ25" s="1" cm="1">
        <f t="array" ref="EQ25">_xlfn.SWITCH($A$2,"average", AVERAGE(Instances!EQ25:Instances!EQ25),"median", MEDIAN(Instances!EQ25:Instances!EQ25),"min", MIN(Instances!EQ25:Instances!EQ25),"max", MAX(Instances!EQ25:Instances!EQ25),"diff", MAX(Instances!EQ25:Instances!EQ25)-MIN(Instances!EQ25:Instances!EQ25))</f>
        <v>0</v>
      </c>
      <c r="ER25" s="1" cm="1">
        <f t="array" ref="ER25">_xlfn.SWITCH($A$2,"average", AVERAGE(Instances!ER25:Instances!ER25),"median", MEDIAN(Instances!ER25:Instances!ER25),"min", MIN(Instances!ER25:Instances!ER25),"max", MAX(Instances!ER25:Instances!ER25),"diff", MAX(Instances!ER25:Instances!ER25)-MIN(Instances!ER25:Instances!ER25))</f>
        <v>0</v>
      </c>
      <c r="ES25" s="1" cm="1">
        <f t="array" ref="ES25">_xlfn.SWITCH($A$2,"average", AVERAGE(Instances!ES25:Instances!ES25),"median", MEDIAN(Instances!ES25:Instances!ES25),"min", MIN(Instances!ES25:Instances!ES25),"max", MAX(Instances!ES25:Instances!ES25),"diff", MAX(Instances!ES25:Instances!ES25)-MIN(Instances!ES25:Instances!ES25))</f>
        <v>0</v>
      </c>
      <c r="ET25" s="1" cm="1">
        <f t="array" ref="ET25">_xlfn.SWITCH($A$2,"average", AVERAGE(Instances!ET25:Instances!ET25),"median", MEDIAN(Instances!ET25:Instances!ET25),"min", MIN(Instances!ET25:Instances!ET25),"max", MAX(Instances!ET25:Instances!ET25),"diff", MAX(Instances!ET25:Instances!ET25)-MIN(Instances!ET25:Instances!ET25))</f>
        <v>0</v>
      </c>
      <c r="EU25" s="1" cm="1">
        <f t="array" ref="EU25">_xlfn.SWITCH($A$2,"average", AVERAGE(Instances!EU25:Instances!EU25),"median", MEDIAN(Instances!EU25:Instances!EU25),"min", MIN(Instances!EU25:Instances!EU25),"max", MAX(Instances!EU25:Instances!EU25),"diff", MAX(Instances!EU25:Instances!EU25)-MIN(Instances!EU25:Instances!EU25))</f>
        <v>0</v>
      </c>
      <c r="EV25" s="1" cm="1">
        <f t="array" ref="EV25">_xlfn.SWITCH($A$2,"average", AVERAGE(Instances!EV25:Instances!EV25),"median", MEDIAN(Instances!EV25:Instances!EV25),"min", MIN(Instances!EV25:Instances!EV25),"max", MAX(Instances!EV25:Instances!EV25),"diff", MAX(Instances!EV25:Instances!EV25)-MIN(Instances!EV25:Instances!EV25))</f>
        <v>0</v>
      </c>
      <c r="EW25" s="1" cm="1">
        <f t="array" ref="EW25">_xlfn.SWITCH($A$2,"average", AVERAGE(Instances!EW25:Instances!EW25),"median", MEDIAN(Instances!EW25:Instances!EW25),"min", MIN(Instances!EW25:Instances!EW25),"max", MAX(Instances!EW25:Instances!EW25),"diff", MAX(Instances!EW25:Instances!EW25)-MIN(Instances!EW25:Instances!EW25))</f>
        <v>0</v>
      </c>
      <c r="EX25" s="1" cm="1">
        <f t="array" ref="EX25">_xlfn.SWITCH($A$2,"average", AVERAGE(Instances!EX25:Instances!EX25),"median", MEDIAN(Instances!EX25:Instances!EX25),"min", MIN(Instances!EX25:Instances!EX25),"max", MAX(Instances!EX25:Instances!EX25),"diff", MAX(Instances!EX25:Instances!EX25)-MIN(Instances!EX25:Instances!EX25))</f>
        <v>0</v>
      </c>
      <c r="EY25" s="1" cm="1">
        <f t="array" ref="EY25">_xlfn.SWITCH($A$2,"average", AVERAGE(Instances!EY25:Instances!EY25),"median", MEDIAN(Instances!EY25:Instances!EY25),"min", MIN(Instances!EY25:Instances!EY25),"max", MAX(Instances!EY25:Instances!EY25),"diff", MAX(Instances!EY25:Instances!EY25)-MIN(Instances!EY25:Instances!EY25))</f>
        <v>0</v>
      </c>
      <c r="EZ25" s="1" cm="1">
        <f t="array" ref="EZ25">_xlfn.SWITCH($A$2,"average", AVERAGE(Instances!EZ25:Instances!EZ25),"median", MEDIAN(Instances!EZ25:Instances!EZ25),"min", MIN(Instances!EZ25:Instances!EZ25),"max", MAX(Instances!EZ25:Instances!EZ25),"diff", MAX(Instances!EZ25:Instances!EZ25)-MIN(Instances!EZ25:Instances!EZ25))</f>
        <v>0</v>
      </c>
      <c r="FA25" s="1" cm="1">
        <f t="array" ref="FA25">_xlfn.SWITCH($A$2,"average", AVERAGE(Instances!FA25:Instances!FA25),"median", MEDIAN(Instances!FA25:Instances!FA25),"min", MIN(Instances!FA25:Instances!FA25),"max", MAX(Instances!FA25:Instances!FA25),"diff", MAX(Instances!FA25:Instances!FA25)-MIN(Instances!FA25:Instances!FA25))</f>
        <v>0</v>
      </c>
      <c r="FB25" s="1" cm="1">
        <f t="array" ref="FB25">_xlfn.SWITCH($A$2,"average", AVERAGE(Instances!FB25:Instances!FB25),"median", MEDIAN(Instances!FB25:Instances!FB25),"min", MIN(Instances!FB25:Instances!FB25),"max", MAX(Instances!FB25:Instances!FB25),"diff", MAX(Instances!FB25:Instances!FB25)-MIN(Instances!FB25:Instances!FB25))</f>
        <v>0</v>
      </c>
      <c r="FC25" s="1" cm="1">
        <f t="array" ref="FC25">_xlfn.SWITCH($A$2,"average", AVERAGE(Instances!FC25:Instances!FC25),"median", MEDIAN(Instances!FC25:Instances!FC25),"min", MIN(Instances!FC25:Instances!FC25),"max", MAX(Instances!FC25:Instances!FC25),"diff", MAX(Instances!FC25:Instances!FC25)-MIN(Instances!FC25:Instances!FC25))</f>
        <v>0</v>
      </c>
      <c r="FD25" s="1"/>
      <c r="FE25" s="1" cm="1">
        <f t="array" ref="FE25">_xlfn.SWITCH($A$2,"average", AVERAGE(Instances!FE25:Instances!FE25),"median", MEDIAN(Instances!FE25:Instances!FE25),"min", MIN(Instances!FE25:Instances!FE25),"max", MAX(Instances!FE25:Instances!FE25),"diff", MAX(Instances!FE25:Instances!FE25)-MIN(Instances!FE25:Instances!FE25))</f>
        <v>0</v>
      </c>
      <c r="FF25" s="1" cm="1">
        <f t="array" ref="FF25">_xlfn.SWITCH($A$2,"average", AVERAGE(Instances!FF25:Instances!FF25),"median", MEDIAN(Instances!FF25:Instances!FF25),"min", MIN(Instances!FF25:Instances!FF25),"max", MAX(Instances!FF25:Instances!FF25),"diff", MAX(Instances!FF25:Instances!FF25)-MIN(Instances!FF25:Instances!FF25))</f>
        <v>0</v>
      </c>
      <c r="FG25" s="1" cm="1">
        <f t="array" ref="FG25">_xlfn.SWITCH($A$2,"average", AVERAGE(Instances!FG25:Instances!FG25),"median", MEDIAN(Instances!FG25:Instances!FG25),"min", MIN(Instances!FG25:Instances!FG25),"max", MAX(Instances!FG25:Instances!FG25),"diff", MAX(Instances!FG25:Instances!FG25)-MIN(Instances!FG25:Instances!FG25))</f>
        <v>0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 cm="1">
        <f t="array" ref="FZ25">_xlfn.SWITCH($A$2,"average", AVERAGE(Instances!FZ25:Instances!FZ25),"median", MEDIAN(Instances!FZ25:Instances!FZ25),"min", MIN(Instances!FZ25:Instances!FZ25),"max", MAX(Instances!FZ25:Instances!FZ25),"diff", MAX(Instances!FZ25:Instances!FZ25)-MIN(Instances!FZ25:Instances!FZ25))</f>
        <v>0</v>
      </c>
      <c r="GA25" s="1" cm="1">
        <f t="array" ref="GA25">_xlfn.SWITCH($A$2,"average", AVERAGE(Instances!GA25:Instances!GA25),"median", MEDIAN(Instances!GA25:Instances!GA25),"min", MIN(Instances!GA25:Instances!GA25),"max", MAX(Instances!GA25:Instances!GA25),"diff", MAX(Instances!GA25:Instances!GA25)-MIN(Instances!GA25:Instances!GA25))</f>
        <v>0</v>
      </c>
      <c r="GB25" s="1" cm="1">
        <f t="array" ref="GB25">_xlfn.SWITCH($A$2,"average", AVERAGE(Instances!GB25:Instances!GB25),"median", MEDIAN(Instances!GB25:Instances!GB25),"min", MIN(Instances!GB25:Instances!GB25),"max", MAX(Instances!GB25:Instances!GB25),"diff", MAX(Instances!GB25:Instances!GB25)-MIN(Instances!GB25:Instances!GB25))</f>
        <v>0</v>
      </c>
      <c r="GC25" s="1" cm="1">
        <f t="array" ref="GC25">_xlfn.SWITCH($A$2,"average", AVERAGE(Instances!GC25:Instances!GC25),"median", MEDIAN(Instances!GC25:Instances!GC25),"min", MIN(Instances!GC25:Instances!GC25),"max", MAX(Instances!GC25:Instances!GC25),"diff", MAX(Instances!GC25:Instances!GC25)-MIN(Instances!GC25:Instances!GC25))</f>
        <v>0</v>
      </c>
      <c r="GD25" s="1" cm="1">
        <f t="array" ref="GD25">_xlfn.SWITCH($A$2,"average", AVERAGE(Instances!GD25:Instances!GD25),"median", MEDIAN(Instances!GD25:Instances!GD25),"min", MIN(Instances!GD25:Instances!GD25),"max", MAX(Instances!GD25:Instances!GD25),"diff", MAX(Instances!GD25:Instances!GD25)-MIN(Instances!GD25:Instances!GD25))</f>
        <v>0</v>
      </c>
      <c r="GE25" s="1" cm="1">
        <f t="array" ref="GE25">_xlfn.SWITCH($A$2,"average", AVERAGE(Instances!GE25:Instances!GE25),"median", MEDIAN(Instances!GE25:Instances!GE25),"min", MIN(Instances!GE25:Instances!GE25),"max", MAX(Instances!GE25:Instances!GE25),"diff", MAX(Instances!GE25:Instances!GE25)-MIN(Instances!GE25:Instances!GE25))</f>
        <v>0</v>
      </c>
      <c r="GF25" s="1" cm="1">
        <f t="array" ref="GF25">_xlfn.SWITCH($A$2,"average", AVERAGE(Instances!GF25:Instances!GF25),"median", MEDIAN(Instances!GF25:Instances!GF25),"min", MIN(Instances!GF25:Instances!GF25),"max", MAX(Instances!GF25:Instances!GF25),"diff", MAX(Instances!GF25:Instances!GF25)-MIN(Instances!GF25:Instances!GF25))</f>
        <v>0</v>
      </c>
      <c r="GG25" s="1" cm="1">
        <f t="array" ref="GG25">_xlfn.SWITCH($A$2,"average", AVERAGE(Instances!GG25:Instances!GG25),"median", MEDIAN(Instances!GG25:Instances!GG25),"min", MIN(Instances!GG25:Instances!GG25),"max", MAX(Instances!GG25:Instances!GG25),"diff", MAX(Instances!GG25:Instances!GG25)-MIN(Instances!GG25:Instances!GG25))</f>
        <v>0</v>
      </c>
      <c r="GH25" s="1" cm="1">
        <f t="array" ref="GH25">_xlfn.SWITCH($A$2,"average", AVERAGE(Instances!GH25:Instances!GH25),"median", MEDIAN(Instances!GH25:Instances!GH25),"min", MIN(Instances!GH25:Instances!GH25),"max", MAX(Instances!GH25:Instances!GH25),"diff", MAX(Instances!GH25:Instances!GH25)-MIN(Instances!GH25:Instances!GH25))</f>
        <v>0</v>
      </c>
      <c r="GI25" s="1" cm="1">
        <f t="array" ref="GI25">_xlfn.SWITCH($A$2,"average", AVERAGE(Instances!GI25:Instances!GI25),"median", MEDIAN(Instances!GI25:Instances!GI25),"min", MIN(Instances!GI25:Instances!GI25),"max", MAX(Instances!GI25:Instances!GI25),"diff", MAX(Instances!GI25:Instances!GI25)-MIN(Instances!GI25:Instances!GI25))</f>
        <v>0</v>
      </c>
      <c r="GJ25" s="1" cm="1">
        <f t="array" ref="GJ25">_xlfn.SWITCH($A$2,"average", AVERAGE(Instances!GJ25:Instances!GJ25),"median", MEDIAN(Instances!GJ25:Instances!GJ25),"min", MIN(Instances!GJ25:Instances!GJ25),"max", MAX(Instances!GJ25:Instances!GJ25),"diff", MAX(Instances!GJ25:Instances!GJ25)-MIN(Instances!GJ25:Instances!GJ25))</f>
        <v>0</v>
      </c>
      <c r="GK25" s="1" cm="1">
        <f t="array" ref="GK25">_xlfn.SWITCH($A$2,"average", AVERAGE(Instances!GK25:Instances!GK25),"median", MEDIAN(Instances!GK25:Instances!GK25),"min", MIN(Instances!GK25:Instances!GK25),"max", MAX(Instances!GK25:Instances!GK25),"diff", MAX(Instances!GK25:Instances!GK25)-MIN(Instances!GK25:Instances!GK25))</f>
        <v>0</v>
      </c>
      <c r="GL25" s="1" cm="1">
        <f t="array" ref="GL25">_xlfn.SWITCH($A$2,"average", AVERAGE(Instances!GL25:Instances!GL25),"median", MEDIAN(Instances!GL25:Instances!GL25),"min", MIN(Instances!GL25:Instances!GL25),"max", MAX(Instances!GL25:Instances!GL25),"diff", MAX(Instances!GL25:Instances!GL25)-MIN(Instances!GL25:Instances!GL25))</f>
        <v>0</v>
      </c>
      <c r="GM25" s="1" cm="1">
        <f t="array" ref="GM25">_xlfn.SWITCH($A$2,"average", AVERAGE(Instances!GM25:Instances!GM25),"median", MEDIAN(Instances!GM25:Instances!GM25),"min", MIN(Instances!GM25:Instances!GM25),"max", MAX(Instances!GM25:Instances!GM25),"diff", MAX(Instances!GM25:Instances!GM25)-MIN(Instances!GM25:Instances!GM25))</f>
        <v>0</v>
      </c>
      <c r="GN25" s="1"/>
      <c r="GO25" s="1" cm="1">
        <f t="array" ref="GO25">_xlfn.SWITCH($A$2,"average", AVERAGE(Instances!GO25:Instances!GO25),"median", MEDIAN(Instances!GO25:Instances!GO25),"min", MIN(Instances!GO25:Instances!GO25),"max", MAX(Instances!GO25:Instances!GO25),"diff", MAX(Instances!GO25:Instances!GO25)-MIN(Instances!GO25:Instances!GO25))</f>
        <v>0</v>
      </c>
      <c r="GP25" s="1" cm="1">
        <f t="array" ref="GP25">_xlfn.SWITCH($A$2,"average", AVERAGE(Instances!GP25:Instances!GP25),"median", MEDIAN(Instances!GP25:Instances!GP25),"min", MIN(Instances!GP25:Instances!GP25),"max", MAX(Instances!GP25:Instances!GP25),"diff", MAX(Instances!GP25:Instances!GP25)-MIN(Instances!GP25:Instances!GP25))</f>
        <v>0</v>
      </c>
      <c r="GQ25" s="1" cm="1">
        <f t="array" ref="GQ25">_xlfn.SWITCH($A$2,"average", AVERAGE(Instances!GQ25:Instances!GQ25),"median", MEDIAN(Instances!GQ25:Instances!GQ25),"min", MIN(Instances!GQ25:Instances!GQ25),"max", MAX(Instances!GQ25:Instances!GQ25),"diff", MAX(Instances!GQ25:Instances!GQ25)-MIN(Instances!GQ25:Instances!GQ25))</f>
        <v>0</v>
      </c>
      <c r="GR25" s="1" cm="1">
        <f t="array" ref="GR25">_xlfn.SWITCH($A$2,"average", AVERAGE(Instances!GR25:Instances!GR25),"median", MEDIAN(Instances!GR25:Instances!GR25),"min", MIN(Instances!GR25:Instances!GR25),"max", MAX(Instances!GR25:Instances!GR25),"diff", MAX(Instances!GR25:Instances!GR25)-MIN(Instances!GR25:Instances!GR25))</f>
        <v>0</v>
      </c>
      <c r="GS25" s="1" cm="1">
        <f t="array" ref="GS25">_xlfn.SWITCH($A$2,"average", AVERAGE(Instances!GS25:Instances!GS25),"median", MEDIAN(Instances!GS25:Instances!GS25),"min", MIN(Instances!GS25:Instances!GS25),"max", MAX(Instances!GS25:Instances!GS25),"diff", MAX(Instances!GS25:Instances!GS25)-MIN(Instances!GS25:Instances!GS25))</f>
        <v>0</v>
      </c>
      <c r="GT25" s="1" cm="1">
        <f t="array" ref="GT25">_xlfn.SWITCH($A$2,"average", AVERAGE(Instances!GT25:Instances!GT25),"median", MEDIAN(Instances!GT25:Instances!GT25),"min", MIN(Instances!GT25:Instances!GT25),"max", MAX(Instances!GT25:Instances!GT25),"diff", MAX(Instances!GT25:Instances!GT25)-MIN(Instances!GT25:Instances!GT25))</f>
        <v>0</v>
      </c>
      <c r="GU25" s="1" cm="1">
        <f t="array" ref="GU25">_xlfn.SWITCH($A$2,"average", AVERAGE(Instances!GU25:Instances!GU25),"median", MEDIAN(Instances!GU25:Instances!GU25),"min", MIN(Instances!GU25:Instances!GU25),"max", MAX(Instances!GU25:Instances!GU25),"diff", MAX(Instances!GU25:Instances!GU25)-MIN(Instances!GU25:Instances!GU25))</f>
        <v>0</v>
      </c>
      <c r="GV25" s="1" cm="1">
        <f t="array" ref="GV25">_xlfn.SWITCH($A$2,"average", AVERAGE(Instances!GV25:Instances!GV25),"median", MEDIAN(Instances!GV25:Instances!GV25),"min", MIN(Instances!GV25:Instances!GV25),"max", MAX(Instances!GV25:Instances!GV25),"diff", MAX(Instances!GV25:Instances!GV25)-MIN(Instances!GV25:Instances!GV25))</f>
        <v>0</v>
      </c>
      <c r="GW25" s="1" cm="1">
        <f t="array" ref="GW25">_xlfn.SWITCH($A$2,"average", AVERAGE(Instances!GW25:Instances!GW25),"median", MEDIAN(Instances!GW25:Instances!GW25),"min", MIN(Instances!GW25:Instances!GW25),"max", MAX(Instances!GW25:Instances!GW25),"diff", MAX(Instances!GW25:Instances!GW25)-MIN(Instances!GW25:Instances!GW25))</f>
        <v>0</v>
      </c>
      <c r="GX25" s="1" cm="1">
        <f t="array" ref="GX25">_xlfn.SWITCH($A$2,"average", AVERAGE(Instances!GX25:Instances!GX25),"median", MEDIAN(Instances!GX25:Instances!GX25),"min", MIN(Instances!GX25:Instances!GX25),"max", MAX(Instances!GX25:Instances!GX25),"diff", MAX(Instances!GX25:Instances!GX25)-MIN(Instances!GX25:Instances!GX25))</f>
        <v>0</v>
      </c>
      <c r="GY25" s="1" cm="1">
        <f t="array" ref="GY25">_xlfn.SWITCH($A$2,"average", AVERAGE(Instances!GY25:Instances!GY25),"median", MEDIAN(Instances!GY25:Instances!GY25),"min", MIN(Instances!GY25:Instances!GY25),"max", MAX(Instances!GY25:Instances!GY25),"diff", MAX(Instances!GY25:Instances!GY25)-MIN(Instances!GY25:Instances!GY25))</f>
        <v>0</v>
      </c>
      <c r="GZ25" s="1" cm="1">
        <f t="array" ref="GZ25">_xlfn.SWITCH($A$2,"average", AVERAGE(Instances!GZ25:Instances!GZ25),"median", MEDIAN(Instances!GZ25:Instances!GZ25),"min", MIN(Instances!GZ25:Instances!GZ25),"max", MAX(Instances!GZ25:Instances!GZ25),"diff", MAX(Instances!GZ25:Instances!GZ25)-MIN(Instances!GZ25:Instances!GZ25))</f>
        <v>0</v>
      </c>
      <c r="HA25" s="1" cm="1">
        <f t="array" ref="HA25">_xlfn.SWITCH($A$2,"average", AVERAGE(Instances!HA25:Instances!HA25),"median", MEDIAN(Instances!HA25:Instances!HA25),"min", MIN(Instances!HA25:Instances!HA25),"max", MAX(Instances!HA25:Instances!HA25),"diff", MAX(Instances!HA25:Instances!HA25)-MIN(Instances!HA25:Instances!HA25))</f>
        <v>0</v>
      </c>
      <c r="HB25" s="1" cm="1">
        <f t="array" ref="HB25">_xlfn.SWITCH($A$2,"average", AVERAGE(Instances!HB25:Instances!HB25),"median", MEDIAN(Instances!HB25:Instances!HB25),"min", MIN(Instances!HB25:Instances!HB25),"max", MAX(Instances!HB25:Instances!HB25),"diff", MAX(Instances!HB25:Instances!HB25)-MIN(Instances!HB25:Instances!HB25))</f>
        <v>0</v>
      </c>
      <c r="HC25" s="1" cm="1">
        <f t="array" ref="HC25">_xlfn.SWITCH($A$2,"average", AVERAGE(Instances!HC25:Instances!HC25),"median", MEDIAN(Instances!HC25:Instances!HC25),"min", MIN(Instances!HC25:Instances!HC25),"max", MAX(Instances!HC25:Instances!HC25),"diff", MAX(Instances!HC25:Instances!HC25)-MIN(Instances!HC25:Instances!HC25))</f>
        <v>0</v>
      </c>
      <c r="HD25" s="1" cm="1">
        <f t="array" ref="HD25">_xlfn.SWITCH($A$2,"average", AVERAGE(Instances!HD25:Instances!HD25),"median", MEDIAN(Instances!HD25:Instances!HD25),"min", MIN(Instances!HD25:Instances!HD25),"max", MAX(Instances!HD25:Instances!HD25),"diff", MAX(Instances!HD25:Instances!HD25)-MIN(Instances!HD25:Instances!HD25))</f>
        <v>0</v>
      </c>
      <c r="HE25" s="1" cm="1">
        <f t="array" ref="HE25">_xlfn.SWITCH($A$2,"average", AVERAGE(Instances!HE25:Instances!HE25),"median", MEDIAN(Instances!HE25:Instances!HE25),"min", MIN(Instances!HE25:Instances!HE25),"max", MAX(Instances!HE25:Instances!HE25),"diff", MAX(Instances!HE25:Instances!HE25)-MIN(Instances!HE25:Instances!HE25))</f>
        <v>0</v>
      </c>
      <c r="HF25" s="1"/>
      <c r="HG25" s="1" cm="1">
        <f t="array" ref="HG25">_xlfn.SWITCH($A$2,"average", AVERAGE(Instances!HG25:Instances!HG25),"median", MEDIAN(Instances!HG25:Instances!HG25),"min", MIN(Instances!HG25:Instances!HG25),"max", MAX(Instances!HG25:Instances!HG25),"diff", MAX(Instances!HG25:Instances!HG25)-MIN(Instances!HG25:Instances!HG25))</f>
        <v>0</v>
      </c>
      <c r="HH25" s="1" cm="1">
        <f t="array" ref="HH25">_xlfn.SWITCH($A$2,"average", AVERAGE(Instances!HH25:Instances!HH25),"median", MEDIAN(Instances!HH25:Instances!HH25),"min", MIN(Instances!HH25:Instances!HH25),"max", MAX(Instances!HH25:Instances!HH25),"diff", MAX(Instances!HH25:Instances!HH25)-MIN(Instances!HH25:Instances!HH25))</f>
        <v>0</v>
      </c>
      <c r="HI25" s="1" cm="1">
        <f t="array" ref="HI25">_xlfn.SWITCH($A$2,"average", AVERAGE(Instances!HI25:Instances!HI25),"median", MEDIAN(Instances!HI25:Instances!HI25),"min", MIN(Instances!HI25:Instances!HI25),"max", MAX(Instances!HI25:Instances!HI25),"diff", MAX(Instances!HI25:Instances!HI25)-MIN(Instances!HI25:Instances!HI25))</f>
        <v>0</v>
      </c>
      <c r="HJ25" s="1" cm="1">
        <f t="array" ref="HJ25">_xlfn.SWITCH($A$2,"average", AVERAGE(Instances!HJ25:Instances!HJ25),"median", MEDIAN(Instances!HJ25:Instances!HJ25),"min", MIN(Instances!HJ25:Instances!HJ25),"max", MAX(Instances!HJ25:Instances!HJ25),"diff", MAX(Instances!HJ25:Instances!HJ25)-MIN(Instances!HJ25:Instances!HJ25))</f>
        <v>0</v>
      </c>
      <c r="HK25" s="1" cm="1">
        <f t="array" ref="HK25">_xlfn.SWITCH($A$2,"average", AVERAGE(Instances!HK25:Instances!HK25),"median", MEDIAN(Instances!HK25:Instances!HK25),"min", MIN(Instances!HK25:Instances!HK25),"max", MAX(Instances!HK25:Instances!HK25),"diff", MAX(Instances!HK25:Instances!HK25)-MIN(Instances!HK25:Instances!HK25))</f>
        <v>0</v>
      </c>
      <c r="HL25" s="1" cm="1">
        <f t="array" ref="HL25">_xlfn.SWITCH($A$2,"average", AVERAGE(Instances!HL25:Instances!HL25),"median", MEDIAN(Instances!HL25:Instances!HL25),"min", MIN(Instances!HL25:Instances!HL25),"max", MAX(Instances!HL25:Instances!HL25),"diff", MAX(Instances!HL25:Instances!HL25)-MIN(Instances!HL25:Instances!HL25))</f>
        <v>0</v>
      </c>
      <c r="HM25" s="1" cm="1">
        <f t="array" ref="HM25">_xlfn.SWITCH($A$2,"average", AVERAGE(Instances!HM25:Instances!HM25),"median", MEDIAN(Instances!HM25:Instances!HM25),"min", MIN(Instances!HM25:Instances!HM25),"max", MAX(Instances!HM25:Instances!HM25),"diff", MAX(Instances!HM25:Instances!HM25)-MIN(Instances!HM25:Instances!HM25))</f>
        <v>0</v>
      </c>
      <c r="HN25" s="1" cm="1">
        <f t="array" ref="HN25">_xlfn.SWITCH($A$2,"average", AVERAGE(Instances!HN25:Instances!HN25),"median", MEDIAN(Instances!HN25:Instances!HN25),"min", MIN(Instances!HN25:Instances!HN25),"max", MAX(Instances!HN25:Instances!HN25),"diff", MAX(Instances!HN25:Instances!HN25)-MIN(Instances!HN25:Instances!HN25))</f>
        <v>0</v>
      </c>
      <c r="HO25" s="1" cm="1">
        <f t="array" ref="HO25">_xlfn.SWITCH($A$2,"average", AVERAGE(Instances!HO25:Instances!HO25),"median", MEDIAN(Instances!HO25:Instances!HO25),"min", MIN(Instances!HO25:Instances!HO25),"max", MAX(Instances!HO25:Instances!HO25),"diff", MAX(Instances!HO25:Instances!HO25)-MIN(Instances!HO25:Instances!HO25))</f>
        <v>0</v>
      </c>
      <c r="HP25" s="1" cm="1">
        <f t="array" ref="HP25">_xlfn.SWITCH($A$2,"average", AVERAGE(Instances!HP25:Instances!HP25),"median", MEDIAN(Instances!HP25:Instances!HP25),"min", MIN(Instances!HP25:Instances!HP25),"max", MAX(Instances!HP25:Instances!HP25),"diff", MAX(Instances!HP25:Instances!HP25)-MIN(Instances!HP25:Instances!HP25))</f>
        <v>0</v>
      </c>
      <c r="HQ25" s="1" cm="1">
        <f t="array" ref="HQ25">_xlfn.SWITCH($A$2,"average", AVERAGE(Instances!HQ25:Instances!HQ25),"median", MEDIAN(Instances!HQ25:Instances!HQ25),"min", MIN(Instances!HQ25:Instances!HQ25),"max", MAX(Instances!HQ25:Instances!HQ25),"diff", MAX(Instances!HQ25:Instances!HQ25)-MIN(Instances!HQ25:Instances!HQ25))</f>
        <v>0</v>
      </c>
      <c r="HR25" s="1" cm="1">
        <f t="array" ref="HR25">_xlfn.SWITCH($A$2,"average", AVERAGE(Instances!HR25:Instances!HR25),"median", MEDIAN(Instances!HR25:Instances!HR25),"min", MIN(Instances!HR25:Instances!HR25),"max", MAX(Instances!HR25:Instances!HR25),"diff", MAX(Instances!HR25:Instances!HR25)-MIN(Instances!HR25:Instances!HR25))</f>
        <v>0</v>
      </c>
      <c r="HS25" s="1" cm="1">
        <f t="array" ref="HS25">_xlfn.SWITCH($A$2,"average", AVERAGE(Instances!HS25:Instances!HS25),"median", MEDIAN(Instances!HS25:Instances!HS25),"min", MIN(Instances!HS25:Instances!HS25),"max", MAX(Instances!HS25:Instances!HS25),"diff", MAX(Instances!HS25:Instances!HS25)-MIN(Instances!HS25:Instances!HS25))</f>
        <v>0</v>
      </c>
      <c r="HT25" s="1" cm="1">
        <f t="array" ref="HT25">_xlfn.SWITCH($A$2,"average", AVERAGE(Instances!HT25:Instances!HT25),"median", MEDIAN(Instances!HT25:Instances!HT25),"min", MIN(Instances!HT25:Instances!HT25),"max", MAX(Instances!HT25:Instances!HT25),"diff", MAX(Instances!HT25:Instances!HT25)-MIN(Instances!HT25:Instances!HT25))</f>
        <v>0</v>
      </c>
      <c r="HU25" s="1" cm="1">
        <f t="array" ref="HU25">_xlfn.SWITCH($A$2,"average", AVERAGE(Instances!HU25:Instances!HU25),"median", MEDIAN(Instances!HU25:Instances!HU25),"min", MIN(Instances!HU25:Instances!HU25),"max", MAX(Instances!HU25:Instances!HU25),"diff", MAX(Instances!HU25:Instances!HU25)-MIN(Instances!HU25:Instances!HU25))</f>
        <v>0</v>
      </c>
      <c r="HV25" s="1" cm="1">
        <f t="array" ref="HV25">_xlfn.SWITCH($A$2,"average", AVERAGE(Instances!HV25:Instances!HV25),"median", MEDIAN(Instances!HV25:Instances!HV25),"min", MIN(Instances!HV25:Instances!HV25),"max", MAX(Instances!HV25:Instances!HV25),"diff", MAX(Instances!HV25:Instances!HV25)-MIN(Instances!HV25:Instances!HV25))</f>
        <v>0</v>
      </c>
      <c r="HW25" s="1" cm="1">
        <f t="array" ref="HW25">_xlfn.SWITCH($A$2,"average", AVERAGE(Instances!HW25:Instances!HW25),"median", MEDIAN(Instances!HW25:Instances!HW25),"min", MIN(Instances!HW25:Instances!HW25),"max", MAX(Instances!HW25:Instances!HW25),"diff", MAX(Instances!HW25:Instances!HW25)-MIN(Instances!HW25:Instances!HW25))</f>
        <v>0</v>
      </c>
      <c r="HX25" s="1"/>
      <c r="HY25" s="1" cm="1">
        <f t="array" ref="HY25">_xlfn.SWITCH($A$2,"average", AVERAGE(Instances!HY25:Instances!HY25),"median", MEDIAN(Instances!HY25:Instances!HY25),"min", MIN(Instances!HY25:Instances!HY25),"max", MAX(Instances!HY25:Instances!HY25),"diff", MAX(Instances!HY25:Instances!HY25)-MIN(Instances!HY25:Instances!HY25))</f>
        <v>0</v>
      </c>
      <c r="HZ25" s="1" cm="1">
        <f t="array" ref="HZ25">_xlfn.SWITCH($A$2,"average", AVERAGE(Instances!HZ25:Instances!HZ25),"median", MEDIAN(Instances!HZ25:Instances!HZ25),"min", MIN(Instances!HZ25:Instances!HZ25),"max", MAX(Instances!HZ25:Instances!HZ25),"diff", MAX(Instances!HZ25:Instances!HZ25)-MIN(Instances!HZ25:Instances!HZ25))</f>
        <v>0</v>
      </c>
      <c r="IA25" s="1" cm="1">
        <f t="array" ref="IA25">_xlfn.SWITCH($A$2,"average", AVERAGE(Instances!IA25:Instances!IA25),"median", MEDIAN(Instances!IA25:Instances!IA25),"min", MIN(Instances!IA25:Instances!IA25),"max", MAX(Instances!IA25:Instances!IA25),"diff", MAX(Instances!IA25:Instances!IA25)-MIN(Instances!IA25:Instances!IA25))</f>
        <v>0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 cm="1">
        <f t="array" ref="JL25">_xlfn.SWITCH($A$2,"average", AVERAGE(Instances!JL25:Instances!JL25),"median", MEDIAN(Instances!JL25:Instances!JL25),"min", MIN(Instances!JL25:Instances!JL25),"max", MAX(Instances!JL25:Instances!JL25),"diff", MAX(Instances!JL25:Instances!JL25)-MIN(Instances!JL25:Instances!JL25))</f>
        <v>0</v>
      </c>
      <c r="JM25" s="1" cm="1">
        <f t="array" ref="JM25">_xlfn.SWITCH($A$2,"average", AVERAGE(Instances!JM25:Instances!JM25),"median", MEDIAN(Instances!JM25:Instances!JM25),"min", MIN(Instances!JM25:Instances!JM25),"max", MAX(Instances!JM25:Instances!JM25),"diff", MAX(Instances!JM25:Instances!JM25)-MIN(Instances!JM25:Instances!JM25))</f>
        <v>0</v>
      </c>
      <c r="JN25" s="1" cm="1">
        <f t="array" ref="JN25">_xlfn.SWITCH($A$2,"average", AVERAGE(Instances!JN25:Instances!JN25),"median", MEDIAN(Instances!JN25:Instances!JN25),"min", MIN(Instances!JN25:Instances!JN25),"max", MAX(Instances!JN25:Instances!JN25),"diff", MAX(Instances!JN25:Instances!JN25)-MIN(Instances!JN25:Instances!JN25))</f>
        <v>0</v>
      </c>
      <c r="JO25" s="1" cm="1">
        <f t="array" ref="JO25">_xlfn.SWITCH($A$2,"average", AVERAGE(Instances!JO25:Instances!JO25),"median", MEDIAN(Instances!JO25:Instances!JO25),"min", MIN(Instances!JO25:Instances!JO25),"max", MAX(Instances!JO25:Instances!JO25),"diff", MAX(Instances!JO25:Instances!JO25)-MIN(Instances!JO25:Instances!JO25))</f>
        <v>0</v>
      </c>
      <c r="JP25" s="1" cm="1">
        <f t="array" ref="JP25">_xlfn.SWITCH($A$2,"average", AVERAGE(Instances!JP25:Instances!JP25),"median", MEDIAN(Instances!JP25:Instances!JP25),"min", MIN(Instances!JP25:Instances!JP25),"max", MAX(Instances!JP25:Instances!JP25),"diff", MAX(Instances!JP25:Instances!JP25)-MIN(Instances!JP25:Instances!JP25))</f>
        <v>0</v>
      </c>
      <c r="JQ25" s="1" cm="1">
        <f t="array" ref="JQ25">_xlfn.SWITCH($A$2,"average", AVERAGE(Instances!JQ25:Instances!JQ25),"median", MEDIAN(Instances!JQ25:Instances!JQ25),"min", MIN(Instances!JQ25:Instances!JQ25),"max", MAX(Instances!JQ25:Instances!JQ25),"diff", MAX(Instances!JQ25:Instances!JQ25)-MIN(Instances!JQ25:Instances!JQ25))</f>
        <v>0</v>
      </c>
      <c r="JR25" s="1" cm="1">
        <f t="array" ref="JR25">_xlfn.SWITCH($A$2,"average", AVERAGE(Instances!JR25:Instances!JR25),"median", MEDIAN(Instances!JR25:Instances!JR25),"min", MIN(Instances!JR25:Instances!JR25),"max", MAX(Instances!JR25:Instances!JR25),"diff", MAX(Instances!JR25:Instances!JR25)-MIN(Instances!JR25:Instances!JR25))</f>
        <v>0</v>
      </c>
      <c r="JS25" s="1" cm="1">
        <f t="array" ref="JS25">_xlfn.SWITCH($A$2,"average", AVERAGE(Instances!JS25:Instances!JS25),"median", MEDIAN(Instances!JS25:Instances!JS25),"min", MIN(Instances!JS25:Instances!JS25),"max", MAX(Instances!JS25:Instances!JS25),"diff", MAX(Instances!JS25:Instances!JS25)-MIN(Instances!JS25:Instances!JS25))</f>
        <v>0</v>
      </c>
      <c r="JT25" s="1" cm="1">
        <f t="array" ref="JT25">_xlfn.SWITCH($A$2,"average", AVERAGE(Instances!JT25:Instances!JT25),"median", MEDIAN(Instances!JT25:Instances!JT25),"min", MIN(Instances!JT25:Instances!JT25),"max", MAX(Instances!JT25:Instances!JT25),"diff", MAX(Instances!JT25:Instances!JT25)-MIN(Instances!JT25:Instances!JT25))</f>
        <v>0</v>
      </c>
      <c r="JU25" s="1" cm="1">
        <f t="array" ref="JU25">_xlfn.SWITCH($A$2,"average", AVERAGE(Instances!JU25:Instances!JU25),"median", MEDIAN(Instances!JU25:Instances!JU25),"min", MIN(Instances!JU25:Instances!JU25),"max", MAX(Instances!JU25:Instances!JU25),"diff", MAX(Instances!JU25:Instances!JU25)-MIN(Instances!JU25:Instances!JU25))</f>
        <v>0</v>
      </c>
      <c r="JV25" s="1" cm="1">
        <f t="array" ref="JV25">_xlfn.SWITCH($A$2,"average", AVERAGE(Instances!JV25:Instances!JV25),"median", MEDIAN(Instances!JV25:Instances!JV25),"min", MIN(Instances!JV25:Instances!JV25),"max", MAX(Instances!JV25:Instances!JV25),"diff", MAX(Instances!JV25:Instances!JV25)-MIN(Instances!JV25:Instances!JV25))</f>
        <v>0</v>
      </c>
      <c r="JW25" s="1" cm="1">
        <f t="array" ref="JW25">_xlfn.SWITCH($A$2,"average", AVERAGE(Instances!JW25:Instances!JW25),"median", MEDIAN(Instances!JW25:Instances!JW25),"min", MIN(Instances!JW25:Instances!JW25),"max", MAX(Instances!JW25:Instances!JW25),"diff", MAX(Instances!JW25:Instances!JW25)-MIN(Instances!JW25:Instances!JW25))</f>
        <v>0</v>
      </c>
      <c r="JX25" s="1" cm="1">
        <f t="array" ref="JX25">_xlfn.SWITCH($A$2,"average", AVERAGE(Instances!JX25:Instances!JX25),"median", MEDIAN(Instances!JX25:Instances!JX25),"min", MIN(Instances!JX25:Instances!JX25),"max", MAX(Instances!JX25:Instances!JX25),"diff", MAX(Instances!JX25:Instances!JX25)-MIN(Instances!JX25:Instances!JX25))</f>
        <v>0</v>
      </c>
      <c r="JY25" s="1" cm="1">
        <f t="array" ref="JY25">_xlfn.SWITCH($A$2,"average", AVERAGE(Instances!JY25:Instances!JY25),"median", MEDIAN(Instances!JY25:Instances!JY25),"min", MIN(Instances!JY25:Instances!JY25),"max", MAX(Instances!JY25:Instances!JY25),"diff", MAX(Instances!JY25:Instances!JY25)-MIN(Instances!JY25:Instances!JY25))</f>
        <v>0</v>
      </c>
      <c r="JZ25" s="1"/>
      <c r="KA25" s="1" cm="1">
        <f t="array" ref="KA25">_xlfn.SWITCH($A$2,"average", AVERAGE(Instances!KA25:Instances!KA25),"median", MEDIAN(Instances!KA25:Instances!KA25),"min", MIN(Instances!KA25:Instances!KA25),"max", MAX(Instances!KA25:Instances!KA25),"diff", MAX(Instances!KA25:Instances!KA25)-MIN(Instances!KA25:Instances!KA25))</f>
        <v>0</v>
      </c>
      <c r="KB25" s="1" cm="1">
        <f t="array" ref="KB25">_xlfn.SWITCH($A$2,"average", AVERAGE(Instances!KB25:Instances!KB25),"median", MEDIAN(Instances!KB25:Instances!KB25),"min", MIN(Instances!KB25:Instances!KB25),"max", MAX(Instances!KB25:Instances!KB25),"diff", MAX(Instances!KB25:Instances!KB25)-MIN(Instances!KB25:Instances!KB25))</f>
        <v>0</v>
      </c>
      <c r="KC25" s="1" cm="1">
        <f t="array" ref="KC25">_xlfn.SWITCH($A$2,"average", AVERAGE(Instances!KC25:Instances!KC25),"median", MEDIAN(Instances!KC25:Instances!KC25),"min", MIN(Instances!KC25:Instances!KC25),"max", MAX(Instances!KC25:Instances!KC25),"diff", MAX(Instances!KC25:Instances!KC25)-MIN(Instances!KC25:Instances!KC25))</f>
        <v>0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 cm="1">
        <f t="array" ref="L26">_xlfn.SWITCH($A$2,"average", AVERAGE(Instances!L26:Instances!L26),"median", MEDIAN(Instances!L26:Instances!L26),"min", MIN(Instances!L26:Instances!L26),"max", MAX(Instances!L26:Instances!L26),"diff", MAX(Instances!L26:Instances!L26)-MIN(Instances!L26:Instances!L26))</f>
        <v>0</v>
      </c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 cm="1">
        <f t="array" ref="O26">_xlfn.SWITCH($A$2,"average", AVERAGE(Instances!O26:Instances!O26),"median", MEDIAN(Instances!O26:Instances!O26),"min", MIN(Instances!O26:Instances!O26),"max", MAX(Instances!O26:Instances!O26),"diff", MAX(Instances!O26:Instances!O26)-MIN(Instances!O26:Instances!O26))</f>
        <v>0</v>
      </c>
      <c r="P26" s="1"/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 cm="1">
        <f t="array" ref="S26">_xlfn.SWITCH($A$2,"average", AVERAGE(Instances!S26:Instances!S26),"median", MEDIAN(Instances!S26:Instances!S26),"min", MIN(Instances!S26:Instances!S26),"max", MAX(Instances!S26:Instances!S26),"diff", MAX(Instances!S26:Instances!S26)-MIN(Instances!S26:Instances!S26))</f>
        <v>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 cm="1">
        <f t="array" ref="AL26">_xlfn.SWITCH($A$2,"average", AVERAGE(Instances!AL26:Instances!AL26),"median", MEDIAN(Instances!AL26:Instances!AL26),"min", MIN(Instances!AL26:Instances!AL26),"max", MAX(Instances!AL26:Instances!AL26),"diff", MAX(Instances!AL26:Instances!AL26)-MIN(Instances!AL26:Instances!AL26))</f>
        <v>0</v>
      </c>
      <c r="AM26" s="1" cm="1">
        <f t="array" ref="AM26">_xlfn.SWITCH($A$2,"average", AVERAGE(Instances!AM26:Instances!AM26),"median", MEDIAN(Instances!AM26:Instances!AM26),"min", MIN(Instances!AM26:Instances!AM26),"max", MAX(Instances!AM26:Instances!AM26),"diff", MAX(Instances!AM26:Instances!AM26)-MIN(Instances!AM26:Instances!AM26))</f>
        <v>0</v>
      </c>
      <c r="AN26" s="1" cm="1">
        <f t="array" ref="AN26">_xlfn.SWITCH($A$2,"average", AVERAGE(Instances!AN26:Instances!AN26),"median", MEDIAN(Instances!AN26:Instances!AN26),"min", MIN(Instances!AN26:Instances!AN26),"max", MAX(Instances!AN26:Instances!AN26),"diff", MAX(Instances!AN26:Instances!AN26)-MIN(Instances!AN26:Instances!AN26))</f>
        <v>0</v>
      </c>
      <c r="AO26" s="1" cm="1">
        <f t="array" ref="AO26">_xlfn.SWITCH($A$2,"average", AVERAGE(Instances!AO26:Instances!AO26),"median", MEDIAN(Instances!AO26:Instances!AO26),"min", MIN(Instances!AO26:Instances!AO26),"max", MAX(Instances!AO26:Instances!AO26),"diff", MAX(Instances!AO26:Instances!AO26)-MIN(Instances!AO26:Instances!AO26))</f>
        <v>0</v>
      </c>
      <c r="AP26" s="1" cm="1">
        <f t="array" ref="AP26">_xlfn.SWITCH($A$2,"average", AVERAGE(Instances!AP26:Instances!AP26),"median", MEDIAN(Instances!AP26:Instances!AP26),"min", MIN(Instances!AP26:Instances!AP26),"max", MAX(Instances!AP26:Instances!AP26),"diff", MAX(Instances!AP26:Instances!AP26)-MIN(Instances!AP26:Instances!AP26))</f>
        <v>0</v>
      </c>
      <c r="AQ26" s="1" cm="1">
        <f t="array" ref="AQ26">_xlfn.SWITCH($A$2,"average", AVERAGE(Instances!AQ26:Instances!AQ26),"median", MEDIAN(Instances!AQ26:Instances!AQ26),"min", MIN(Instances!AQ26:Instances!AQ26),"max", MAX(Instances!AQ26:Instances!AQ26),"diff", MAX(Instances!AQ26:Instances!AQ26)-MIN(Instances!AQ26:Instances!AQ26))</f>
        <v>0</v>
      </c>
      <c r="AR26" s="1" cm="1">
        <f t="array" ref="AR26">_xlfn.SWITCH($A$2,"average", AVERAGE(Instances!AR26:Instances!AR26),"median", MEDIAN(Instances!AR26:Instances!AR26),"min", MIN(Instances!AR26:Instances!AR26),"max", MAX(Instances!AR26:Instances!AR26),"diff", MAX(Instances!AR26:Instances!AR26)-MIN(Instances!AR26:Instances!AR26))</f>
        <v>0</v>
      </c>
      <c r="AS26" s="1" cm="1">
        <f t="array" ref="AS26">_xlfn.SWITCH($A$2,"average", AVERAGE(Instances!AS26:Instances!AS26),"median", MEDIAN(Instances!AS26:Instances!AS26),"min", MIN(Instances!AS26:Instances!AS26),"max", MAX(Instances!AS26:Instances!AS26),"diff", MAX(Instances!AS26:Instances!AS26)-MIN(Instances!AS26:Instances!AS26))</f>
        <v>0</v>
      </c>
      <c r="AT26" s="1" cm="1">
        <f t="array" ref="AT26">_xlfn.SWITCH($A$2,"average", AVERAGE(Instances!AT26:Instances!AT26),"median", MEDIAN(Instances!AT26:Instances!AT26),"min", MIN(Instances!AT26:Instances!AT26),"max", MAX(Instances!AT26:Instances!AT26),"diff", MAX(Instances!AT26:Instances!AT26)-MIN(Instances!AT26:Instances!AT26))</f>
        <v>0</v>
      </c>
      <c r="AU26" s="1" cm="1">
        <f t="array" ref="AU26">_xlfn.SWITCH($A$2,"average", AVERAGE(Instances!AU26:Instances!AU26),"median", MEDIAN(Instances!AU26:Instances!AU26),"min", MIN(Instances!AU26:Instances!AU26),"max", MAX(Instances!AU26:Instances!AU26),"diff", MAX(Instances!AU26:Instances!AU26)-MIN(Instances!AU26:Instances!AU26))</f>
        <v>0</v>
      </c>
      <c r="AV26" s="1" cm="1">
        <f t="array" ref="AV26">_xlfn.SWITCH($A$2,"average", AVERAGE(Instances!AV26:Instances!AV26),"median", MEDIAN(Instances!AV26:Instances!AV26),"min", MIN(Instances!AV26:Instances!AV26),"max", MAX(Instances!AV26:Instances!AV26),"diff", MAX(Instances!AV26:Instances!AV26)-MIN(Instances!AV26:Instances!AV26))</f>
        <v>0</v>
      </c>
      <c r="AW26" s="1" cm="1">
        <f t="array" ref="AW26">_xlfn.SWITCH($A$2,"average", AVERAGE(Instances!AW26:Instances!AW26),"median", MEDIAN(Instances!AW26:Instances!AW26),"min", MIN(Instances!AW26:Instances!AW26),"max", MAX(Instances!AW26:Instances!AW26),"diff", MAX(Instances!AW26:Instances!AW26)-MIN(Instances!AW26:Instances!AW26))</f>
        <v>0</v>
      </c>
      <c r="AX26" s="1" cm="1">
        <f t="array" ref="AX26">_xlfn.SWITCH($A$2,"average", AVERAGE(Instances!AX26:Instances!AX26),"median", MEDIAN(Instances!AX26:Instances!AX26),"min", MIN(Instances!AX26:Instances!AX26),"max", MAX(Instances!AX26:Instances!AX26),"diff", MAX(Instances!AX26:Instances!AX26)-MIN(Instances!AX26:Instances!AX26))</f>
        <v>0</v>
      </c>
      <c r="AY26" s="1" cm="1">
        <f t="array" ref="AY26">_xlfn.SWITCH($A$2,"average", AVERAGE(Instances!AY26:Instances!AY26),"median", MEDIAN(Instances!AY26:Instances!AY26),"min", MIN(Instances!AY26:Instances!AY26),"max", MAX(Instances!AY26:Instances!AY26),"diff", MAX(Instances!AY26:Instances!AY26)-MIN(Instances!AY26:Instances!AY26))</f>
        <v>0</v>
      </c>
      <c r="AZ26" s="1"/>
      <c r="BA26" s="1" cm="1">
        <f t="array" ref="BA26">_xlfn.SWITCH($A$2,"average", AVERAGE(Instances!BA26:Instances!BA26),"median", MEDIAN(Instances!BA26:Instances!BA26),"min", MIN(Instances!BA26:Instances!BA26),"max", MAX(Instances!BA26:Instances!BA26),"diff", MAX(Instances!BA26:Instances!BA26)-MIN(Instances!BA26:Instances!BA26))</f>
        <v>0</v>
      </c>
      <c r="BB26" s="1" cm="1">
        <f t="array" ref="BB26">_xlfn.SWITCH($A$2,"average", AVERAGE(Instances!BB26:Instances!BB26),"median", MEDIAN(Instances!BB26:Instances!BB26),"min", MIN(Instances!BB26:Instances!BB26),"max", MAX(Instances!BB26:Instances!BB26),"diff", MAX(Instances!BB26:Instances!BB26)-MIN(Instances!BB26:Instances!BB26))</f>
        <v>0</v>
      </c>
      <c r="BC26" s="1" cm="1">
        <f t="array" ref="BC26">_xlfn.SWITCH($A$2,"average", AVERAGE(Instances!BC26:Instances!BC26),"median", MEDIAN(Instances!BC26:Instances!BC26),"min", MIN(Instances!BC26:Instances!BC26),"max", MAX(Instances!BC26:Instances!BC26),"diff", MAX(Instances!BC26:Instances!BC26)-MIN(Instances!BC26:Instances!BC26))</f>
        <v>0</v>
      </c>
      <c r="BD26" s="1" cm="1">
        <f t="array" ref="BD26">_xlfn.SWITCH($A$2,"average", AVERAGE(Instances!BD26:Instances!BD26),"median", MEDIAN(Instances!BD26:Instances!BD26),"min", MIN(Instances!BD26:Instances!BD26),"max", MAX(Instances!BD26:Instances!BD26),"diff", MAX(Instances!BD26:Instances!BD26)-MIN(Instances!BD26:Instances!BD26))</f>
        <v>0</v>
      </c>
      <c r="BE26" s="1" cm="1">
        <f t="array" ref="BE26">_xlfn.SWITCH($A$2,"average", AVERAGE(Instances!BE26:Instances!BE26),"median", MEDIAN(Instances!BE26:Instances!BE26),"min", MIN(Instances!BE26:Instances!BE26),"max", MAX(Instances!BE26:Instances!BE26),"diff", MAX(Instances!BE26:Instances!BE26)-MIN(Instances!BE26:Instances!BE26))</f>
        <v>0</v>
      </c>
      <c r="BF26" s="1" cm="1">
        <f t="array" ref="BF26">_xlfn.SWITCH($A$2,"average", AVERAGE(Instances!BF26:Instances!BF26),"median", MEDIAN(Instances!BF26:Instances!BF26),"min", MIN(Instances!BF26:Instances!BF26),"max", MAX(Instances!BF26:Instances!BF26),"diff", MAX(Instances!BF26:Instances!BF26)-MIN(Instances!BF26:Instances!BF26))</f>
        <v>0</v>
      </c>
      <c r="BG26" s="1" cm="1">
        <f t="array" ref="BG26">_xlfn.SWITCH($A$2,"average", AVERAGE(Instances!BG26:Instances!BG26),"median", MEDIAN(Instances!BG26:Instances!BG26),"min", MIN(Instances!BG26:Instances!BG26),"max", MAX(Instances!BG26:Instances!BG26),"diff", MAX(Instances!BG26:Instances!BG26)-MIN(Instances!BG26:Instances!BG26))</f>
        <v>0</v>
      </c>
      <c r="BH26" s="1" cm="1">
        <f t="array" ref="BH26">_xlfn.SWITCH($A$2,"average", AVERAGE(Instances!BH26:Instances!BH26),"median", MEDIAN(Instances!BH26:Instances!BH26),"min", MIN(Instances!BH26:Instances!BH26),"max", MAX(Instances!BH26:Instances!BH26),"diff", MAX(Instances!BH26:Instances!BH26)-MIN(Instances!BH26:Instances!BH26))</f>
        <v>0</v>
      </c>
      <c r="BI26" s="1" cm="1">
        <f t="array" ref="BI26">_xlfn.SWITCH($A$2,"average", AVERAGE(Instances!BI26:Instances!BI26),"median", MEDIAN(Instances!BI26:Instances!BI26),"min", MIN(Instances!BI26:Instances!BI26),"max", MAX(Instances!BI26:Instances!BI26),"diff", MAX(Instances!BI26:Instances!BI26)-MIN(Instances!BI26:Instances!BI26))</f>
        <v>0</v>
      </c>
      <c r="BJ26" s="1" cm="1">
        <f t="array" ref="BJ26">_xlfn.SWITCH($A$2,"average", AVERAGE(Instances!BJ26:Instances!BJ26),"median", MEDIAN(Instances!BJ26:Instances!BJ26),"min", MIN(Instances!BJ26:Instances!BJ26),"max", MAX(Instances!BJ26:Instances!BJ26),"diff", MAX(Instances!BJ26:Instances!BJ26)-MIN(Instances!BJ26:Instances!BJ26))</f>
        <v>0</v>
      </c>
      <c r="BK26" s="1" cm="1">
        <f t="array" ref="BK26">_xlfn.SWITCH($A$2,"average", AVERAGE(Instances!BK26:Instances!BK26),"median", MEDIAN(Instances!BK26:Instances!BK26),"min", MIN(Instances!BK26:Instances!BK26),"max", MAX(Instances!BK26:Instances!BK26),"diff", MAX(Instances!BK26:Instances!BK26)-MIN(Instances!BK26:Instances!BK26))</f>
        <v>0</v>
      </c>
      <c r="BL26" s="1" cm="1">
        <f t="array" ref="BL26">_xlfn.SWITCH($A$2,"average", AVERAGE(Instances!BL26:Instances!BL26),"median", MEDIAN(Instances!BL26:Instances!BL26),"min", MIN(Instances!BL26:Instances!BL26),"max", MAX(Instances!BL26:Instances!BL26),"diff", MAX(Instances!BL26:Instances!BL26)-MIN(Instances!BL26:Instances!BL26))</f>
        <v>0</v>
      </c>
      <c r="BM26" s="1" cm="1">
        <f t="array" ref="BM26">_xlfn.SWITCH($A$2,"average", AVERAGE(Instances!BM26:Instances!BM26),"median", MEDIAN(Instances!BM26:Instances!BM26),"min", MIN(Instances!BM26:Instances!BM26),"max", MAX(Instances!BM26:Instances!BM26),"diff", MAX(Instances!BM26:Instances!BM26)-MIN(Instances!BM26:Instances!BM26))</f>
        <v>0</v>
      </c>
      <c r="BN26" s="1" cm="1">
        <f t="array" ref="BN26">_xlfn.SWITCH($A$2,"average", AVERAGE(Instances!BN26:Instances!BN26),"median", MEDIAN(Instances!BN26:Instances!BN26),"min", MIN(Instances!BN26:Instances!BN26),"max", MAX(Instances!BN26:Instances!BN26),"diff", MAX(Instances!BN26:Instances!BN26)-MIN(Instances!BN26:Instances!BN26))</f>
        <v>0</v>
      </c>
      <c r="BO26" s="1" cm="1">
        <f t="array" ref="BO26">_xlfn.SWITCH($A$2,"average", AVERAGE(Instances!BO26:Instances!BO26),"median", MEDIAN(Instances!BO26:Instances!BO26),"min", MIN(Instances!BO26:Instances!BO26),"max", MAX(Instances!BO26:Instances!BO26),"diff", MAX(Instances!BO26:Instances!BO26)-MIN(Instances!BO26:Instances!BO26))</f>
        <v>0</v>
      </c>
      <c r="BP26" s="1" cm="1">
        <f t="array" ref="BP26">_xlfn.SWITCH($A$2,"average", AVERAGE(Instances!BP26:Instances!BP26),"median", MEDIAN(Instances!BP26:Instances!BP26),"min", MIN(Instances!BP26:Instances!BP26),"max", MAX(Instances!BP26:Instances!BP26),"diff", MAX(Instances!BP26:Instances!BP26)-MIN(Instances!BP26:Instances!BP26))</f>
        <v>0</v>
      </c>
      <c r="BQ26" s="1" cm="1">
        <f t="array" ref="BQ26">_xlfn.SWITCH($A$2,"average", AVERAGE(Instances!BQ26:Instances!BQ26),"median", MEDIAN(Instances!BQ26:Instances!BQ26),"min", MIN(Instances!BQ26:Instances!BQ26),"max", MAX(Instances!BQ26:Instances!BQ26),"diff", MAX(Instances!BQ26:Instances!BQ26)-MIN(Instances!BQ26:Instances!BQ26))</f>
        <v>0</v>
      </c>
      <c r="BR26" s="1"/>
      <c r="BS26" s="1" cm="1">
        <f t="array" ref="BS26">_xlfn.SWITCH($A$2,"average", AVERAGE(Instances!BS26:Instances!BS26),"median", MEDIAN(Instances!BS26:Instances!BS26),"min", MIN(Instances!BS26:Instances!BS26),"max", MAX(Instances!BS26:Instances!BS26),"diff", MAX(Instances!BS26:Instances!BS26)-MIN(Instances!BS26:Instances!BS26))</f>
        <v>0</v>
      </c>
      <c r="BT26" s="1" cm="1">
        <f t="array" ref="BT26">_xlfn.SWITCH($A$2,"average", AVERAGE(Instances!BT26:Instances!BT26),"median", MEDIAN(Instances!BT26:Instances!BT26),"min", MIN(Instances!BT26:Instances!BT26),"max", MAX(Instances!BT26:Instances!BT26),"diff", MAX(Instances!BT26:Instances!BT26)-MIN(Instances!BT26:Instances!BT26))</f>
        <v>0</v>
      </c>
      <c r="BU26" s="1" cm="1">
        <f t="array" ref="BU26">_xlfn.SWITCH($A$2,"average", AVERAGE(Instances!BU26:Instances!BU26),"median", MEDIAN(Instances!BU26:Instances!BU26),"min", MIN(Instances!BU26:Instances!BU26),"max", MAX(Instances!BU26:Instances!BU26),"diff", MAX(Instances!BU26:Instances!BU26)-MIN(Instances!BU26:Instances!BU26))</f>
        <v>0</v>
      </c>
      <c r="BV26" s="1" cm="1">
        <f t="array" ref="BV26">_xlfn.SWITCH($A$2,"average", AVERAGE(Instances!BV26:Instances!BV26),"median", MEDIAN(Instances!BV26:Instances!BV26),"min", MIN(Instances!BV26:Instances!BV26),"max", MAX(Instances!BV26:Instances!BV26),"diff", MAX(Instances!BV26:Instances!BV26)-MIN(Instances!BV26:Instances!BV26))</f>
        <v>0</v>
      </c>
      <c r="BW26" s="1" cm="1">
        <f t="array" ref="BW26">_xlfn.SWITCH($A$2,"average", AVERAGE(Instances!BW26:Instances!BW26),"median", MEDIAN(Instances!BW26:Instances!BW26),"min", MIN(Instances!BW26:Instances!BW26),"max", MAX(Instances!BW26:Instances!BW26),"diff", MAX(Instances!BW26:Instances!BW26)-MIN(Instances!BW26:Instances!BW26))</f>
        <v>0</v>
      </c>
      <c r="BX26" s="1" cm="1">
        <f t="array" ref="BX26">_xlfn.SWITCH($A$2,"average", AVERAGE(Instances!BX26:Instances!BX26),"median", MEDIAN(Instances!BX26:Instances!BX26),"min", MIN(Instances!BX26:Instances!BX26),"max", MAX(Instances!BX26:Instances!BX26),"diff", MAX(Instances!BX26:Instances!BX26)-MIN(Instances!BX26:Instances!BX26))</f>
        <v>0</v>
      </c>
      <c r="BY26" s="1" cm="1">
        <f t="array" ref="BY26">_xlfn.SWITCH($A$2,"average", AVERAGE(Instances!BY26:Instances!BY26),"median", MEDIAN(Instances!BY26:Instances!BY26),"min", MIN(Instances!BY26:Instances!BY26),"max", MAX(Instances!BY26:Instances!BY26),"diff", MAX(Instances!BY26:Instances!BY26)-MIN(Instances!BY26:Instances!BY26))</f>
        <v>0</v>
      </c>
      <c r="BZ26" s="1" cm="1">
        <f t="array" ref="BZ26">_xlfn.SWITCH($A$2,"average", AVERAGE(Instances!BZ26:Instances!BZ26),"median", MEDIAN(Instances!BZ26:Instances!BZ26),"min", MIN(Instances!BZ26:Instances!BZ26),"max", MAX(Instances!BZ26:Instances!BZ26),"diff", MAX(Instances!BZ26:Instances!BZ26)-MIN(Instances!BZ26:Instances!BZ26))</f>
        <v>0</v>
      </c>
      <c r="CA26" s="1" cm="1">
        <f t="array" ref="CA26">_xlfn.SWITCH($A$2,"average", AVERAGE(Instances!CA26:Instances!CA26),"median", MEDIAN(Instances!CA26:Instances!CA26),"min", MIN(Instances!CA26:Instances!CA26),"max", MAX(Instances!CA26:Instances!CA26),"diff", MAX(Instances!CA26:Instances!CA26)-MIN(Instances!CA26:Instances!CA26))</f>
        <v>0</v>
      </c>
      <c r="CB26" s="1" cm="1">
        <f t="array" ref="CB26">_xlfn.SWITCH($A$2,"average", AVERAGE(Instances!CB26:Instances!CB26),"median", MEDIAN(Instances!CB26:Instances!CB26),"min", MIN(Instances!CB26:Instances!CB26),"max", MAX(Instances!CB26:Instances!CB26),"diff", MAX(Instances!CB26:Instances!CB26)-MIN(Instances!CB26:Instances!CB26))</f>
        <v>0</v>
      </c>
      <c r="CC26" s="1" cm="1">
        <f t="array" ref="CC26">_xlfn.SWITCH($A$2,"average", AVERAGE(Instances!CC26:Instances!CC26),"median", MEDIAN(Instances!CC26:Instances!CC26),"min", MIN(Instances!CC26:Instances!CC26),"max", MAX(Instances!CC26:Instances!CC26),"diff", MAX(Instances!CC26:Instances!CC26)-MIN(Instances!CC26:Instances!CC26))</f>
        <v>0</v>
      </c>
      <c r="CD26" s="1" cm="1">
        <f t="array" ref="CD26">_xlfn.SWITCH($A$2,"average", AVERAGE(Instances!CD26:Instances!CD26),"median", MEDIAN(Instances!CD26:Instances!CD26),"min", MIN(Instances!CD26:Instances!CD26),"max", MAX(Instances!CD26:Instances!CD26),"diff", MAX(Instances!CD26:Instances!CD26)-MIN(Instances!CD26:Instances!CD26))</f>
        <v>0</v>
      </c>
      <c r="CE26" s="1" cm="1">
        <f t="array" ref="CE26">_xlfn.SWITCH($A$2,"average", AVERAGE(Instances!CE26:Instances!CE26),"median", MEDIAN(Instances!CE26:Instances!CE26),"min", MIN(Instances!CE26:Instances!CE26),"max", MAX(Instances!CE26:Instances!CE26),"diff", MAX(Instances!CE26:Instances!CE26)-MIN(Instances!CE26:Instances!CE26))</f>
        <v>0</v>
      </c>
      <c r="CF26" s="1" cm="1">
        <f t="array" ref="CF26">_xlfn.SWITCH($A$2,"average", AVERAGE(Instances!CF26:Instances!CF26),"median", MEDIAN(Instances!CF26:Instances!CF26),"min", MIN(Instances!CF26:Instances!CF26),"max", MAX(Instances!CF26:Instances!CF26),"diff", MAX(Instances!CF26:Instances!CF26)-MIN(Instances!CF26:Instances!CF26))</f>
        <v>0</v>
      </c>
      <c r="CG26" s="1" cm="1">
        <f t="array" ref="CG26">_xlfn.SWITCH($A$2,"average", AVERAGE(Instances!CG26:Instances!CG26),"median", MEDIAN(Instances!CG26:Instances!CG26),"min", MIN(Instances!CG26:Instances!CG26),"max", MAX(Instances!CG26:Instances!CG26),"diff", MAX(Instances!CG26:Instances!CG26)-MIN(Instances!CG26:Instances!CG26))</f>
        <v>0</v>
      </c>
      <c r="CH26" s="1" cm="1">
        <f t="array" ref="CH26">_xlfn.SWITCH($A$2,"average", AVERAGE(Instances!CH26:Instances!CH26),"median", MEDIAN(Instances!CH26:Instances!CH26),"min", MIN(Instances!CH26:Instances!CH26),"max", MAX(Instances!CH26:Instances!CH26),"diff", MAX(Instances!CH26:Instances!CH26)-MIN(Instances!CH26:Instances!CH26))</f>
        <v>0</v>
      </c>
      <c r="CI26" s="1" cm="1">
        <f t="array" ref="CI26">_xlfn.SWITCH($A$2,"average", AVERAGE(Instances!CI26:Instances!CI26),"median", MEDIAN(Instances!CI26:Instances!CI26),"min", MIN(Instances!CI26:Instances!CI26),"max", MAX(Instances!CI26:Instances!CI26),"diff", MAX(Instances!CI26:Instances!CI26)-MIN(Instances!CI26:Instances!CI26))</f>
        <v>0</v>
      </c>
      <c r="CJ26" s="1"/>
      <c r="CK26" s="1" cm="1">
        <f t="array" ref="CK26">_xlfn.SWITCH($A$2,"average", AVERAGE(Instances!CK26:Instances!CK26),"median", MEDIAN(Instances!CK26:Instances!CK26),"min", MIN(Instances!CK26:Instances!CK26),"max", MAX(Instances!CK26:Instances!CK26),"diff", MAX(Instances!CK26:Instances!CK26)-MIN(Instances!CK26:Instances!CK26))</f>
        <v>0</v>
      </c>
      <c r="CL26" s="1" cm="1">
        <f t="array" ref="CL26">_xlfn.SWITCH($A$2,"average", AVERAGE(Instances!CL26:Instances!CL26),"median", MEDIAN(Instances!CL26:Instances!CL26),"min", MIN(Instances!CL26:Instances!CL26),"max", MAX(Instances!CL26:Instances!CL26),"diff", MAX(Instances!CL26:Instances!CL26)-MIN(Instances!CL26:Instances!CL26))</f>
        <v>0</v>
      </c>
      <c r="CM26" s="1" cm="1">
        <f t="array" ref="CM26">_xlfn.SWITCH($A$2,"average", AVERAGE(Instances!CM26:Instances!CM26),"median", MEDIAN(Instances!CM26:Instances!CM26),"min", MIN(Instances!CM26:Instances!CM26),"max", MAX(Instances!CM26:Instances!CM26),"diff", MAX(Instances!CM26:Instances!CM26)-MIN(Instances!CM26:Instances!CM26))</f>
        <v>0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 cm="1">
        <f t="array" ref="DX26">_xlfn.SWITCH($A$2,"average", AVERAGE(Instances!DX26:Instances!DX26),"median", MEDIAN(Instances!DX26:Instances!DX26),"min", MIN(Instances!DX26:Instances!DX26),"max", MAX(Instances!DX26:Instances!DX26),"diff", MAX(Instances!DX26:Instances!DX26)-MIN(Instances!DX26:Instances!DX26))</f>
        <v>0</v>
      </c>
      <c r="DY26" s="1" cm="1">
        <f t="array" ref="DY26">_xlfn.SWITCH($A$2,"average", AVERAGE(Instances!DY26:Instances!DY26),"median", MEDIAN(Instances!DY26:Instances!DY26),"min", MIN(Instances!DY26:Instances!DY26),"max", MAX(Instances!DY26:Instances!DY26),"diff", MAX(Instances!DY26:Instances!DY26)-MIN(Instances!DY26:Instances!DY26))</f>
        <v>0</v>
      </c>
      <c r="DZ26" s="1" cm="1">
        <f t="array" ref="DZ26">_xlfn.SWITCH($A$2,"average", AVERAGE(Instances!DZ26:Instances!DZ26),"median", MEDIAN(Instances!DZ26:Instances!DZ26),"min", MIN(Instances!DZ26:Instances!DZ26),"max", MAX(Instances!DZ26:Instances!DZ26),"diff", MAX(Instances!DZ26:Instances!DZ26)-MIN(Instances!DZ26:Instances!DZ26))</f>
        <v>0</v>
      </c>
      <c r="EA26" s="1" cm="1">
        <f t="array" ref="EA26">_xlfn.SWITCH($A$2,"average", AVERAGE(Instances!EA26:Instances!EA26),"median", MEDIAN(Instances!EA26:Instances!EA26),"min", MIN(Instances!EA26:Instances!EA26),"max", MAX(Instances!EA26:Instances!EA26),"diff", MAX(Instances!EA26:Instances!EA26)-MIN(Instances!EA26:Instances!EA26))</f>
        <v>0</v>
      </c>
      <c r="EB26" s="1" cm="1">
        <f t="array" ref="EB26">_xlfn.SWITCH($A$2,"average", AVERAGE(Instances!EB26:Instances!EB26),"median", MEDIAN(Instances!EB26:Instances!EB26),"min", MIN(Instances!EB26:Instances!EB26),"max", MAX(Instances!EB26:Instances!EB26),"diff", MAX(Instances!EB26:Instances!EB26)-MIN(Instances!EB26:Instances!EB26))</f>
        <v>0</v>
      </c>
      <c r="EC26" s="1" cm="1">
        <f t="array" ref="EC26">_xlfn.SWITCH($A$2,"average", AVERAGE(Instances!EC26:Instances!EC26),"median", MEDIAN(Instances!EC26:Instances!EC26),"min", MIN(Instances!EC26:Instances!EC26),"max", MAX(Instances!EC26:Instances!EC26),"diff", MAX(Instances!EC26:Instances!EC26)-MIN(Instances!EC26:Instances!EC26))</f>
        <v>0</v>
      </c>
      <c r="ED26" s="1" cm="1">
        <f t="array" ref="ED26">_xlfn.SWITCH($A$2,"average", AVERAGE(Instances!ED26:Instances!ED26),"median", MEDIAN(Instances!ED26:Instances!ED26),"min", MIN(Instances!ED26:Instances!ED26),"max", MAX(Instances!ED26:Instances!ED26),"diff", MAX(Instances!ED26:Instances!ED26)-MIN(Instances!ED26:Instances!ED26))</f>
        <v>0</v>
      </c>
      <c r="EE26" s="1" cm="1">
        <f t="array" ref="EE26">_xlfn.SWITCH($A$2,"average", AVERAGE(Instances!EE26:Instances!EE26),"median", MEDIAN(Instances!EE26:Instances!EE26),"min", MIN(Instances!EE26:Instances!EE26),"max", MAX(Instances!EE26:Instances!EE26),"diff", MAX(Instances!EE26:Instances!EE26)-MIN(Instances!EE26:Instances!EE26))</f>
        <v>0</v>
      </c>
      <c r="EF26" s="1" cm="1">
        <f t="array" ref="EF26">_xlfn.SWITCH($A$2,"average", AVERAGE(Instances!EF26:Instances!EF26),"median", MEDIAN(Instances!EF26:Instances!EF26),"min", MIN(Instances!EF26:Instances!EF26),"max", MAX(Instances!EF26:Instances!EF26),"diff", MAX(Instances!EF26:Instances!EF26)-MIN(Instances!EF26:Instances!EF26))</f>
        <v>0</v>
      </c>
      <c r="EG26" s="1" cm="1">
        <f t="array" ref="EG26">_xlfn.SWITCH($A$2,"average", AVERAGE(Instances!EG26:Instances!EG26),"median", MEDIAN(Instances!EG26:Instances!EG26),"min", MIN(Instances!EG26:Instances!EG26),"max", MAX(Instances!EG26:Instances!EG26),"diff", MAX(Instances!EG26:Instances!EG26)-MIN(Instances!EG26:Instances!EG26))</f>
        <v>0</v>
      </c>
      <c r="EH26" s="1" cm="1">
        <f t="array" ref="EH26">_xlfn.SWITCH($A$2,"average", AVERAGE(Instances!EH26:Instances!EH26),"median", MEDIAN(Instances!EH26:Instances!EH26),"min", MIN(Instances!EH26:Instances!EH26),"max", MAX(Instances!EH26:Instances!EH26),"diff", MAX(Instances!EH26:Instances!EH26)-MIN(Instances!EH26:Instances!EH26))</f>
        <v>0</v>
      </c>
      <c r="EI26" s="1" cm="1">
        <f t="array" ref="EI26">_xlfn.SWITCH($A$2,"average", AVERAGE(Instances!EI26:Instances!EI26),"median", MEDIAN(Instances!EI26:Instances!EI26),"min", MIN(Instances!EI26:Instances!EI26),"max", MAX(Instances!EI26:Instances!EI26),"diff", MAX(Instances!EI26:Instances!EI26)-MIN(Instances!EI26:Instances!EI26))</f>
        <v>0</v>
      </c>
      <c r="EJ26" s="1" cm="1">
        <f t="array" ref="EJ26">_xlfn.SWITCH($A$2,"average", AVERAGE(Instances!EJ26:Instances!EJ26),"median", MEDIAN(Instances!EJ26:Instances!EJ26),"min", MIN(Instances!EJ26:Instances!EJ26),"max", MAX(Instances!EJ26:Instances!EJ26),"diff", MAX(Instances!EJ26:Instances!EJ26)-MIN(Instances!EJ26:Instances!EJ26))</f>
        <v>0</v>
      </c>
      <c r="EK26" s="1" cm="1">
        <f t="array" ref="EK26">_xlfn.SWITCH($A$2,"average", AVERAGE(Instances!EK26:Instances!EK26),"median", MEDIAN(Instances!EK26:Instances!EK26),"min", MIN(Instances!EK26:Instances!EK26),"max", MAX(Instances!EK26:Instances!EK26),"diff", MAX(Instances!EK26:Instances!EK26)-MIN(Instances!EK26:Instances!EK26))</f>
        <v>0</v>
      </c>
      <c r="EL26" s="1"/>
      <c r="EM26" s="1" cm="1">
        <f t="array" ref="EM26">_xlfn.SWITCH($A$2,"average", AVERAGE(Instances!EM26:Instances!EM26),"median", MEDIAN(Instances!EM26:Instances!EM26),"min", MIN(Instances!EM26:Instances!EM26),"max", MAX(Instances!EM26:Instances!EM26),"diff", MAX(Instances!EM26:Instances!EM26)-MIN(Instances!EM26:Instances!EM26))</f>
        <v>0</v>
      </c>
      <c r="EN26" s="1" cm="1">
        <f t="array" ref="EN26">_xlfn.SWITCH($A$2,"average", AVERAGE(Instances!EN26:Instances!EN26),"median", MEDIAN(Instances!EN26:Instances!EN26),"min", MIN(Instances!EN26:Instances!EN26),"max", MAX(Instances!EN26:Instances!EN26),"diff", MAX(Instances!EN26:Instances!EN26)-MIN(Instances!EN26:Instances!EN26))</f>
        <v>0</v>
      </c>
      <c r="EO26" s="1" cm="1">
        <f t="array" ref="EO26">_xlfn.SWITCH($A$2,"average", AVERAGE(Instances!EO26:Instances!EO26),"median", MEDIAN(Instances!EO26:Instances!EO26),"min", MIN(Instances!EO26:Instances!EO26),"max", MAX(Instances!EO26:Instances!EO26),"diff", MAX(Instances!EO26:Instances!EO26)-MIN(Instances!EO26:Instances!EO26))</f>
        <v>0</v>
      </c>
      <c r="EP26" s="1" cm="1">
        <f t="array" ref="EP26">_xlfn.SWITCH($A$2,"average", AVERAGE(Instances!EP26:Instances!EP26),"median", MEDIAN(Instances!EP26:Instances!EP26),"min", MIN(Instances!EP26:Instances!EP26),"max", MAX(Instances!EP26:Instances!EP26),"diff", MAX(Instances!EP26:Instances!EP26)-MIN(Instances!EP26:Instances!EP26))</f>
        <v>0</v>
      </c>
      <c r="EQ26" s="1" cm="1">
        <f t="array" ref="EQ26">_xlfn.SWITCH($A$2,"average", AVERAGE(Instances!EQ26:Instances!EQ26),"median", MEDIAN(Instances!EQ26:Instances!EQ26),"min", MIN(Instances!EQ26:Instances!EQ26),"max", MAX(Instances!EQ26:Instances!EQ26),"diff", MAX(Instances!EQ26:Instances!EQ26)-MIN(Instances!EQ26:Instances!EQ26))</f>
        <v>0</v>
      </c>
      <c r="ER26" s="1" cm="1">
        <f t="array" ref="ER26">_xlfn.SWITCH($A$2,"average", AVERAGE(Instances!ER26:Instances!ER26),"median", MEDIAN(Instances!ER26:Instances!ER26),"min", MIN(Instances!ER26:Instances!ER26),"max", MAX(Instances!ER26:Instances!ER26),"diff", MAX(Instances!ER26:Instances!ER26)-MIN(Instances!ER26:Instances!ER26))</f>
        <v>0</v>
      </c>
      <c r="ES26" s="1" cm="1">
        <f t="array" ref="ES26">_xlfn.SWITCH($A$2,"average", AVERAGE(Instances!ES26:Instances!ES26),"median", MEDIAN(Instances!ES26:Instances!ES26),"min", MIN(Instances!ES26:Instances!ES26),"max", MAX(Instances!ES26:Instances!ES26),"diff", MAX(Instances!ES26:Instances!ES26)-MIN(Instances!ES26:Instances!ES26))</f>
        <v>0</v>
      </c>
      <c r="ET26" s="1" cm="1">
        <f t="array" ref="ET26">_xlfn.SWITCH($A$2,"average", AVERAGE(Instances!ET26:Instances!ET26),"median", MEDIAN(Instances!ET26:Instances!ET26),"min", MIN(Instances!ET26:Instances!ET26),"max", MAX(Instances!ET26:Instances!ET26),"diff", MAX(Instances!ET26:Instances!ET26)-MIN(Instances!ET26:Instances!ET26))</f>
        <v>0</v>
      </c>
      <c r="EU26" s="1" cm="1">
        <f t="array" ref="EU26">_xlfn.SWITCH($A$2,"average", AVERAGE(Instances!EU26:Instances!EU26),"median", MEDIAN(Instances!EU26:Instances!EU26),"min", MIN(Instances!EU26:Instances!EU26),"max", MAX(Instances!EU26:Instances!EU26),"diff", MAX(Instances!EU26:Instances!EU26)-MIN(Instances!EU26:Instances!EU26))</f>
        <v>0</v>
      </c>
      <c r="EV26" s="1" cm="1">
        <f t="array" ref="EV26">_xlfn.SWITCH($A$2,"average", AVERAGE(Instances!EV26:Instances!EV26),"median", MEDIAN(Instances!EV26:Instances!EV26),"min", MIN(Instances!EV26:Instances!EV26),"max", MAX(Instances!EV26:Instances!EV26),"diff", MAX(Instances!EV26:Instances!EV26)-MIN(Instances!EV26:Instances!EV26))</f>
        <v>0</v>
      </c>
      <c r="EW26" s="1" cm="1">
        <f t="array" ref="EW26">_xlfn.SWITCH($A$2,"average", AVERAGE(Instances!EW26:Instances!EW26),"median", MEDIAN(Instances!EW26:Instances!EW26),"min", MIN(Instances!EW26:Instances!EW26),"max", MAX(Instances!EW26:Instances!EW26),"diff", MAX(Instances!EW26:Instances!EW26)-MIN(Instances!EW26:Instances!EW26))</f>
        <v>0</v>
      </c>
      <c r="EX26" s="1" cm="1">
        <f t="array" ref="EX26">_xlfn.SWITCH($A$2,"average", AVERAGE(Instances!EX26:Instances!EX26),"median", MEDIAN(Instances!EX26:Instances!EX26),"min", MIN(Instances!EX26:Instances!EX26),"max", MAX(Instances!EX26:Instances!EX26),"diff", MAX(Instances!EX26:Instances!EX26)-MIN(Instances!EX26:Instances!EX26))</f>
        <v>0</v>
      </c>
      <c r="EY26" s="1" cm="1">
        <f t="array" ref="EY26">_xlfn.SWITCH($A$2,"average", AVERAGE(Instances!EY26:Instances!EY26),"median", MEDIAN(Instances!EY26:Instances!EY26),"min", MIN(Instances!EY26:Instances!EY26),"max", MAX(Instances!EY26:Instances!EY26),"diff", MAX(Instances!EY26:Instances!EY26)-MIN(Instances!EY26:Instances!EY26))</f>
        <v>0</v>
      </c>
      <c r="EZ26" s="1" cm="1">
        <f t="array" ref="EZ26">_xlfn.SWITCH($A$2,"average", AVERAGE(Instances!EZ26:Instances!EZ26),"median", MEDIAN(Instances!EZ26:Instances!EZ26),"min", MIN(Instances!EZ26:Instances!EZ26),"max", MAX(Instances!EZ26:Instances!EZ26),"diff", MAX(Instances!EZ26:Instances!EZ26)-MIN(Instances!EZ26:Instances!EZ26))</f>
        <v>0</v>
      </c>
      <c r="FA26" s="1" cm="1">
        <f t="array" ref="FA26">_xlfn.SWITCH($A$2,"average", AVERAGE(Instances!FA26:Instances!FA26),"median", MEDIAN(Instances!FA26:Instances!FA26),"min", MIN(Instances!FA26:Instances!FA26),"max", MAX(Instances!FA26:Instances!FA26),"diff", MAX(Instances!FA26:Instances!FA26)-MIN(Instances!FA26:Instances!FA26))</f>
        <v>0</v>
      </c>
      <c r="FB26" s="1" cm="1">
        <f t="array" ref="FB26">_xlfn.SWITCH($A$2,"average", AVERAGE(Instances!FB26:Instances!FB26),"median", MEDIAN(Instances!FB26:Instances!FB26),"min", MIN(Instances!FB26:Instances!FB26),"max", MAX(Instances!FB26:Instances!FB26),"diff", MAX(Instances!FB26:Instances!FB26)-MIN(Instances!FB26:Instances!FB26))</f>
        <v>0</v>
      </c>
      <c r="FC26" s="1" cm="1">
        <f t="array" ref="FC26">_xlfn.SWITCH($A$2,"average", AVERAGE(Instances!FC26:Instances!FC26),"median", MEDIAN(Instances!FC26:Instances!FC26),"min", MIN(Instances!FC26:Instances!FC26),"max", MAX(Instances!FC26:Instances!FC26),"diff", MAX(Instances!FC26:Instances!FC26)-MIN(Instances!FC26:Instances!FC26))</f>
        <v>0</v>
      </c>
      <c r="FD26" s="1"/>
      <c r="FE26" s="1" cm="1">
        <f t="array" ref="FE26">_xlfn.SWITCH($A$2,"average", AVERAGE(Instances!FE26:Instances!FE26),"median", MEDIAN(Instances!FE26:Instances!FE26),"min", MIN(Instances!FE26:Instances!FE26),"max", MAX(Instances!FE26:Instances!FE26),"diff", MAX(Instances!FE26:Instances!FE26)-MIN(Instances!FE26:Instances!FE26))</f>
        <v>0</v>
      </c>
      <c r="FF26" s="1" cm="1">
        <f t="array" ref="FF26">_xlfn.SWITCH($A$2,"average", AVERAGE(Instances!FF26:Instances!FF26),"median", MEDIAN(Instances!FF26:Instances!FF26),"min", MIN(Instances!FF26:Instances!FF26),"max", MAX(Instances!FF26:Instances!FF26),"diff", MAX(Instances!FF26:Instances!FF26)-MIN(Instances!FF26:Instances!FF26))</f>
        <v>0</v>
      </c>
      <c r="FG26" s="1" cm="1">
        <f t="array" ref="FG26">_xlfn.SWITCH($A$2,"average", AVERAGE(Instances!FG26:Instances!FG26),"median", MEDIAN(Instances!FG26:Instances!FG26),"min", MIN(Instances!FG26:Instances!FG26),"max", MAX(Instances!FG26:Instances!FG26),"diff", MAX(Instances!FG26:Instances!FG26)-MIN(Instances!FG26:Instances!FG26))</f>
        <v>0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 cm="1">
        <f t="array" ref="FZ26">_xlfn.SWITCH($A$2,"average", AVERAGE(Instances!FZ26:Instances!FZ26),"median", MEDIAN(Instances!FZ26:Instances!FZ26),"min", MIN(Instances!FZ26:Instances!FZ26),"max", MAX(Instances!FZ26:Instances!FZ26),"diff", MAX(Instances!FZ26:Instances!FZ26)-MIN(Instances!FZ26:Instances!FZ26))</f>
        <v>0</v>
      </c>
      <c r="GA26" s="1" cm="1">
        <f t="array" ref="GA26">_xlfn.SWITCH($A$2,"average", AVERAGE(Instances!GA26:Instances!GA26),"median", MEDIAN(Instances!GA26:Instances!GA26),"min", MIN(Instances!GA26:Instances!GA26),"max", MAX(Instances!GA26:Instances!GA26),"diff", MAX(Instances!GA26:Instances!GA26)-MIN(Instances!GA26:Instances!GA26))</f>
        <v>0</v>
      </c>
      <c r="GB26" s="1" cm="1">
        <f t="array" ref="GB26">_xlfn.SWITCH($A$2,"average", AVERAGE(Instances!GB26:Instances!GB26),"median", MEDIAN(Instances!GB26:Instances!GB26),"min", MIN(Instances!GB26:Instances!GB26),"max", MAX(Instances!GB26:Instances!GB26),"diff", MAX(Instances!GB26:Instances!GB26)-MIN(Instances!GB26:Instances!GB26))</f>
        <v>0</v>
      </c>
      <c r="GC26" s="1" cm="1">
        <f t="array" ref="GC26">_xlfn.SWITCH($A$2,"average", AVERAGE(Instances!GC26:Instances!GC26),"median", MEDIAN(Instances!GC26:Instances!GC26),"min", MIN(Instances!GC26:Instances!GC26),"max", MAX(Instances!GC26:Instances!GC26),"diff", MAX(Instances!GC26:Instances!GC26)-MIN(Instances!GC26:Instances!GC26))</f>
        <v>0</v>
      </c>
      <c r="GD26" s="1" cm="1">
        <f t="array" ref="GD26">_xlfn.SWITCH($A$2,"average", AVERAGE(Instances!GD26:Instances!GD26),"median", MEDIAN(Instances!GD26:Instances!GD26),"min", MIN(Instances!GD26:Instances!GD26),"max", MAX(Instances!GD26:Instances!GD26),"diff", MAX(Instances!GD26:Instances!GD26)-MIN(Instances!GD26:Instances!GD26))</f>
        <v>0</v>
      </c>
      <c r="GE26" s="1" cm="1">
        <f t="array" ref="GE26">_xlfn.SWITCH($A$2,"average", AVERAGE(Instances!GE26:Instances!GE26),"median", MEDIAN(Instances!GE26:Instances!GE26),"min", MIN(Instances!GE26:Instances!GE26),"max", MAX(Instances!GE26:Instances!GE26),"diff", MAX(Instances!GE26:Instances!GE26)-MIN(Instances!GE26:Instances!GE26))</f>
        <v>0</v>
      </c>
      <c r="GF26" s="1" cm="1">
        <f t="array" ref="GF26">_xlfn.SWITCH($A$2,"average", AVERAGE(Instances!GF26:Instances!GF26),"median", MEDIAN(Instances!GF26:Instances!GF26),"min", MIN(Instances!GF26:Instances!GF26),"max", MAX(Instances!GF26:Instances!GF26),"diff", MAX(Instances!GF26:Instances!GF26)-MIN(Instances!GF26:Instances!GF26))</f>
        <v>0</v>
      </c>
      <c r="GG26" s="1" cm="1">
        <f t="array" ref="GG26">_xlfn.SWITCH($A$2,"average", AVERAGE(Instances!GG26:Instances!GG26),"median", MEDIAN(Instances!GG26:Instances!GG26),"min", MIN(Instances!GG26:Instances!GG26),"max", MAX(Instances!GG26:Instances!GG26),"diff", MAX(Instances!GG26:Instances!GG26)-MIN(Instances!GG26:Instances!GG26))</f>
        <v>0</v>
      </c>
      <c r="GH26" s="1" cm="1">
        <f t="array" ref="GH26">_xlfn.SWITCH($A$2,"average", AVERAGE(Instances!GH26:Instances!GH26),"median", MEDIAN(Instances!GH26:Instances!GH26),"min", MIN(Instances!GH26:Instances!GH26),"max", MAX(Instances!GH26:Instances!GH26),"diff", MAX(Instances!GH26:Instances!GH26)-MIN(Instances!GH26:Instances!GH26))</f>
        <v>0</v>
      </c>
      <c r="GI26" s="1" cm="1">
        <f t="array" ref="GI26">_xlfn.SWITCH($A$2,"average", AVERAGE(Instances!GI26:Instances!GI26),"median", MEDIAN(Instances!GI26:Instances!GI26),"min", MIN(Instances!GI26:Instances!GI26),"max", MAX(Instances!GI26:Instances!GI26),"diff", MAX(Instances!GI26:Instances!GI26)-MIN(Instances!GI26:Instances!GI26))</f>
        <v>0</v>
      </c>
      <c r="GJ26" s="1" cm="1">
        <f t="array" ref="GJ26">_xlfn.SWITCH($A$2,"average", AVERAGE(Instances!GJ26:Instances!GJ26),"median", MEDIAN(Instances!GJ26:Instances!GJ26),"min", MIN(Instances!GJ26:Instances!GJ26),"max", MAX(Instances!GJ26:Instances!GJ26),"diff", MAX(Instances!GJ26:Instances!GJ26)-MIN(Instances!GJ26:Instances!GJ26))</f>
        <v>0</v>
      </c>
      <c r="GK26" s="1" cm="1">
        <f t="array" ref="GK26">_xlfn.SWITCH($A$2,"average", AVERAGE(Instances!GK26:Instances!GK26),"median", MEDIAN(Instances!GK26:Instances!GK26),"min", MIN(Instances!GK26:Instances!GK26),"max", MAX(Instances!GK26:Instances!GK26),"diff", MAX(Instances!GK26:Instances!GK26)-MIN(Instances!GK26:Instances!GK26))</f>
        <v>0</v>
      </c>
      <c r="GL26" s="1" cm="1">
        <f t="array" ref="GL26">_xlfn.SWITCH($A$2,"average", AVERAGE(Instances!GL26:Instances!GL26),"median", MEDIAN(Instances!GL26:Instances!GL26),"min", MIN(Instances!GL26:Instances!GL26),"max", MAX(Instances!GL26:Instances!GL26),"diff", MAX(Instances!GL26:Instances!GL26)-MIN(Instances!GL26:Instances!GL26))</f>
        <v>0</v>
      </c>
      <c r="GM26" s="1" cm="1">
        <f t="array" ref="GM26">_xlfn.SWITCH($A$2,"average", AVERAGE(Instances!GM26:Instances!GM26),"median", MEDIAN(Instances!GM26:Instances!GM26),"min", MIN(Instances!GM26:Instances!GM26),"max", MAX(Instances!GM26:Instances!GM26),"diff", MAX(Instances!GM26:Instances!GM26)-MIN(Instances!GM26:Instances!GM26))</f>
        <v>0</v>
      </c>
      <c r="GN26" s="1"/>
      <c r="GO26" s="1" cm="1">
        <f t="array" ref="GO26">_xlfn.SWITCH($A$2,"average", AVERAGE(Instances!GO26:Instances!GO26),"median", MEDIAN(Instances!GO26:Instances!GO26),"min", MIN(Instances!GO26:Instances!GO26),"max", MAX(Instances!GO26:Instances!GO26),"diff", MAX(Instances!GO26:Instances!GO26)-MIN(Instances!GO26:Instances!GO26))</f>
        <v>0</v>
      </c>
      <c r="GP26" s="1" cm="1">
        <f t="array" ref="GP26">_xlfn.SWITCH($A$2,"average", AVERAGE(Instances!GP26:Instances!GP26),"median", MEDIAN(Instances!GP26:Instances!GP26),"min", MIN(Instances!GP26:Instances!GP26),"max", MAX(Instances!GP26:Instances!GP26),"diff", MAX(Instances!GP26:Instances!GP26)-MIN(Instances!GP26:Instances!GP26))</f>
        <v>0</v>
      </c>
      <c r="GQ26" s="1" cm="1">
        <f t="array" ref="GQ26">_xlfn.SWITCH($A$2,"average", AVERAGE(Instances!GQ26:Instances!GQ26),"median", MEDIAN(Instances!GQ26:Instances!GQ26),"min", MIN(Instances!GQ26:Instances!GQ26),"max", MAX(Instances!GQ26:Instances!GQ26),"diff", MAX(Instances!GQ26:Instances!GQ26)-MIN(Instances!GQ26:Instances!GQ26))</f>
        <v>0</v>
      </c>
      <c r="GR26" s="1" cm="1">
        <f t="array" ref="GR26">_xlfn.SWITCH($A$2,"average", AVERAGE(Instances!GR26:Instances!GR26),"median", MEDIAN(Instances!GR26:Instances!GR26),"min", MIN(Instances!GR26:Instances!GR26),"max", MAX(Instances!GR26:Instances!GR26),"diff", MAX(Instances!GR26:Instances!GR26)-MIN(Instances!GR26:Instances!GR26))</f>
        <v>0</v>
      </c>
      <c r="GS26" s="1" cm="1">
        <f t="array" ref="GS26">_xlfn.SWITCH($A$2,"average", AVERAGE(Instances!GS26:Instances!GS26),"median", MEDIAN(Instances!GS26:Instances!GS26),"min", MIN(Instances!GS26:Instances!GS26),"max", MAX(Instances!GS26:Instances!GS26),"diff", MAX(Instances!GS26:Instances!GS26)-MIN(Instances!GS26:Instances!GS26))</f>
        <v>0</v>
      </c>
      <c r="GT26" s="1" cm="1">
        <f t="array" ref="GT26">_xlfn.SWITCH($A$2,"average", AVERAGE(Instances!GT26:Instances!GT26),"median", MEDIAN(Instances!GT26:Instances!GT26),"min", MIN(Instances!GT26:Instances!GT26),"max", MAX(Instances!GT26:Instances!GT26),"diff", MAX(Instances!GT26:Instances!GT26)-MIN(Instances!GT26:Instances!GT26))</f>
        <v>0</v>
      </c>
      <c r="GU26" s="1" cm="1">
        <f t="array" ref="GU26">_xlfn.SWITCH($A$2,"average", AVERAGE(Instances!GU26:Instances!GU26),"median", MEDIAN(Instances!GU26:Instances!GU26),"min", MIN(Instances!GU26:Instances!GU26),"max", MAX(Instances!GU26:Instances!GU26),"diff", MAX(Instances!GU26:Instances!GU26)-MIN(Instances!GU26:Instances!GU26))</f>
        <v>0</v>
      </c>
      <c r="GV26" s="1" cm="1">
        <f t="array" ref="GV26">_xlfn.SWITCH($A$2,"average", AVERAGE(Instances!GV26:Instances!GV26),"median", MEDIAN(Instances!GV26:Instances!GV26),"min", MIN(Instances!GV26:Instances!GV26),"max", MAX(Instances!GV26:Instances!GV26),"diff", MAX(Instances!GV26:Instances!GV26)-MIN(Instances!GV26:Instances!GV26))</f>
        <v>0</v>
      </c>
      <c r="GW26" s="1" cm="1">
        <f t="array" ref="GW26">_xlfn.SWITCH($A$2,"average", AVERAGE(Instances!GW26:Instances!GW26),"median", MEDIAN(Instances!GW26:Instances!GW26),"min", MIN(Instances!GW26:Instances!GW26),"max", MAX(Instances!GW26:Instances!GW26),"diff", MAX(Instances!GW26:Instances!GW26)-MIN(Instances!GW26:Instances!GW26))</f>
        <v>0</v>
      </c>
      <c r="GX26" s="1" cm="1">
        <f t="array" ref="GX26">_xlfn.SWITCH($A$2,"average", AVERAGE(Instances!GX26:Instances!GX26),"median", MEDIAN(Instances!GX26:Instances!GX26),"min", MIN(Instances!GX26:Instances!GX26),"max", MAX(Instances!GX26:Instances!GX26),"diff", MAX(Instances!GX26:Instances!GX26)-MIN(Instances!GX26:Instances!GX26))</f>
        <v>0</v>
      </c>
      <c r="GY26" s="1" cm="1">
        <f t="array" ref="GY26">_xlfn.SWITCH($A$2,"average", AVERAGE(Instances!GY26:Instances!GY26),"median", MEDIAN(Instances!GY26:Instances!GY26),"min", MIN(Instances!GY26:Instances!GY26),"max", MAX(Instances!GY26:Instances!GY26),"diff", MAX(Instances!GY26:Instances!GY26)-MIN(Instances!GY26:Instances!GY26))</f>
        <v>0</v>
      </c>
      <c r="GZ26" s="1" cm="1">
        <f t="array" ref="GZ26">_xlfn.SWITCH($A$2,"average", AVERAGE(Instances!GZ26:Instances!GZ26),"median", MEDIAN(Instances!GZ26:Instances!GZ26),"min", MIN(Instances!GZ26:Instances!GZ26),"max", MAX(Instances!GZ26:Instances!GZ26),"diff", MAX(Instances!GZ26:Instances!GZ26)-MIN(Instances!GZ26:Instances!GZ26))</f>
        <v>0</v>
      </c>
      <c r="HA26" s="1" cm="1">
        <f t="array" ref="HA26">_xlfn.SWITCH($A$2,"average", AVERAGE(Instances!HA26:Instances!HA26),"median", MEDIAN(Instances!HA26:Instances!HA26),"min", MIN(Instances!HA26:Instances!HA26),"max", MAX(Instances!HA26:Instances!HA26),"diff", MAX(Instances!HA26:Instances!HA26)-MIN(Instances!HA26:Instances!HA26))</f>
        <v>0</v>
      </c>
      <c r="HB26" s="1" cm="1">
        <f t="array" ref="HB26">_xlfn.SWITCH($A$2,"average", AVERAGE(Instances!HB26:Instances!HB26),"median", MEDIAN(Instances!HB26:Instances!HB26),"min", MIN(Instances!HB26:Instances!HB26),"max", MAX(Instances!HB26:Instances!HB26),"diff", MAX(Instances!HB26:Instances!HB26)-MIN(Instances!HB26:Instances!HB26))</f>
        <v>0</v>
      </c>
      <c r="HC26" s="1" cm="1">
        <f t="array" ref="HC26">_xlfn.SWITCH($A$2,"average", AVERAGE(Instances!HC26:Instances!HC26),"median", MEDIAN(Instances!HC26:Instances!HC26),"min", MIN(Instances!HC26:Instances!HC26),"max", MAX(Instances!HC26:Instances!HC26),"diff", MAX(Instances!HC26:Instances!HC26)-MIN(Instances!HC26:Instances!HC26))</f>
        <v>0</v>
      </c>
      <c r="HD26" s="1" cm="1">
        <f t="array" ref="HD26">_xlfn.SWITCH($A$2,"average", AVERAGE(Instances!HD26:Instances!HD26),"median", MEDIAN(Instances!HD26:Instances!HD26),"min", MIN(Instances!HD26:Instances!HD26),"max", MAX(Instances!HD26:Instances!HD26),"diff", MAX(Instances!HD26:Instances!HD26)-MIN(Instances!HD26:Instances!HD26))</f>
        <v>0</v>
      </c>
      <c r="HE26" s="1" cm="1">
        <f t="array" ref="HE26">_xlfn.SWITCH($A$2,"average", AVERAGE(Instances!HE26:Instances!HE26),"median", MEDIAN(Instances!HE26:Instances!HE26),"min", MIN(Instances!HE26:Instances!HE26),"max", MAX(Instances!HE26:Instances!HE26),"diff", MAX(Instances!HE26:Instances!HE26)-MIN(Instances!HE26:Instances!HE26))</f>
        <v>0</v>
      </c>
      <c r="HF26" s="1"/>
      <c r="HG26" s="1" cm="1">
        <f t="array" ref="HG26">_xlfn.SWITCH($A$2,"average", AVERAGE(Instances!HG26:Instances!HG26),"median", MEDIAN(Instances!HG26:Instances!HG26),"min", MIN(Instances!HG26:Instances!HG26),"max", MAX(Instances!HG26:Instances!HG26),"diff", MAX(Instances!HG26:Instances!HG26)-MIN(Instances!HG26:Instances!HG26))</f>
        <v>0</v>
      </c>
      <c r="HH26" s="1" cm="1">
        <f t="array" ref="HH26">_xlfn.SWITCH($A$2,"average", AVERAGE(Instances!HH26:Instances!HH26),"median", MEDIAN(Instances!HH26:Instances!HH26),"min", MIN(Instances!HH26:Instances!HH26),"max", MAX(Instances!HH26:Instances!HH26),"diff", MAX(Instances!HH26:Instances!HH26)-MIN(Instances!HH26:Instances!HH26))</f>
        <v>0</v>
      </c>
      <c r="HI26" s="1" cm="1">
        <f t="array" ref="HI26">_xlfn.SWITCH($A$2,"average", AVERAGE(Instances!HI26:Instances!HI26),"median", MEDIAN(Instances!HI26:Instances!HI26),"min", MIN(Instances!HI26:Instances!HI26),"max", MAX(Instances!HI26:Instances!HI26),"diff", MAX(Instances!HI26:Instances!HI26)-MIN(Instances!HI26:Instances!HI26))</f>
        <v>0</v>
      </c>
      <c r="HJ26" s="1" cm="1">
        <f t="array" ref="HJ26">_xlfn.SWITCH($A$2,"average", AVERAGE(Instances!HJ26:Instances!HJ26),"median", MEDIAN(Instances!HJ26:Instances!HJ26),"min", MIN(Instances!HJ26:Instances!HJ26),"max", MAX(Instances!HJ26:Instances!HJ26),"diff", MAX(Instances!HJ26:Instances!HJ26)-MIN(Instances!HJ26:Instances!HJ26))</f>
        <v>0</v>
      </c>
      <c r="HK26" s="1" cm="1">
        <f t="array" ref="HK26">_xlfn.SWITCH($A$2,"average", AVERAGE(Instances!HK26:Instances!HK26),"median", MEDIAN(Instances!HK26:Instances!HK26),"min", MIN(Instances!HK26:Instances!HK26),"max", MAX(Instances!HK26:Instances!HK26),"diff", MAX(Instances!HK26:Instances!HK26)-MIN(Instances!HK26:Instances!HK26))</f>
        <v>0</v>
      </c>
      <c r="HL26" s="1" cm="1">
        <f t="array" ref="HL26">_xlfn.SWITCH($A$2,"average", AVERAGE(Instances!HL26:Instances!HL26),"median", MEDIAN(Instances!HL26:Instances!HL26),"min", MIN(Instances!HL26:Instances!HL26),"max", MAX(Instances!HL26:Instances!HL26),"diff", MAX(Instances!HL26:Instances!HL26)-MIN(Instances!HL26:Instances!HL26))</f>
        <v>0</v>
      </c>
      <c r="HM26" s="1" cm="1">
        <f t="array" ref="HM26">_xlfn.SWITCH($A$2,"average", AVERAGE(Instances!HM26:Instances!HM26),"median", MEDIAN(Instances!HM26:Instances!HM26),"min", MIN(Instances!HM26:Instances!HM26),"max", MAX(Instances!HM26:Instances!HM26),"diff", MAX(Instances!HM26:Instances!HM26)-MIN(Instances!HM26:Instances!HM26))</f>
        <v>0</v>
      </c>
      <c r="HN26" s="1" cm="1">
        <f t="array" ref="HN26">_xlfn.SWITCH($A$2,"average", AVERAGE(Instances!HN26:Instances!HN26),"median", MEDIAN(Instances!HN26:Instances!HN26),"min", MIN(Instances!HN26:Instances!HN26),"max", MAX(Instances!HN26:Instances!HN26),"diff", MAX(Instances!HN26:Instances!HN26)-MIN(Instances!HN26:Instances!HN26))</f>
        <v>0</v>
      </c>
      <c r="HO26" s="1" cm="1">
        <f t="array" ref="HO26">_xlfn.SWITCH($A$2,"average", AVERAGE(Instances!HO26:Instances!HO26),"median", MEDIAN(Instances!HO26:Instances!HO26),"min", MIN(Instances!HO26:Instances!HO26),"max", MAX(Instances!HO26:Instances!HO26),"diff", MAX(Instances!HO26:Instances!HO26)-MIN(Instances!HO26:Instances!HO26))</f>
        <v>0</v>
      </c>
      <c r="HP26" s="1" cm="1">
        <f t="array" ref="HP26">_xlfn.SWITCH($A$2,"average", AVERAGE(Instances!HP26:Instances!HP26),"median", MEDIAN(Instances!HP26:Instances!HP26),"min", MIN(Instances!HP26:Instances!HP26),"max", MAX(Instances!HP26:Instances!HP26),"diff", MAX(Instances!HP26:Instances!HP26)-MIN(Instances!HP26:Instances!HP26))</f>
        <v>0</v>
      </c>
      <c r="HQ26" s="1" cm="1">
        <f t="array" ref="HQ26">_xlfn.SWITCH($A$2,"average", AVERAGE(Instances!HQ26:Instances!HQ26),"median", MEDIAN(Instances!HQ26:Instances!HQ26),"min", MIN(Instances!HQ26:Instances!HQ26),"max", MAX(Instances!HQ26:Instances!HQ26),"diff", MAX(Instances!HQ26:Instances!HQ26)-MIN(Instances!HQ26:Instances!HQ26))</f>
        <v>0</v>
      </c>
      <c r="HR26" s="1" cm="1">
        <f t="array" ref="HR26">_xlfn.SWITCH($A$2,"average", AVERAGE(Instances!HR26:Instances!HR26),"median", MEDIAN(Instances!HR26:Instances!HR26),"min", MIN(Instances!HR26:Instances!HR26),"max", MAX(Instances!HR26:Instances!HR26),"diff", MAX(Instances!HR26:Instances!HR26)-MIN(Instances!HR26:Instances!HR26))</f>
        <v>0</v>
      </c>
      <c r="HS26" s="1" cm="1">
        <f t="array" ref="HS26">_xlfn.SWITCH($A$2,"average", AVERAGE(Instances!HS26:Instances!HS26),"median", MEDIAN(Instances!HS26:Instances!HS26),"min", MIN(Instances!HS26:Instances!HS26),"max", MAX(Instances!HS26:Instances!HS26),"diff", MAX(Instances!HS26:Instances!HS26)-MIN(Instances!HS26:Instances!HS26))</f>
        <v>0</v>
      </c>
      <c r="HT26" s="1" cm="1">
        <f t="array" ref="HT26">_xlfn.SWITCH($A$2,"average", AVERAGE(Instances!HT26:Instances!HT26),"median", MEDIAN(Instances!HT26:Instances!HT26),"min", MIN(Instances!HT26:Instances!HT26),"max", MAX(Instances!HT26:Instances!HT26),"diff", MAX(Instances!HT26:Instances!HT26)-MIN(Instances!HT26:Instances!HT26))</f>
        <v>0</v>
      </c>
      <c r="HU26" s="1" cm="1">
        <f t="array" ref="HU26">_xlfn.SWITCH($A$2,"average", AVERAGE(Instances!HU26:Instances!HU26),"median", MEDIAN(Instances!HU26:Instances!HU26),"min", MIN(Instances!HU26:Instances!HU26),"max", MAX(Instances!HU26:Instances!HU26),"diff", MAX(Instances!HU26:Instances!HU26)-MIN(Instances!HU26:Instances!HU26))</f>
        <v>0</v>
      </c>
      <c r="HV26" s="1" cm="1">
        <f t="array" ref="HV26">_xlfn.SWITCH($A$2,"average", AVERAGE(Instances!HV26:Instances!HV26),"median", MEDIAN(Instances!HV26:Instances!HV26),"min", MIN(Instances!HV26:Instances!HV26),"max", MAX(Instances!HV26:Instances!HV26),"diff", MAX(Instances!HV26:Instances!HV26)-MIN(Instances!HV26:Instances!HV26))</f>
        <v>0</v>
      </c>
      <c r="HW26" s="1" cm="1">
        <f t="array" ref="HW26">_xlfn.SWITCH($A$2,"average", AVERAGE(Instances!HW26:Instances!HW26),"median", MEDIAN(Instances!HW26:Instances!HW26),"min", MIN(Instances!HW26:Instances!HW26),"max", MAX(Instances!HW26:Instances!HW26),"diff", MAX(Instances!HW26:Instances!HW26)-MIN(Instances!HW26:Instances!HW26))</f>
        <v>0</v>
      </c>
      <c r="HX26" s="1"/>
      <c r="HY26" s="1" cm="1">
        <f t="array" ref="HY26">_xlfn.SWITCH($A$2,"average", AVERAGE(Instances!HY26:Instances!HY26),"median", MEDIAN(Instances!HY26:Instances!HY26),"min", MIN(Instances!HY26:Instances!HY26),"max", MAX(Instances!HY26:Instances!HY26),"diff", MAX(Instances!HY26:Instances!HY26)-MIN(Instances!HY26:Instances!HY26))</f>
        <v>0</v>
      </c>
      <c r="HZ26" s="1" cm="1">
        <f t="array" ref="HZ26">_xlfn.SWITCH($A$2,"average", AVERAGE(Instances!HZ26:Instances!HZ26),"median", MEDIAN(Instances!HZ26:Instances!HZ26),"min", MIN(Instances!HZ26:Instances!HZ26),"max", MAX(Instances!HZ26:Instances!HZ26),"diff", MAX(Instances!HZ26:Instances!HZ26)-MIN(Instances!HZ26:Instances!HZ26))</f>
        <v>0</v>
      </c>
      <c r="IA26" s="1" cm="1">
        <f t="array" ref="IA26">_xlfn.SWITCH($A$2,"average", AVERAGE(Instances!IA26:Instances!IA26),"median", MEDIAN(Instances!IA26:Instances!IA26),"min", MIN(Instances!IA26:Instances!IA26),"max", MAX(Instances!IA26:Instances!IA26),"diff", MAX(Instances!IA26:Instances!IA26)-MIN(Instances!IA26:Instances!IA26))</f>
        <v>0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 cm="1">
        <f t="array" ref="JL26">_xlfn.SWITCH($A$2,"average", AVERAGE(Instances!JL26:Instances!JL26),"median", MEDIAN(Instances!JL26:Instances!JL26),"min", MIN(Instances!JL26:Instances!JL26),"max", MAX(Instances!JL26:Instances!JL26),"diff", MAX(Instances!JL26:Instances!JL26)-MIN(Instances!JL26:Instances!JL26))</f>
        <v>0</v>
      </c>
      <c r="JM26" s="1" cm="1">
        <f t="array" ref="JM26">_xlfn.SWITCH($A$2,"average", AVERAGE(Instances!JM26:Instances!JM26),"median", MEDIAN(Instances!JM26:Instances!JM26),"min", MIN(Instances!JM26:Instances!JM26),"max", MAX(Instances!JM26:Instances!JM26),"diff", MAX(Instances!JM26:Instances!JM26)-MIN(Instances!JM26:Instances!JM26))</f>
        <v>0</v>
      </c>
      <c r="JN26" s="1" cm="1">
        <f t="array" ref="JN26">_xlfn.SWITCH($A$2,"average", AVERAGE(Instances!JN26:Instances!JN26),"median", MEDIAN(Instances!JN26:Instances!JN26),"min", MIN(Instances!JN26:Instances!JN26),"max", MAX(Instances!JN26:Instances!JN26),"diff", MAX(Instances!JN26:Instances!JN26)-MIN(Instances!JN26:Instances!JN26))</f>
        <v>0</v>
      </c>
      <c r="JO26" s="1" cm="1">
        <f t="array" ref="JO26">_xlfn.SWITCH($A$2,"average", AVERAGE(Instances!JO26:Instances!JO26),"median", MEDIAN(Instances!JO26:Instances!JO26),"min", MIN(Instances!JO26:Instances!JO26),"max", MAX(Instances!JO26:Instances!JO26),"diff", MAX(Instances!JO26:Instances!JO26)-MIN(Instances!JO26:Instances!JO26))</f>
        <v>0</v>
      </c>
      <c r="JP26" s="1" cm="1">
        <f t="array" ref="JP26">_xlfn.SWITCH($A$2,"average", AVERAGE(Instances!JP26:Instances!JP26),"median", MEDIAN(Instances!JP26:Instances!JP26),"min", MIN(Instances!JP26:Instances!JP26),"max", MAX(Instances!JP26:Instances!JP26),"diff", MAX(Instances!JP26:Instances!JP26)-MIN(Instances!JP26:Instances!JP26))</f>
        <v>0</v>
      </c>
      <c r="JQ26" s="1" cm="1">
        <f t="array" ref="JQ26">_xlfn.SWITCH($A$2,"average", AVERAGE(Instances!JQ26:Instances!JQ26),"median", MEDIAN(Instances!JQ26:Instances!JQ26),"min", MIN(Instances!JQ26:Instances!JQ26),"max", MAX(Instances!JQ26:Instances!JQ26),"diff", MAX(Instances!JQ26:Instances!JQ26)-MIN(Instances!JQ26:Instances!JQ26))</f>
        <v>0</v>
      </c>
      <c r="JR26" s="1" cm="1">
        <f t="array" ref="JR26">_xlfn.SWITCH($A$2,"average", AVERAGE(Instances!JR26:Instances!JR26),"median", MEDIAN(Instances!JR26:Instances!JR26),"min", MIN(Instances!JR26:Instances!JR26),"max", MAX(Instances!JR26:Instances!JR26),"diff", MAX(Instances!JR26:Instances!JR26)-MIN(Instances!JR26:Instances!JR26))</f>
        <v>0</v>
      </c>
      <c r="JS26" s="1" cm="1">
        <f t="array" ref="JS26">_xlfn.SWITCH($A$2,"average", AVERAGE(Instances!JS26:Instances!JS26),"median", MEDIAN(Instances!JS26:Instances!JS26),"min", MIN(Instances!JS26:Instances!JS26),"max", MAX(Instances!JS26:Instances!JS26),"diff", MAX(Instances!JS26:Instances!JS26)-MIN(Instances!JS26:Instances!JS26))</f>
        <v>0</v>
      </c>
      <c r="JT26" s="1" cm="1">
        <f t="array" ref="JT26">_xlfn.SWITCH($A$2,"average", AVERAGE(Instances!JT26:Instances!JT26),"median", MEDIAN(Instances!JT26:Instances!JT26),"min", MIN(Instances!JT26:Instances!JT26),"max", MAX(Instances!JT26:Instances!JT26),"diff", MAX(Instances!JT26:Instances!JT26)-MIN(Instances!JT26:Instances!JT26))</f>
        <v>0</v>
      </c>
      <c r="JU26" s="1" cm="1">
        <f t="array" ref="JU26">_xlfn.SWITCH($A$2,"average", AVERAGE(Instances!JU26:Instances!JU26),"median", MEDIAN(Instances!JU26:Instances!JU26),"min", MIN(Instances!JU26:Instances!JU26),"max", MAX(Instances!JU26:Instances!JU26),"diff", MAX(Instances!JU26:Instances!JU26)-MIN(Instances!JU26:Instances!JU26))</f>
        <v>0</v>
      </c>
      <c r="JV26" s="1" cm="1">
        <f t="array" ref="JV26">_xlfn.SWITCH($A$2,"average", AVERAGE(Instances!JV26:Instances!JV26),"median", MEDIAN(Instances!JV26:Instances!JV26),"min", MIN(Instances!JV26:Instances!JV26),"max", MAX(Instances!JV26:Instances!JV26),"diff", MAX(Instances!JV26:Instances!JV26)-MIN(Instances!JV26:Instances!JV26))</f>
        <v>0</v>
      </c>
      <c r="JW26" s="1" cm="1">
        <f t="array" ref="JW26">_xlfn.SWITCH($A$2,"average", AVERAGE(Instances!JW26:Instances!JW26),"median", MEDIAN(Instances!JW26:Instances!JW26),"min", MIN(Instances!JW26:Instances!JW26),"max", MAX(Instances!JW26:Instances!JW26),"diff", MAX(Instances!JW26:Instances!JW26)-MIN(Instances!JW26:Instances!JW26))</f>
        <v>0</v>
      </c>
      <c r="JX26" s="1" cm="1">
        <f t="array" ref="JX26">_xlfn.SWITCH($A$2,"average", AVERAGE(Instances!JX26:Instances!JX26),"median", MEDIAN(Instances!JX26:Instances!JX26),"min", MIN(Instances!JX26:Instances!JX26),"max", MAX(Instances!JX26:Instances!JX26),"diff", MAX(Instances!JX26:Instances!JX26)-MIN(Instances!JX26:Instances!JX26))</f>
        <v>0</v>
      </c>
      <c r="JY26" s="1" cm="1">
        <f t="array" ref="JY26">_xlfn.SWITCH($A$2,"average", AVERAGE(Instances!JY26:Instances!JY26),"median", MEDIAN(Instances!JY26:Instances!JY26),"min", MIN(Instances!JY26:Instances!JY26),"max", MAX(Instances!JY26:Instances!JY26),"diff", MAX(Instances!JY26:Instances!JY26)-MIN(Instances!JY26:Instances!JY26))</f>
        <v>0</v>
      </c>
      <c r="JZ26" s="1"/>
      <c r="KA26" s="1" cm="1">
        <f t="array" ref="KA26">_xlfn.SWITCH($A$2,"average", AVERAGE(Instances!KA26:Instances!KA26),"median", MEDIAN(Instances!KA26:Instances!KA26),"min", MIN(Instances!KA26:Instances!KA26),"max", MAX(Instances!KA26:Instances!KA26),"diff", MAX(Instances!KA26:Instances!KA26)-MIN(Instances!KA26:Instances!KA26))</f>
        <v>0</v>
      </c>
      <c r="KB26" s="1" cm="1">
        <f t="array" ref="KB26">_xlfn.SWITCH($A$2,"average", AVERAGE(Instances!KB26:Instances!KB26),"median", MEDIAN(Instances!KB26:Instances!KB26),"min", MIN(Instances!KB26:Instances!KB26),"max", MAX(Instances!KB26:Instances!KB26),"diff", MAX(Instances!KB26:Instances!KB26)-MIN(Instances!KB26:Instances!KB26))</f>
        <v>0</v>
      </c>
      <c r="KC26" s="1" cm="1">
        <f t="array" ref="KC26">_xlfn.SWITCH($A$2,"average", AVERAGE(Instances!KC26:Instances!KC26),"median", MEDIAN(Instances!KC26:Instances!KC26),"min", MIN(Instances!KC26:Instances!KC26),"max", MAX(Instances!KC26:Instances!KC26),"diff", MAX(Instances!KC26:Instances!KC26)-MIN(Instances!KC26:Instances!KC26))</f>
        <v>0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 cm="1">
        <f t="array" ref="L27">_xlfn.SWITCH($A$2,"average", AVERAGE(Instances!L27:Instances!L27),"median", MEDIAN(Instances!L27:Instances!L27),"min", MIN(Instances!L27:Instances!L27),"max", MAX(Instances!L27:Instances!L27),"diff", MAX(Instances!L27:Instances!L27)-MIN(Instances!L27:Instances!L27))</f>
        <v>0</v>
      </c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 cm="1">
        <f t="array" ref="O27">_xlfn.SWITCH($A$2,"average", AVERAGE(Instances!O27:Instances!O27),"median", MEDIAN(Instances!O27:Instances!O27),"min", MIN(Instances!O27:Instances!O27),"max", MAX(Instances!O27:Instances!O27),"diff", MAX(Instances!O27:Instances!O27)-MIN(Instances!O27:Instances!O27))</f>
        <v>0</v>
      </c>
      <c r="P27" s="1"/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 cm="1">
        <f t="array" ref="S27">_xlfn.SWITCH($A$2,"average", AVERAGE(Instances!S27:Instances!S27),"median", MEDIAN(Instances!S27:Instances!S27),"min", MIN(Instances!S27:Instances!S27),"max", MAX(Instances!S27:Instances!S27),"diff", MAX(Instances!S27:Instances!S27)-MIN(Instances!S27:Instances!S27))</f>
        <v>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 cm="1">
        <f t="array" ref="AL27">_xlfn.SWITCH($A$2,"average", AVERAGE(Instances!AL27:Instances!AL27),"median", MEDIAN(Instances!AL27:Instances!AL27),"min", MIN(Instances!AL27:Instances!AL27),"max", MAX(Instances!AL27:Instances!AL27),"diff", MAX(Instances!AL27:Instances!AL27)-MIN(Instances!AL27:Instances!AL27))</f>
        <v>0</v>
      </c>
      <c r="AM27" s="1" cm="1">
        <f t="array" ref="AM27">_xlfn.SWITCH($A$2,"average", AVERAGE(Instances!AM27:Instances!AM27),"median", MEDIAN(Instances!AM27:Instances!AM27),"min", MIN(Instances!AM27:Instances!AM27),"max", MAX(Instances!AM27:Instances!AM27),"diff", MAX(Instances!AM27:Instances!AM27)-MIN(Instances!AM27:Instances!AM27))</f>
        <v>0</v>
      </c>
      <c r="AN27" s="1" cm="1">
        <f t="array" ref="AN27">_xlfn.SWITCH($A$2,"average", AVERAGE(Instances!AN27:Instances!AN27),"median", MEDIAN(Instances!AN27:Instances!AN27),"min", MIN(Instances!AN27:Instances!AN27),"max", MAX(Instances!AN27:Instances!AN27),"diff", MAX(Instances!AN27:Instances!AN27)-MIN(Instances!AN27:Instances!AN27))</f>
        <v>0</v>
      </c>
      <c r="AO27" s="1" cm="1">
        <f t="array" ref="AO27">_xlfn.SWITCH($A$2,"average", AVERAGE(Instances!AO27:Instances!AO27),"median", MEDIAN(Instances!AO27:Instances!AO27),"min", MIN(Instances!AO27:Instances!AO27),"max", MAX(Instances!AO27:Instances!AO27),"diff", MAX(Instances!AO27:Instances!AO27)-MIN(Instances!AO27:Instances!AO27))</f>
        <v>0</v>
      </c>
      <c r="AP27" s="1" cm="1">
        <f t="array" ref="AP27">_xlfn.SWITCH($A$2,"average", AVERAGE(Instances!AP27:Instances!AP27),"median", MEDIAN(Instances!AP27:Instances!AP27),"min", MIN(Instances!AP27:Instances!AP27),"max", MAX(Instances!AP27:Instances!AP27),"diff", MAX(Instances!AP27:Instances!AP27)-MIN(Instances!AP27:Instances!AP27))</f>
        <v>0</v>
      </c>
      <c r="AQ27" s="1" cm="1">
        <f t="array" ref="AQ27">_xlfn.SWITCH($A$2,"average", AVERAGE(Instances!AQ27:Instances!AQ27),"median", MEDIAN(Instances!AQ27:Instances!AQ27),"min", MIN(Instances!AQ27:Instances!AQ27),"max", MAX(Instances!AQ27:Instances!AQ27),"diff", MAX(Instances!AQ27:Instances!AQ27)-MIN(Instances!AQ27:Instances!AQ27))</f>
        <v>0</v>
      </c>
      <c r="AR27" s="1" cm="1">
        <f t="array" ref="AR27">_xlfn.SWITCH($A$2,"average", AVERAGE(Instances!AR27:Instances!AR27),"median", MEDIAN(Instances!AR27:Instances!AR27),"min", MIN(Instances!AR27:Instances!AR27),"max", MAX(Instances!AR27:Instances!AR27),"diff", MAX(Instances!AR27:Instances!AR27)-MIN(Instances!AR27:Instances!AR27))</f>
        <v>0</v>
      </c>
      <c r="AS27" s="1" cm="1">
        <f t="array" ref="AS27">_xlfn.SWITCH($A$2,"average", AVERAGE(Instances!AS27:Instances!AS27),"median", MEDIAN(Instances!AS27:Instances!AS27),"min", MIN(Instances!AS27:Instances!AS27),"max", MAX(Instances!AS27:Instances!AS27),"diff", MAX(Instances!AS27:Instances!AS27)-MIN(Instances!AS27:Instances!AS27))</f>
        <v>0</v>
      </c>
      <c r="AT27" s="1" cm="1">
        <f t="array" ref="AT27">_xlfn.SWITCH($A$2,"average", AVERAGE(Instances!AT27:Instances!AT27),"median", MEDIAN(Instances!AT27:Instances!AT27),"min", MIN(Instances!AT27:Instances!AT27),"max", MAX(Instances!AT27:Instances!AT27),"diff", MAX(Instances!AT27:Instances!AT27)-MIN(Instances!AT27:Instances!AT27))</f>
        <v>0</v>
      </c>
      <c r="AU27" s="1" cm="1">
        <f t="array" ref="AU27">_xlfn.SWITCH($A$2,"average", AVERAGE(Instances!AU27:Instances!AU27),"median", MEDIAN(Instances!AU27:Instances!AU27),"min", MIN(Instances!AU27:Instances!AU27),"max", MAX(Instances!AU27:Instances!AU27),"diff", MAX(Instances!AU27:Instances!AU27)-MIN(Instances!AU27:Instances!AU27))</f>
        <v>0</v>
      </c>
      <c r="AV27" s="1" cm="1">
        <f t="array" ref="AV27">_xlfn.SWITCH($A$2,"average", AVERAGE(Instances!AV27:Instances!AV27),"median", MEDIAN(Instances!AV27:Instances!AV27),"min", MIN(Instances!AV27:Instances!AV27),"max", MAX(Instances!AV27:Instances!AV27),"diff", MAX(Instances!AV27:Instances!AV27)-MIN(Instances!AV27:Instances!AV27))</f>
        <v>0</v>
      </c>
      <c r="AW27" s="1" cm="1">
        <f t="array" ref="AW27">_xlfn.SWITCH($A$2,"average", AVERAGE(Instances!AW27:Instances!AW27),"median", MEDIAN(Instances!AW27:Instances!AW27),"min", MIN(Instances!AW27:Instances!AW27),"max", MAX(Instances!AW27:Instances!AW27),"diff", MAX(Instances!AW27:Instances!AW27)-MIN(Instances!AW27:Instances!AW27))</f>
        <v>0</v>
      </c>
      <c r="AX27" s="1" cm="1">
        <f t="array" ref="AX27">_xlfn.SWITCH($A$2,"average", AVERAGE(Instances!AX27:Instances!AX27),"median", MEDIAN(Instances!AX27:Instances!AX27),"min", MIN(Instances!AX27:Instances!AX27),"max", MAX(Instances!AX27:Instances!AX27),"diff", MAX(Instances!AX27:Instances!AX27)-MIN(Instances!AX27:Instances!AX27))</f>
        <v>0</v>
      </c>
      <c r="AY27" s="1" cm="1">
        <f t="array" ref="AY27">_xlfn.SWITCH($A$2,"average", AVERAGE(Instances!AY27:Instances!AY27),"median", MEDIAN(Instances!AY27:Instances!AY27),"min", MIN(Instances!AY27:Instances!AY27),"max", MAX(Instances!AY27:Instances!AY27),"diff", MAX(Instances!AY27:Instances!AY27)-MIN(Instances!AY27:Instances!AY27))</f>
        <v>0</v>
      </c>
      <c r="AZ27" s="1"/>
      <c r="BA27" s="1" cm="1">
        <f t="array" ref="BA27">_xlfn.SWITCH($A$2,"average", AVERAGE(Instances!BA27:Instances!BA27),"median", MEDIAN(Instances!BA27:Instances!BA27),"min", MIN(Instances!BA27:Instances!BA27),"max", MAX(Instances!BA27:Instances!BA27),"diff", MAX(Instances!BA27:Instances!BA27)-MIN(Instances!BA27:Instances!BA27))</f>
        <v>0</v>
      </c>
      <c r="BB27" s="1" cm="1">
        <f t="array" ref="BB27">_xlfn.SWITCH($A$2,"average", AVERAGE(Instances!BB27:Instances!BB27),"median", MEDIAN(Instances!BB27:Instances!BB27),"min", MIN(Instances!BB27:Instances!BB27),"max", MAX(Instances!BB27:Instances!BB27),"diff", MAX(Instances!BB27:Instances!BB27)-MIN(Instances!BB27:Instances!BB27))</f>
        <v>0</v>
      </c>
      <c r="BC27" s="1" cm="1">
        <f t="array" ref="BC27">_xlfn.SWITCH($A$2,"average", AVERAGE(Instances!BC27:Instances!BC27),"median", MEDIAN(Instances!BC27:Instances!BC27),"min", MIN(Instances!BC27:Instances!BC27),"max", MAX(Instances!BC27:Instances!BC27),"diff", MAX(Instances!BC27:Instances!BC27)-MIN(Instances!BC27:Instances!BC27))</f>
        <v>0</v>
      </c>
      <c r="BD27" s="1" cm="1">
        <f t="array" ref="BD27">_xlfn.SWITCH($A$2,"average", AVERAGE(Instances!BD27:Instances!BD27),"median", MEDIAN(Instances!BD27:Instances!BD27),"min", MIN(Instances!BD27:Instances!BD27),"max", MAX(Instances!BD27:Instances!BD27),"diff", MAX(Instances!BD27:Instances!BD27)-MIN(Instances!BD27:Instances!BD27))</f>
        <v>0</v>
      </c>
      <c r="BE27" s="1" cm="1">
        <f t="array" ref="BE27">_xlfn.SWITCH($A$2,"average", AVERAGE(Instances!BE27:Instances!BE27),"median", MEDIAN(Instances!BE27:Instances!BE27),"min", MIN(Instances!BE27:Instances!BE27),"max", MAX(Instances!BE27:Instances!BE27),"diff", MAX(Instances!BE27:Instances!BE27)-MIN(Instances!BE27:Instances!BE27))</f>
        <v>0</v>
      </c>
      <c r="BF27" s="1" cm="1">
        <f t="array" ref="BF27">_xlfn.SWITCH($A$2,"average", AVERAGE(Instances!BF27:Instances!BF27),"median", MEDIAN(Instances!BF27:Instances!BF27),"min", MIN(Instances!BF27:Instances!BF27),"max", MAX(Instances!BF27:Instances!BF27),"diff", MAX(Instances!BF27:Instances!BF27)-MIN(Instances!BF27:Instances!BF27))</f>
        <v>0</v>
      </c>
      <c r="BG27" s="1" cm="1">
        <f t="array" ref="BG27">_xlfn.SWITCH($A$2,"average", AVERAGE(Instances!BG27:Instances!BG27),"median", MEDIAN(Instances!BG27:Instances!BG27),"min", MIN(Instances!BG27:Instances!BG27),"max", MAX(Instances!BG27:Instances!BG27),"diff", MAX(Instances!BG27:Instances!BG27)-MIN(Instances!BG27:Instances!BG27))</f>
        <v>0</v>
      </c>
      <c r="BH27" s="1" cm="1">
        <f t="array" ref="BH27">_xlfn.SWITCH($A$2,"average", AVERAGE(Instances!BH27:Instances!BH27),"median", MEDIAN(Instances!BH27:Instances!BH27),"min", MIN(Instances!BH27:Instances!BH27),"max", MAX(Instances!BH27:Instances!BH27),"diff", MAX(Instances!BH27:Instances!BH27)-MIN(Instances!BH27:Instances!BH27))</f>
        <v>0</v>
      </c>
      <c r="BI27" s="1" cm="1">
        <f t="array" ref="BI27">_xlfn.SWITCH($A$2,"average", AVERAGE(Instances!BI27:Instances!BI27),"median", MEDIAN(Instances!BI27:Instances!BI27),"min", MIN(Instances!BI27:Instances!BI27),"max", MAX(Instances!BI27:Instances!BI27),"diff", MAX(Instances!BI27:Instances!BI27)-MIN(Instances!BI27:Instances!BI27))</f>
        <v>0</v>
      </c>
      <c r="BJ27" s="1" cm="1">
        <f t="array" ref="BJ27">_xlfn.SWITCH($A$2,"average", AVERAGE(Instances!BJ27:Instances!BJ27),"median", MEDIAN(Instances!BJ27:Instances!BJ27),"min", MIN(Instances!BJ27:Instances!BJ27),"max", MAX(Instances!BJ27:Instances!BJ27),"diff", MAX(Instances!BJ27:Instances!BJ27)-MIN(Instances!BJ27:Instances!BJ27))</f>
        <v>0</v>
      </c>
      <c r="BK27" s="1" cm="1">
        <f t="array" ref="BK27">_xlfn.SWITCH($A$2,"average", AVERAGE(Instances!BK27:Instances!BK27),"median", MEDIAN(Instances!BK27:Instances!BK27),"min", MIN(Instances!BK27:Instances!BK27),"max", MAX(Instances!BK27:Instances!BK27),"diff", MAX(Instances!BK27:Instances!BK27)-MIN(Instances!BK27:Instances!BK27))</f>
        <v>0</v>
      </c>
      <c r="BL27" s="1" cm="1">
        <f t="array" ref="BL27">_xlfn.SWITCH($A$2,"average", AVERAGE(Instances!BL27:Instances!BL27),"median", MEDIAN(Instances!BL27:Instances!BL27),"min", MIN(Instances!BL27:Instances!BL27),"max", MAX(Instances!BL27:Instances!BL27),"diff", MAX(Instances!BL27:Instances!BL27)-MIN(Instances!BL27:Instances!BL27))</f>
        <v>0</v>
      </c>
      <c r="BM27" s="1" cm="1">
        <f t="array" ref="BM27">_xlfn.SWITCH($A$2,"average", AVERAGE(Instances!BM27:Instances!BM27),"median", MEDIAN(Instances!BM27:Instances!BM27),"min", MIN(Instances!BM27:Instances!BM27),"max", MAX(Instances!BM27:Instances!BM27),"diff", MAX(Instances!BM27:Instances!BM27)-MIN(Instances!BM27:Instances!BM27))</f>
        <v>0</v>
      </c>
      <c r="BN27" s="1" cm="1">
        <f t="array" ref="BN27">_xlfn.SWITCH($A$2,"average", AVERAGE(Instances!BN27:Instances!BN27),"median", MEDIAN(Instances!BN27:Instances!BN27),"min", MIN(Instances!BN27:Instances!BN27),"max", MAX(Instances!BN27:Instances!BN27),"diff", MAX(Instances!BN27:Instances!BN27)-MIN(Instances!BN27:Instances!BN27))</f>
        <v>0</v>
      </c>
      <c r="BO27" s="1" cm="1">
        <f t="array" ref="BO27">_xlfn.SWITCH($A$2,"average", AVERAGE(Instances!BO27:Instances!BO27),"median", MEDIAN(Instances!BO27:Instances!BO27),"min", MIN(Instances!BO27:Instances!BO27),"max", MAX(Instances!BO27:Instances!BO27),"diff", MAX(Instances!BO27:Instances!BO27)-MIN(Instances!BO27:Instances!BO27))</f>
        <v>0</v>
      </c>
      <c r="BP27" s="1" cm="1">
        <f t="array" ref="BP27">_xlfn.SWITCH($A$2,"average", AVERAGE(Instances!BP27:Instances!BP27),"median", MEDIAN(Instances!BP27:Instances!BP27),"min", MIN(Instances!BP27:Instances!BP27),"max", MAX(Instances!BP27:Instances!BP27),"diff", MAX(Instances!BP27:Instances!BP27)-MIN(Instances!BP27:Instances!BP27))</f>
        <v>0</v>
      </c>
      <c r="BQ27" s="1" cm="1">
        <f t="array" ref="BQ27">_xlfn.SWITCH($A$2,"average", AVERAGE(Instances!BQ27:Instances!BQ27),"median", MEDIAN(Instances!BQ27:Instances!BQ27),"min", MIN(Instances!BQ27:Instances!BQ27),"max", MAX(Instances!BQ27:Instances!BQ27),"diff", MAX(Instances!BQ27:Instances!BQ27)-MIN(Instances!BQ27:Instances!BQ27))</f>
        <v>0</v>
      </c>
      <c r="BR27" s="1"/>
      <c r="BS27" s="1" cm="1">
        <f t="array" ref="BS27">_xlfn.SWITCH($A$2,"average", AVERAGE(Instances!BS27:Instances!BS27),"median", MEDIAN(Instances!BS27:Instances!BS27),"min", MIN(Instances!BS27:Instances!BS27),"max", MAX(Instances!BS27:Instances!BS27),"diff", MAX(Instances!BS27:Instances!BS27)-MIN(Instances!BS27:Instances!BS27))</f>
        <v>0</v>
      </c>
      <c r="BT27" s="1" cm="1">
        <f t="array" ref="BT27">_xlfn.SWITCH($A$2,"average", AVERAGE(Instances!BT27:Instances!BT27),"median", MEDIAN(Instances!BT27:Instances!BT27),"min", MIN(Instances!BT27:Instances!BT27),"max", MAX(Instances!BT27:Instances!BT27),"diff", MAX(Instances!BT27:Instances!BT27)-MIN(Instances!BT27:Instances!BT27))</f>
        <v>0</v>
      </c>
      <c r="BU27" s="1" cm="1">
        <f t="array" ref="BU27">_xlfn.SWITCH($A$2,"average", AVERAGE(Instances!BU27:Instances!BU27),"median", MEDIAN(Instances!BU27:Instances!BU27),"min", MIN(Instances!BU27:Instances!BU27),"max", MAX(Instances!BU27:Instances!BU27),"diff", MAX(Instances!BU27:Instances!BU27)-MIN(Instances!BU27:Instances!BU27))</f>
        <v>0</v>
      </c>
      <c r="BV27" s="1" cm="1">
        <f t="array" ref="BV27">_xlfn.SWITCH($A$2,"average", AVERAGE(Instances!BV27:Instances!BV27),"median", MEDIAN(Instances!BV27:Instances!BV27),"min", MIN(Instances!BV27:Instances!BV27),"max", MAX(Instances!BV27:Instances!BV27),"diff", MAX(Instances!BV27:Instances!BV27)-MIN(Instances!BV27:Instances!BV27))</f>
        <v>0</v>
      </c>
      <c r="BW27" s="1" cm="1">
        <f t="array" ref="BW27">_xlfn.SWITCH($A$2,"average", AVERAGE(Instances!BW27:Instances!BW27),"median", MEDIAN(Instances!BW27:Instances!BW27),"min", MIN(Instances!BW27:Instances!BW27),"max", MAX(Instances!BW27:Instances!BW27),"diff", MAX(Instances!BW27:Instances!BW27)-MIN(Instances!BW27:Instances!BW27))</f>
        <v>0</v>
      </c>
      <c r="BX27" s="1" cm="1">
        <f t="array" ref="BX27">_xlfn.SWITCH($A$2,"average", AVERAGE(Instances!BX27:Instances!BX27),"median", MEDIAN(Instances!BX27:Instances!BX27),"min", MIN(Instances!BX27:Instances!BX27),"max", MAX(Instances!BX27:Instances!BX27),"diff", MAX(Instances!BX27:Instances!BX27)-MIN(Instances!BX27:Instances!BX27))</f>
        <v>0</v>
      </c>
      <c r="BY27" s="1" cm="1">
        <f t="array" ref="BY27">_xlfn.SWITCH($A$2,"average", AVERAGE(Instances!BY27:Instances!BY27),"median", MEDIAN(Instances!BY27:Instances!BY27),"min", MIN(Instances!BY27:Instances!BY27),"max", MAX(Instances!BY27:Instances!BY27),"diff", MAX(Instances!BY27:Instances!BY27)-MIN(Instances!BY27:Instances!BY27))</f>
        <v>0</v>
      </c>
      <c r="BZ27" s="1" cm="1">
        <f t="array" ref="BZ27">_xlfn.SWITCH($A$2,"average", AVERAGE(Instances!BZ27:Instances!BZ27),"median", MEDIAN(Instances!BZ27:Instances!BZ27),"min", MIN(Instances!BZ27:Instances!BZ27),"max", MAX(Instances!BZ27:Instances!BZ27),"diff", MAX(Instances!BZ27:Instances!BZ27)-MIN(Instances!BZ27:Instances!BZ27))</f>
        <v>0</v>
      </c>
      <c r="CA27" s="1" cm="1">
        <f t="array" ref="CA27">_xlfn.SWITCH($A$2,"average", AVERAGE(Instances!CA27:Instances!CA27),"median", MEDIAN(Instances!CA27:Instances!CA27),"min", MIN(Instances!CA27:Instances!CA27),"max", MAX(Instances!CA27:Instances!CA27),"diff", MAX(Instances!CA27:Instances!CA27)-MIN(Instances!CA27:Instances!CA27))</f>
        <v>0</v>
      </c>
      <c r="CB27" s="1" cm="1">
        <f t="array" ref="CB27">_xlfn.SWITCH($A$2,"average", AVERAGE(Instances!CB27:Instances!CB27),"median", MEDIAN(Instances!CB27:Instances!CB27),"min", MIN(Instances!CB27:Instances!CB27),"max", MAX(Instances!CB27:Instances!CB27),"diff", MAX(Instances!CB27:Instances!CB27)-MIN(Instances!CB27:Instances!CB27))</f>
        <v>0</v>
      </c>
      <c r="CC27" s="1" cm="1">
        <f t="array" ref="CC27">_xlfn.SWITCH($A$2,"average", AVERAGE(Instances!CC27:Instances!CC27),"median", MEDIAN(Instances!CC27:Instances!CC27),"min", MIN(Instances!CC27:Instances!CC27),"max", MAX(Instances!CC27:Instances!CC27),"diff", MAX(Instances!CC27:Instances!CC27)-MIN(Instances!CC27:Instances!CC27))</f>
        <v>0</v>
      </c>
      <c r="CD27" s="1" cm="1">
        <f t="array" ref="CD27">_xlfn.SWITCH($A$2,"average", AVERAGE(Instances!CD27:Instances!CD27),"median", MEDIAN(Instances!CD27:Instances!CD27),"min", MIN(Instances!CD27:Instances!CD27),"max", MAX(Instances!CD27:Instances!CD27),"diff", MAX(Instances!CD27:Instances!CD27)-MIN(Instances!CD27:Instances!CD27))</f>
        <v>0</v>
      </c>
      <c r="CE27" s="1" cm="1">
        <f t="array" ref="CE27">_xlfn.SWITCH($A$2,"average", AVERAGE(Instances!CE27:Instances!CE27),"median", MEDIAN(Instances!CE27:Instances!CE27),"min", MIN(Instances!CE27:Instances!CE27),"max", MAX(Instances!CE27:Instances!CE27),"diff", MAX(Instances!CE27:Instances!CE27)-MIN(Instances!CE27:Instances!CE27))</f>
        <v>0</v>
      </c>
      <c r="CF27" s="1" cm="1">
        <f t="array" ref="CF27">_xlfn.SWITCH($A$2,"average", AVERAGE(Instances!CF27:Instances!CF27),"median", MEDIAN(Instances!CF27:Instances!CF27),"min", MIN(Instances!CF27:Instances!CF27),"max", MAX(Instances!CF27:Instances!CF27),"diff", MAX(Instances!CF27:Instances!CF27)-MIN(Instances!CF27:Instances!CF27))</f>
        <v>0</v>
      </c>
      <c r="CG27" s="1" cm="1">
        <f t="array" ref="CG27">_xlfn.SWITCH($A$2,"average", AVERAGE(Instances!CG27:Instances!CG27),"median", MEDIAN(Instances!CG27:Instances!CG27),"min", MIN(Instances!CG27:Instances!CG27),"max", MAX(Instances!CG27:Instances!CG27),"diff", MAX(Instances!CG27:Instances!CG27)-MIN(Instances!CG27:Instances!CG27))</f>
        <v>0</v>
      </c>
      <c r="CH27" s="1" cm="1">
        <f t="array" ref="CH27">_xlfn.SWITCH($A$2,"average", AVERAGE(Instances!CH27:Instances!CH27),"median", MEDIAN(Instances!CH27:Instances!CH27),"min", MIN(Instances!CH27:Instances!CH27),"max", MAX(Instances!CH27:Instances!CH27),"diff", MAX(Instances!CH27:Instances!CH27)-MIN(Instances!CH27:Instances!CH27))</f>
        <v>0</v>
      </c>
      <c r="CI27" s="1" cm="1">
        <f t="array" ref="CI27">_xlfn.SWITCH($A$2,"average", AVERAGE(Instances!CI27:Instances!CI27),"median", MEDIAN(Instances!CI27:Instances!CI27),"min", MIN(Instances!CI27:Instances!CI27),"max", MAX(Instances!CI27:Instances!CI27),"diff", MAX(Instances!CI27:Instances!CI27)-MIN(Instances!CI27:Instances!CI27))</f>
        <v>0</v>
      </c>
      <c r="CJ27" s="1"/>
      <c r="CK27" s="1" cm="1">
        <f t="array" ref="CK27">_xlfn.SWITCH($A$2,"average", AVERAGE(Instances!CK27:Instances!CK27),"median", MEDIAN(Instances!CK27:Instances!CK27),"min", MIN(Instances!CK27:Instances!CK27),"max", MAX(Instances!CK27:Instances!CK27),"diff", MAX(Instances!CK27:Instances!CK27)-MIN(Instances!CK27:Instances!CK27))</f>
        <v>0</v>
      </c>
      <c r="CL27" s="1" cm="1">
        <f t="array" ref="CL27">_xlfn.SWITCH($A$2,"average", AVERAGE(Instances!CL27:Instances!CL27),"median", MEDIAN(Instances!CL27:Instances!CL27),"min", MIN(Instances!CL27:Instances!CL27),"max", MAX(Instances!CL27:Instances!CL27),"diff", MAX(Instances!CL27:Instances!CL27)-MIN(Instances!CL27:Instances!CL27))</f>
        <v>0</v>
      </c>
      <c r="CM27" s="1" cm="1">
        <f t="array" ref="CM27">_xlfn.SWITCH($A$2,"average", AVERAGE(Instances!CM27:Instances!CM27),"median", MEDIAN(Instances!CM27:Instances!CM27),"min", MIN(Instances!CM27:Instances!CM27),"max", MAX(Instances!CM27:Instances!CM27),"diff", MAX(Instances!CM27:Instances!CM27)-MIN(Instances!CM27:Instances!CM27))</f>
        <v>0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 cm="1">
        <f t="array" ref="DX27">_xlfn.SWITCH($A$2,"average", AVERAGE(Instances!DX27:Instances!DX27),"median", MEDIAN(Instances!DX27:Instances!DX27),"min", MIN(Instances!DX27:Instances!DX27),"max", MAX(Instances!DX27:Instances!DX27),"diff", MAX(Instances!DX27:Instances!DX27)-MIN(Instances!DX27:Instances!DX27))</f>
        <v>0</v>
      </c>
      <c r="DY27" s="1" cm="1">
        <f t="array" ref="DY27">_xlfn.SWITCH($A$2,"average", AVERAGE(Instances!DY27:Instances!DY27),"median", MEDIAN(Instances!DY27:Instances!DY27),"min", MIN(Instances!DY27:Instances!DY27),"max", MAX(Instances!DY27:Instances!DY27),"diff", MAX(Instances!DY27:Instances!DY27)-MIN(Instances!DY27:Instances!DY27))</f>
        <v>0</v>
      </c>
      <c r="DZ27" s="1" cm="1">
        <f t="array" ref="DZ27">_xlfn.SWITCH($A$2,"average", AVERAGE(Instances!DZ27:Instances!DZ27),"median", MEDIAN(Instances!DZ27:Instances!DZ27),"min", MIN(Instances!DZ27:Instances!DZ27),"max", MAX(Instances!DZ27:Instances!DZ27),"diff", MAX(Instances!DZ27:Instances!DZ27)-MIN(Instances!DZ27:Instances!DZ27))</f>
        <v>0</v>
      </c>
      <c r="EA27" s="1" cm="1">
        <f t="array" ref="EA27">_xlfn.SWITCH($A$2,"average", AVERAGE(Instances!EA27:Instances!EA27),"median", MEDIAN(Instances!EA27:Instances!EA27),"min", MIN(Instances!EA27:Instances!EA27),"max", MAX(Instances!EA27:Instances!EA27),"diff", MAX(Instances!EA27:Instances!EA27)-MIN(Instances!EA27:Instances!EA27))</f>
        <v>0</v>
      </c>
      <c r="EB27" s="1" cm="1">
        <f t="array" ref="EB27">_xlfn.SWITCH($A$2,"average", AVERAGE(Instances!EB27:Instances!EB27),"median", MEDIAN(Instances!EB27:Instances!EB27),"min", MIN(Instances!EB27:Instances!EB27),"max", MAX(Instances!EB27:Instances!EB27),"diff", MAX(Instances!EB27:Instances!EB27)-MIN(Instances!EB27:Instances!EB27))</f>
        <v>0</v>
      </c>
      <c r="EC27" s="1" cm="1">
        <f t="array" ref="EC27">_xlfn.SWITCH($A$2,"average", AVERAGE(Instances!EC27:Instances!EC27),"median", MEDIAN(Instances!EC27:Instances!EC27),"min", MIN(Instances!EC27:Instances!EC27),"max", MAX(Instances!EC27:Instances!EC27),"diff", MAX(Instances!EC27:Instances!EC27)-MIN(Instances!EC27:Instances!EC27))</f>
        <v>0</v>
      </c>
      <c r="ED27" s="1" cm="1">
        <f t="array" ref="ED27">_xlfn.SWITCH($A$2,"average", AVERAGE(Instances!ED27:Instances!ED27),"median", MEDIAN(Instances!ED27:Instances!ED27),"min", MIN(Instances!ED27:Instances!ED27),"max", MAX(Instances!ED27:Instances!ED27),"diff", MAX(Instances!ED27:Instances!ED27)-MIN(Instances!ED27:Instances!ED27))</f>
        <v>0</v>
      </c>
      <c r="EE27" s="1" cm="1">
        <f t="array" ref="EE27">_xlfn.SWITCH($A$2,"average", AVERAGE(Instances!EE27:Instances!EE27),"median", MEDIAN(Instances!EE27:Instances!EE27),"min", MIN(Instances!EE27:Instances!EE27),"max", MAX(Instances!EE27:Instances!EE27),"diff", MAX(Instances!EE27:Instances!EE27)-MIN(Instances!EE27:Instances!EE27))</f>
        <v>0</v>
      </c>
      <c r="EF27" s="1" cm="1">
        <f t="array" ref="EF27">_xlfn.SWITCH($A$2,"average", AVERAGE(Instances!EF27:Instances!EF27),"median", MEDIAN(Instances!EF27:Instances!EF27),"min", MIN(Instances!EF27:Instances!EF27),"max", MAX(Instances!EF27:Instances!EF27),"diff", MAX(Instances!EF27:Instances!EF27)-MIN(Instances!EF27:Instances!EF27))</f>
        <v>0</v>
      </c>
      <c r="EG27" s="1" cm="1">
        <f t="array" ref="EG27">_xlfn.SWITCH($A$2,"average", AVERAGE(Instances!EG27:Instances!EG27),"median", MEDIAN(Instances!EG27:Instances!EG27),"min", MIN(Instances!EG27:Instances!EG27),"max", MAX(Instances!EG27:Instances!EG27),"diff", MAX(Instances!EG27:Instances!EG27)-MIN(Instances!EG27:Instances!EG27))</f>
        <v>0</v>
      </c>
      <c r="EH27" s="1" cm="1">
        <f t="array" ref="EH27">_xlfn.SWITCH($A$2,"average", AVERAGE(Instances!EH27:Instances!EH27),"median", MEDIAN(Instances!EH27:Instances!EH27),"min", MIN(Instances!EH27:Instances!EH27),"max", MAX(Instances!EH27:Instances!EH27),"diff", MAX(Instances!EH27:Instances!EH27)-MIN(Instances!EH27:Instances!EH27))</f>
        <v>0</v>
      </c>
      <c r="EI27" s="1" cm="1">
        <f t="array" ref="EI27">_xlfn.SWITCH($A$2,"average", AVERAGE(Instances!EI27:Instances!EI27),"median", MEDIAN(Instances!EI27:Instances!EI27),"min", MIN(Instances!EI27:Instances!EI27),"max", MAX(Instances!EI27:Instances!EI27),"diff", MAX(Instances!EI27:Instances!EI27)-MIN(Instances!EI27:Instances!EI27))</f>
        <v>0</v>
      </c>
      <c r="EJ27" s="1" cm="1">
        <f t="array" ref="EJ27">_xlfn.SWITCH($A$2,"average", AVERAGE(Instances!EJ27:Instances!EJ27),"median", MEDIAN(Instances!EJ27:Instances!EJ27),"min", MIN(Instances!EJ27:Instances!EJ27),"max", MAX(Instances!EJ27:Instances!EJ27),"diff", MAX(Instances!EJ27:Instances!EJ27)-MIN(Instances!EJ27:Instances!EJ27))</f>
        <v>0</v>
      </c>
      <c r="EK27" s="1" cm="1">
        <f t="array" ref="EK27">_xlfn.SWITCH($A$2,"average", AVERAGE(Instances!EK27:Instances!EK27),"median", MEDIAN(Instances!EK27:Instances!EK27),"min", MIN(Instances!EK27:Instances!EK27),"max", MAX(Instances!EK27:Instances!EK27),"diff", MAX(Instances!EK27:Instances!EK27)-MIN(Instances!EK27:Instances!EK27))</f>
        <v>0</v>
      </c>
      <c r="EL27" s="1"/>
      <c r="EM27" s="1" cm="1">
        <f t="array" ref="EM27">_xlfn.SWITCH($A$2,"average", AVERAGE(Instances!EM27:Instances!EM27),"median", MEDIAN(Instances!EM27:Instances!EM27),"min", MIN(Instances!EM27:Instances!EM27),"max", MAX(Instances!EM27:Instances!EM27),"diff", MAX(Instances!EM27:Instances!EM27)-MIN(Instances!EM27:Instances!EM27))</f>
        <v>0</v>
      </c>
      <c r="EN27" s="1" cm="1">
        <f t="array" ref="EN27">_xlfn.SWITCH($A$2,"average", AVERAGE(Instances!EN27:Instances!EN27),"median", MEDIAN(Instances!EN27:Instances!EN27),"min", MIN(Instances!EN27:Instances!EN27),"max", MAX(Instances!EN27:Instances!EN27),"diff", MAX(Instances!EN27:Instances!EN27)-MIN(Instances!EN27:Instances!EN27))</f>
        <v>0</v>
      </c>
      <c r="EO27" s="1" cm="1">
        <f t="array" ref="EO27">_xlfn.SWITCH($A$2,"average", AVERAGE(Instances!EO27:Instances!EO27),"median", MEDIAN(Instances!EO27:Instances!EO27),"min", MIN(Instances!EO27:Instances!EO27),"max", MAX(Instances!EO27:Instances!EO27),"diff", MAX(Instances!EO27:Instances!EO27)-MIN(Instances!EO27:Instances!EO27))</f>
        <v>0</v>
      </c>
      <c r="EP27" s="1" cm="1">
        <f t="array" ref="EP27">_xlfn.SWITCH($A$2,"average", AVERAGE(Instances!EP27:Instances!EP27),"median", MEDIAN(Instances!EP27:Instances!EP27),"min", MIN(Instances!EP27:Instances!EP27),"max", MAX(Instances!EP27:Instances!EP27),"diff", MAX(Instances!EP27:Instances!EP27)-MIN(Instances!EP27:Instances!EP27))</f>
        <v>0</v>
      </c>
      <c r="EQ27" s="1" cm="1">
        <f t="array" ref="EQ27">_xlfn.SWITCH($A$2,"average", AVERAGE(Instances!EQ27:Instances!EQ27),"median", MEDIAN(Instances!EQ27:Instances!EQ27),"min", MIN(Instances!EQ27:Instances!EQ27),"max", MAX(Instances!EQ27:Instances!EQ27),"diff", MAX(Instances!EQ27:Instances!EQ27)-MIN(Instances!EQ27:Instances!EQ27))</f>
        <v>0</v>
      </c>
      <c r="ER27" s="1" cm="1">
        <f t="array" ref="ER27">_xlfn.SWITCH($A$2,"average", AVERAGE(Instances!ER27:Instances!ER27),"median", MEDIAN(Instances!ER27:Instances!ER27),"min", MIN(Instances!ER27:Instances!ER27),"max", MAX(Instances!ER27:Instances!ER27),"diff", MAX(Instances!ER27:Instances!ER27)-MIN(Instances!ER27:Instances!ER27))</f>
        <v>0</v>
      </c>
      <c r="ES27" s="1" cm="1">
        <f t="array" ref="ES27">_xlfn.SWITCH($A$2,"average", AVERAGE(Instances!ES27:Instances!ES27),"median", MEDIAN(Instances!ES27:Instances!ES27),"min", MIN(Instances!ES27:Instances!ES27),"max", MAX(Instances!ES27:Instances!ES27),"diff", MAX(Instances!ES27:Instances!ES27)-MIN(Instances!ES27:Instances!ES27))</f>
        <v>0</v>
      </c>
      <c r="ET27" s="1" cm="1">
        <f t="array" ref="ET27">_xlfn.SWITCH($A$2,"average", AVERAGE(Instances!ET27:Instances!ET27),"median", MEDIAN(Instances!ET27:Instances!ET27),"min", MIN(Instances!ET27:Instances!ET27),"max", MAX(Instances!ET27:Instances!ET27),"diff", MAX(Instances!ET27:Instances!ET27)-MIN(Instances!ET27:Instances!ET27))</f>
        <v>0</v>
      </c>
      <c r="EU27" s="1" cm="1">
        <f t="array" ref="EU27">_xlfn.SWITCH($A$2,"average", AVERAGE(Instances!EU27:Instances!EU27),"median", MEDIAN(Instances!EU27:Instances!EU27),"min", MIN(Instances!EU27:Instances!EU27),"max", MAX(Instances!EU27:Instances!EU27),"diff", MAX(Instances!EU27:Instances!EU27)-MIN(Instances!EU27:Instances!EU27))</f>
        <v>0</v>
      </c>
      <c r="EV27" s="1" cm="1">
        <f t="array" ref="EV27">_xlfn.SWITCH($A$2,"average", AVERAGE(Instances!EV27:Instances!EV27),"median", MEDIAN(Instances!EV27:Instances!EV27),"min", MIN(Instances!EV27:Instances!EV27),"max", MAX(Instances!EV27:Instances!EV27),"diff", MAX(Instances!EV27:Instances!EV27)-MIN(Instances!EV27:Instances!EV27))</f>
        <v>0</v>
      </c>
      <c r="EW27" s="1" cm="1">
        <f t="array" ref="EW27">_xlfn.SWITCH($A$2,"average", AVERAGE(Instances!EW27:Instances!EW27),"median", MEDIAN(Instances!EW27:Instances!EW27),"min", MIN(Instances!EW27:Instances!EW27),"max", MAX(Instances!EW27:Instances!EW27),"diff", MAX(Instances!EW27:Instances!EW27)-MIN(Instances!EW27:Instances!EW27))</f>
        <v>0</v>
      </c>
      <c r="EX27" s="1" cm="1">
        <f t="array" ref="EX27">_xlfn.SWITCH($A$2,"average", AVERAGE(Instances!EX27:Instances!EX27),"median", MEDIAN(Instances!EX27:Instances!EX27),"min", MIN(Instances!EX27:Instances!EX27),"max", MAX(Instances!EX27:Instances!EX27),"diff", MAX(Instances!EX27:Instances!EX27)-MIN(Instances!EX27:Instances!EX27))</f>
        <v>0</v>
      </c>
      <c r="EY27" s="1" cm="1">
        <f t="array" ref="EY27">_xlfn.SWITCH($A$2,"average", AVERAGE(Instances!EY27:Instances!EY27),"median", MEDIAN(Instances!EY27:Instances!EY27),"min", MIN(Instances!EY27:Instances!EY27),"max", MAX(Instances!EY27:Instances!EY27),"diff", MAX(Instances!EY27:Instances!EY27)-MIN(Instances!EY27:Instances!EY27))</f>
        <v>0</v>
      </c>
      <c r="EZ27" s="1" cm="1">
        <f t="array" ref="EZ27">_xlfn.SWITCH($A$2,"average", AVERAGE(Instances!EZ27:Instances!EZ27),"median", MEDIAN(Instances!EZ27:Instances!EZ27),"min", MIN(Instances!EZ27:Instances!EZ27),"max", MAX(Instances!EZ27:Instances!EZ27),"diff", MAX(Instances!EZ27:Instances!EZ27)-MIN(Instances!EZ27:Instances!EZ27))</f>
        <v>0</v>
      </c>
      <c r="FA27" s="1" cm="1">
        <f t="array" ref="FA27">_xlfn.SWITCH($A$2,"average", AVERAGE(Instances!FA27:Instances!FA27),"median", MEDIAN(Instances!FA27:Instances!FA27),"min", MIN(Instances!FA27:Instances!FA27),"max", MAX(Instances!FA27:Instances!FA27),"diff", MAX(Instances!FA27:Instances!FA27)-MIN(Instances!FA27:Instances!FA27))</f>
        <v>0</v>
      </c>
      <c r="FB27" s="1" cm="1">
        <f t="array" ref="FB27">_xlfn.SWITCH($A$2,"average", AVERAGE(Instances!FB27:Instances!FB27),"median", MEDIAN(Instances!FB27:Instances!FB27),"min", MIN(Instances!FB27:Instances!FB27),"max", MAX(Instances!FB27:Instances!FB27),"diff", MAX(Instances!FB27:Instances!FB27)-MIN(Instances!FB27:Instances!FB27))</f>
        <v>0</v>
      </c>
      <c r="FC27" s="1" cm="1">
        <f t="array" ref="FC27">_xlfn.SWITCH($A$2,"average", AVERAGE(Instances!FC27:Instances!FC27),"median", MEDIAN(Instances!FC27:Instances!FC27),"min", MIN(Instances!FC27:Instances!FC27),"max", MAX(Instances!FC27:Instances!FC27),"diff", MAX(Instances!FC27:Instances!FC27)-MIN(Instances!FC27:Instances!FC27))</f>
        <v>0</v>
      </c>
      <c r="FD27" s="1"/>
      <c r="FE27" s="1" cm="1">
        <f t="array" ref="FE27">_xlfn.SWITCH($A$2,"average", AVERAGE(Instances!FE27:Instances!FE27),"median", MEDIAN(Instances!FE27:Instances!FE27),"min", MIN(Instances!FE27:Instances!FE27),"max", MAX(Instances!FE27:Instances!FE27),"diff", MAX(Instances!FE27:Instances!FE27)-MIN(Instances!FE27:Instances!FE27))</f>
        <v>0</v>
      </c>
      <c r="FF27" s="1" cm="1">
        <f t="array" ref="FF27">_xlfn.SWITCH($A$2,"average", AVERAGE(Instances!FF27:Instances!FF27),"median", MEDIAN(Instances!FF27:Instances!FF27),"min", MIN(Instances!FF27:Instances!FF27),"max", MAX(Instances!FF27:Instances!FF27),"diff", MAX(Instances!FF27:Instances!FF27)-MIN(Instances!FF27:Instances!FF27))</f>
        <v>0</v>
      </c>
      <c r="FG27" s="1" cm="1">
        <f t="array" ref="FG27">_xlfn.SWITCH($A$2,"average", AVERAGE(Instances!FG27:Instances!FG27),"median", MEDIAN(Instances!FG27:Instances!FG27),"min", MIN(Instances!FG27:Instances!FG27),"max", MAX(Instances!FG27:Instances!FG27),"diff", MAX(Instances!FG27:Instances!FG27)-MIN(Instances!FG27:Instances!FG27))</f>
        <v>0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 cm="1">
        <f t="array" ref="FZ27">_xlfn.SWITCH($A$2,"average", AVERAGE(Instances!FZ27:Instances!FZ27),"median", MEDIAN(Instances!FZ27:Instances!FZ27),"min", MIN(Instances!FZ27:Instances!FZ27),"max", MAX(Instances!FZ27:Instances!FZ27),"diff", MAX(Instances!FZ27:Instances!FZ27)-MIN(Instances!FZ27:Instances!FZ27))</f>
        <v>0</v>
      </c>
      <c r="GA27" s="1" cm="1">
        <f t="array" ref="GA27">_xlfn.SWITCH($A$2,"average", AVERAGE(Instances!GA27:Instances!GA27),"median", MEDIAN(Instances!GA27:Instances!GA27),"min", MIN(Instances!GA27:Instances!GA27),"max", MAX(Instances!GA27:Instances!GA27),"diff", MAX(Instances!GA27:Instances!GA27)-MIN(Instances!GA27:Instances!GA27))</f>
        <v>0</v>
      </c>
      <c r="GB27" s="1" cm="1">
        <f t="array" ref="GB27">_xlfn.SWITCH($A$2,"average", AVERAGE(Instances!GB27:Instances!GB27),"median", MEDIAN(Instances!GB27:Instances!GB27),"min", MIN(Instances!GB27:Instances!GB27),"max", MAX(Instances!GB27:Instances!GB27),"diff", MAX(Instances!GB27:Instances!GB27)-MIN(Instances!GB27:Instances!GB27))</f>
        <v>0</v>
      </c>
      <c r="GC27" s="1" cm="1">
        <f t="array" ref="GC27">_xlfn.SWITCH($A$2,"average", AVERAGE(Instances!GC27:Instances!GC27),"median", MEDIAN(Instances!GC27:Instances!GC27),"min", MIN(Instances!GC27:Instances!GC27),"max", MAX(Instances!GC27:Instances!GC27),"diff", MAX(Instances!GC27:Instances!GC27)-MIN(Instances!GC27:Instances!GC27))</f>
        <v>0</v>
      </c>
      <c r="GD27" s="1" cm="1">
        <f t="array" ref="GD27">_xlfn.SWITCH($A$2,"average", AVERAGE(Instances!GD27:Instances!GD27),"median", MEDIAN(Instances!GD27:Instances!GD27),"min", MIN(Instances!GD27:Instances!GD27),"max", MAX(Instances!GD27:Instances!GD27),"diff", MAX(Instances!GD27:Instances!GD27)-MIN(Instances!GD27:Instances!GD27))</f>
        <v>0</v>
      </c>
      <c r="GE27" s="1" cm="1">
        <f t="array" ref="GE27">_xlfn.SWITCH($A$2,"average", AVERAGE(Instances!GE27:Instances!GE27),"median", MEDIAN(Instances!GE27:Instances!GE27),"min", MIN(Instances!GE27:Instances!GE27),"max", MAX(Instances!GE27:Instances!GE27),"diff", MAX(Instances!GE27:Instances!GE27)-MIN(Instances!GE27:Instances!GE27))</f>
        <v>0</v>
      </c>
      <c r="GF27" s="1" cm="1">
        <f t="array" ref="GF27">_xlfn.SWITCH($A$2,"average", AVERAGE(Instances!GF27:Instances!GF27),"median", MEDIAN(Instances!GF27:Instances!GF27),"min", MIN(Instances!GF27:Instances!GF27),"max", MAX(Instances!GF27:Instances!GF27),"diff", MAX(Instances!GF27:Instances!GF27)-MIN(Instances!GF27:Instances!GF27))</f>
        <v>0</v>
      </c>
      <c r="GG27" s="1" cm="1">
        <f t="array" ref="GG27">_xlfn.SWITCH($A$2,"average", AVERAGE(Instances!GG27:Instances!GG27),"median", MEDIAN(Instances!GG27:Instances!GG27),"min", MIN(Instances!GG27:Instances!GG27),"max", MAX(Instances!GG27:Instances!GG27),"diff", MAX(Instances!GG27:Instances!GG27)-MIN(Instances!GG27:Instances!GG27))</f>
        <v>0</v>
      </c>
      <c r="GH27" s="1" cm="1">
        <f t="array" ref="GH27">_xlfn.SWITCH($A$2,"average", AVERAGE(Instances!GH27:Instances!GH27),"median", MEDIAN(Instances!GH27:Instances!GH27),"min", MIN(Instances!GH27:Instances!GH27),"max", MAX(Instances!GH27:Instances!GH27),"diff", MAX(Instances!GH27:Instances!GH27)-MIN(Instances!GH27:Instances!GH27))</f>
        <v>0</v>
      </c>
      <c r="GI27" s="1" cm="1">
        <f t="array" ref="GI27">_xlfn.SWITCH($A$2,"average", AVERAGE(Instances!GI27:Instances!GI27),"median", MEDIAN(Instances!GI27:Instances!GI27),"min", MIN(Instances!GI27:Instances!GI27),"max", MAX(Instances!GI27:Instances!GI27),"diff", MAX(Instances!GI27:Instances!GI27)-MIN(Instances!GI27:Instances!GI27))</f>
        <v>0</v>
      </c>
      <c r="GJ27" s="1" cm="1">
        <f t="array" ref="GJ27">_xlfn.SWITCH($A$2,"average", AVERAGE(Instances!GJ27:Instances!GJ27),"median", MEDIAN(Instances!GJ27:Instances!GJ27),"min", MIN(Instances!GJ27:Instances!GJ27),"max", MAX(Instances!GJ27:Instances!GJ27),"diff", MAX(Instances!GJ27:Instances!GJ27)-MIN(Instances!GJ27:Instances!GJ27))</f>
        <v>0</v>
      </c>
      <c r="GK27" s="1" cm="1">
        <f t="array" ref="GK27">_xlfn.SWITCH($A$2,"average", AVERAGE(Instances!GK27:Instances!GK27),"median", MEDIAN(Instances!GK27:Instances!GK27),"min", MIN(Instances!GK27:Instances!GK27),"max", MAX(Instances!GK27:Instances!GK27),"diff", MAX(Instances!GK27:Instances!GK27)-MIN(Instances!GK27:Instances!GK27))</f>
        <v>0</v>
      </c>
      <c r="GL27" s="1" cm="1">
        <f t="array" ref="GL27">_xlfn.SWITCH($A$2,"average", AVERAGE(Instances!GL27:Instances!GL27),"median", MEDIAN(Instances!GL27:Instances!GL27),"min", MIN(Instances!GL27:Instances!GL27),"max", MAX(Instances!GL27:Instances!GL27),"diff", MAX(Instances!GL27:Instances!GL27)-MIN(Instances!GL27:Instances!GL27))</f>
        <v>0</v>
      </c>
      <c r="GM27" s="1" cm="1">
        <f t="array" ref="GM27">_xlfn.SWITCH($A$2,"average", AVERAGE(Instances!GM27:Instances!GM27),"median", MEDIAN(Instances!GM27:Instances!GM27),"min", MIN(Instances!GM27:Instances!GM27),"max", MAX(Instances!GM27:Instances!GM27),"diff", MAX(Instances!GM27:Instances!GM27)-MIN(Instances!GM27:Instances!GM27))</f>
        <v>0</v>
      </c>
      <c r="GN27" s="1"/>
      <c r="GO27" s="1" cm="1">
        <f t="array" ref="GO27">_xlfn.SWITCH($A$2,"average", AVERAGE(Instances!GO27:Instances!GO27),"median", MEDIAN(Instances!GO27:Instances!GO27),"min", MIN(Instances!GO27:Instances!GO27),"max", MAX(Instances!GO27:Instances!GO27),"diff", MAX(Instances!GO27:Instances!GO27)-MIN(Instances!GO27:Instances!GO27))</f>
        <v>0</v>
      </c>
      <c r="GP27" s="1" cm="1">
        <f t="array" ref="GP27">_xlfn.SWITCH($A$2,"average", AVERAGE(Instances!GP27:Instances!GP27),"median", MEDIAN(Instances!GP27:Instances!GP27),"min", MIN(Instances!GP27:Instances!GP27),"max", MAX(Instances!GP27:Instances!GP27),"diff", MAX(Instances!GP27:Instances!GP27)-MIN(Instances!GP27:Instances!GP27))</f>
        <v>0</v>
      </c>
      <c r="GQ27" s="1" cm="1">
        <f t="array" ref="GQ27">_xlfn.SWITCH($A$2,"average", AVERAGE(Instances!GQ27:Instances!GQ27),"median", MEDIAN(Instances!GQ27:Instances!GQ27),"min", MIN(Instances!GQ27:Instances!GQ27),"max", MAX(Instances!GQ27:Instances!GQ27),"diff", MAX(Instances!GQ27:Instances!GQ27)-MIN(Instances!GQ27:Instances!GQ27))</f>
        <v>0</v>
      </c>
      <c r="GR27" s="1" cm="1">
        <f t="array" ref="GR27">_xlfn.SWITCH($A$2,"average", AVERAGE(Instances!GR27:Instances!GR27),"median", MEDIAN(Instances!GR27:Instances!GR27),"min", MIN(Instances!GR27:Instances!GR27),"max", MAX(Instances!GR27:Instances!GR27),"diff", MAX(Instances!GR27:Instances!GR27)-MIN(Instances!GR27:Instances!GR27))</f>
        <v>0</v>
      </c>
      <c r="GS27" s="1" cm="1">
        <f t="array" ref="GS27">_xlfn.SWITCH($A$2,"average", AVERAGE(Instances!GS27:Instances!GS27),"median", MEDIAN(Instances!GS27:Instances!GS27),"min", MIN(Instances!GS27:Instances!GS27),"max", MAX(Instances!GS27:Instances!GS27),"diff", MAX(Instances!GS27:Instances!GS27)-MIN(Instances!GS27:Instances!GS27))</f>
        <v>0</v>
      </c>
      <c r="GT27" s="1" cm="1">
        <f t="array" ref="GT27">_xlfn.SWITCH($A$2,"average", AVERAGE(Instances!GT27:Instances!GT27),"median", MEDIAN(Instances!GT27:Instances!GT27),"min", MIN(Instances!GT27:Instances!GT27),"max", MAX(Instances!GT27:Instances!GT27),"diff", MAX(Instances!GT27:Instances!GT27)-MIN(Instances!GT27:Instances!GT27))</f>
        <v>0</v>
      </c>
      <c r="GU27" s="1" cm="1">
        <f t="array" ref="GU27">_xlfn.SWITCH($A$2,"average", AVERAGE(Instances!GU27:Instances!GU27),"median", MEDIAN(Instances!GU27:Instances!GU27),"min", MIN(Instances!GU27:Instances!GU27),"max", MAX(Instances!GU27:Instances!GU27),"diff", MAX(Instances!GU27:Instances!GU27)-MIN(Instances!GU27:Instances!GU27))</f>
        <v>0</v>
      </c>
      <c r="GV27" s="1" cm="1">
        <f t="array" ref="GV27">_xlfn.SWITCH($A$2,"average", AVERAGE(Instances!GV27:Instances!GV27),"median", MEDIAN(Instances!GV27:Instances!GV27),"min", MIN(Instances!GV27:Instances!GV27),"max", MAX(Instances!GV27:Instances!GV27),"diff", MAX(Instances!GV27:Instances!GV27)-MIN(Instances!GV27:Instances!GV27))</f>
        <v>0</v>
      </c>
      <c r="GW27" s="1" cm="1">
        <f t="array" ref="GW27">_xlfn.SWITCH($A$2,"average", AVERAGE(Instances!GW27:Instances!GW27),"median", MEDIAN(Instances!GW27:Instances!GW27),"min", MIN(Instances!GW27:Instances!GW27),"max", MAX(Instances!GW27:Instances!GW27),"diff", MAX(Instances!GW27:Instances!GW27)-MIN(Instances!GW27:Instances!GW27))</f>
        <v>0</v>
      </c>
      <c r="GX27" s="1" cm="1">
        <f t="array" ref="GX27">_xlfn.SWITCH($A$2,"average", AVERAGE(Instances!GX27:Instances!GX27),"median", MEDIAN(Instances!GX27:Instances!GX27),"min", MIN(Instances!GX27:Instances!GX27),"max", MAX(Instances!GX27:Instances!GX27),"diff", MAX(Instances!GX27:Instances!GX27)-MIN(Instances!GX27:Instances!GX27))</f>
        <v>0</v>
      </c>
      <c r="GY27" s="1" cm="1">
        <f t="array" ref="GY27">_xlfn.SWITCH($A$2,"average", AVERAGE(Instances!GY27:Instances!GY27),"median", MEDIAN(Instances!GY27:Instances!GY27),"min", MIN(Instances!GY27:Instances!GY27),"max", MAX(Instances!GY27:Instances!GY27),"diff", MAX(Instances!GY27:Instances!GY27)-MIN(Instances!GY27:Instances!GY27))</f>
        <v>0</v>
      </c>
      <c r="GZ27" s="1" cm="1">
        <f t="array" ref="GZ27">_xlfn.SWITCH($A$2,"average", AVERAGE(Instances!GZ27:Instances!GZ27),"median", MEDIAN(Instances!GZ27:Instances!GZ27),"min", MIN(Instances!GZ27:Instances!GZ27),"max", MAX(Instances!GZ27:Instances!GZ27),"diff", MAX(Instances!GZ27:Instances!GZ27)-MIN(Instances!GZ27:Instances!GZ27))</f>
        <v>0</v>
      </c>
      <c r="HA27" s="1" cm="1">
        <f t="array" ref="HA27">_xlfn.SWITCH($A$2,"average", AVERAGE(Instances!HA27:Instances!HA27),"median", MEDIAN(Instances!HA27:Instances!HA27),"min", MIN(Instances!HA27:Instances!HA27),"max", MAX(Instances!HA27:Instances!HA27),"diff", MAX(Instances!HA27:Instances!HA27)-MIN(Instances!HA27:Instances!HA27))</f>
        <v>0</v>
      </c>
      <c r="HB27" s="1" cm="1">
        <f t="array" ref="HB27">_xlfn.SWITCH($A$2,"average", AVERAGE(Instances!HB27:Instances!HB27),"median", MEDIAN(Instances!HB27:Instances!HB27),"min", MIN(Instances!HB27:Instances!HB27),"max", MAX(Instances!HB27:Instances!HB27),"diff", MAX(Instances!HB27:Instances!HB27)-MIN(Instances!HB27:Instances!HB27))</f>
        <v>0</v>
      </c>
      <c r="HC27" s="1" cm="1">
        <f t="array" ref="HC27">_xlfn.SWITCH($A$2,"average", AVERAGE(Instances!HC27:Instances!HC27),"median", MEDIAN(Instances!HC27:Instances!HC27),"min", MIN(Instances!HC27:Instances!HC27),"max", MAX(Instances!HC27:Instances!HC27),"diff", MAX(Instances!HC27:Instances!HC27)-MIN(Instances!HC27:Instances!HC27))</f>
        <v>0</v>
      </c>
      <c r="HD27" s="1" cm="1">
        <f t="array" ref="HD27">_xlfn.SWITCH($A$2,"average", AVERAGE(Instances!HD27:Instances!HD27),"median", MEDIAN(Instances!HD27:Instances!HD27),"min", MIN(Instances!HD27:Instances!HD27),"max", MAX(Instances!HD27:Instances!HD27),"diff", MAX(Instances!HD27:Instances!HD27)-MIN(Instances!HD27:Instances!HD27))</f>
        <v>0</v>
      </c>
      <c r="HE27" s="1" cm="1">
        <f t="array" ref="HE27">_xlfn.SWITCH($A$2,"average", AVERAGE(Instances!HE27:Instances!HE27),"median", MEDIAN(Instances!HE27:Instances!HE27),"min", MIN(Instances!HE27:Instances!HE27),"max", MAX(Instances!HE27:Instances!HE27),"diff", MAX(Instances!HE27:Instances!HE27)-MIN(Instances!HE27:Instances!HE27))</f>
        <v>0</v>
      </c>
      <c r="HF27" s="1"/>
      <c r="HG27" s="1" cm="1">
        <f t="array" ref="HG27">_xlfn.SWITCH($A$2,"average", AVERAGE(Instances!HG27:Instances!HG27),"median", MEDIAN(Instances!HG27:Instances!HG27),"min", MIN(Instances!HG27:Instances!HG27),"max", MAX(Instances!HG27:Instances!HG27),"diff", MAX(Instances!HG27:Instances!HG27)-MIN(Instances!HG27:Instances!HG27))</f>
        <v>0</v>
      </c>
      <c r="HH27" s="1" cm="1">
        <f t="array" ref="HH27">_xlfn.SWITCH($A$2,"average", AVERAGE(Instances!HH27:Instances!HH27),"median", MEDIAN(Instances!HH27:Instances!HH27),"min", MIN(Instances!HH27:Instances!HH27),"max", MAX(Instances!HH27:Instances!HH27),"diff", MAX(Instances!HH27:Instances!HH27)-MIN(Instances!HH27:Instances!HH27))</f>
        <v>0</v>
      </c>
      <c r="HI27" s="1" cm="1">
        <f t="array" ref="HI27">_xlfn.SWITCH($A$2,"average", AVERAGE(Instances!HI27:Instances!HI27),"median", MEDIAN(Instances!HI27:Instances!HI27),"min", MIN(Instances!HI27:Instances!HI27),"max", MAX(Instances!HI27:Instances!HI27),"diff", MAX(Instances!HI27:Instances!HI27)-MIN(Instances!HI27:Instances!HI27))</f>
        <v>0</v>
      </c>
      <c r="HJ27" s="1" cm="1">
        <f t="array" ref="HJ27">_xlfn.SWITCH($A$2,"average", AVERAGE(Instances!HJ27:Instances!HJ27),"median", MEDIAN(Instances!HJ27:Instances!HJ27),"min", MIN(Instances!HJ27:Instances!HJ27),"max", MAX(Instances!HJ27:Instances!HJ27),"diff", MAX(Instances!HJ27:Instances!HJ27)-MIN(Instances!HJ27:Instances!HJ27))</f>
        <v>0</v>
      </c>
      <c r="HK27" s="1" cm="1">
        <f t="array" ref="HK27">_xlfn.SWITCH($A$2,"average", AVERAGE(Instances!HK27:Instances!HK27),"median", MEDIAN(Instances!HK27:Instances!HK27),"min", MIN(Instances!HK27:Instances!HK27),"max", MAX(Instances!HK27:Instances!HK27),"diff", MAX(Instances!HK27:Instances!HK27)-MIN(Instances!HK27:Instances!HK27))</f>
        <v>0</v>
      </c>
      <c r="HL27" s="1" cm="1">
        <f t="array" ref="HL27">_xlfn.SWITCH($A$2,"average", AVERAGE(Instances!HL27:Instances!HL27),"median", MEDIAN(Instances!HL27:Instances!HL27),"min", MIN(Instances!HL27:Instances!HL27),"max", MAX(Instances!HL27:Instances!HL27),"diff", MAX(Instances!HL27:Instances!HL27)-MIN(Instances!HL27:Instances!HL27))</f>
        <v>0</v>
      </c>
      <c r="HM27" s="1" cm="1">
        <f t="array" ref="HM27">_xlfn.SWITCH($A$2,"average", AVERAGE(Instances!HM27:Instances!HM27),"median", MEDIAN(Instances!HM27:Instances!HM27),"min", MIN(Instances!HM27:Instances!HM27),"max", MAX(Instances!HM27:Instances!HM27),"diff", MAX(Instances!HM27:Instances!HM27)-MIN(Instances!HM27:Instances!HM27))</f>
        <v>0</v>
      </c>
      <c r="HN27" s="1" cm="1">
        <f t="array" ref="HN27">_xlfn.SWITCH($A$2,"average", AVERAGE(Instances!HN27:Instances!HN27),"median", MEDIAN(Instances!HN27:Instances!HN27),"min", MIN(Instances!HN27:Instances!HN27),"max", MAX(Instances!HN27:Instances!HN27),"diff", MAX(Instances!HN27:Instances!HN27)-MIN(Instances!HN27:Instances!HN27))</f>
        <v>0</v>
      </c>
      <c r="HO27" s="1" cm="1">
        <f t="array" ref="HO27">_xlfn.SWITCH($A$2,"average", AVERAGE(Instances!HO27:Instances!HO27),"median", MEDIAN(Instances!HO27:Instances!HO27),"min", MIN(Instances!HO27:Instances!HO27),"max", MAX(Instances!HO27:Instances!HO27),"diff", MAX(Instances!HO27:Instances!HO27)-MIN(Instances!HO27:Instances!HO27))</f>
        <v>0</v>
      </c>
      <c r="HP27" s="1" cm="1">
        <f t="array" ref="HP27">_xlfn.SWITCH($A$2,"average", AVERAGE(Instances!HP27:Instances!HP27),"median", MEDIAN(Instances!HP27:Instances!HP27),"min", MIN(Instances!HP27:Instances!HP27),"max", MAX(Instances!HP27:Instances!HP27),"diff", MAX(Instances!HP27:Instances!HP27)-MIN(Instances!HP27:Instances!HP27))</f>
        <v>0</v>
      </c>
      <c r="HQ27" s="1" cm="1">
        <f t="array" ref="HQ27">_xlfn.SWITCH($A$2,"average", AVERAGE(Instances!HQ27:Instances!HQ27),"median", MEDIAN(Instances!HQ27:Instances!HQ27),"min", MIN(Instances!HQ27:Instances!HQ27),"max", MAX(Instances!HQ27:Instances!HQ27),"diff", MAX(Instances!HQ27:Instances!HQ27)-MIN(Instances!HQ27:Instances!HQ27))</f>
        <v>0</v>
      </c>
      <c r="HR27" s="1" cm="1">
        <f t="array" ref="HR27">_xlfn.SWITCH($A$2,"average", AVERAGE(Instances!HR27:Instances!HR27),"median", MEDIAN(Instances!HR27:Instances!HR27),"min", MIN(Instances!HR27:Instances!HR27),"max", MAX(Instances!HR27:Instances!HR27),"diff", MAX(Instances!HR27:Instances!HR27)-MIN(Instances!HR27:Instances!HR27))</f>
        <v>0</v>
      </c>
      <c r="HS27" s="1" cm="1">
        <f t="array" ref="HS27">_xlfn.SWITCH($A$2,"average", AVERAGE(Instances!HS27:Instances!HS27),"median", MEDIAN(Instances!HS27:Instances!HS27),"min", MIN(Instances!HS27:Instances!HS27),"max", MAX(Instances!HS27:Instances!HS27),"diff", MAX(Instances!HS27:Instances!HS27)-MIN(Instances!HS27:Instances!HS27))</f>
        <v>0</v>
      </c>
      <c r="HT27" s="1" cm="1">
        <f t="array" ref="HT27">_xlfn.SWITCH($A$2,"average", AVERAGE(Instances!HT27:Instances!HT27),"median", MEDIAN(Instances!HT27:Instances!HT27),"min", MIN(Instances!HT27:Instances!HT27),"max", MAX(Instances!HT27:Instances!HT27),"diff", MAX(Instances!HT27:Instances!HT27)-MIN(Instances!HT27:Instances!HT27))</f>
        <v>0</v>
      </c>
      <c r="HU27" s="1" cm="1">
        <f t="array" ref="HU27">_xlfn.SWITCH($A$2,"average", AVERAGE(Instances!HU27:Instances!HU27),"median", MEDIAN(Instances!HU27:Instances!HU27),"min", MIN(Instances!HU27:Instances!HU27),"max", MAX(Instances!HU27:Instances!HU27),"diff", MAX(Instances!HU27:Instances!HU27)-MIN(Instances!HU27:Instances!HU27))</f>
        <v>0</v>
      </c>
      <c r="HV27" s="1" cm="1">
        <f t="array" ref="HV27">_xlfn.SWITCH($A$2,"average", AVERAGE(Instances!HV27:Instances!HV27),"median", MEDIAN(Instances!HV27:Instances!HV27),"min", MIN(Instances!HV27:Instances!HV27),"max", MAX(Instances!HV27:Instances!HV27),"diff", MAX(Instances!HV27:Instances!HV27)-MIN(Instances!HV27:Instances!HV27))</f>
        <v>0</v>
      </c>
      <c r="HW27" s="1" cm="1">
        <f t="array" ref="HW27">_xlfn.SWITCH($A$2,"average", AVERAGE(Instances!HW27:Instances!HW27),"median", MEDIAN(Instances!HW27:Instances!HW27),"min", MIN(Instances!HW27:Instances!HW27),"max", MAX(Instances!HW27:Instances!HW27),"diff", MAX(Instances!HW27:Instances!HW27)-MIN(Instances!HW27:Instances!HW27))</f>
        <v>0</v>
      </c>
      <c r="HX27" s="1"/>
      <c r="HY27" s="1" cm="1">
        <f t="array" ref="HY27">_xlfn.SWITCH($A$2,"average", AVERAGE(Instances!HY27:Instances!HY27),"median", MEDIAN(Instances!HY27:Instances!HY27),"min", MIN(Instances!HY27:Instances!HY27),"max", MAX(Instances!HY27:Instances!HY27),"diff", MAX(Instances!HY27:Instances!HY27)-MIN(Instances!HY27:Instances!HY27))</f>
        <v>0</v>
      </c>
      <c r="HZ27" s="1" cm="1">
        <f t="array" ref="HZ27">_xlfn.SWITCH($A$2,"average", AVERAGE(Instances!HZ27:Instances!HZ27),"median", MEDIAN(Instances!HZ27:Instances!HZ27),"min", MIN(Instances!HZ27:Instances!HZ27),"max", MAX(Instances!HZ27:Instances!HZ27),"diff", MAX(Instances!HZ27:Instances!HZ27)-MIN(Instances!HZ27:Instances!HZ27))</f>
        <v>0</v>
      </c>
      <c r="IA27" s="1" cm="1">
        <f t="array" ref="IA27">_xlfn.SWITCH($A$2,"average", AVERAGE(Instances!IA27:Instances!IA27),"median", MEDIAN(Instances!IA27:Instances!IA27),"min", MIN(Instances!IA27:Instances!IA27),"max", MAX(Instances!IA27:Instances!IA27),"diff", MAX(Instances!IA27:Instances!IA27)-MIN(Instances!IA27:Instances!IA27))</f>
        <v>0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 cm="1">
        <f t="array" ref="JL27">_xlfn.SWITCH($A$2,"average", AVERAGE(Instances!JL27:Instances!JL27),"median", MEDIAN(Instances!JL27:Instances!JL27),"min", MIN(Instances!JL27:Instances!JL27),"max", MAX(Instances!JL27:Instances!JL27),"diff", MAX(Instances!JL27:Instances!JL27)-MIN(Instances!JL27:Instances!JL27))</f>
        <v>0</v>
      </c>
      <c r="JM27" s="1" cm="1">
        <f t="array" ref="JM27">_xlfn.SWITCH($A$2,"average", AVERAGE(Instances!JM27:Instances!JM27),"median", MEDIAN(Instances!JM27:Instances!JM27),"min", MIN(Instances!JM27:Instances!JM27),"max", MAX(Instances!JM27:Instances!JM27),"diff", MAX(Instances!JM27:Instances!JM27)-MIN(Instances!JM27:Instances!JM27))</f>
        <v>0</v>
      </c>
      <c r="JN27" s="1" cm="1">
        <f t="array" ref="JN27">_xlfn.SWITCH($A$2,"average", AVERAGE(Instances!JN27:Instances!JN27),"median", MEDIAN(Instances!JN27:Instances!JN27),"min", MIN(Instances!JN27:Instances!JN27),"max", MAX(Instances!JN27:Instances!JN27),"diff", MAX(Instances!JN27:Instances!JN27)-MIN(Instances!JN27:Instances!JN27))</f>
        <v>0</v>
      </c>
      <c r="JO27" s="1" cm="1">
        <f t="array" ref="JO27">_xlfn.SWITCH($A$2,"average", AVERAGE(Instances!JO27:Instances!JO27),"median", MEDIAN(Instances!JO27:Instances!JO27),"min", MIN(Instances!JO27:Instances!JO27),"max", MAX(Instances!JO27:Instances!JO27),"diff", MAX(Instances!JO27:Instances!JO27)-MIN(Instances!JO27:Instances!JO27))</f>
        <v>0</v>
      </c>
      <c r="JP27" s="1" cm="1">
        <f t="array" ref="JP27">_xlfn.SWITCH($A$2,"average", AVERAGE(Instances!JP27:Instances!JP27),"median", MEDIAN(Instances!JP27:Instances!JP27),"min", MIN(Instances!JP27:Instances!JP27),"max", MAX(Instances!JP27:Instances!JP27),"diff", MAX(Instances!JP27:Instances!JP27)-MIN(Instances!JP27:Instances!JP27))</f>
        <v>0</v>
      </c>
      <c r="JQ27" s="1" cm="1">
        <f t="array" ref="JQ27">_xlfn.SWITCH($A$2,"average", AVERAGE(Instances!JQ27:Instances!JQ27),"median", MEDIAN(Instances!JQ27:Instances!JQ27),"min", MIN(Instances!JQ27:Instances!JQ27),"max", MAX(Instances!JQ27:Instances!JQ27),"diff", MAX(Instances!JQ27:Instances!JQ27)-MIN(Instances!JQ27:Instances!JQ27))</f>
        <v>0</v>
      </c>
      <c r="JR27" s="1" cm="1">
        <f t="array" ref="JR27">_xlfn.SWITCH($A$2,"average", AVERAGE(Instances!JR27:Instances!JR27),"median", MEDIAN(Instances!JR27:Instances!JR27),"min", MIN(Instances!JR27:Instances!JR27),"max", MAX(Instances!JR27:Instances!JR27),"diff", MAX(Instances!JR27:Instances!JR27)-MIN(Instances!JR27:Instances!JR27))</f>
        <v>0</v>
      </c>
      <c r="JS27" s="1" cm="1">
        <f t="array" ref="JS27">_xlfn.SWITCH($A$2,"average", AVERAGE(Instances!JS27:Instances!JS27),"median", MEDIAN(Instances!JS27:Instances!JS27),"min", MIN(Instances!JS27:Instances!JS27),"max", MAX(Instances!JS27:Instances!JS27),"diff", MAX(Instances!JS27:Instances!JS27)-MIN(Instances!JS27:Instances!JS27))</f>
        <v>0</v>
      </c>
      <c r="JT27" s="1" cm="1">
        <f t="array" ref="JT27">_xlfn.SWITCH($A$2,"average", AVERAGE(Instances!JT27:Instances!JT27),"median", MEDIAN(Instances!JT27:Instances!JT27),"min", MIN(Instances!JT27:Instances!JT27),"max", MAX(Instances!JT27:Instances!JT27),"diff", MAX(Instances!JT27:Instances!JT27)-MIN(Instances!JT27:Instances!JT27))</f>
        <v>0</v>
      </c>
      <c r="JU27" s="1" cm="1">
        <f t="array" ref="JU27">_xlfn.SWITCH($A$2,"average", AVERAGE(Instances!JU27:Instances!JU27),"median", MEDIAN(Instances!JU27:Instances!JU27),"min", MIN(Instances!JU27:Instances!JU27),"max", MAX(Instances!JU27:Instances!JU27),"diff", MAX(Instances!JU27:Instances!JU27)-MIN(Instances!JU27:Instances!JU27))</f>
        <v>0</v>
      </c>
      <c r="JV27" s="1" cm="1">
        <f t="array" ref="JV27">_xlfn.SWITCH($A$2,"average", AVERAGE(Instances!JV27:Instances!JV27),"median", MEDIAN(Instances!JV27:Instances!JV27),"min", MIN(Instances!JV27:Instances!JV27),"max", MAX(Instances!JV27:Instances!JV27),"diff", MAX(Instances!JV27:Instances!JV27)-MIN(Instances!JV27:Instances!JV27))</f>
        <v>0</v>
      </c>
      <c r="JW27" s="1" cm="1">
        <f t="array" ref="JW27">_xlfn.SWITCH($A$2,"average", AVERAGE(Instances!JW27:Instances!JW27),"median", MEDIAN(Instances!JW27:Instances!JW27),"min", MIN(Instances!JW27:Instances!JW27),"max", MAX(Instances!JW27:Instances!JW27),"diff", MAX(Instances!JW27:Instances!JW27)-MIN(Instances!JW27:Instances!JW27))</f>
        <v>0</v>
      </c>
      <c r="JX27" s="1" cm="1">
        <f t="array" ref="JX27">_xlfn.SWITCH($A$2,"average", AVERAGE(Instances!JX27:Instances!JX27),"median", MEDIAN(Instances!JX27:Instances!JX27),"min", MIN(Instances!JX27:Instances!JX27),"max", MAX(Instances!JX27:Instances!JX27),"diff", MAX(Instances!JX27:Instances!JX27)-MIN(Instances!JX27:Instances!JX27))</f>
        <v>0</v>
      </c>
      <c r="JY27" s="1" cm="1">
        <f t="array" ref="JY27">_xlfn.SWITCH($A$2,"average", AVERAGE(Instances!JY27:Instances!JY27),"median", MEDIAN(Instances!JY27:Instances!JY27),"min", MIN(Instances!JY27:Instances!JY27),"max", MAX(Instances!JY27:Instances!JY27),"diff", MAX(Instances!JY27:Instances!JY27)-MIN(Instances!JY27:Instances!JY27))</f>
        <v>0</v>
      </c>
      <c r="JZ27" s="1"/>
      <c r="KA27" s="1" cm="1">
        <f t="array" ref="KA27">_xlfn.SWITCH($A$2,"average", AVERAGE(Instances!KA27:Instances!KA27),"median", MEDIAN(Instances!KA27:Instances!KA27),"min", MIN(Instances!KA27:Instances!KA27),"max", MAX(Instances!KA27:Instances!KA27),"diff", MAX(Instances!KA27:Instances!KA27)-MIN(Instances!KA27:Instances!KA27))</f>
        <v>0</v>
      </c>
      <c r="KB27" s="1" cm="1">
        <f t="array" ref="KB27">_xlfn.SWITCH($A$2,"average", AVERAGE(Instances!KB27:Instances!KB27),"median", MEDIAN(Instances!KB27:Instances!KB27),"min", MIN(Instances!KB27:Instances!KB27),"max", MAX(Instances!KB27:Instances!KB27),"diff", MAX(Instances!KB27:Instances!KB27)-MIN(Instances!KB27:Instances!KB27))</f>
        <v>0</v>
      </c>
      <c r="KC27" s="1" cm="1">
        <f t="array" ref="KC27">_xlfn.SWITCH($A$2,"average", AVERAGE(Instances!KC27:Instances!KC27),"median", MEDIAN(Instances!KC27:Instances!KC27),"min", MIN(Instances!KC27:Instances!KC27),"max", MAX(Instances!KC27:Instances!KC27),"diff", MAX(Instances!KC27:Instances!KC27)-MIN(Instances!KC27:Instances!KC27))</f>
        <v>0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 cm="1">
        <f t="array" ref="L28">_xlfn.SWITCH($A$2,"average", AVERAGE(Instances!L28:Instances!L28),"median", MEDIAN(Instances!L28:Instances!L28),"min", MIN(Instances!L28:Instances!L28),"max", MAX(Instances!L28:Instances!L28),"diff", MAX(Instances!L28:Instances!L28)-MIN(Instances!L28:Instances!L28))</f>
        <v>0</v>
      </c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 cm="1">
        <f t="array" ref="O28">_xlfn.SWITCH($A$2,"average", AVERAGE(Instances!O28:Instances!O28),"median", MEDIAN(Instances!O28:Instances!O28),"min", MIN(Instances!O28:Instances!O28),"max", MAX(Instances!O28:Instances!O28),"diff", MAX(Instances!O28:Instances!O28)-MIN(Instances!O28:Instances!O28))</f>
        <v>0</v>
      </c>
      <c r="P28" s="1"/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 cm="1">
        <f t="array" ref="S28">_xlfn.SWITCH($A$2,"average", AVERAGE(Instances!S28:Instances!S28),"median", MEDIAN(Instances!S28:Instances!S28),"min", MIN(Instances!S28:Instances!S28),"max", MAX(Instances!S28:Instances!S28),"diff", MAX(Instances!S28:Instances!S28)-MIN(Instances!S28:Instances!S28))</f>
        <v>0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 cm="1">
        <f t="array" ref="AL28">_xlfn.SWITCH($A$2,"average", AVERAGE(Instances!AL28:Instances!AL28),"median", MEDIAN(Instances!AL28:Instances!AL28),"min", MIN(Instances!AL28:Instances!AL28),"max", MAX(Instances!AL28:Instances!AL28),"diff", MAX(Instances!AL28:Instances!AL28)-MIN(Instances!AL28:Instances!AL28))</f>
        <v>0</v>
      </c>
      <c r="AM28" s="1" cm="1">
        <f t="array" ref="AM28">_xlfn.SWITCH($A$2,"average", AVERAGE(Instances!AM28:Instances!AM28),"median", MEDIAN(Instances!AM28:Instances!AM28),"min", MIN(Instances!AM28:Instances!AM28),"max", MAX(Instances!AM28:Instances!AM28),"diff", MAX(Instances!AM28:Instances!AM28)-MIN(Instances!AM28:Instances!AM28))</f>
        <v>0</v>
      </c>
      <c r="AN28" s="1" cm="1">
        <f t="array" ref="AN28">_xlfn.SWITCH($A$2,"average", AVERAGE(Instances!AN28:Instances!AN28),"median", MEDIAN(Instances!AN28:Instances!AN28),"min", MIN(Instances!AN28:Instances!AN28),"max", MAX(Instances!AN28:Instances!AN28),"diff", MAX(Instances!AN28:Instances!AN28)-MIN(Instances!AN28:Instances!AN28))</f>
        <v>0</v>
      </c>
      <c r="AO28" s="1" cm="1">
        <f t="array" ref="AO28">_xlfn.SWITCH($A$2,"average", AVERAGE(Instances!AO28:Instances!AO28),"median", MEDIAN(Instances!AO28:Instances!AO28),"min", MIN(Instances!AO28:Instances!AO28),"max", MAX(Instances!AO28:Instances!AO28),"diff", MAX(Instances!AO28:Instances!AO28)-MIN(Instances!AO28:Instances!AO28))</f>
        <v>0</v>
      </c>
      <c r="AP28" s="1" cm="1">
        <f t="array" ref="AP28">_xlfn.SWITCH($A$2,"average", AVERAGE(Instances!AP28:Instances!AP28),"median", MEDIAN(Instances!AP28:Instances!AP28),"min", MIN(Instances!AP28:Instances!AP28),"max", MAX(Instances!AP28:Instances!AP28),"diff", MAX(Instances!AP28:Instances!AP28)-MIN(Instances!AP28:Instances!AP28))</f>
        <v>0</v>
      </c>
      <c r="AQ28" s="1" cm="1">
        <f t="array" ref="AQ28">_xlfn.SWITCH($A$2,"average", AVERAGE(Instances!AQ28:Instances!AQ28),"median", MEDIAN(Instances!AQ28:Instances!AQ28),"min", MIN(Instances!AQ28:Instances!AQ28),"max", MAX(Instances!AQ28:Instances!AQ28),"diff", MAX(Instances!AQ28:Instances!AQ28)-MIN(Instances!AQ28:Instances!AQ28))</f>
        <v>0</v>
      </c>
      <c r="AR28" s="1" cm="1">
        <f t="array" ref="AR28">_xlfn.SWITCH($A$2,"average", AVERAGE(Instances!AR28:Instances!AR28),"median", MEDIAN(Instances!AR28:Instances!AR28),"min", MIN(Instances!AR28:Instances!AR28),"max", MAX(Instances!AR28:Instances!AR28),"diff", MAX(Instances!AR28:Instances!AR28)-MIN(Instances!AR28:Instances!AR28))</f>
        <v>0</v>
      </c>
      <c r="AS28" s="1" cm="1">
        <f t="array" ref="AS28">_xlfn.SWITCH($A$2,"average", AVERAGE(Instances!AS28:Instances!AS28),"median", MEDIAN(Instances!AS28:Instances!AS28),"min", MIN(Instances!AS28:Instances!AS28),"max", MAX(Instances!AS28:Instances!AS28),"diff", MAX(Instances!AS28:Instances!AS28)-MIN(Instances!AS28:Instances!AS28))</f>
        <v>0</v>
      </c>
      <c r="AT28" s="1" cm="1">
        <f t="array" ref="AT28">_xlfn.SWITCH($A$2,"average", AVERAGE(Instances!AT28:Instances!AT28),"median", MEDIAN(Instances!AT28:Instances!AT28),"min", MIN(Instances!AT28:Instances!AT28),"max", MAX(Instances!AT28:Instances!AT28),"diff", MAX(Instances!AT28:Instances!AT28)-MIN(Instances!AT28:Instances!AT28))</f>
        <v>0</v>
      </c>
      <c r="AU28" s="1" cm="1">
        <f t="array" ref="AU28">_xlfn.SWITCH($A$2,"average", AVERAGE(Instances!AU28:Instances!AU28),"median", MEDIAN(Instances!AU28:Instances!AU28),"min", MIN(Instances!AU28:Instances!AU28),"max", MAX(Instances!AU28:Instances!AU28),"diff", MAX(Instances!AU28:Instances!AU28)-MIN(Instances!AU28:Instances!AU28))</f>
        <v>0</v>
      </c>
      <c r="AV28" s="1" cm="1">
        <f t="array" ref="AV28">_xlfn.SWITCH($A$2,"average", AVERAGE(Instances!AV28:Instances!AV28),"median", MEDIAN(Instances!AV28:Instances!AV28),"min", MIN(Instances!AV28:Instances!AV28),"max", MAX(Instances!AV28:Instances!AV28),"diff", MAX(Instances!AV28:Instances!AV28)-MIN(Instances!AV28:Instances!AV28))</f>
        <v>0</v>
      </c>
      <c r="AW28" s="1" cm="1">
        <f t="array" ref="AW28">_xlfn.SWITCH($A$2,"average", AVERAGE(Instances!AW28:Instances!AW28),"median", MEDIAN(Instances!AW28:Instances!AW28),"min", MIN(Instances!AW28:Instances!AW28),"max", MAX(Instances!AW28:Instances!AW28),"diff", MAX(Instances!AW28:Instances!AW28)-MIN(Instances!AW28:Instances!AW28))</f>
        <v>0</v>
      </c>
      <c r="AX28" s="1" cm="1">
        <f t="array" ref="AX28">_xlfn.SWITCH($A$2,"average", AVERAGE(Instances!AX28:Instances!AX28),"median", MEDIAN(Instances!AX28:Instances!AX28),"min", MIN(Instances!AX28:Instances!AX28),"max", MAX(Instances!AX28:Instances!AX28),"diff", MAX(Instances!AX28:Instances!AX28)-MIN(Instances!AX28:Instances!AX28))</f>
        <v>0</v>
      </c>
      <c r="AY28" s="1" cm="1">
        <f t="array" ref="AY28">_xlfn.SWITCH($A$2,"average", AVERAGE(Instances!AY28:Instances!AY28),"median", MEDIAN(Instances!AY28:Instances!AY28),"min", MIN(Instances!AY28:Instances!AY28),"max", MAX(Instances!AY28:Instances!AY28),"diff", MAX(Instances!AY28:Instances!AY28)-MIN(Instances!AY28:Instances!AY28))</f>
        <v>0</v>
      </c>
      <c r="AZ28" s="1"/>
      <c r="BA28" s="1" cm="1">
        <f t="array" ref="BA28">_xlfn.SWITCH($A$2,"average", AVERAGE(Instances!BA28:Instances!BA28),"median", MEDIAN(Instances!BA28:Instances!BA28),"min", MIN(Instances!BA28:Instances!BA28),"max", MAX(Instances!BA28:Instances!BA28),"diff", MAX(Instances!BA28:Instances!BA28)-MIN(Instances!BA28:Instances!BA28))</f>
        <v>0</v>
      </c>
      <c r="BB28" s="1" cm="1">
        <f t="array" ref="BB28">_xlfn.SWITCH($A$2,"average", AVERAGE(Instances!BB28:Instances!BB28),"median", MEDIAN(Instances!BB28:Instances!BB28),"min", MIN(Instances!BB28:Instances!BB28),"max", MAX(Instances!BB28:Instances!BB28),"diff", MAX(Instances!BB28:Instances!BB28)-MIN(Instances!BB28:Instances!BB28))</f>
        <v>0</v>
      </c>
      <c r="BC28" s="1" cm="1">
        <f t="array" ref="BC28">_xlfn.SWITCH($A$2,"average", AVERAGE(Instances!BC28:Instances!BC28),"median", MEDIAN(Instances!BC28:Instances!BC28),"min", MIN(Instances!BC28:Instances!BC28),"max", MAX(Instances!BC28:Instances!BC28),"diff", MAX(Instances!BC28:Instances!BC28)-MIN(Instances!BC28:Instances!BC28))</f>
        <v>0</v>
      </c>
      <c r="BD28" s="1" cm="1">
        <f t="array" ref="BD28">_xlfn.SWITCH($A$2,"average", AVERAGE(Instances!BD28:Instances!BD28),"median", MEDIAN(Instances!BD28:Instances!BD28),"min", MIN(Instances!BD28:Instances!BD28),"max", MAX(Instances!BD28:Instances!BD28),"diff", MAX(Instances!BD28:Instances!BD28)-MIN(Instances!BD28:Instances!BD28))</f>
        <v>0</v>
      </c>
      <c r="BE28" s="1" cm="1">
        <f t="array" ref="BE28">_xlfn.SWITCH($A$2,"average", AVERAGE(Instances!BE28:Instances!BE28),"median", MEDIAN(Instances!BE28:Instances!BE28),"min", MIN(Instances!BE28:Instances!BE28),"max", MAX(Instances!BE28:Instances!BE28),"diff", MAX(Instances!BE28:Instances!BE28)-MIN(Instances!BE28:Instances!BE28))</f>
        <v>0</v>
      </c>
      <c r="BF28" s="1" cm="1">
        <f t="array" ref="BF28">_xlfn.SWITCH($A$2,"average", AVERAGE(Instances!BF28:Instances!BF28),"median", MEDIAN(Instances!BF28:Instances!BF28),"min", MIN(Instances!BF28:Instances!BF28),"max", MAX(Instances!BF28:Instances!BF28),"diff", MAX(Instances!BF28:Instances!BF28)-MIN(Instances!BF28:Instances!BF28))</f>
        <v>0</v>
      </c>
      <c r="BG28" s="1" cm="1">
        <f t="array" ref="BG28">_xlfn.SWITCH($A$2,"average", AVERAGE(Instances!BG28:Instances!BG28),"median", MEDIAN(Instances!BG28:Instances!BG28),"min", MIN(Instances!BG28:Instances!BG28),"max", MAX(Instances!BG28:Instances!BG28),"diff", MAX(Instances!BG28:Instances!BG28)-MIN(Instances!BG28:Instances!BG28))</f>
        <v>0</v>
      </c>
      <c r="BH28" s="1" cm="1">
        <f t="array" ref="BH28">_xlfn.SWITCH($A$2,"average", AVERAGE(Instances!BH28:Instances!BH28),"median", MEDIAN(Instances!BH28:Instances!BH28),"min", MIN(Instances!BH28:Instances!BH28),"max", MAX(Instances!BH28:Instances!BH28),"diff", MAX(Instances!BH28:Instances!BH28)-MIN(Instances!BH28:Instances!BH28))</f>
        <v>0</v>
      </c>
      <c r="BI28" s="1" cm="1">
        <f t="array" ref="BI28">_xlfn.SWITCH($A$2,"average", AVERAGE(Instances!BI28:Instances!BI28),"median", MEDIAN(Instances!BI28:Instances!BI28),"min", MIN(Instances!BI28:Instances!BI28),"max", MAX(Instances!BI28:Instances!BI28),"diff", MAX(Instances!BI28:Instances!BI28)-MIN(Instances!BI28:Instances!BI28))</f>
        <v>0</v>
      </c>
      <c r="BJ28" s="1" cm="1">
        <f t="array" ref="BJ28">_xlfn.SWITCH($A$2,"average", AVERAGE(Instances!BJ28:Instances!BJ28),"median", MEDIAN(Instances!BJ28:Instances!BJ28),"min", MIN(Instances!BJ28:Instances!BJ28),"max", MAX(Instances!BJ28:Instances!BJ28),"diff", MAX(Instances!BJ28:Instances!BJ28)-MIN(Instances!BJ28:Instances!BJ28))</f>
        <v>0</v>
      </c>
      <c r="BK28" s="1" cm="1">
        <f t="array" ref="BK28">_xlfn.SWITCH($A$2,"average", AVERAGE(Instances!BK28:Instances!BK28),"median", MEDIAN(Instances!BK28:Instances!BK28),"min", MIN(Instances!BK28:Instances!BK28),"max", MAX(Instances!BK28:Instances!BK28),"diff", MAX(Instances!BK28:Instances!BK28)-MIN(Instances!BK28:Instances!BK28))</f>
        <v>0</v>
      </c>
      <c r="BL28" s="1" cm="1">
        <f t="array" ref="BL28">_xlfn.SWITCH($A$2,"average", AVERAGE(Instances!BL28:Instances!BL28),"median", MEDIAN(Instances!BL28:Instances!BL28),"min", MIN(Instances!BL28:Instances!BL28),"max", MAX(Instances!BL28:Instances!BL28),"diff", MAX(Instances!BL28:Instances!BL28)-MIN(Instances!BL28:Instances!BL28))</f>
        <v>0</v>
      </c>
      <c r="BM28" s="1" cm="1">
        <f t="array" ref="BM28">_xlfn.SWITCH($A$2,"average", AVERAGE(Instances!BM28:Instances!BM28),"median", MEDIAN(Instances!BM28:Instances!BM28),"min", MIN(Instances!BM28:Instances!BM28),"max", MAX(Instances!BM28:Instances!BM28),"diff", MAX(Instances!BM28:Instances!BM28)-MIN(Instances!BM28:Instances!BM28))</f>
        <v>0</v>
      </c>
      <c r="BN28" s="1" cm="1">
        <f t="array" ref="BN28">_xlfn.SWITCH($A$2,"average", AVERAGE(Instances!BN28:Instances!BN28),"median", MEDIAN(Instances!BN28:Instances!BN28),"min", MIN(Instances!BN28:Instances!BN28),"max", MAX(Instances!BN28:Instances!BN28),"diff", MAX(Instances!BN28:Instances!BN28)-MIN(Instances!BN28:Instances!BN28))</f>
        <v>0</v>
      </c>
      <c r="BO28" s="1" cm="1">
        <f t="array" ref="BO28">_xlfn.SWITCH($A$2,"average", AVERAGE(Instances!BO28:Instances!BO28),"median", MEDIAN(Instances!BO28:Instances!BO28),"min", MIN(Instances!BO28:Instances!BO28),"max", MAX(Instances!BO28:Instances!BO28),"diff", MAX(Instances!BO28:Instances!BO28)-MIN(Instances!BO28:Instances!BO28))</f>
        <v>0</v>
      </c>
      <c r="BP28" s="1" cm="1">
        <f t="array" ref="BP28">_xlfn.SWITCH($A$2,"average", AVERAGE(Instances!BP28:Instances!BP28),"median", MEDIAN(Instances!BP28:Instances!BP28),"min", MIN(Instances!BP28:Instances!BP28),"max", MAX(Instances!BP28:Instances!BP28),"diff", MAX(Instances!BP28:Instances!BP28)-MIN(Instances!BP28:Instances!BP28))</f>
        <v>0</v>
      </c>
      <c r="BQ28" s="1" cm="1">
        <f t="array" ref="BQ28">_xlfn.SWITCH($A$2,"average", AVERAGE(Instances!BQ28:Instances!BQ28),"median", MEDIAN(Instances!BQ28:Instances!BQ28),"min", MIN(Instances!BQ28:Instances!BQ28),"max", MAX(Instances!BQ28:Instances!BQ28),"diff", MAX(Instances!BQ28:Instances!BQ28)-MIN(Instances!BQ28:Instances!BQ28))</f>
        <v>0</v>
      </c>
      <c r="BR28" s="1"/>
      <c r="BS28" s="1" cm="1">
        <f t="array" ref="BS28">_xlfn.SWITCH($A$2,"average", AVERAGE(Instances!BS28:Instances!BS28),"median", MEDIAN(Instances!BS28:Instances!BS28),"min", MIN(Instances!BS28:Instances!BS28),"max", MAX(Instances!BS28:Instances!BS28),"diff", MAX(Instances!BS28:Instances!BS28)-MIN(Instances!BS28:Instances!BS28))</f>
        <v>0</v>
      </c>
      <c r="BT28" s="1" cm="1">
        <f t="array" ref="BT28">_xlfn.SWITCH($A$2,"average", AVERAGE(Instances!BT28:Instances!BT28),"median", MEDIAN(Instances!BT28:Instances!BT28),"min", MIN(Instances!BT28:Instances!BT28),"max", MAX(Instances!BT28:Instances!BT28),"diff", MAX(Instances!BT28:Instances!BT28)-MIN(Instances!BT28:Instances!BT28))</f>
        <v>0</v>
      </c>
      <c r="BU28" s="1" cm="1">
        <f t="array" ref="BU28">_xlfn.SWITCH($A$2,"average", AVERAGE(Instances!BU28:Instances!BU28),"median", MEDIAN(Instances!BU28:Instances!BU28),"min", MIN(Instances!BU28:Instances!BU28),"max", MAX(Instances!BU28:Instances!BU28),"diff", MAX(Instances!BU28:Instances!BU28)-MIN(Instances!BU28:Instances!BU28))</f>
        <v>0</v>
      </c>
      <c r="BV28" s="1" cm="1">
        <f t="array" ref="BV28">_xlfn.SWITCH($A$2,"average", AVERAGE(Instances!BV28:Instances!BV28),"median", MEDIAN(Instances!BV28:Instances!BV28),"min", MIN(Instances!BV28:Instances!BV28),"max", MAX(Instances!BV28:Instances!BV28),"diff", MAX(Instances!BV28:Instances!BV28)-MIN(Instances!BV28:Instances!BV28))</f>
        <v>0</v>
      </c>
      <c r="BW28" s="1" cm="1">
        <f t="array" ref="BW28">_xlfn.SWITCH($A$2,"average", AVERAGE(Instances!BW28:Instances!BW28),"median", MEDIAN(Instances!BW28:Instances!BW28),"min", MIN(Instances!BW28:Instances!BW28),"max", MAX(Instances!BW28:Instances!BW28),"diff", MAX(Instances!BW28:Instances!BW28)-MIN(Instances!BW28:Instances!BW28))</f>
        <v>0</v>
      </c>
      <c r="BX28" s="1" cm="1">
        <f t="array" ref="BX28">_xlfn.SWITCH($A$2,"average", AVERAGE(Instances!BX28:Instances!BX28),"median", MEDIAN(Instances!BX28:Instances!BX28),"min", MIN(Instances!BX28:Instances!BX28),"max", MAX(Instances!BX28:Instances!BX28),"diff", MAX(Instances!BX28:Instances!BX28)-MIN(Instances!BX28:Instances!BX28))</f>
        <v>0</v>
      </c>
      <c r="BY28" s="1" cm="1">
        <f t="array" ref="BY28">_xlfn.SWITCH($A$2,"average", AVERAGE(Instances!BY28:Instances!BY28),"median", MEDIAN(Instances!BY28:Instances!BY28),"min", MIN(Instances!BY28:Instances!BY28),"max", MAX(Instances!BY28:Instances!BY28),"diff", MAX(Instances!BY28:Instances!BY28)-MIN(Instances!BY28:Instances!BY28))</f>
        <v>0</v>
      </c>
      <c r="BZ28" s="1" cm="1">
        <f t="array" ref="BZ28">_xlfn.SWITCH($A$2,"average", AVERAGE(Instances!BZ28:Instances!BZ28),"median", MEDIAN(Instances!BZ28:Instances!BZ28),"min", MIN(Instances!BZ28:Instances!BZ28),"max", MAX(Instances!BZ28:Instances!BZ28),"diff", MAX(Instances!BZ28:Instances!BZ28)-MIN(Instances!BZ28:Instances!BZ28))</f>
        <v>0</v>
      </c>
      <c r="CA28" s="1" cm="1">
        <f t="array" ref="CA28">_xlfn.SWITCH($A$2,"average", AVERAGE(Instances!CA28:Instances!CA28),"median", MEDIAN(Instances!CA28:Instances!CA28),"min", MIN(Instances!CA28:Instances!CA28),"max", MAX(Instances!CA28:Instances!CA28),"diff", MAX(Instances!CA28:Instances!CA28)-MIN(Instances!CA28:Instances!CA28))</f>
        <v>0</v>
      </c>
      <c r="CB28" s="1" cm="1">
        <f t="array" ref="CB28">_xlfn.SWITCH($A$2,"average", AVERAGE(Instances!CB28:Instances!CB28),"median", MEDIAN(Instances!CB28:Instances!CB28),"min", MIN(Instances!CB28:Instances!CB28),"max", MAX(Instances!CB28:Instances!CB28),"diff", MAX(Instances!CB28:Instances!CB28)-MIN(Instances!CB28:Instances!CB28))</f>
        <v>0</v>
      </c>
      <c r="CC28" s="1" cm="1">
        <f t="array" ref="CC28">_xlfn.SWITCH($A$2,"average", AVERAGE(Instances!CC28:Instances!CC28),"median", MEDIAN(Instances!CC28:Instances!CC28),"min", MIN(Instances!CC28:Instances!CC28),"max", MAX(Instances!CC28:Instances!CC28),"diff", MAX(Instances!CC28:Instances!CC28)-MIN(Instances!CC28:Instances!CC28))</f>
        <v>0</v>
      </c>
      <c r="CD28" s="1" cm="1">
        <f t="array" ref="CD28">_xlfn.SWITCH($A$2,"average", AVERAGE(Instances!CD28:Instances!CD28),"median", MEDIAN(Instances!CD28:Instances!CD28),"min", MIN(Instances!CD28:Instances!CD28),"max", MAX(Instances!CD28:Instances!CD28),"diff", MAX(Instances!CD28:Instances!CD28)-MIN(Instances!CD28:Instances!CD28))</f>
        <v>0</v>
      </c>
      <c r="CE28" s="1" cm="1">
        <f t="array" ref="CE28">_xlfn.SWITCH($A$2,"average", AVERAGE(Instances!CE28:Instances!CE28),"median", MEDIAN(Instances!CE28:Instances!CE28),"min", MIN(Instances!CE28:Instances!CE28),"max", MAX(Instances!CE28:Instances!CE28),"diff", MAX(Instances!CE28:Instances!CE28)-MIN(Instances!CE28:Instances!CE28))</f>
        <v>0</v>
      </c>
      <c r="CF28" s="1" cm="1">
        <f t="array" ref="CF28">_xlfn.SWITCH($A$2,"average", AVERAGE(Instances!CF28:Instances!CF28),"median", MEDIAN(Instances!CF28:Instances!CF28),"min", MIN(Instances!CF28:Instances!CF28),"max", MAX(Instances!CF28:Instances!CF28),"diff", MAX(Instances!CF28:Instances!CF28)-MIN(Instances!CF28:Instances!CF28))</f>
        <v>0</v>
      </c>
      <c r="CG28" s="1" cm="1">
        <f t="array" ref="CG28">_xlfn.SWITCH($A$2,"average", AVERAGE(Instances!CG28:Instances!CG28),"median", MEDIAN(Instances!CG28:Instances!CG28),"min", MIN(Instances!CG28:Instances!CG28),"max", MAX(Instances!CG28:Instances!CG28),"diff", MAX(Instances!CG28:Instances!CG28)-MIN(Instances!CG28:Instances!CG28))</f>
        <v>0</v>
      </c>
      <c r="CH28" s="1" cm="1">
        <f t="array" ref="CH28">_xlfn.SWITCH($A$2,"average", AVERAGE(Instances!CH28:Instances!CH28),"median", MEDIAN(Instances!CH28:Instances!CH28),"min", MIN(Instances!CH28:Instances!CH28),"max", MAX(Instances!CH28:Instances!CH28),"diff", MAX(Instances!CH28:Instances!CH28)-MIN(Instances!CH28:Instances!CH28))</f>
        <v>0</v>
      </c>
      <c r="CI28" s="1" cm="1">
        <f t="array" ref="CI28">_xlfn.SWITCH($A$2,"average", AVERAGE(Instances!CI28:Instances!CI28),"median", MEDIAN(Instances!CI28:Instances!CI28),"min", MIN(Instances!CI28:Instances!CI28),"max", MAX(Instances!CI28:Instances!CI28),"diff", MAX(Instances!CI28:Instances!CI28)-MIN(Instances!CI28:Instances!CI28))</f>
        <v>0</v>
      </c>
      <c r="CJ28" s="1"/>
      <c r="CK28" s="1" cm="1">
        <f t="array" ref="CK28">_xlfn.SWITCH($A$2,"average", AVERAGE(Instances!CK28:Instances!CK28),"median", MEDIAN(Instances!CK28:Instances!CK28),"min", MIN(Instances!CK28:Instances!CK28),"max", MAX(Instances!CK28:Instances!CK28),"diff", MAX(Instances!CK28:Instances!CK28)-MIN(Instances!CK28:Instances!CK28))</f>
        <v>0</v>
      </c>
      <c r="CL28" s="1" cm="1">
        <f t="array" ref="CL28">_xlfn.SWITCH($A$2,"average", AVERAGE(Instances!CL28:Instances!CL28),"median", MEDIAN(Instances!CL28:Instances!CL28),"min", MIN(Instances!CL28:Instances!CL28),"max", MAX(Instances!CL28:Instances!CL28),"diff", MAX(Instances!CL28:Instances!CL28)-MIN(Instances!CL28:Instances!CL28))</f>
        <v>0</v>
      </c>
      <c r="CM28" s="1" cm="1">
        <f t="array" ref="CM28">_xlfn.SWITCH($A$2,"average", AVERAGE(Instances!CM28:Instances!CM28),"median", MEDIAN(Instances!CM28:Instances!CM28),"min", MIN(Instances!CM28:Instances!CM28),"max", MAX(Instances!CM28:Instances!CM28),"diff", MAX(Instances!CM28:Instances!CM28)-MIN(Instances!CM28:Instances!CM28))</f>
        <v>0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 cm="1">
        <f t="array" ref="DX28">_xlfn.SWITCH($A$2,"average", AVERAGE(Instances!DX28:Instances!DX28),"median", MEDIAN(Instances!DX28:Instances!DX28),"min", MIN(Instances!DX28:Instances!DX28),"max", MAX(Instances!DX28:Instances!DX28),"diff", MAX(Instances!DX28:Instances!DX28)-MIN(Instances!DX28:Instances!DX28))</f>
        <v>0</v>
      </c>
      <c r="DY28" s="1" cm="1">
        <f t="array" ref="DY28">_xlfn.SWITCH($A$2,"average", AVERAGE(Instances!DY28:Instances!DY28),"median", MEDIAN(Instances!DY28:Instances!DY28),"min", MIN(Instances!DY28:Instances!DY28),"max", MAX(Instances!DY28:Instances!DY28),"diff", MAX(Instances!DY28:Instances!DY28)-MIN(Instances!DY28:Instances!DY28))</f>
        <v>0</v>
      </c>
      <c r="DZ28" s="1" cm="1">
        <f t="array" ref="DZ28">_xlfn.SWITCH($A$2,"average", AVERAGE(Instances!DZ28:Instances!DZ28),"median", MEDIAN(Instances!DZ28:Instances!DZ28),"min", MIN(Instances!DZ28:Instances!DZ28),"max", MAX(Instances!DZ28:Instances!DZ28),"diff", MAX(Instances!DZ28:Instances!DZ28)-MIN(Instances!DZ28:Instances!DZ28))</f>
        <v>0</v>
      </c>
      <c r="EA28" s="1" cm="1">
        <f t="array" ref="EA28">_xlfn.SWITCH($A$2,"average", AVERAGE(Instances!EA28:Instances!EA28),"median", MEDIAN(Instances!EA28:Instances!EA28),"min", MIN(Instances!EA28:Instances!EA28),"max", MAX(Instances!EA28:Instances!EA28),"diff", MAX(Instances!EA28:Instances!EA28)-MIN(Instances!EA28:Instances!EA28))</f>
        <v>0</v>
      </c>
      <c r="EB28" s="1" cm="1">
        <f t="array" ref="EB28">_xlfn.SWITCH($A$2,"average", AVERAGE(Instances!EB28:Instances!EB28),"median", MEDIAN(Instances!EB28:Instances!EB28),"min", MIN(Instances!EB28:Instances!EB28),"max", MAX(Instances!EB28:Instances!EB28),"diff", MAX(Instances!EB28:Instances!EB28)-MIN(Instances!EB28:Instances!EB28))</f>
        <v>0</v>
      </c>
      <c r="EC28" s="1" cm="1">
        <f t="array" ref="EC28">_xlfn.SWITCH($A$2,"average", AVERAGE(Instances!EC28:Instances!EC28),"median", MEDIAN(Instances!EC28:Instances!EC28),"min", MIN(Instances!EC28:Instances!EC28),"max", MAX(Instances!EC28:Instances!EC28),"diff", MAX(Instances!EC28:Instances!EC28)-MIN(Instances!EC28:Instances!EC28))</f>
        <v>0</v>
      </c>
      <c r="ED28" s="1" cm="1">
        <f t="array" ref="ED28">_xlfn.SWITCH($A$2,"average", AVERAGE(Instances!ED28:Instances!ED28),"median", MEDIAN(Instances!ED28:Instances!ED28),"min", MIN(Instances!ED28:Instances!ED28),"max", MAX(Instances!ED28:Instances!ED28),"diff", MAX(Instances!ED28:Instances!ED28)-MIN(Instances!ED28:Instances!ED28))</f>
        <v>0</v>
      </c>
      <c r="EE28" s="1" cm="1">
        <f t="array" ref="EE28">_xlfn.SWITCH($A$2,"average", AVERAGE(Instances!EE28:Instances!EE28),"median", MEDIAN(Instances!EE28:Instances!EE28),"min", MIN(Instances!EE28:Instances!EE28),"max", MAX(Instances!EE28:Instances!EE28),"diff", MAX(Instances!EE28:Instances!EE28)-MIN(Instances!EE28:Instances!EE28))</f>
        <v>0</v>
      </c>
      <c r="EF28" s="1" cm="1">
        <f t="array" ref="EF28">_xlfn.SWITCH($A$2,"average", AVERAGE(Instances!EF28:Instances!EF28),"median", MEDIAN(Instances!EF28:Instances!EF28),"min", MIN(Instances!EF28:Instances!EF28),"max", MAX(Instances!EF28:Instances!EF28),"diff", MAX(Instances!EF28:Instances!EF28)-MIN(Instances!EF28:Instances!EF28))</f>
        <v>0</v>
      </c>
      <c r="EG28" s="1" cm="1">
        <f t="array" ref="EG28">_xlfn.SWITCH($A$2,"average", AVERAGE(Instances!EG28:Instances!EG28),"median", MEDIAN(Instances!EG28:Instances!EG28),"min", MIN(Instances!EG28:Instances!EG28),"max", MAX(Instances!EG28:Instances!EG28),"diff", MAX(Instances!EG28:Instances!EG28)-MIN(Instances!EG28:Instances!EG28))</f>
        <v>0</v>
      </c>
      <c r="EH28" s="1" cm="1">
        <f t="array" ref="EH28">_xlfn.SWITCH($A$2,"average", AVERAGE(Instances!EH28:Instances!EH28),"median", MEDIAN(Instances!EH28:Instances!EH28),"min", MIN(Instances!EH28:Instances!EH28),"max", MAX(Instances!EH28:Instances!EH28),"diff", MAX(Instances!EH28:Instances!EH28)-MIN(Instances!EH28:Instances!EH28))</f>
        <v>0</v>
      </c>
      <c r="EI28" s="1" cm="1">
        <f t="array" ref="EI28">_xlfn.SWITCH($A$2,"average", AVERAGE(Instances!EI28:Instances!EI28),"median", MEDIAN(Instances!EI28:Instances!EI28),"min", MIN(Instances!EI28:Instances!EI28),"max", MAX(Instances!EI28:Instances!EI28),"diff", MAX(Instances!EI28:Instances!EI28)-MIN(Instances!EI28:Instances!EI28))</f>
        <v>0</v>
      </c>
      <c r="EJ28" s="1" cm="1">
        <f t="array" ref="EJ28">_xlfn.SWITCH($A$2,"average", AVERAGE(Instances!EJ28:Instances!EJ28),"median", MEDIAN(Instances!EJ28:Instances!EJ28),"min", MIN(Instances!EJ28:Instances!EJ28),"max", MAX(Instances!EJ28:Instances!EJ28),"diff", MAX(Instances!EJ28:Instances!EJ28)-MIN(Instances!EJ28:Instances!EJ28))</f>
        <v>0</v>
      </c>
      <c r="EK28" s="1" cm="1">
        <f t="array" ref="EK28">_xlfn.SWITCH($A$2,"average", AVERAGE(Instances!EK28:Instances!EK28),"median", MEDIAN(Instances!EK28:Instances!EK28),"min", MIN(Instances!EK28:Instances!EK28),"max", MAX(Instances!EK28:Instances!EK28),"diff", MAX(Instances!EK28:Instances!EK28)-MIN(Instances!EK28:Instances!EK28))</f>
        <v>0</v>
      </c>
      <c r="EL28" s="1"/>
      <c r="EM28" s="1" cm="1">
        <f t="array" ref="EM28">_xlfn.SWITCH($A$2,"average", AVERAGE(Instances!EM28:Instances!EM28),"median", MEDIAN(Instances!EM28:Instances!EM28),"min", MIN(Instances!EM28:Instances!EM28),"max", MAX(Instances!EM28:Instances!EM28),"diff", MAX(Instances!EM28:Instances!EM28)-MIN(Instances!EM28:Instances!EM28))</f>
        <v>0</v>
      </c>
      <c r="EN28" s="1" cm="1">
        <f t="array" ref="EN28">_xlfn.SWITCH($A$2,"average", AVERAGE(Instances!EN28:Instances!EN28),"median", MEDIAN(Instances!EN28:Instances!EN28),"min", MIN(Instances!EN28:Instances!EN28),"max", MAX(Instances!EN28:Instances!EN28),"diff", MAX(Instances!EN28:Instances!EN28)-MIN(Instances!EN28:Instances!EN28))</f>
        <v>0</v>
      </c>
      <c r="EO28" s="1" cm="1">
        <f t="array" ref="EO28">_xlfn.SWITCH($A$2,"average", AVERAGE(Instances!EO28:Instances!EO28),"median", MEDIAN(Instances!EO28:Instances!EO28),"min", MIN(Instances!EO28:Instances!EO28),"max", MAX(Instances!EO28:Instances!EO28),"diff", MAX(Instances!EO28:Instances!EO28)-MIN(Instances!EO28:Instances!EO28))</f>
        <v>0</v>
      </c>
      <c r="EP28" s="1" cm="1">
        <f t="array" ref="EP28">_xlfn.SWITCH($A$2,"average", AVERAGE(Instances!EP28:Instances!EP28),"median", MEDIAN(Instances!EP28:Instances!EP28),"min", MIN(Instances!EP28:Instances!EP28),"max", MAX(Instances!EP28:Instances!EP28),"diff", MAX(Instances!EP28:Instances!EP28)-MIN(Instances!EP28:Instances!EP28))</f>
        <v>0</v>
      </c>
      <c r="EQ28" s="1" cm="1">
        <f t="array" ref="EQ28">_xlfn.SWITCH($A$2,"average", AVERAGE(Instances!EQ28:Instances!EQ28),"median", MEDIAN(Instances!EQ28:Instances!EQ28),"min", MIN(Instances!EQ28:Instances!EQ28),"max", MAX(Instances!EQ28:Instances!EQ28),"diff", MAX(Instances!EQ28:Instances!EQ28)-MIN(Instances!EQ28:Instances!EQ28))</f>
        <v>0</v>
      </c>
      <c r="ER28" s="1" cm="1">
        <f t="array" ref="ER28">_xlfn.SWITCH($A$2,"average", AVERAGE(Instances!ER28:Instances!ER28),"median", MEDIAN(Instances!ER28:Instances!ER28),"min", MIN(Instances!ER28:Instances!ER28),"max", MAX(Instances!ER28:Instances!ER28),"diff", MAX(Instances!ER28:Instances!ER28)-MIN(Instances!ER28:Instances!ER28))</f>
        <v>0</v>
      </c>
      <c r="ES28" s="1" cm="1">
        <f t="array" ref="ES28">_xlfn.SWITCH($A$2,"average", AVERAGE(Instances!ES28:Instances!ES28),"median", MEDIAN(Instances!ES28:Instances!ES28),"min", MIN(Instances!ES28:Instances!ES28),"max", MAX(Instances!ES28:Instances!ES28),"diff", MAX(Instances!ES28:Instances!ES28)-MIN(Instances!ES28:Instances!ES28))</f>
        <v>0</v>
      </c>
      <c r="ET28" s="1" cm="1">
        <f t="array" ref="ET28">_xlfn.SWITCH($A$2,"average", AVERAGE(Instances!ET28:Instances!ET28),"median", MEDIAN(Instances!ET28:Instances!ET28),"min", MIN(Instances!ET28:Instances!ET28),"max", MAX(Instances!ET28:Instances!ET28),"diff", MAX(Instances!ET28:Instances!ET28)-MIN(Instances!ET28:Instances!ET28))</f>
        <v>0</v>
      </c>
      <c r="EU28" s="1" cm="1">
        <f t="array" ref="EU28">_xlfn.SWITCH($A$2,"average", AVERAGE(Instances!EU28:Instances!EU28),"median", MEDIAN(Instances!EU28:Instances!EU28),"min", MIN(Instances!EU28:Instances!EU28),"max", MAX(Instances!EU28:Instances!EU28),"diff", MAX(Instances!EU28:Instances!EU28)-MIN(Instances!EU28:Instances!EU28))</f>
        <v>0</v>
      </c>
      <c r="EV28" s="1" cm="1">
        <f t="array" ref="EV28">_xlfn.SWITCH($A$2,"average", AVERAGE(Instances!EV28:Instances!EV28),"median", MEDIAN(Instances!EV28:Instances!EV28),"min", MIN(Instances!EV28:Instances!EV28),"max", MAX(Instances!EV28:Instances!EV28),"diff", MAX(Instances!EV28:Instances!EV28)-MIN(Instances!EV28:Instances!EV28))</f>
        <v>0</v>
      </c>
      <c r="EW28" s="1" cm="1">
        <f t="array" ref="EW28">_xlfn.SWITCH($A$2,"average", AVERAGE(Instances!EW28:Instances!EW28),"median", MEDIAN(Instances!EW28:Instances!EW28),"min", MIN(Instances!EW28:Instances!EW28),"max", MAX(Instances!EW28:Instances!EW28),"diff", MAX(Instances!EW28:Instances!EW28)-MIN(Instances!EW28:Instances!EW28))</f>
        <v>0</v>
      </c>
      <c r="EX28" s="1" cm="1">
        <f t="array" ref="EX28">_xlfn.SWITCH($A$2,"average", AVERAGE(Instances!EX28:Instances!EX28),"median", MEDIAN(Instances!EX28:Instances!EX28),"min", MIN(Instances!EX28:Instances!EX28),"max", MAX(Instances!EX28:Instances!EX28),"diff", MAX(Instances!EX28:Instances!EX28)-MIN(Instances!EX28:Instances!EX28))</f>
        <v>0</v>
      </c>
      <c r="EY28" s="1" cm="1">
        <f t="array" ref="EY28">_xlfn.SWITCH($A$2,"average", AVERAGE(Instances!EY28:Instances!EY28),"median", MEDIAN(Instances!EY28:Instances!EY28),"min", MIN(Instances!EY28:Instances!EY28),"max", MAX(Instances!EY28:Instances!EY28),"diff", MAX(Instances!EY28:Instances!EY28)-MIN(Instances!EY28:Instances!EY28))</f>
        <v>0</v>
      </c>
      <c r="EZ28" s="1" cm="1">
        <f t="array" ref="EZ28">_xlfn.SWITCH($A$2,"average", AVERAGE(Instances!EZ28:Instances!EZ28),"median", MEDIAN(Instances!EZ28:Instances!EZ28),"min", MIN(Instances!EZ28:Instances!EZ28),"max", MAX(Instances!EZ28:Instances!EZ28),"diff", MAX(Instances!EZ28:Instances!EZ28)-MIN(Instances!EZ28:Instances!EZ28))</f>
        <v>0</v>
      </c>
      <c r="FA28" s="1" cm="1">
        <f t="array" ref="FA28">_xlfn.SWITCH($A$2,"average", AVERAGE(Instances!FA28:Instances!FA28),"median", MEDIAN(Instances!FA28:Instances!FA28),"min", MIN(Instances!FA28:Instances!FA28),"max", MAX(Instances!FA28:Instances!FA28),"diff", MAX(Instances!FA28:Instances!FA28)-MIN(Instances!FA28:Instances!FA28))</f>
        <v>0</v>
      </c>
      <c r="FB28" s="1" cm="1">
        <f t="array" ref="FB28">_xlfn.SWITCH($A$2,"average", AVERAGE(Instances!FB28:Instances!FB28),"median", MEDIAN(Instances!FB28:Instances!FB28),"min", MIN(Instances!FB28:Instances!FB28),"max", MAX(Instances!FB28:Instances!FB28),"diff", MAX(Instances!FB28:Instances!FB28)-MIN(Instances!FB28:Instances!FB28))</f>
        <v>0</v>
      </c>
      <c r="FC28" s="1" cm="1">
        <f t="array" ref="FC28">_xlfn.SWITCH($A$2,"average", AVERAGE(Instances!FC28:Instances!FC28),"median", MEDIAN(Instances!FC28:Instances!FC28),"min", MIN(Instances!FC28:Instances!FC28),"max", MAX(Instances!FC28:Instances!FC28),"diff", MAX(Instances!FC28:Instances!FC28)-MIN(Instances!FC28:Instances!FC28))</f>
        <v>0</v>
      </c>
      <c r="FD28" s="1"/>
      <c r="FE28" s="1" cm="1">
        <f t="array" ref="FE28">_xlfn.SWITCH($A$2,"average", AVERAGE(Instances!FE28:Instances!FE28),"median", MEDIAN(Instances!FE28:Instances!FE28),"min", MIN(Instances!FE28:Instances!FE28),"max", MAX(Instances!FE28:Instances!FE28),"diff", MAX(Instances!FE28:Instances!FE28)-MIN(Instances!FE28:Instances!FE28))</f>
        <v>0</v>
      </c>
      <c r="FF28" s="1" cm="1">
        <f t="array" ref="FF28">_xlfn.SWITCH($A$2,"average", AVERAGE(Instances!FF28:Instances!FF28),"median", MEDIAN(Instances!FF28:Instances!FF28),"min", MIN(Instances!FF28:Instances!FF28),"max", MAX(Instances!FF28:Instances!FF28),"diff", MAX(Instances!FF28:Instances!FF28)-MIN(Instances!FF28:Instances!FF28))</f>
        <v>0</v>
      </c>
      <c r="FG28" s="1" cm="1">
        <f t="array" ref="FG28">_xlfn.SWITCH($A$2,"average", AVERAGE(Instances!FG28:Instances!FG28),"median", MEDIAN(Instances!FG28:Instances!FG28),"min", MIN(Instances!FG28:Instances!FG28),"max", MAX(Instances!FG28:Instances!FG28),"diff", MAX(Instances!FG28:Instances!FG28)-MIN(Instances!FG28:Instances!FG28))</f>
        <v>0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 cm="1">
        <f t="array" ref="FZ28">_xlfn.SWITCH($A$2,"average", AVERAGE(Instances!FZ28:Instances!FZ28),"median", MEDIAN(Instances!FZ28:Instances!FZ28),"min", MIN(Instances!FZ28:Instances!FZ28),"max", MAX(Instances!FZ28:Instances!FZ28),"diff", MAX(Instances!FZ28:Instances!FZ28)-MIN(Instances!FZ28:Instances!FZ28))</f>
        <v>0</v>
      </c>
      <c r="GA28" s="1" cm="1">
        <f t="array" ref="GA28">_xlfn.SWITCH($A$2,"average", AVERAGE(Instances!GA28:Instances!GA28),"median", MEDIAN(Instances!GA28:Instances!GA28),"min", MIN(Instances!GA28:Instances!GA28),"max", MAX(Instances!GA28:Instances!GA28),"diff", MAX(Instances!GA28:Instances!GA28)-MIN(Instances!GA28:Instances!GA28))</f>
        <v>0</v>
      </c>
      <c r="GB28" s="1" cm="1">
        <f t="array" ref="GB28">_xlfn.SWITCH($A$2,"average", AVERAGE(Instances!GB28:Instances!GB28),"median", MEDIAN(Instances!GB28:Instances!GB28),"min", MIN(Instances!GB28:Instances!GB28),"max", MAX(Instances!GB28:Instances!GB28),"diff", MAX(Instances!GB28:Instances!GB28)-MIN(Instances!GB28:Instances!GB28))</f>
        <v>0</v>
      </c>
      <c r="GC28" s="1" cm="1">
        <f t="array" ref="GC28">_xlfn.SWITCH($A$2,"average", AVERAGE(Instances!GC28:Instances!GC28),"median", MEDIAN(Instances!GC28:Instances!GC28),"min", MIN(Instances!GC28:Instances!GC28),"max", MAX(Instances!GC28:Instances!GC28),"diff", MAX(Instances!GC28:Instances!GC28)-MIN(Instances!GC28:Instances!GC28))</f>
        <v>0</v>
      </c>
      <c r="GD28" s="1" cm="1">
        <f t="array" ref="GD28">_xlfn.SWITCH($A$2,"average", AVERAGE(Instances!GD28:Instances!GD28),"median", MEDIAN(Instances!GD28:Instances!GD28),"min", MIN(Instances!GD28:Instances!GD28),"max", MAX(Instances!GD28:Instances!GD28),"diff", MAX(Instances!GD28:Instances!GD28)-MIN(Instances!GD28:Instances!GD28))</f>
        <v>0</v>
      </c>
      <c r="GE28" s="1" cm="1">
        <f t="array" ref="GE28">_xlfn.SWITCH($A$2,"average", AVERAGE(Instances!GE28:Instances!GE28),"median", MEDIAN(Instances!GE28:Instances!GE28),"min", MIN(Instances!GE28:Instances!GE28),"max", MAX(Instances!GE28:Instances!GE28),"diff", MAX(Instances!GE28:Instances!GE28)-MIN(Instances!GE28:Instances!GE28))</f>
        <v>0</v>
      </c>
      <c r="GF28" s="1" cm="1">
        <f t="array" ref="GF28">_xlfn.SWITCH($A$2,"average", AVERAGE(Instances!GF28:Instances!GF28),"median", MEDIAN(Instances!GF28:Instances!GF28),"min", MIN(Instances!GF28:Instances!GF28),"max", MAX(Instances!GF28:Instances!GF28),"diff", MAX(Instances!GF28:Instances!GF28)-MIN(Instances!GF28:Instances!GF28))</f>
        <v>0</v>
      </c>
      <c r="GG28" s="1" cm="1">
        <f t="array" ref="GG28">_xlfn.SWITCH($A$2,"average", AVERAGE(Instances!GG28:Instances!GG28),"median", MEDIAN(Instances!GG28:Instances!GG28),"min", MIN(Instances!GG28:Instances!GG28),"max", MAX(Instances!GG28:Instances!GG28),"diff", MAX(Instances!GG28:Instances!GG28)-MIN(Instances!GG28:Instances!GG28))</f>
        <v>0</v>
      </c>
      <c r="GH28" s="1" cm="1">
        <f t="array" ref="GH28">_xlfn.SWITCH($A$2,"average", AVERAGE(Instances!GH28:Instances!GH28),"median", MEDIAN(Instances!GH28:Instances!GH28),"min", MIN(Instances!GH28:Instances!GH28),"max", MAX(Instances!GH28:Instances!GH28),"diff", MAX(Instances!GH28:Instances!GH28)-MIN(Instances!GH28:Instances!GH28))</f>
        <v>0</v>
      </c>
      <c r="GI28" s="1" cm="1">
        <f t="array" ref="GI28">_xlfn.SWITCH($A$2,"average", AVERAGE(Instances!GI28:Instances!GI28),"median", MEDIAN(Instances!GI28:Instances!GI28),"min", MIN(Instances!GI28:Instances!GI28),"max", MAX(Instances!GI28:Instances!GI28),"diff", MAX(Instances!GI28:Instances!GI28)-MIN(Instances!GI28:Instances!GI28))</f>
        <v>0</v>
      </c>
      <c r="GJ28" s="1" cm="1">
        <f t="array" ref="GJ28">_xlfn.SWITCH($A$2,"average", AVERAGE(Instances!GJ28:Instances!GJ28),"median", MEDIAN(Instances!GJ28:Instances!GJ28),"min", MIN(Instances!GJ28:Instances!GJ28),"max", MAX(Instances!GJ28:Instances!GJ28),"diff", MAX(Instances!GJ28:Instances!GJ28)-MIN(Instances!GJ28:Instances!GJ28))</f>
        <v>0</v>
      </c>
      <c r="GK28" s="1" cm="1">
        <f t="array" ref="GK28">_xlfn.SWITCH($A$2,"average", AVERAGE(Instances!GK28:Instances!GK28),"median", MEDIAN(Instances!GK28:Instances!GK28),"min", MIN(Instances!GK28:Instances!GK28),"max", MAX(Instances!GK28:Instances!GK28),"diff", MAX(Instances!GK28:Instances!GK28)-MIN(Instances!GK28:Instances!GK28))</f>
        <v>0</v>
      </c>
      <c r="GL28" s="1" cm="1">
        <f t="array" ref="GL28">_xlfn.SWITCH($A$2,"average", AVERAGE(Instances!GL28:Instances!GL28),"median", MEDIAN(Instances!GL28:Instances!GL28),"min", MIN(Instances!GL28:Instances!GL28),"max", MAX(Instances!GL28:Instances!GL28),"diff", MAX(Instances!GL28:Instances!GL28)-MIN(Instances!GL28:Instances!GL28))</f>
        <v>0</v>
      </c>
      <c r="GM28" s="1" cm="1">
        <f t="array" ref="GM28">_xlfn.SWITCH($A$2,"average", AVERAGE(Instances!GM28:Instances!GM28),"median", MEDIAN(Instances!GM28:Instances!GM28),"min", MIN(Instances!GM28:Instances!GM28),"max", MAX(Instances!GM28:Instances!GM28),"diff", MAX(Instances!GM28:Instances!GM28)-MIN(Instances!GM28:Instances!GM28))</f>
        <v>0</v>
      </c>
      <c r="GN28" s="1"/>
      <c r="GO28" s="1" cm="1">
        <f t="array" ref="GO28">_xlfn.SWITCH($A$2,"average", AVERAGE(Instances!GO28:Instances!GO28),"median", MEDIAN(Instances!GO28:Instances!GO28),"min", MIN(Instances!GO28:Instances!GO28),"max", MAX(Instances!GO28:Instances!GO28),"diff", MAX(Instances!GO28:Instances!GO28)-MIN(Instances!GO28:Instances!GO28))</f>
        <v>0</v>
      </c>
      <c r="GP28" s="1" cm="1">
        <f t="array" ref="GP28">_xlfn.SWITCH($A$2,"average", AVERAGE(Instances!GP28:Instances!GP28),"median", MEDIAN(Instances!GP28:Instances!GP28),"min", MIN(Instances!GP28:Instances!GP28),"max", MAX(Instances!GP28:Instances!GP28),"diff", MAX(Instances!GP28:Instances!GP28)-MIN(Instances!GP28:Instances!GP28))</f>
        <v>0</v>
      </c>
      <c r="GQ28" s="1" cm="1">
        <f t="array" ref="GQ28">_xlfn.SWITCH($A$2,"average", AVERAGE(Instances!GQ28:Instances!GQ28),"median", MEDIAN(Instances!GQ28:Instances!GQ28),"min", MIN(Instances!GQ28:Instances!GQ28),"max", MAX(Instances!GQ28:Instances!GQ28),"diff", MAX(Instances!GQ28:Instances!GQ28)-MIN(Instances!GQ28:Instances!GQ28))</f>
        <v>0</v>
      </c>
      <c r="GR28" s="1" cm="1">
        <f t="array" ref="GR28">_xlfn.SWITCH($A$2,"average", AVERAGE(Instances!GR28:Instances!GR28),"median", MEDIAN(Instances!GR28:Instances!GR28),"min", MIN(Instances!GR28:Instances!GR28),"max", MAX(Instances!GR28:Instances!GR28),"diff", MAX(Instances!GR28:Instances!GR28)-MIN(Instances!GR28:Instances!GR28))</f>
        <v>0</v>
      </c>
      <c r="GS28" s="1" cm="1">
        <f t="array" ref="GS28">_xlfn.SWITCH($A$2,"average", AVERAGE(Instances!GS28:Instances!GS28),"median", MEDIAN(Instances!GS28:Instances!GS28),"min", MIN(Instances!GS28:Instances!GS28),"max", MAX(Instances!GS28:Instances!GS28),"diff", MAX(Instances!GS28:Instances!GS28)-MIN(Instances!GS28:Instances!GS28))</f>
        <v>0</v>
      </c>
      <c r="GT28" s="1" cm="1">
        <f t="array" ref="GT28">_xlfn.SWITCH($A$2,"average", AVERAGE(Instances!GT28:Instances!GT28),"median", MEDIAN(Instances!GT28:Instances!GT28),"min", MIN(Instances!GT28:Instances!GT28),"max", MAX(Instances!GT28:Instances!GT28),"diff", MAX(Instances!GT28:Instances!GT28)-MIN(Instances!GT28:Instances!GT28))</f>
        <v>0</v>
      </c>
      <c r="GU28" s="1" cm="1">
        <f t="array" ref="GU28">_xlfn.SWITCH($A$2,"average", AVERAGE(Instances!GU28:Instances!GU28),"median", MEDIAN(Instances!GU28:Instances!GU28),"min", MIN(Instances!GU28:Instances!GU28),"max", MAX(Instances!GU28:Instances!GU28),"diff", MAX(Instances!GU28:Instances!GU28)-MIN(Instances!GU28:Instances!GU28))</f>
        <v>0</v>
      </c>
      <c r="GV28" s="1" cm="1">
        <f t="array" ref="GV28">_xlfn.SWITCH($A$2,"average", AVERAGE(Instances!GV28:Instances!GV28),"median", MEDIAN(Instances!GV28:Instances!GV28),"min", MIN(Instances!GV28:Instances!GV28),"max", MAX(Instances!GV28:Instances!GV28),"diff", MAX(Instances!GV28:Instances!GV28)-MIN(Instances!GV28:Instances!GV28))</f>
        <v>0</v>
      </c>
      <c r="GW28" s="1" cm="1">
        <f t="array" ref="GW28">_xlfn.SWITCH($A$2,"average", AVERAGE(Instances!GW28:Instances!GW28),"median", MEDIAN(Instances!GW28:Instances!GW28),"min", MIN(Instances!GW28:Instances!GW28),"max", MAX(Instances!GW28:Instances!GW28),"diff", MAX(Instances!GW28:Instances!GW28)-MIN(Instances!GW28:Instances!GW28))</f>
        <v>0</v>
      </c>
      <c r="GX28" s="1" cm="1">
        <f t="array" ref="GX28">_xlfn.SWITCH($A$2,"average", AVERAGE(Instances!GX28:Instances!GX28),"median", MEDIAN(Instances!GX28:Instances!GX28),"min", MIN(Instances!GX28:Instances!GX28),"max", MAX(Instances!GX28:Instances!GX28),"diff", MAX(Instances!GX28:Instances!GX28)-MIN(Instances!GX28:Instances!GX28))</f>
        <v>0</v>
      </c>
      <c r="GY28" s="1" cm="1">
        <f t="array" ref="GY28">_xlfn.SWITCH($A$2,"average", AVERAGE(Instances!GY28:Instances!GY28),"median", MEDIAN(Instances!GY28:Instances!GY28),"min", MIN(Instances!GY28:Instances!GY28),"max", MAX(Instances!GY28:Instances!GY28),"diff", MAX(Instances!GY28:Instances!GY28)-MIN(Instances!GY28:Instances!GY28))</f>
        <v>0</v>
      </c>
      <c r="GZ28" s="1" cm="1">
        <f t="array" ref="GZ28">_xlfn.SWITCH($A$2,"average", AVERAGE(Instances!GZ28:Instances!GZ28),"median", MEDIAN(Instances!GZ28:Instances!GZ28),"min", MIN(Instances!GZ28:Instances!GZ28),"max", MAX(Instances!GZ28:Instances!GZ28),"diff", MAX(Instances!GZ28:Instances!GZ28)-MIN(Instances!GZ28:Instances!GZ28))</f>
        <v>0</v>
      </c>
      <c r="HA28" s="1" cm="1">
        <f t="array" ref="HA28">_xlfn.SWITCH($A$2,"average", AVERAGE(Instances!HA28:Instances!HA28),"median", MEDIAN(Instances!HA28:Instances!HA28),"min", MIN(Instances!HA28:Instances!HA28),"max", MAX(Instances!HA28:Instances!HA28),"diff", MAX(Instances!HA28:Instances!HA28)-MIN(Instances!HA28:Instances!HA28))</f>
        <v>0</v>
      </c>
      <c r="HB28" s="1" cm="1">
        <f t="array" ref="HB28">_xlfn.SWITCH($A$2,"average", AVERAGE(Instances!HB28:Instances!HB28),"median", MEDIAN(Instances!HB28:Instances!HB28),"min", MIN(Instances!HB28:Instances!HB28),"max", MAX(Instances!HB28:Instances!HB28),"diff", MAX(Instances!HB28:Instances!HB28)-MIN(Instances!HB28:Instances!HB28))</f>
        <v>0</v>
      </c>
      <c r="HC28" s="1" cm="1">
        <f t="array" ref="HC28">_xlfn.SWITCH($A$2,"average", AVERAGE(Instances!HC28:Instances!HC28),"median", MEDIAN(Instances!HC28:Instances!HC28),"min", MIN(Instances!HC28:Instances!HC28),"max", MAX(Instances!HC28:Instances!HC28),"diff", MAX(Instances!HC28:Instances!HC28)-MIN(Instances!HC28:Instances!HC28))</f>
        <v>0</v>
      </c>
      <c r="HD28" s="1" cm="1">
        <f t="array" ref="HD28">_xlfn.SWITCH($A$2,"average", AVERAGE(Instances!HD28:Instances!HD28),"median", MEDIAN(Instances!HD28:Instances!HD28),"min", MIN(Instances!HD28:Instances!HD28),"max", MAX(Instances!HD28:Instances!HD28),"diff", MAX(Instances!HD28:Instances!HD28)-MIN(Instances!HD28:Instances!HD28))</f>
        <v>0</v>
      </c>
      <c r="HE28" s="1" cm="1">
        <f t="array" ref="HE28">_xlfn.SWITCH($A$2,"average", AVERAGE(Instances!HE28:Instances!HE28),"median", MEDIAN(Instances!HE28:Instances!HE28),"min", MIN(Instances!HE28:Instances!HE28),"max", MAX(Instances!HE28:Instances!HE28),"diff", MAX(Instances!HE28:Instances!HE28)-MIN(Instances!HE28:Instances!HE28))</f>
        <v>0</v>
      </c>
      <c r="HF28" s="1"/>
      <c r="HG28" s="1" cm="1">
        <f t="array" ref="HG28">_xlfn.SWITCH($A$2,"average", AVERAGE(Instances!HG28:Instances!HG28),"median", MEDIAN(Instances!HG28:Instances!HG28),"min", MIN(Instances!HG28:Instances!HG28),"max", MAX(Instances!HG28:Instances!HG28),"diff", MAX(Instances!HG28:Instances!HG28)-MIN(Instances!HG28:Instances!HG28))</f>
        <v>0</v>
      </c>
      <c r="HH28" s="1" cm="1">
        <f t="array" ref="HH28">_xlfn.SWITCH($A$2,"average", AVERAGE(Instances!HH28:Instances!HH28),"median", MEDIAN(Instances!HH28:Instances!HH28),"min", MIN(Instances!HH28:Instances!HH28),"max", MAX(Instances!HH28:Instances!HH28),"diff", MAX(Instances!HH28:Instances!HH28)-MIN(Instances!HH28:Instances!HH28))</f>
        <v>0</v>
      </c>
      <c r="HI28" s="1" cm="1">
        <f t="array" ref="HI28">_xlfn.SWITCH($A$2,"average", AVERAGE(Instances!HI28:Instances!HI28),"median", MEDIAN(Instances!HI28:Instances!HI28),"min", MIN(Instances!HI28:Instances!HI28),"max", MAX(Instances!HI28:Instances!HI28),"diff", MAX(Instances!HI28:Instances!HI28)-MIN(Instances!HI28:Instances!HI28))</f>
        <v>0</v>
      </c>
      <c r="HJ28" s="1" cm="1">
        <f t="array" ref="HJ28">_xlfn.SWITCH($A$2,"average", AVERAGE(Instances!HJ28:Instances!HJ28),"median", MEDIAN(Instances!HJ28:Instances!HJ28),"min", MIN(Instances!HJ28:Instances!HJ28),"max", MAX(Instances!HJ28:Instances!HJ28),"diff", MAX(Instances!HJ28:Instances!HJ28)-MIN(Instances!HJ28:Instances!HJ28))</f>
        <v>0</v>
      </c>
      <c r="HK28" s="1" cm="1">
        <f t="array" ref="HK28">_xlfn.SWITCH($A$2,"average", AVERAGE(Instances!HK28:Instances!HK28),"median", MEDIAN(Instances!HK28:Instances!HK28),"min", MIN(Instances!HK28:Instances!HK28),"max", MAX(Instances!HK28:Instances!HK28),"diff", MAX(Instances!HK28:Instances!HK28)-MIN(Instances!HK28:Instances!HK28))</f>
        <v>0</v>
      </c>
      <c r="HL28" s="1" cm="1">
        <f t="array" ref="HL28">_xlfn.SWITCH($A$2,"average", AVERAGE(Instances!HL28:Instances!HL28),"median", MEDIAN(Instances!HL28:Instances!HL28),"min", MIN(Instances!HL28:Instances!HL28),"max", MAX(Instances!HL28:Instances!HL28),"diff", MAX(Instances!HL28:Instances!HL28)-MIN(Instances!HL28:Instances!HL28))</f>
        <v>0</v>
      </c>
      <c r="HM28" s="1" cm="1">
        <f t="array" ref="HM28">_xlfn.SWITCH($A$2,"average", AVERAGE(Instances!HM28:Instances!HM28),"median", MEDIAN(Instances!HM28:Instances!HM28),"min", MIN(Instances!HM28:Instances!HM28),"max", MAX(Instances!HM28:Instances!HM28),"diff", MAX(Instances!HM28:Instances!HM28)-MIN(Instances!HM28:Instances!HM28))</f>
        <v>0</v>
      </c>
      <c r="HN28" s="1" cm="1">
        <f t="array" ref="HN28">_xlfn.SWITCH($A$2,"average", AVERAGE(Instances!HN28:Instances!HN28),"median", MEDIAN(Instances!HN28:Instances!HN28),"min", MIN(Instances!HN28:Instances!HN28),"max", MAX(Instances!HN28:Instances!HN28),"diff", MAX(Instances!HN28:Instances!HN28)-MIN(Instances!HN28:Instances!HN28))</f>
        <v>0</v>
      </c>
      <c r="HO28" s="1" cm="1">
        <f t="array" ref="HO28">_xlfn.SWITCH($A$2,"average", AVERAGE(Instances!HO28:Instances!HO28),"median", MEDIAN(Instances!HO28:Instances!HO28),"min", MIN(Instances!HO28:Instances!HO28),"max", MAX(Instances!HO28:Instances!HO28),"diff", MAX(Instances!HO28:Instances!HO28)-MIN(Instances!HO28:Instances!HO28))</f>
        <v>0</v>
      </c>
      <c r="HP28" s="1" cm="1">
        <f t="array" ref="HP28">_xlfn.SWITCH($A$2,"average", AVERAGE(Instances!HP28:Instances!HP28),"median", MEDIAN(Instances!HP28:Instances!HP28),"min", MIN(Instances!HP28:Instances!HP28),"max", MAX(Instances!HP28:Instances!HP28),"diff", MAX(Instances!HP28:Instances!HP28)-MIN(Instances!HP28:Instances!HP28))</f>
        <v>0</v>
      </c>
      <c r="HQ28" s="1" cm="1">
        <f t="array" ref="HQ28">_xlfn.SWITCH($A$2,"average", AVERAGE(Instances!HQ28:Instances!HQ28),"median", MEDIAN(Instances!HQ28:Instances!HQ28),"min", MIN(Instances!HQ28:Instances!HQ28),"max", MAX(Instances!HQ28:Instances!HQ28),"diff", MAX(Instances!HQ28:Instances!HQ28)-MIN(Instances!HQ28:Instances!HQ28))</f>
        <v>0</v>
      </c>
      <c r="HR28" s="1" cm="1">
        <f t="array" ref="HR28">_xlfn.SWITCH($A$2,"average", AVERAGE(Instances!HR28:Instances!HR28),"median", MEDIAN(Instances!HR28:Instances!HR28),"min", MIN(Instances!HR28:Instances!HR28),"max", MAX(Instances!HR28:Instances!HR28),"diff", MAX(Instances!HR28:Instances!HR28)-MIN(Instances!HR28:Instances!HR28))</f>
        <v>0</v>
      </c>
      <c r="HS28" s="1" cm="1">
        <f t="array" ref="HS28">_xlfn.SWITCH($A$2,"average", AVERAGE(Instances!HS28:Instances!HS28),"median", MEDIAN(Instances!HS28:Instances!HS28),"min", MIN(Instances!HS28:Instances!HS28),"max", MAX(Instances!HS28:Instances!HS28),"diff", MAX(Instances!HS28:Instances!HS28)-MIN(Instances!HS28:Instances!HS28))</f>
        <v>0</v>
      </c>
      <c r="HT28" s="1" cm="1">
        <f t="array" ref="HT28">_xlfn.SWITCH($A$2,"average", AVERAGE(Instances!HT28:Instances!HT28),"median", MEDIAN(Instances!HT28:Instances!HT28),"min", MIN(Instances!HT28:Instances!HT28),"max", MAX(Instances!HT28:Instances!HT28),"diff", MAX(Instances!HT28:Instances!HT28)-MIN(Instances!HT28:Instances!HT28))</f>
        <v>0</v>
      </c>
      <c r="HU28" s="1" cm="1">
        <f t="array" ref="HU28">_xlfn.SWITCH($A$2,"average", AVERAGE(Instances!HU28:Instances!HU28),"median", MEDIAN(Instances!HU28:Instances!HU28),"min", MIN(Instances!HU28:Instances!HU28),"max", MAX(Instances!HU28:Instances!HU28),"diff", MAX(Instances!HU28:Instances!HU28)-MIN(Instances!HU28:Instances!HU28))</f>
        <v>0</v>
      </c>
      <c r="HV28" s="1" cm="1">
        <f t="array" ref="HV28">_xlfn.SWITCH($A$2,"average", AVERAGE(Instances!HV28:Instances!HV28),"median", MEDIAN(Instances!HV28:Instances!HV28),"min", MIN(Instances!HV28:Instances!HV28),"max", MAX(Instances!HV28:Instances!HV28),"diff", MAX(Instances!HV28:Instances!HV28)-MIN(Instances!HV28:Instances!HV28))</f>
        <v>0</v>
      </c>
      <c r="HW28" s="1" cm="1">
        <f t="array" ref="HW28">_xlfn.SWITCH($A$2,"average", AVERAGE(Instances!HW28:Instances!HW28),"median", MEDIAN(Instances!HW28:Instances!HW28),"min", MIN(Instances!HW28:Instances!HW28),"max", MAX(Instances!HW28:Instances!HW28),"diff", MAX(Instances!HW28:Instances!HW28)-MIN(Instances!HW28:Instances!HW28))</f>
        <v>0</v>
      </c>
      <c r="HX28" s="1"/>
      <c r="HY28" s="1" cm="1">
        <f t="array" ref="HY28">_xlfn.SWITCH($A$2,"average", AVERAGE(Instances!HY28:Instances!HY28),"median", MEDIAN(Instances!HY28:Instances!HY28),"min", MIN(Instances!HY28:Instances!HY28),"max", MAX(Instances!HY28:Instances!HY28),"diff", MAX(Instances!HY28:Instances!HY28)-MIN(Instances!HY28:Instances!HY28))</f>
        <v>0</v>
      </c>
      <c r="HZ28" s="1" cm="1">
        <f t="array" ref="HZ28">_xlfn.SWITCH($A$2,"average", AVERAGE(Instances!HZ28:Instances!HZ28),"median", MEDIAN(Instances!HZ28:Instances!HZ28),"min", MIN(Instances!HZ28:Instances!HZ28),"max", MAX(Instances!HZ28:Instances!HZ28),"diff", MAX(Instances!HZ28:Instances!HZ28)-MIN(Instances!HZ28:Instances!HZ28))</f>
        <v>0</v>
      </c>
      <c r="IA28" s="1" cm="1">
        <f t="array" ref="IA28">_xlfn.SWITCH($A$2,"average", AVERAGE(Instances!IA28:Instances!IA28),"median", MEDIAN(Instances!IA28:Instances!IA28),"min", MIN(Instances!IA28:Instances!IA28),"max", MAX(Instances!IA28:Instances!IA28),"diff", MAX(Instances!IA28:Instances!IA28)-MIN(Instances!IA28:Instances!IA28))</f>
        <v>0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 cm="1">
        <f t="array" ref="JL28">_xlfn.SWITCH($A$2,"average", AVERAGE(Instances!JL28:Instances!JL28),"median", MEDIAN(Instances!JL28:Instances!JL28),"min", MIN(Instances!JL28:Instances!JL28),"max", MAX(Instances!JL28:Instances!JL28),"diff", MAX(Instances!JL28:Instances!JL28)-MIN(Instances!JL28:Instances!JL28))</f>
        <v>0</v>
      </c>
      <c r="JM28" s="1" cm="1">
        <f t="array" ref="JM28">_xlfn.SWITCH($A$2,"average", AVERAGE(Instances!JM28:Instances!JM28),"median", MEDIAN(Instances!JM28:Instances!JM28),"min", MIN(Instances!JM28:Instances!JM28),"max", MAX(Instances!JM28:Instances!JM28),"diff", MAX(Instances!JM28:Instances!JM28)-MIN(Instances!JM28:Instances!JM28))</f>
        <v>0</v>
      </c>
      <c r="JN28" s="1" cm="1">
        <f t="array" ref="JN28">_xlfn.SWITCH($A$2,"average", AVERAGE(Instances!JN28:Instances!JN28),"median", MEDIAN(Instances!JN28:Instances!JN28),"min", MIN(Instances!JN28:Instances!JN28),"max", MAX(Instances!JN28:Instances!JN28),"diff", MAX(Instances!JN28:Instances!JN28)-MIN(Instances!JN28:Instances!JN28))</f>
        <v>0</v>
      </c>
      <c r="JO28" s="1" cm="1">
        <f t="array" ref="JO28">_xlfn.SWITCH($A$2,"average", AVERAGE(Instances!JO28:Instances!JO28),"median", MEDIAN(Instances!JO28:Instances!JO28),"min", MIN(Instances!JO28:Instances!JO28),"max", MAX(Instances!JO28:Instances!JO28),"diff", MAX(Instances!JO28:Instances!JO28)-MIN(Instances!JO28:Instances!JO28))</f>
        <v>0</v>
      </c>
      <c r="JP28" s="1" cm="1">
        <f t="array" ref="JP28">_xlfn.SWITCH($A$2,"average", AVERAGE(Instances!JP28:Instances!JP28),"median", MEDIAN(Instances!JP28:Instances!JP28),"min", MIN(Instances!JP28:Instances!JP28),"max", MAX(Instances!JP28:Instances!JP28),"diff", MAX(Instances!JP28:Instances!JP28)-MIN(Instances!JP28:Instances!JP28))</f>
        <v>0</v>
      </c>
      <c r="JQ28" s="1" cm="1">
        <f t="array" ref="JQ28">_xlfn.SWITCH($A$2,"average", AVERAGE(Instances!JQ28:Instances!JQ28),"median", MEDIAN(Instances!JQ28:Instances!JQ28),"min", MIN(Instances!JQ28:Instances!JQ28),"max", MAX(Instances!JQ28:Instances!JQ28),"diff", MAX(Instances!JQ28:Instances!JQ28)-MIN(Instances!JQ28:Instances!JQ28))</f>
        <v>0</v>
      </c>
      <c r="JR28" s="1" cm="1">
        <f t="array" ref="JR28">_xlfn.SWITCH($A$2,"average", AVERAGE(Instances!JR28:Instances!JR28),"median", MEDIAN(Instances!JR28:Instances!JR28),"min", MIN(Instances!JR28:Instances!JR28),"max", MAX(Instances!JR28:Instances!JR28),"diff", MAX(Instances!JR28:Instances!JR28)-MIN(Instances!JR28:Instances!JR28))</f>
        <v>0</v>
      </c>
      <c r="JS28" s="1" cm="1">
        <f t="array" ref="JS28">_xlfn.SWITCH($A$2,"average", AVERAGE(Instances!JS28:Instances!JS28),"median", MEDIAN(Instances!JS28:Instances!JS28),"min", MIN(Instances!JS28:Instances!JS28),"max", MAX(Instances!JS28:Instances!JS28),"diff", MAX(Instances!JS28:Instances!JS28)-MIN(Instances!JS28:Instances!JS28))</f>
        <v>0</v>
      </c>
      <c r="JT28" s="1" cm="1">
        <f t="array" ref="JT28">_xlfn.SWITCH($A$2,"average", AVERAGE(Instances!JT28:Instances!JT28),"median", MEDIAN(Instances!JT28:Instances!JT28),"min", MIN(Instances!JT28:Instances!JT28),"max", MAX(Instances!JT28:Instances!JT28),"diff", MAX(Instances!JT28:Instances!JT28)-MIN(Instances!JT28:Instances!JT28))</f>
        <v>0</v>
      </c>
      <c r="JU28" s="1" cm="1">
        <f t="array" ref="JU28">_xlfn.SWITCH($A$2,"average", AVERAGE(Instances!JU28:Instances!JU28),"median", MEDIAN(Instances!JU28:Instances!JU28),"min", MIN(Instances!JU28:Instances!JU28),"max", MAX(Instances!JU28:Instances!JU28),"diff", MAX(Instances!JU28:Instances!JU28)-MIN(Instances!JU28:Instances!JU28))</f>
        <v>0</v>
      </c>
      <c r="JV28" s="1" cm="1">
        <f t="array" ref="JV28">_xlfn.SWITCH($A$2,"average", AVERAGE(Instances!JV28:Instances!JV28),"median", MEDIAN(Instances!JV28:Instances!JV28),"min", MIN(Instances!JV28:Instances!JV28),"max", MAX(Instances!JV28:Instances!JV28),"diff", MAX(Instances!JV28:Instances!JV28)-MIN(Instances!JV28:Instances!JV28))</f>
        <v>0</v>
      </c>
      <c r="JW28" s="1" cm="1">
        <f t="array" ref="JW28">_xlfn.SWITCH($A$2,"average", AVERAGE(Instances!JW28:Instances!JW28),"median", MEDIAN(Instances!JW28:Instances!JW28),"min", MIN(Instances!JW28:Instances!JW28),"max", MAX(Instances!JW28:Instances!JW28),"diff", MAX(Instances!JW28:Instances!JW28)-MIN(Instances!JW28:Instances!JW28))</f>
        <v>0</v>
      </c>
      <c r="JX28" s="1" cm="1">
        <f t="array" ref="JX28">_xlfn.SWITCH($A$2,"average", AVERAGE(Instances!JX28:Instances!JX28),"median", MEDIAN(Instances!JX28:Instances!JX28),"min", MIN(Instances!JX28:Instances!JX28),"max", MAX(Instances!JX28:Instances!JX28),"diff", MAX(Instances!JX28:Instances!JX28)-MIN(Instances!JX28:Instances!JX28))</f>
        <v>0</v>
      </c>
      <c r="JY28" s="1" cm="1">
        <f t="array" ref="JY28">_xlfn.SWITCH($A$2,"average", AVERAGE(Instances!JY28:Instances!JY28),"median", MEDIAN(Instances!JY28:Instances!JY28),"min", MIN(Instances!JY28:Instances!JY28),"max", MAX(Instances!JY28:Instances!JY28),"diff", MAX(Instances!JY28:Instances!JY28)-MIN(Instances!JY28:Instances!JY28))</f>
        <v>0</v>
      </c>
      <c r="JZ28" s="1"/>
      <c r="KA28" s="1" cm="1">
        <f t="array" ref="KA28">_xlfn.SWITCH($A$2,"average", AVERAGE(Instances!KA28:Instances!KA28),"median", MEDIAN(Instances!KA28:Instances!KA28),"min", MIN(Instances!KA28:Instances!KA28),"max", MAX(Instances!KA28:Instances!KA28),"diff", MAX(Instances!KA28:Instances!KA28)-MIN(Instances!KA28:Instances!KA28))</f>
        <v>0</v>
      </c>
      <c r="KB28" s="1" cm="1">
        <f t="array" ref="KB28">_xlfn.SWITCH($A$2,"average", AVERAGE(Instances!KB28:Instances!KB28),"median", MEDIAN(Instances!KB28:Instances!KB28),"min", MIN(Instances!KB28:Instances!KB28),"max", MAX(Instances!KB28:Instances!KB28),"diff", MAX(Instances!KB28:Instances!KB28)-MIN(Instances!KB28:Instances!KB28))</f>
        <v>0</v>
      </c>
      <c r="KC28" s="1" cm="1">
        <f t="array" ref="KC28">_xlfn.SWITCH($A$2,"average", AVERAGE(Instances!KC28:Instances!KC28),"median", MEDIAN(Instances!KC28:Instances!KC28),"min", MIN(Instances!KC28:Instances!KC28),"max", MAX(Instances!KC28:Instances!KC28),"diff", MAX(Instances!KC28:Instances!KC28)-MIN(Instances!KC28:Instances!KC28))</f>
        <v>0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 cm="1">
        <f t="array" ref="L29">_xlfn.SWITCH($A$2,"average", AVERAGE(Instances!L29:Instances!L29),"median", MEDIAN(Instances!L29:Instances!L29),"min", MIN(Instances!L29:Instances!L29),"max", MAX(Instances!L29:Instances!L29),"diff", MAX(Instances!L29:Instances!L29)-MIN(Instances!L29:Instances!L29))</f>
        <v>0</v>
      </c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 cm="1">
        <f t="array" ref="O29">_xlfn.SWITCH($A$2,"average", AVERAGE(Instances!O29:Instances!O29),"median", MEDIAN(Instances!O29:Instances!O29),"min", MIN(Instances!O29:Instances!O29),"max", MAX(Instances!O29:Instances!O29),"diff", MAX(Instances!O29:Instances!O29)-MIN(Instances!O29:Instances!O29))</f>
        <v>0</v>
      </c>
      <c r="P29" s="1"/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 cm="1">
        <f t="array" ref="S29">_xlfn.SWITCH($A$2,"average", AVERAGE(Instances!S29:Instances!S29),"median", MEDIAN(Instances!S29:Instances!S29),"min", MIN(Instances!S29:Instances!S29),"max", MAX(Instances!S29:Instances!S29),"diff", MAX(Instances!S29:Instances!S29)-MIN(Instances!S29:Instances!S29))</f>
        <v>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 cm="1">
        <f t="array" ref="AL29">_xlfn.SWITCH($A$2,"average", AVERAGE(Instances!AL29:Instances!AL29),"median", MEDIAN(Instances!AL29:Instances!AL29),"min", MIN(Instances!AL29:Instances!AL29),"max", MAX(Instances!AL29:Instances!AL29),"diff", MAX(Instances!AL29:Instances!AL29)-MIN(Instances!AL29:Instances!AL29))</f>
        <v>0</v>
      </c>
      <c r="AM29" s="1" cm="1">
        <f t="array" ref="AM29">_xlfn.SWITCH($A$2,"average", AVERAGE(Instances!AM29:Instances!AM29),"median", MEDIAN(Instances!AM29:Instances!AM29),"min", MIN(Instances!AM29:Instances!AM29),"max", MAX(Instances!AM29:Instances!AM29),"diff", MAX(Instances!AM29:Instances!AM29)-MIN(Instances!AM29:Instances!AM29))</f>
        <v>0</v>
      </c>
      <c r="AN29" s="1" cm="1">
        <f t="array" ref="AN29">_xlfn.SWITCH($A$2,"average", AVERAGE(Instances!AN29:Instances!AN29),"median", MEDIAN(Instances!AN29:Instances!AN29),"min", MIN(Instances!AN29:Instances!AN29),"max", MAX(Instances!AN29:Instances!AN29),"diff", MAX(Instances!AN29:Instances!AN29)-MIN(Instances!AN29:Instances!AN29))</f>
        <v>0</v>
      </c>
      <c r="AO29" s="1" cm="1">
        <f t="array" ref="AO29">_xlfn.SWITCH($A$2,"average", AVERAGE(Instances!AO29:Instances!AO29),"median", MEDIAN(Instances!AO29:Instances!AO29),"min", MIN(Instances!AO29:Instances!AO29),"max", MAX(Instances!AO29:Instances!AO29),"diff", MAX(Instances!AO29:Instances!AO29)-MIN(Instances!AO29:Instances!AO29))</f>
        <v>0</v>
      </c>
      <c r="AP29" s="1" cm="1">
        <f t="array" ref="AP29">_xlfn.SWITCH($A$2,"average", AVERAGE(Instances!AP29:Instances!AP29),"median", MEDIAN(Instances!AP29:Instances!AP29),"min", MIN(Instances!AP29:Instances!AP29),"max", MAX(Instances!AP29:Instances!AP29),"diff", MAX(Instances!AP29:Instances!AP29)-MIN(Instances!AP29:Instances!AP29))</f>
        <v>0</v>
      </c>
      <c r="AQ29" s="1" cm="1">
        <f t="array" ref="AQ29">_xlfn.SWITCH($A$2,"average", AVERAGE(Instances!AQ29:Instances!AQ29),"median", MEDIAN(Instances!AQ29:Instances!AQ29),"min", MIN(Instances!AQ29:Instances!AQ29),"max", MAX(Instances!AQ29:Instances!AQ29),"diff", MAX(Instances!AQ29:Instances!AQ29)-MIN(Instances!AQ29:Instances!AQ29))</f>
        <v>0</v>
      </c>
      <c r="AR29" s="1" cm="1">
        <f t="array" ref="AR29">_xlfn.SWITCH($A$2,"average", AVERAGE(Instances!AR29:Instances!AR29),"median", MEDIAN(Instances!AR29:Instances!AR29),"min", MIN(Instances!AR29:Instances!AR29),"max", MAX(Instances!AR29:Instances!AR29),"diff", MAX(Instances!AR29:Instances!AR29)-MIN(Instances!AR29:Instances!AR29))</f>
        <v>0</v>
      </c>
      <c r="AS29" s="1" cm="1">
        <f t="array" ref="AS29">_xlfn.SWITCH($A$2,"average", AVERAGE(Instances!AS29:Instances!AS29),"median", MEDIAN(Instances!AS29:Instances!AS29),"min", MIN(Instances!AS29:Instances!AS29),"max", MAX(Instances!AS29:Instances!AS29),"diff", MAX(Instances!AS29:Instances!AS29)-MIN(Instances!AS29:Instances!AS29))</f>
        <v>0</v>
      </c>
      <c r="AT29" s="1" cm="1">
        <f t="array" ref="AT29">_xlfn.SWITCH($A$2,"average", AVERAGE(Instances!AT29:Instances!AT29),"median", MEDIAN(Instances!AT29:Instances!AT29),"min", MIN(Instances!AT29:Instances!AT29),"max", MAX(Instances!AT29:Instances!AT29),"diff", MAX(Instances!AT29:Instances!AT29)-MIN(Instances!AT29:Instances!AT29))</f>
        <v>0</v>
      </c>
      <c r="AU29" s="1" cm="1">
        <f t="array" ref="AU29">_xlfn.SWITCH($A$2,"average", AVERAGE(Instances!AU29:Instances!AU29),"median", MEDIAN(Instances!AU29:Instances!AU29),"min", MIN(Instances!AU29:Instances!AU29),"max", MAX(Instances!AU29:Instances!AU29),"diff", MAX(Instances!AU29:Instances!AU29)-MIN(Instances!AU29:Instances!AU29))</f>
        <v>0</v>
      </c>
      <c r="AV29" s="1" cm="1">
        <f t="array" ref="AV29">_xlfn.SWITCH($A$2,"average", AVERAGE(Instances!AV29:Instances!AV29),"median", MEDIAN(Instances!AV29:Instances!AV29),"min", MIN(Instances!AV29:Instances!AV29),"max", MAX(Instances!AV29:Instances!AV29),"diff", MAX(Instances!AV29:Instances!AV29)-MIN(Instances!AV29:Instances!AV29))</f>
        <v>0</v>
      </c>
      <c r="AW29" s="1" cm="1">
        <f t="array" ref="AW29">_xlfn.SWITCH($A$2,"average", AVERAGE(Instances!AW29:Instances!AW29),"median", MEDIAN(Instances!AW29:Instances!AW29),"min", MIN(Instances!AW29:Instances!AW29),"max", MAX(Instances!AW29:Instances!AW29),"diff", MAX(Instances!AW29:Instances!AW29)-MIN(Instances!AW29:Instances!AW29))</f>
        <v>0</v>
      </c>
      <c r="AX29" s="1" cm="1">
        <f t="array" ref="AX29">_xlfn.SWITCH($A$2,"average", AVERAGE(Instances!AX29:Instances!AX29),"median", MEDIAN(Instances!AX29:Instances!AX29),"min", MIN(Instances!AX29:Instances!AX29),"max", MAX(Instances!AX29:Instances!AX29),"diff", MAX(Instances!AX29:Instances!AX29)-MIN(Instances!AX29:Instances!AX29))</f>
        <v>0</v>
      </c>
      <c r="AY29" s="1" cm="1">
        <f t="array" ref="AY29">_xlfn.SWITCH($A$2,"average", AVERAGE(Instances!AY29:Instances!AY29),"median", MEDIAN(Instances!AY29:Instances!AY29),"min", MIN(Instances!AY29:Instances!AY29),"max", MAX(Instances!AY29:Instances!AY29),"diff", MAX(Instances!AY29:Instances!AY29)-MIN(Instances!AY29:Instances!AY29))</f>
        <v>0</v>
      </c>
      <c r="AZ29" s="1"/>
      <c r="BA29" s="1" cm="1">
        <f t="array" ref="BA29">_xlfn.SWITCH($A$2,"average", AVERAGE(Instances!BA29:Instances!BA29),"median", MEDIAN(Instances!BA29:Instances!BA29),"min", MIN(Instances!BA29:Instances!BA29),"max", MAX(Instances!BA29:Instances!BA29),"diff", MAX(Instances!BA29:Instances!BA29)-MIN(Instances!BA29:Instances!BA29))</f>
        <v>0</v>
      </c>
      <c r="BB29" s="1" cm="1">
        <f t="array" ref="BB29">_xlfn.SWITCH($A$2,"average", AVERAGE(Instances!BB29:Instances!BB29),"median", MEDIAN(Instances!BB29:Instances!BB29),"min", MIN(Instances!BB29:Instances!BB29),"max", MAX(Instances!BB29:Instances!BB29),"diff", MAX(Instances!BB29:Instances!BB29)-MIN(Instances!BB29:Instances!BB29))</f>
        <v>0</v>
      </c>
      <c r="BC29" s="1" cm="1">
        <f t="array" ref="BC29">_xlfn.SWITCH($A$2,"average", AVERAGE(Instances!BC29:Instances!BC29),"median", MEDIAN(Instances!BC29:Instances!BC29),"min", MIN(Instances!BC29:Instances!BC29),"max", MAX(Instances!BC29:Instances!BC29),"diff", MAX(Instances!BC29:Instances!BC29)-MIN(Instances!BC29:Instances!BC29))</f>
        <v>0</v>
      </c>
      <c r="BD29" s="1" cm="1">
        <f t="array" ref="BD29">_xlfn.SWITCH($A$2,"average", AVERAGE(Instances!BD29:Instances!BD29),"median", MEDIAN(Instances!BD29:Instances!BD29),"min", MIN(Instances!BD29:Instances!BD29),"max", MAX(Instances!BD29:Instances!BD29),"diff", MAX(Instances!BD29:Instances!BD29)-MIN(Instances!BD29:Instances!BD29))</f>
        <v>0</v>
      </c>
      <c r="BE29" s="1" cm="1">
        <f t="array" ref="BE29">_xlfn.SWITCH($A$2,"average", AVERAGE(Instances!BE29:Instances!BE29),"median", MEDIAN(Instances!BE29:Instances!BE29),"min", MIN(Instances!BE29:Instances!BE29),"max", MAX(Instances!BE29:Instances!BE29),"diff", MAX(Instances!BE29:Instances!BE29)-MIN(Instances!BE29:Instances!BE29))</f>
        <v>0</v>
      </c>
      <c r="BF29" s="1" cm="1">
        <f t="array" ref="BF29">_xlfn.SWITCH($A$2,"average", AVERAGE(Instances!BF29:Instances!BF29),"median", MEDIAN(Instances!BF29:Instances!BF29),"min", MIN(Instances!BF29:Instances!BF29),"max", MAX(Instances!BF29:Instances!BF29),"diff", MAX(Instances!BF29:Instances!BF29)-MIN(Instances!BF29:Instances!BF29))</f>
        <v>0</v>
      </c>
      <c r="BG29" s="1" cm="1">
        <f t="array" ref="BG29">_xlfn.SWITCH($A$2,"average", AVERAGE(Instances!BG29:Instances!BG29),"median", MEDIAN(Instances!BG29:Instances!BG29),"min", MIN(Instances!BG29:Instances!BG29),"max", MAX(Instances!BG29:Instances!BG29),"diff", MAX(Instances!BG29:Instances!BG29)-MIN(Instances!BG29:Instances!BG29))</f>
        <v>0</v>
      </c>
      <c r="BH29" s="1" cm="1">
        <f t="array" ref="BH29">_xlfn.SWITCH($A$2,"average", AVERAGE(Instances!BH29:Instances!BH29),"median", MEDIAN(Instances!BH29:Instances!BH29),"min", MIN(Instances!BH29:Instances!BH29),"max", MAX(Instances!BH29:Instances!BH29),"diff", MAX(Instances!BH29:Instances!BH29)-MIN(Instances!BH29:Instances!BH29))</f>
        <v>0</v>
      </c>
      <c r="BI29" s="1" cm="1">
        <f t="array" ref="BI29">_xlfn.SWITCH($A$2,"average", AVERAGE(Instances!BI29:Instances!BI29),"median", MEDIAN(Instances!BI29:Instances!BI29),"min", MIN(Instances!BI29:Instances!BI29),"max", MAX(Instances!BI29:Instances!BI29),"diff", MAX(Instances!BI29:Instances!BI29)-MIN(Instances!BI29:Instances!BI29))</f>
        <v>0</v>
      </c>
      <c r="BJ29" s="1" cm="1">
        <f t="array" ref="BJ29">_xlfn.SWITCH($A$2,"average", AVERAGE(Instances!BJ29:Instances!BJ29),"median", MEDIAN(Instances!BJ29:Instances!BJ29),"min", MIN(Instances!BJ29:Instances!BJ29),"max", MAX(Instances!BJ29:Instances!BJ29),"diff", MAX(Instances!BJ29:Instances!BJ29)-MIN(Instances!BJ29:Instances!BJ29))</f>
        <v>0</v>
      </c>
      <c r="BK29" s="1" cm="1">
        <f t="array" ref="BK29">_xlfn.SWITCH($A$2,"average", AVERAGE(Instances!BK29:Instances!BK29),"median", MEDIAN(Instances!BK29:Instances!BK29),"min", MIN(Instances!BK29:Instances!BK29),"max", MAX(Instances!BK29:Instances!BK29),"diff", MAX(Instances!BK29:Instances!BK29)-MIN(Instances!BK29:Instances!BK29))</f>
        <v>0</v>
      </c>
      <c r="BL29" s="1" cm="1">
        <f t="array" ref="BL29">_xlfn.SWITCH($A$2,"average", AVERAGE(Instances!BL29:Instances!BL29),"median", MEDIAN(Instances!BL29:Instances!BL29),"min", MIN(Instances!BL29:Instances!BL29),"max", MAX(Instances!BL29:Instances!BL29),"diff", MAX(Instances!BL29:Instances!BL29)-MIN(Instances!BL29:Instances!BL29))</f>
        <v>0</v>
      </c>
      <c r="BM29" s="1" cm="1">
        <f t="array" ref="BM29">_xlfn.SWITCH($A$2,"average", AVERAGE(Instances!BM29:Instances!BM29),"median", MEDIAN(Instances!BM29:Instances!BM29),"min", MIN(Instances!BM29:Instances!BM29),"max", MAX(Instances!BM29:Instances!BM29),"diff", MAX(Instances!BM29:Instances!BM29)-MIN(Instances!BM29:Instances!BM29))</f>
        <v>0</v>
      </c>
      <c r="BN29" s="1" cm="1">
        <f t="array" ref="BN29">_xlfn.SWITCH($A$2,"average", AVERAGE(Instances!BN29:Instances!BN29),"median", MEDIAN(Instances!BN29:Instances!BN29),"min", MIN(Instances!BN29:Instances!BN29),"max", MAX(Instances!BN29:Instances!BN29),"diff", MAX(Instances!BN29:Instances!BN29)-MIN(Instances!BN29:Instances!BN29))</f>
        <v>0</v>
      </c>
      <c r="BO29" s="1" cm="1">
        <f t="array" ref="BO29">_xlfn.SWITCH($A$2,"average", AVERAGE(Instances!BO29:Instances!BO29),"median", MEDIAN(Instances!BO29:Instances!BO29),"min", MIN(Instances!BO29:Instances!BO29),"max", MAX(Instances!BO29:Instances!BO29),"diff", MAX(Instances!BO29:Instances!BO29)-MIN(Instances!BO29:Instances!BO29))</f>
        <v>0</v>
      </c>
      <c r="BP29" s="1" cm="1">
        <f t="array" ref="BP29">_xlfn.SWITCH($A$2,"average", AVERAGE(Instances!BP29:Instances!BP29),"median", MEDIAN(Instances!BP29:Instances!BP29),"min", MIN(Instances!BP29:Instances!BP29),"max", MAX(Instances!BP29:Instances!BP29),"diff", MAX(Instances!BP29:Instances!BP29)-MIN(Instances!BP29:Instances!BP29))</f>
        <v>0</v>
      </c>
      <c r="BQ29" s="1" cm="1">
        <f t="array" ref="BQ29">_xlfn.SWITCH($A$2,"average", AVERAGE(Instances!BQ29:Instances!BQ29),"median", MEDIAN(Instances!BQ29:Instances!BQ29),"min", MIN(Instances!BQ29:Instances!BQ29),"max", MAX(Instances!BQ29:Instances!BQ29),"diff", MAX(Instances!BQ29:Instances!BQ29)-MIN(Instances!BQ29:Instances!BQ29))</f>
        <v>0</v>
      </c>
      <c r="BR29" s="1"/>
      <c r="BS29" s="1" cm="1">
        <f t="array" ref="BS29">_xlfn.SWITCH($A$2,"average", AVERAGE(Instances!BS29:Instances!BS29),"median", MEDIAN(Instances!BS29:Instances!BS29),"min", MIN(Instances!BS29:Instances!BS29),"max", MAX(Instances!BS29:Instances!BS29),"diff", MAX(Instances!BS29:Instances!BS29)-MIN(Instances!BS29:Instances!BS29))</f>
        <v>0</v>
      </c>
      <c r="BT29" s="1" cm="1">
        <f t="array" ref="BT29">_xlfn.SWITCH($A$2,"average", AVERAGE(Instances!BT29:Instances!BT29),"median", MEDIAN(Instances!BT29:Instances!BT29),"min", MIN(Instances!BT29:Instances!BT29),"max", MAX(Instances!BT29:Instances!BT29),"diff", MAX(Instances!BT29:Instances!BT29)-MIN(Instances!BT29:Instances!BT29))</f>
        <v>0</v>
      </c>
      <c r="BU29" s="1" cm="1">
        <f t="array" ref="BU29">_xlfn.SWITCH($A$2,"average", AVERAGE(Instances!BU29:Instances!BU29),"median", MEDIAN(Instances!BU29:Instances!BU29),"min", MIN(Instances!BU29:Instances!BU29),"max", MAX(Instances!BU29:Instances!BU29),"diff", MAX(Instances!BU29:Instances!BU29)-MIN(Instances!BU29:Instances!BU29))</f>
        <v>0</v>
      </c>
      <c r="BV29" s="1" cm="1">
        <f t="array" ref="BV29">_xlfn.SWITCH($A$2,"average", AVERAGE(Instances!BV29:Instances!BV29),"median", MEDIAN(Instances!BV29:Instances!BV29),"min", MIN(Instances!BV29:Instances!BV29),"max", MAX(Instances!BV29:Instances!BV29),"diff", MAX(Instances!BV29:Instances!BV29)-MIN(Instances!BV29:Instances!BV29))</f>
        <v>0</v>
      </c>
      <c r="BW29" s="1" cm="1">
        <f t="array" ref="BW29">_xlfn.SWITCH($A$2,"average", AVERAGE(Instances!BW29:Instances!BW29),"median", MEDIAN(Instances!BW29:Instances!BW29),"min", MIN(Instances!BW29:Instances!BW29),"max", MAX(Instances!BW29:Instances!BW29),"diff", MAX(Instances!BW29:Instances!BW29)-MIN(Instances!BW29:Instances!BW29))</f>
        <v>0</v>
      </c>
      <c r="BX29" s="1" cm="1">
        <f t="array" ref="BX29">_xlfn.SWITCH($A$2,"average", AVERAGE(Instances!BX29:Instances!BX29),"median", MEDIAN(Instances!BX29:Instances!BX29),"min", MIN(Instances!BX29:Instances!BX29),"max", MAX(Instances!BX29:Instances!BX29),"diff", MAX(Instances!BX29:Instances!BX29)-MIN(Instances!BX29:Instances!BX29))</f>
        <v>0</v>
      </c>
      <c r="BY29" s="1" cm="1">
        <f t="array" ref="BY29">_xlfn.SWITCH($A$2,"average", AVERAGE(Instances!BY29:Instances!BY29),"median", MEDIAN(Instances!BY29:Instances!BY29),"min", MIN(Instances!BY29:Instances!BY29),"max", MAX(Instances!BY29:Instances!BY29),"diff", MAX(Instances!BY29:Instances!BY29)-MIN(Instances!BY29:Instances!BY29))</f>
        <v>0</v>
      </c>
      <c r="BZ29" s="1" cm="1">
        <f t="array" ref="BZ29">_xlfn.SWITCH($A$2,"average", AVERAGE(Instances!BZ29:Instances!BZ29),"median", MEDIAN(Instances!BZ29:Instances!BZ29),"min", MIN(Instances!BZ29:Instances!BZ29),"max", MAX(Instances!BZ29:Instances!BZ29),"diff", MAX(Instances!BZ29:Instances!BZ29)-MIN(Instances!BZ29:Instances!BZ29))</f>
        <v>0</v>
      </c>
      <c r="CA29" s="1" cm="1">
        <f t="array" ref="CA29">_xlfn.SWITCH($A$2,"average", AVERAGE(Instances!CA29:Instances!CA29),"median", MEDIAN(Instances!CA29:Instances!CA29),"min", MIN(Instances!CA29:Instances!CA29),"max", MAX(Instances!CA29:Instances!CA29),"diff", MAX(Instances!CA29:Instances!CA29)-MIN(Instances!CA29:Instances!CA29))</f>
        <v>0</v>
      </c>
      <c r="CB29" s="1" cm="1">
        <f t="array" ref="CB29">_xlfn.SWITCH($A$2,"average", AVERAGE(Instances!CB29:Instances!CB29),"median", MEDIAN(Instances!CB29:Instances!CB29),"min", MIN(Instances!CB29:Instances!CB29),"max", MAX(Instances!CB29:Instances!CB29),"diff", MAX(Instances!CB29:Instances!CB29)-MIN(Instances!CB29:Instances!CB29))</f>
        <v>0</v>
      </c>
      <c r="CC29" s="1" cm="1">
        <f t="array" ref="CC29">_xlfn.SWITCH($A$2,"average", AVERAGE(Instances!CC29:Instances!CC29),"median", MEDIAN(Instances!CC29:Instances!CC29),"min", MIN(Instances!CC29:Instances!CC29),"max", MAX(Instances!CC29:Instances!CC29),"diff", MAX(Instances!CC29:Instances!CC29)-MIN(Instances!CC29:Instances!CC29))</f>
        <v>0</v>
      </c>
      <c r="CD29" s="1" cm="1">
        <f t="array" ref="CD29">_xlfn.SWITCH($A$2,"average", AVERAGE(Instances!CD29:Instances!CD29),"median", MEDIAN(Instances!CD29:Instances!CD29),"min", MIN(Instances!CD29:Instances!CD29),"max", MAX(Instances!CD29:Instances!CD29),"diff", MAX(Instances!CD29:Instances!CD29)-MIN(Instances!CD29:Instances!CD29))</f>
        <v>0</v>
      </c>
      <c r="CE29" s="1" cm="1">
        <f t="array" ref="CE29">_xlfn.SWITCH($A$2,"average", AVERAGE(Instances!CE29:Instances!CE29),"median", MEDIAN(Instances!CE29:Instances!CE29),"min", MIN(Instances!CE29:Instances!CE29),"max", MAX(Instances!CE29:Instances!CE29),"diff", MAX(Instances!CE29:Instances!CE29)-MIN(Instances!CE29:Instances!CE29))</f>
        <v>0</v>
      </c>
      <c r="CF29" s="1" cm="1">
        <f t="array" ref="CF29">_xlfn.SWITCH($A$2,"average", AVERAGE(Instances!CF29:Instances!CF29),"median", MEDIAN(Instances!CF29:Instances!CF29),"min", MIN(Instances!CF29:Instances!CF29),"max", MAX(Instances!CF29:Instances!CF29),"diff", MAX(Instances!CF29:Instances!CF29)-MIN(Instances!CF29:Instances!CF29))</f>
        <v>0</v>
      </c>
      <c r="CG29" s="1" cm="1">
        <f t="array" ref="CG29">_xlfn.SWITCH($A$2,"average", AVERAGE(Instances!CG29:Instances!CG29),"median", MEDIAN(Instances!CG29:Instances!CG29),"min", MIN(Instances!CG29:Instances!CG29),"max", MAX(Instances!CG29:Instances!CG29),"diff", MAX(Instances!CG29:Instances!CG29)-MIN(Instances!CG29:Instances!CG29))</f>
        <v>0</v>
      </c>
      <c r="CH29" s="1" cm="1">
        <f t="array" ref="CH29">_xlfn.SWITCH($A$2,"average", AVERAGE(Instances!CH29:Instances!CH29),"median", MEDIAN(Instances!CH29:Instances!CH29),"min", MIN(Instances!CH29:Instances!CH29),"max", MAX(Instances!CH29:Instances!CH29),"diff", MAX(Instances!CH29:Instances!CH29)-MIN(Instances!CH29:Instances!CH29))</f>
        <v>0</v>
      </c>
      <c r="CI29" s="1" cm="1">
        <f t="array" ref="CI29">_xlfn.SWITCH($A$2,"average", AVERAGE(Instances!CI29:Instances!CI29),"median", MEDIAN(Instances!CI29:Instances!CI29),"min", MIN(Instances!CI29:Instances!CI29),"max", MAX(Instances!CI29:Instances!CI29),"diff", MAX(Instances!CI29:Instances!CI29)-MIN(Instances!CI29:Instances!CI29))</f>
        <v>0</v>
      </c>
      <c r="CJ29" s="1"/>
      <c r="CK29" s="1" cm="1">
        <f t="array" ref="CK29">_xlfn.SWITCH($A$2,"average", AVERAGE(Instances!CK29:Instances!CK29),"median", MEDIAN(Instances!CK29:Instances!CK29),"min", MIN(Instances!CK29:Instances!CK29),"max", MAX(Instances!CK29:Instances!CK29),"diff", MAX(Instances!CK29:Instances!CK29)-MIN(Instances!CK29:Instances!CK29))</f>
        <v>0</v>
      </c>
      <c r="CL29" s="1" cm="1">
        <f t="array" ref="CL29">_xlfn.SWITCH($A$2,"average", AVERAGE(Instances!CL29:Instances!CL29),"median", MEDIAN(Instances!CL29:Instances!CL29),"min", MIN(Instances!CL29:Instances!CL29),"max", MAX(Instances!CL29:Instances!CL29),"diff", MAX(Instances!CL29:Instances!CL29)-MIN(Instances!CL29:Instances!CL29))</f>
        <v>0</v>
      </c>
      <c r="CM29" s="1" cm="1">
        <f t="array" ref="CM29">_xlfn.SWITCH($A$2,"average", AVERAGE(Instances!CM29:Instances!CM29),"median", MEDIAN(Instances!CM29:Instances!CM29),"min", MIN(Instances!CM29:Instances!CM29),"max", MAX(Instances!CM29:Instances!CM29),"diff", MAX(Instances!CM29:Instances!CM29)-MIN(Instances!CM29:Instances!CM29))</f>
        <v>0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 cm="1">
        <f t="array" ref="DX29">_xlfn.SWITCH($A$2,"average", AVERAGE(Instances!DX29:Instances!DX29),"median", MEDIAN(Instances!DX29:Instances!DX29),"min", MIN(Instances!DX29:Instances!DX29),"max", MAX(Instances!DX29:Instances!DX29),"diff", MAX(Instances!DX29:Instances!DX29)-MIN(Instances!DX29:Instances!DX29))</f>
        <v>0</v>
      </c>
      <c r="DY29" s="1" cm="1">
        <f t="array" ref="DY29">_xlfn.SWITCH($A$2,"average", AVERAGE(Instances!DY29:Instances!DY29),"median", MEDIAN(Instances!DY29:Instances!DY29),"min", MIN(Instances!DY29:Instances!DY29),"max", MAX(Instances!DY29:Instances!DY29),"diff", MAX(Instances!DY29:Instances!DY29)-MIN(Instances!DY29:Instances!DY29))</f>
        <v>0</v>
      </c>
      <c r="DZ29" s="1" cm="1">
        <f t="array" ref="DZ29">_xlfn.SWITCH($A$2,"average", AVERAGE(Instances!DZ29:Instances!DZ29),"median", MEDIAN(Instances!DZ29:Instances!DZ29),"min", MIN(Instances!DZ29:Instances!DZ29),"max", MAX(Instances!DZ29:Instances!DZ29),"diff", MAX(Instances!DZ29:Instances!DZ29)-MIN(Instances!DZ29:Instances!DZ29))</f>
        <v>0</v>
      </c>
      <c r="EA29" s="1" cm="1">
        <f t="array" ref="EA29">_xlfn.SWITCH($A$2,"average", AVERAGE(Instances!EA29:Instances!EA29),"median", MEDIAN(Instances!EA29:Instances!EA29),"min", MIN(Instances!EA29:Instances!EA29),"max", MAX(Instances!EA29:Instances!EA29),"diff", MAX(Instances!EA29:Instances!EA29)-MIN(Instances!EA29:Instances!EA29))</f>
        <v>0</v>
      </c>
      <c r="EB29" s="1" cm="1">
        <f t="array" ref="EB29">_xlfn.SWITCH($A$2,"average", AVERAGE(Instances!EB29:Instances!EB29),"median", MEDIAN(Instances!EB29:Instances!EB29),"min", MIN(Instances!EB29:Instances!EB29),"max", MAX(Instances!EB29:Instances!EB29),"diff", MAX(Instances!EB29:Instances!EB29)-MIN(Instances!EB29:Instances!EB29))</f>
        <v>0</v>
      </c>
      <c r="EC29" s="1" cm="1">
        <f t="array" ref="EC29">_xlfn.SWITCH($A$2,"average", AVERAGE(Instances!EC29:Instances!EC29),"median", MEDIAN(Instances!EC29:Instances!EC29),"min", MIN(Instances!EC29:Instances!EC29),"max", MAX(Instances!EC29:Instances!EC29),"diff", MAX(Instances!EC29:Instances!EC29)-MIN(Instances!EC29:Instances!EC29))</f>
        <v>0</v>
      </c>
      <c r="ED29" s="1" cm="1">
        <f t="array" ref="ED29">_xlfn.SWITCH($A$2,"average", AVERAGE(Instances!ED29:Instances!ED29),"median", MEDIAN(Instances!ED29:Instances!ED29),"min", MIN(Instances!ED29:Instances!ED29),"max", MAX(Instances!ED29:Instances!ED29),"diff", MAX(Instances!ED29:Instances!ED29)-MIN(Instances!ED29:Instances!ED29))</f>
        <v>0</v>
      </c>
      <c r="EE29" s="1" cm="1">
        <f t="array" ref="EE29">_xlfn.SWITCH($A$2,"average", AVERAGE(Instances!EE29:Instances!EE29),"median", MEDIAN(Instances!EE29:Instances!EE29),"min", MIN(Instances!EE29:Instances!EE29),"max", MAX(Instances!EE29:Instances!EE29),"diff", MAX(Instances!EE29:Instances!EE29)-MIN(Instances!EE29:Instances!EE29))</f>
        <v>0</v>
      </c>
      <c r="EF29" s="1" cm="1">
        <f t="array" ref="EF29">_xlfn.SWITCH($A$2,"average", AVERAGE(Instances!EF29:Instances!EF29),"median", MEDIAN(Instances!EF29:Instances!EF29),"min", MIN(Instances!EF29:Instances!EF29),"max", MAX(Instances!EF29:Instances!EF29),"diff", MAX(Instances!EF29:Instances!EF29)-MIN(Instances!EF29:Instances!EF29))</f>
        <v>0</v>
      </c>
      <c r="EG29" s="1" cm="1">
        <f t="array" ref="EG29">_xlfn.SWITCH($A$2,"average", AVERAGE(Instances!EG29:Instances!EG29),"median", MEDIAN(Instances!EG29:Instances!EG29),"min", MIN(Instances!EG29:Instances!EG29),"max", MAX(Instances!EG29:Instances!EG29),"diff", MAX(Instances!EG29:Instances!EG29)-MIN(Instances!EG29:Instances!EG29))</f>
        <v>0</v>
      </c>
      <c r="EH29" s="1" cm="1">
        <f t="array" ref="EH29">_xlfn.SWITCH($A$2,"average", AVERAGE(Instances!EH29:Instances!EH29),"median", MEDIAN(Instances!EH29:Instances!EH29),"min", MIN(Instances!EH29:Instances!EH29),"max", MAX(Instances!EH29:Instances!EH29),"diff", MAX(Instances!EH29:Instances!EH29)-MIN(Instances!EH29:Instances!EH29))</f>
        <v>0</v>
      </c>
      <c r="EI29" s="1" cm="1">
        <f t="array" ref="EI29">_xlfn.SWITCH($A$2,"average", AVERAGE(Instances!EI29:Instances!EI29),"median", MEDIAN(Instances!EI29:Instances!EI29),"min", MIN(Instances!EI29:Instances!EI29),"max", MAX(Instances!EI29:Instances!EI29),"diff", MAX(Instances!EI29:Instances!EI29)-MIN(Instances!EI29:Instances!EI29))</f>
        <v>0</v>
      </c>
      <c r="EJ29" s="1" cm="1">
        <f t="array" ref="EJ29">_xlfn.SWITCH($A$2,"average", AVERAGE(Instances!EJ29:Instances!EJ29),"median", MEDIAN(Instances!EJ29:Instances!EJ29),"min", MIN(Instances!EJ29:Instances!EJ29),"max", MAX(Instances!EJ29:Instances!EJ29),"diff", MAX(Instances!EJ29:Instances!EJ29)-MIN(Instances!EJ29:Instances!EJ29))</f>
        <v>0</v>
      </c>
      <c r="EK29" s="1" cm="1">
        <f t="array" ref="EK29">_xlfn.SWITCH($A$2,"average", AVERAGE(Instances!EK29:Instances!EK29),"median", MEDIAN(Instances!EK29:Instances!EK29),"min", MIN(Instances!EK29:Instances!EK29),"max", MAX(Instances!EK29:Instances!EK29),"diff", MAX(Instances!EK29:Instances!EK29)-MIN(Instances!EK29:Instances!EK29))</f>
        <v>0</v>
      </c>
      <c r="EL29" s="1"/>
      <c r="EM29" s="1" cm="1">
        <f t="array" ref="EM29">_xlfn.SWITCH($A$2,"average", AVERAGE(Instances!EM29:Instances!EM29),"median", MEDIAN(Instances!EM29:Instances!EM29),"min", MIN(Instances!EM29:Instances!EM29),"max", MAX(Instances!EM29:Instances!EM29),"diff", MAX(Instances!EM29:Instances!EM29)-MIN(Instances!EM29:Instances!EM29))</f>
        <v>0</v>
      </c>
      <c r="EN29" s="1" cm="1">
        <f t="array" ref="EN29">_xlfn.SWITCH($A$2,"average", AVERAGE(Instances!EN29:Instances!EN29),"median", MEDIAN(Instances!EN29:Instances!EN29),"min", MIN(Instances!EN29:Instances!EN29),"max", MAX(Instances!EN29:Instances!EN29),"diff", MAX(Instances!EN29:Instances!EN29)-MIN(Instances!EN29:Instances!EN29))</f>
        <v>0</v>
      </c>
      <c r="EO29" s="1" cm="1">
        <f t="array" ref="EO29">_xlfn.SWITCH($A$2,"average", AVERAGE(Instances!EO29:Instances!EO29),"median", MEDIAN(Instances!EO29:Instances!EO29),"min", MIN(Instances!EO29:Instances!EO29),"max", MAX(Instances!EO29:Instances!EO29),"diff", MAX(Instances!EO29:Instances!EO29)-MIN(Instances!EO29:Instances!EO29))</f>
        <v>0</v>
      </c>
      <c r="EP29" s="1" cm="1">
        <f t="array" ref="EP29">_xlfn.SWITCH($A$2,"average", AVERAGE(Instances!EP29:Instances!EP29),"median", MEDIAN(Instances!EP29:Instances!EP29),"min", MIN(Instances!EP29:Instances!EP29),"max", MAX(Instances!EP29:Instances!EP29),"diff", MAX(Instances!EP29:Instances!EP29)-MIN(Instances!EP29:Instances!EP29))</f>
        <v>0</v>
      </c>
      <c r="EQ29" s="1" cm="1">
        <f t="array" ref="EQ29">_xlfn.SWITCH($A$2,"average", AVERAGE(Instances!EQ29:Instances!EQ29),"median", MEDIAN(Instances!EQ29:Instances!EQ29),"min", MIN(Instances!EQ29:Instances!EQ29),"max", MAX(Instances!EQ29:Instances!EQ29),"diff", MAX(Instances!EQ29:Instances!EQ29)-MIN(Instances!EQ29:Instances!EQ29))</f>
        <v>0</v>
      </c>
      <c r="ER29" s="1" cm="1">
        <f t="array" ref="ER29">_xlfn.SWITCH($A$2,"average", AVERAGE(Instances!ER29:Instances!ER29),"median", MEDIAN(Instances!ER29:Instances!ER29),"min", MIN(Instances!ER29:Instances!ER29),"max", MAX(Instances!ER29:Instances!ER29),"diff", MAX(Instances!ER29:Instances!ER29)-MIN(Instances!ER29:Instances!ER29))</f>
        <v>0</v>
      </c>
      <c r="ES29" s="1" cm="1">
        <f t="array" ref="ES29">_xlfn.SWITCH($A$2,"average", AVERAGE(Instances!ES29:Instances!ES29),"median", MEDIAN(Instances!ES29:Instances!ES29),"min", MIN(Instances!ES29:Instances!ES29),"max", MAX(Instances!ES29:Instances!ES29),"diff", MAX(Instances!ES29:Instances!ES29)-MIN(Instances!ES29:Instances!ES29))</f>
        <v>0</v>
      </c>
      <c r="ET29" s="1" cm="1">
        <f t="array" ref="ET29">_xlfn.SWITCH($A$2,"average", AVERAGE(Instances!ET29:Instances!ET29),"median", MEDIAN(Instances!ET29:Instances!ET29),"min", MIN(Instances!ET29:Instances!ET29),"max", MAX(Instances!ET29:Instances!ET29),"diff", MAX(Instances!ET29:Instances!ET29)-MIN(Instances!ET29:Instances!ET29))</f>
        <v>0</v>
      </c>
      <c r="EU29" s="1" cm="1">
        <f t="array" ref="EU29">_xlfn.SWITCH($A$2,"average", AVERAGE(Instances!EU29:Instances!EU29),"median", MEDIAN(Instances!EU29:Instances!EU29),"min", MIN(Instances!EU29:Instances!EU29),"max", MAX(Instances!EU29:Instances!EU29),"diff", MAX(Instances!EU29:Instances!EU29)-MIN(Instances!EU29:Instances!EU29))</f>
        <v>0</v>
      </c>
      <c r="EV29" s="1" cm="1">
        <f t="array" ref="EV29">_xlfn.SWITCH($A$2,"average", AVERAGE(Instances!EV29:Instances!EV29),"median", MEDIAN(Instances!EV29:Instances!EV29),"min", MIN(Instances!EV29:Instances!EV29),"max", MAX(Instances!EV29:Instances!EV29),"diff", MAX(Instances!EV29:Instances!EV29)-MIN(Instances!EV29:Instances!EV29))</f>
        <v>0</v>
      </c>
      <c r="EW29" s="1" cm="1">
        <f t="array" ref="EW29">_xlfn.SWITCH($A$2,"average", AVERAGE(Instances!EW29:Instances!EW29),"median", MEDIAN(Instances!EW29:Instances!EW29),"min", MIN(Instances!EW29:Instances!EW29),"max", MAX(Instances!EW29:Instances!EW29),"diff", MAX(Instances!EW29:Instances!EW29)-MIN(Instances!EW29:Instances!EW29))</f>
        <v>0</v>
      </c>
      <c r="EX29" s="1" cm="1">
        <f t="array" ref="EX29">_xlfn.SWITCH($A$2,"average", AVERAGE(Instances!EX29:Instances!EX29),"median", MEDIAN(Instances!EX29:Instances!EX29),"min", MIN(Instances!EX29:Instances!EX29),"max", MAX(Instances!EX29:Instances!EX29),"diff", MAX(Instances!EX29:Instances!EX29)-MIN(Instances!EX29:Instances!EX29))</f>
        <v>0</v>
      </c>
      <c r="EY29" s="1" cm="1">
        <f t="array" ref="EY29">_xlfn.SWITCH($A$2,"average", AVERAGE(Instances!EY29:Instances!EY29),"median", MEDIAN(Instances!EY29:Instances!EY29),"min", MIN(Instances!EY29:Instances!EY29),"max", MAX(Instances!EY29:Instances!EY29),"diff", MAX(Instances!EY29:Instances!EY29)-MIN(Instances!EY29:Instances!EY29))</f>
        <v>0</v>
      </c>
      <c r="EZ29" s="1" cm="1">
        <f t="array" ref="EZ29">_xlfn.SWITCH($A$2,"average", AVERAGE(Instances!EZ29:Instances!EZ29),"median", MEDIAN(Instances!EZ29:Instances!EZ29),"min", MIN(Instances!EZ29:Instances!EZ29),"max", MAX(Instances!EZ29:Instances!EZ29),"diff", MAX(Instances!EZ29:Instances!EZ29)-MIN(Instances!EZ29:Instances!EZ29))</f>
        <v>0</v>
      </c>
      <c r="FA29" s="1" cm="1">
        <f t="array" ref="FA29">_xlfn.SWITCH($A$2,"average", AVERAGE(Instances!FA29:Instances!FA29),"median", MEDIAN(Instances!FA29:Instances!FA29),"min", MIN(Instances!FA29:Instances!FA29),"max", MAX(Instances!FA29:Instances!FA29),"diff", MAX(Instances!FA29:Instances!FA29)-MIN(Instances!FA29:Instances!FA29))</f>
        <v>0</v>
      </c>
      <c r="FB29" s="1" cm="1">
        <f t="array" ref="FB29">_xlfn.SWITCH($A$2,"average", AVERAGE(Instances!FB29:Instances!FB29),"median", MEDIAN(Instances!FB29:Instances!FB29),"min", MIN(Instances!FB29:Instances!FB29),"max", MAX(Instances!FB29:Instances!FB29),"diff", MAX(Instances!FB29:Instances!FB29)-MIN(Instances!FB29:Instances!FB29))</f>
        <v>0</v>
      </c>
      <c r="FC29" s="1" cm="1">
        <f t="array" ref="FC29">_xlfn.SWITCH($A$2,"average", AVERAGE(Instances!FC29:Instances!FC29),"median", MEDIAN(Instances!FC29:Instances!FC29),"min", MIN(Instances!FC29:Instances!FC29),"max", MAX(Instances!FC29:Instances!FC29),"diff", MAX(Instances!FC29:Instances!FC29)-MIN(Instances!FC29:Instances!FC29))</f>
        <v>0</v>
      </c>
      <c r="FD29" s="1"/>
      <c r="FE29" s="1" cm="1">
        <f t="array" ref="FE29">_xlfn.SWITCH($A$2,"average", AVERAGE(Instances!FE29:Instances!FE29),"median", MEDIAN(Instances!FE29:Instances!FE29),"min", MIN(Instances!FE29:Instances!FE29),"max", MAX(Instances!FE29:Instances!FE29),"diff", MAX(Instances!FE29:Instances!FE29)-MIN(Instances!FE29:Instances!FE29))</f>
        <v>0</v>
      </c>
      <c r="FF29" s="1" cm="1">
        <f t="array" ref="FF29">_xlfn.SWITCH($A$2,"average", AVERAGE(Instances!FF29:Instances!FF29),"median", MEDIAN(Instances!FF29:Instances!FF29),"min", MIN(Instances!FF29:Instances!FF29),"max", MAX(Instances!FF29:Instances!FF29),"diff", MAX(Instances!FF29:Instances!FF29)-MIN(Instances!FF29:Instances!FF29))</f>
        <v>0</v>
      </c>
      <c r="FG29" s="1" cm="1">
        <f t="array" ref="FG29">_xlfn.SWITCH($A$2,"average", AVERAGE(Instances!FG29:Instances!FG29),"median", MEDIAN(Instances!FG29:Instances!FG29),"min", MIN(Instances!FG29:Instances!FG29),"max", MAX(Instances!FG29:Instances!FG29),"diff", MAX(Instances!FG29:Instances!FG29)-MIN(Instances!FG29:Instances!FG29))</f>
        <v>0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 cm="1">
        <f t="array" ref="FZ29">_xlfn.SWITCH($A$2,"average", AVERAGE(Instances!FZ29:Instances!FZ29),"median", MEDIAN(Instances!FZ29:Instances!FZ29),"min", MIN(Instances!FZ29:Instances!FZ29),"max", MAX(Instances!FZ29:Instances!FZ29),"diff", MAX(Instances!FZ29:Instances!FZ29)-MIN(Instances!FZ29:Instances!FZ29))</f>
        <v>0</v>
      </c>
      <c r="GA29" s="1" cm="1">
        <f t="array" ref="GA29">_xlfn.SWITCH($A$2,"average", AVERAGE(Instances!GA29:Instances!GA29),"median", MEDIAN(Instances!GA29:Instances!GA29),"min", MIN(Instances!GA29:Instances!GA29),"max", MAX(Instances!GA29:Instances!GA29),"diff", MAX(Instances!GA29:Instances!GA29)-MIN(Instances!GA29:Instances!GA29))</f>
        <v>0</v>
      </c>
      <c r="GB29" s="1" cm="1">
        <f t="array" ref="GB29">_xlfn.SWITCH($A$2,"average", AVERAGE(Instances!GB29:Instances!GB29),"median", MEDIAN(Instances!GB29:Instances!GB29),"min", MIN(Instances!GB29:Instances!GB29),"max", MAX(Instances!GB29:Instances!GB29),"diff", MAX(Instances!GB29:Instances!GB29)-MIN(Instances!GB29:Instances!GB29))</f>
        <v>0</v>
      </c>
      <c r="GC29" s="1" cm="1">
        <f t="array" ref="GC29">_xlfn.SWITCH($A$2,"average", AVERAGE(Instances!GC29:Instances!GC29),"median", MEDIAN(Instances!GC29:Instances!GC29),"min", MIN(Instances!GC29:Instances!GC29),"max", MAX(Instances!GC29:Instances!GC29),"diff", MAX(Instances!GC29:Instances!GC29)-MIN(Instances!GC29:Instances!GC29))</f>
        <v>0</v>
      </c>
      <c r="GD29" s="1" cm="1">
        <f t="array" ref="GD29">_xlfn.SWITCH($A$2,"average", AVERAGE(Instances!GD29:Instances!GD29),"median", MEDIAN(Instances!GD29:Instances!GD29),"min", MIN(Instances!GD29:Instances!GD29),"max", MAX(Instances!GD29:Instances!GD29),"diff", MAX(Instances!GD29:Instances!GD29)-MIN(Instances!GD29:Instances!GD29))</f>
        <v>0</v>
      </c>
      <c r="GE29" s="1" cm="1">
        <f t="array" ref="GE29">_xlfn.SWITCH($A$2,"average", AVERAGE(Instances!GE29:Instances!GE29),"median", MEDIAN(Instances!GE29:Instances!GE29),"min", MIN(Instances!GE29:Instances!GE29),"max", MAX(Instances!GE29:Instances!GE29),"diff", MAX(Instances!GE29:Instances!GE29)-MIN(Instances!GE29:Instances!GE29))</f>
        <v>0</v>
      </c>
      <c r="GF29" s="1" cm="1">
        <f t="array" ref="GF29">_xlfn.SWITCH($A$2,"average", AVERAGE(Instances!GF29:Instances!GF29),"median", MEDIAN(Instances!GF29:Instances!GF29),"min", MIN(Instances!GF29:Instances!GF29),"max", MAX(Instances!GF29:Instances!GF29),"diff", MAX(Instances!GF29:Instances!GF29)-MIN(Instances!GF29:Instances!GF29))</f>
        <v>0</v>
      </c>
      <c r="GG29" s="1" cm="1">
        <f t="array" ref="GG29">_xlfn.SWITCH($A$2,"average", AVERAGE(Instances!GG29:Instances!GG29),"median", MEDIAN(Instances!GG29:Instances!GG29),"min", MIN(Instances!GG29:Instances!GG29),"max", MAX(Instances!GG29:Instances!GG29),"diff", MAX(Instances!GG29:Instances!GG29)-MIN(Instances!GG29:Instances!GG29))</f>
        <v>0</v>
      </c>
      <c r="GH29" s="1" cm="1">
        <f t="array" ref="GH29">_xlfn.SWITCH($A$2,"average", AVERAGE(Instances!GH29:Instances!GH29),"median", MEDIAN(Instances!GH29:Instances!GH29),"min", MIN(Instances!GH29:Instances!GH29),"max", MAX(Instances!GH29:Instances!GH29),"diff", MAX(Instances!GH29:Instances!GH29)-MIN(Instances!GH29:Instances!GH29))</f>
        <v>0</v>
      </c>
      <c r="GI29" s="1" cm="1">
        <f t="array" ref="GI29">_xlfn.SWITCH($A$2,"average", AVERAGE(Instances!GI29:Instances!GI29),"median", MEDIAN(Instances!GI29:Instances!GI29),"min", MIN(Instances!GI29:Instances!GI29),"max", MAX(Instances!GI29:Instances!GI29),"diff", MAX(Instances!GI29:Instances!GI29)-MIN(Instances!GI29:Instances!GI29))</f>
        <v>0</v>
      </c>
      <c r="GJ29" s="1" cm="1">
        <f t="array" ref="GJ29">_xlfn.SWITCH($A$2,"average", AVERAGE(Instances!GJ29:Instances!GJ29),"median", MEDIAN(Instances!GJ29:Instances!GJ29),"min", MIN(Instances!GJ29:Instances!GJ29),"max", MAX(Instances!GJ29:Instances!GJ29),"diff", MAX(Instances!GJ29:Instances!GJ29)-MIN(Instances!GJ29:Instances!GJ29))</f>
        <v>0</v>
      </c>
      <c r="GK29" s="1" cm="1">
        <f t="array" ref="GK29">_xlfn.SWITCH($A$2,"average", AVERAGE(Instances!GK29:Instances!GK29),"median", MEDIAN(Instances!GK29:Instances!GK29),"min", MIN(Instances!GK29:Instances!GK29),"max", MAX(Instances!GK29:Instances!GK29),"diff", MAX(Instances!GK29:Instances!GK29)-MIN(Instances!GK29:Instances!GK29))</f>
        <v>0</v>
      </c>
      <c r="GL29" s="1" cm="1">
        <f t="array" ref="GL29">_xlfn.SWITCH($A$2,"average", AVERAGE(Instances!GL29:Instances!GL29),"median", MEDIAN(Instances!GL29:Instances!GL29),"min", MIN(Instances!GL29:Instances!GL29),"max", MAX(Instances!GL29:Instances!GL29),"diff", MAX(Instances!GL29:Instances!GL29)-MIN(Instances!GL29:Instances!GL29))</f>
        <v>0</v>
      </c>
      <c r="GM29" s="1" cm="1">
        <f t="array" ref="GM29">_xlfn.SWITCH($A$2,"average", AVERAGE(Instances!GM29:Instances!GM29),"median", MEDIAN(Instances!GM29:Instances!GM29),"min", MIN(Instances!GM29:Instances!GM29),"max", MAX(Instances!GM29:Instances!GM29),"diff", MAX(Instances!GM29:Instances!GM29)-MIN(Instances!GM29:Instances!GM29))</f>
        <v>0</v>
      </c>
      <c r="GN29" s="1"/>
      <c r="GO29" s="1" cm="1">
        <f t="array" ref="GO29">_xlfn.SWITCH($A$2,"average", AVERAGE(Instances!GO29:Instances!GO29),"median", MEDIAN(Instances!GO29:Instances!GO29),"min", MIN(Instances!GO29:Instances!GO29),"max", MAX(Instances!GO29:Instances!GO29),"diff", MAX(Instances!GO29:Instances!GO29)-MIN(Instances!GO29:Instances!GO29))</f>
        <v>0</v>
      </c>
      <c r="GP29" s="1" cm="1">
        <f t="array" ref="GP29">_xlfn.SWITCH($A$2,"average", AVERAGE(Instances!GP29:Instances!GP29),"median", MEDIAN(Instances!GP29:Instances!GP29),"min", MIN(Instances!GP29:Instances!GP29),"max", MAX(Instances!GP29:Instances!GP29),"diff", MAX(Instances!GP29:Instances!GP29)-MIN(Instances!GP29:Instances!GP29))</f>
        <v>0</v>
      </c>
      <c r="GQ29" s="1" cm="1">
        <f t="array" ref="GQ29">_xlfn.SWITCH($A$2,"average", AVERAGE(Instances!GQ29:Instances!GQ29),"median", MEDIAN(Instances!GQ29:Instances!GQ29),"min", MIN(Instances!GQ29:Instances!GQ29),"max", MAX(Instances!GQ29:Instances!GQ29),"diff", MAX(Instances!GQ29:Instances!GQ29)-MIN(Instances!GQ29:Instances!GQ29))</f>
        <v>0</v>
      </c>
      <c r="GR29" s="1" cm="1">
        <f t="array" ref="GR29">_xlfn.SWITCH($A$2,"average", AVERAGE(Instances!GR29:Instances!GR29),"median", MEDIAN(Instances!GR29:Instances!GR29),"min", MIN(Instances!GR29:Instances!GR29),"max", MAX(Instances!GR29:Instances!GR29),"diff", MAX(Instances!GR29:Instances!GR29)-MIN(Instances!GR29:Instances!GR29))</f>
        <v>0</v>
      </c>
      <c r="GS29" s="1" cm="1">
        <f t="array" ref="GS29">_xlfn.SWITCH($A$2,"average", AVERAGE(Instances!GS29:Instances!GS29),"median", MEDIAN(Instances!GS29:Instances!GS29),"min", MIN(Instances!GS29:Instances!GS29),"max", MAX(Instances!GS29:Instances!GS29),"diff", MAX(Instances!GS29:Instances!GS29)-MIN(Instances!GS29:Instances!GS29))</f>
        <v>0</v>
      </c>
      <c r="GT29" s="1" cm="1">
        <f t="array" ref="GT29">_xlfn.SWITCH($A$2,"average", AVERAGE(Instances!GT29:Instances!GT29),"median", MEDIAN(Instances!GT29:Instances!GT29),"min", MIN(Instances!GT29:Instances!GT29),"max", MAX(Instances!GT29:Instances!GT29),"diff", MAX(Instances!GT29:Instances!GT29)-MIN(Instances!GT29:Instances!GT29))</f>
        <v>0</v>
      </c>
      <c r="GU29" s="1" cm="1">
        <f t="array" ref="GU29">_xlfn.SWITCH($A$2,"average", AVERAGE(Instances!GU29:Instances!GU29),"median", MEDIAN(Instances!GU29:Instances!GU29),"min", MIN(Instances!GU29:Instances!GU29),"max", MAX(Instances!GU29:Instances!GU29),"diff", MAX(Instances!GU29:Instances!GU29)-MIN(Instances!GU29:Instances!GU29))</f>
        <v>0</v>
      </c>
      <c r="GV29" s="1" cm="1">
        <f t="array" ref="GV29">_xlfn.SWITCH($A$2,"average", AVERAGE(Instances!GV29:Instances!GV29),"median", MEDIAN(Instances!GV29:Instances!GV29),"min", MIN(Instances!GV29:Instances!GV29),"max", MAX(Instances!GV29:Instances!GV29),"diff", MAX(Instances!GV29:Instances!GV29)-MIN(Instances!GV29:Instances!GV29))</f>
        <v>0</v>
      </c>
      <c r="GW29" s="1" cm="1">
        <f t="array" ref="GW29">_xlfn.SWITCH($A$2,"average", AVERAGE(Instances!GW29:Instances!GW29),"median", MEDIAN(Instances!GW29:Instances!GW29),"min", MIN(Instances!GW29:Instances!GW29),"max", MAX(Instances!GW29:Instances!GW29),"diff", MAX(Instances!GW29:Instances!GW29)-MIN(Instances!GW29:Instances!GW29))</f>
        <v>0</v>
      </c>
      <c r="GX29" s="1" cm="1">
        <f t="array" ref="GX29">_xlfn.SWITCH($A$2,"average", AVERAGE(Instances!GX29:Instances!GX29),"median", MEDIAN(Instances!GX29:Instances!GX29),"min", MIN(Instances!GX29:Instances!GX29),"max", MAX(Instances!GX29:Instances!GX29),"diff", MAX(Instances!GX29:Instances!GX29)-MIN(Instances!GX29:Instances!GX29))</f>
        <v>0</v>
      </c>
      <c r="GY29" s="1" cm="1">
        <f t="array" ref="GY29">_xlfn.SWITCH($A$2,"average", AVERAGE(Instances!GY29:Instances!GY29),"median", MEDIAN(Instances!GY29:Instances!GY29),"min", MIN(Instances!GY29:Instances!GY29),"max", MAX(Instances!GY29:Instances!GY29),"diff", MAX(Instances!GY29:Instances!GY29)-MIN(Instances!GY29:Instances!GY29))</f>
        <v>0</v>
      </c>
      <c r="GZ29" s="1" cm="1">
        <f t="array" ref="GZ29">_xlfn.SWITCH($A$2,"average", AVERAGE(Instances!GZ29:Instances!GZ29),"median", MEDIAN(Instances!GZ29:Instances!GZ29),"min", MIN(Instances!GZ29:Instances!GZ29),"max", MAX(Instances!GZ29:Instances!GZ29),"diff", MAX(Instances!GZ29:Instances!GZ29)-MIN(Instances!GZ29:Instances!GZ29))</f>
        <v>0</v>
      </c>
      <c r="HA29" s="1" cm="1">
        <f t="array" ref="HA29">_xlfn.SWITCH($A$2,"average", AVERAGE(Instances!HA29:Instances!HA29),"median", MEDIAN(Instances!HA29:Instances!HA29),"min", MIN(Instances!HA29:Instances!HA29),"max", MAX(Instances!HA29:Instances!HA29),"diff", MAX(Instances!HA29:Instances!HA29)-MIN(Instances!HA29:Instances!HA29))</f>
        <v>0</v>
      </c>
      <c r="HB29" s="1" cm="1">
        <f t="array" ref="HB29">_xlfn.SWITCH($A$2,"average", AVERAGE(Instances!HB29:Instances!HB29),"median", MEDIAN(Instances!HB29:Instances!HB29),"min", MIN(Instances!HB29:Instances!HB29),"max", MAX(Instances!HB29:Instances!HB29),"diff", MAX(Instances!HB29:Instances!HB29)-MIN(Instances!HB29:Instances!HB29))</f>
        <v>0</v>
      </c>
      <c r="HC29" s="1" cm="1">
        <f t="array" ref="HC29">_xlfn.SWITCH($A$2,"average", AVERAGE(Instances!HC29:Instances!HC29),"median", MEDIAN(Instances!HC29:Instances!HC29),"min", MIN(Instances!HC29:Instances!HC29),"max", MAX(Instances!HC29:Instances!HC29),"diff", MAX(Instances!HC29:Instances!HC29)-MIN(Instances!HC29:Instances!HC29))</f>
        <v>0</v>
      </c>
      <c r="HD29" s="1" cm="1">
        <f t="array" ref="HD29">_xlfn.SWITCH($A$2,"average", AVERAGE(Instances!HD29:Instances!HD29),"median", MEDIAN(Instances!HD29:Instances!HD29),"min", MIN(Instances!HD29:Instances!HD29),"max", MAX(Instances!HD29:Instances!HD29),"diff", MAX(Instances!HD29:Instances!HD29)-MIN(Instances!HD29:Instances!HD29))</f>
        <v>0</v>
      </c>
      <c r="HE29" s="1" cm="1">
        <f t="array" ref="HE29">_xlfn.SWITCH($A$2,"average", AVERAGE(Instances!HE29:Instances!HE29),"median", MEDIAN(Instances!HE29:Instances!HE29),"min", MIN(Instances!HE29:Instances!HE29),"max", MAX(Instances!HE29:Instances!HE29),"diff", MAX(Instances!HE29:Instances!HE29)-MIN(Instances!HE29:Instances!HE29))</f>
        <v>0</v>
      </c>
      <c r="HF29" s="1"/>
      <c r="HG29" s="1" cm="1">
        <f t="array" ref="HG29">_xlfn.SWITCH($A$2,"average", AVERAGE(Instances!HG29:Instances!HG29),"median", MEDIAN(Instances!HG29:Instances!HG29),"min", MIN(Instances!HG29:Instances!HG29),"max", MAX(Instances!HG29:Instances!HG29),"diff", MAX(Instances!HG29:Instances!HG29)-MIN(Instances!HG29:Instances!HG29))</f>
        <v>0</v>
      </c>
      <c r="HH29" s="1" cm="1">
        <f t="array" ref="HH29">_xlfn.SWITCH($A$2,"average", AVERAGE(Instances!HH29:Instances!HH29),"median", MEDIAN(Instances!HH29:Instances!HH29),"min", MIN(Instances!HH29:Instances!HH29),"max", MAX(Instances!HH29:Instances!HH29),"diff", MAX(Instances!HH29:Instances!HH29)-MIN(Instances!HH29:Instances!HH29))</f>
        <v>0</v>
      </c>
      <c r="HI29" s="1" cm="1">
        <f t="array" ref="HI29">_xlfn.SWITCH($A$2,"average", AVERAGE(Instances!HI29:Instances!HI29),"median", MEDIAN(Instances!HI29:Instances!HI29),"min", MIN(Instances!HI29:Instances!HI29),"max", MAX(Instances!HI29:Instances!HI29),"diff", MAX(Instances!HI29:Instances!HI29)-MIN(Instances!HI29:Instances!HI29))</f>
        <v>0</v>
      </c>
      <c r="HJ29" s="1" cm="1">
        <f t="array" ref="HJ29">_xlfn.SWITCH($A$2,"average", AVERAGE(Instances!HJ29:Instances!HJ29),"median", MEDIAN(Instances!HJ29:Instances!HJ29),"min", MIN(Instances!HJ29:Instances!HJ29),"max", MAX(Instances!HJ29:Instances!HJ29),"diff", MAX(Instances!HJ29:Instances!HJ29)-MIN(Instances!HJ29:Instances!HJ29))</f>
        <v>0</v>
      </c>
      <c r="HK29" s="1" cm="1">
        <f t="array" ref="HK29">_xlfn.SWITCH($A$2,"average", AVERAGE(Instances!HK29:Instances!HK29),"median", MEDIAN(Instances!HK29:Instances!HK29),"min", MIN(Instances!HK29:Instances!HK29),"max", MAX(Instances!HK29:Instances!HK29),"diff", MAX(Instances!HK29:Instances!HK29)-MIN(Instances!HK29:Instances!HK29))</f>
        <v>0</v>
      </c>
      <c r="HL29" s="1" cm="1">
        <f t="array" ref="HL29">_xlfn.SWITCH($A$2,"average", AVERAGE(Instances!HL29:Instances!HL29),"median", MEDIAN(Instances!HL29:Instances!HL29),"min", MIN(Instances!HL29:Instances!HL29),"max", MAX(Instances!HL29:Instances!HL29),"diff", MAX(Instances!HL29:Instances!HL29)-MIN(Instances!HL29:Instances!HL29))</f>
        <v>0</v>
      </c>
      <c r="HM29" s="1" cm="1">
        <f t="array" ref="HM29">_xlfn.SWITCH($A$2,"average", AVERAGE(Instances!HM29:Instances!HM29),"median", MEDIAN(Instances!HM29:Instances!HM29),"min", MIN(Instances!HM29:Instances!HM29),"max", MAX(Instances!HM29:Instances!HM29),"diff", MAX(Instances!HM29:Instances!HM29)-MIN(Instances!HM29:Instances!HM29))</f>
        <v>0</v>
      </c>
      <c r="HN29" s="1" cm="1">
        <f t="array" ref="HN29">_xlfn.SWITCH($A$2,"average", AVERAGE(Instances!HN29:Instances!HN29),"median", MEDIAN(Instances!HN29:Instances!HN29),"min", MIN(Instances!HN29:Instances!HN29),"max", MAX(Instances!HN29:Instances!HN29),"diff", MAX(Instances!HN29:Instances!HN29)-MIN(Instances!HN29:Instances!HN29))</f>
        <v>0</v>
      </c>
      <c r="HO29" s="1" cm="1">
        <f t="array" ref="HO29">_xlfn.SWITCH($A$2,"average", AVERAGE(Instances!HO29:Instances!HO29),"median", MEDIAN(Instances!HO29:Instances!HO29),"min", MIN(Instances!HO29:Instances!HO29),"max", MAX(Instances!HO29:Instances!HO29),"diff", MAX(Instances!HO29:Instances!HO29)-MIN(Instances!HO29:Instances!HO29))</f>
        <v>0</v>
      </c>
      <c r="HP29" s="1" cm="1">
        <f t="array" ref="HP29">_xlfn.SWITCH($A$2,"average", AVERAGE(Instances!HP29:Instances!HP29),"median", MEDIAN(Instances!HP29:Instances!HP29),"min", MIN(Instances!HP29:Instances!HP29),"max", MAX(Instances!HP29:Instances!HP29),"diff", MAX(Instances!HP29:Instances!HP29)-MIN(Instances!HP29:Instances!HP29))</f>
        <v>0</v>
      </c>
      <c r="HQ29" s="1" cm="1">
        <f t="array" ref="HQ29">_xlfn.SWITCH($A$2,"average", AVERAGE(Instances!HQ29:Instances!HQ29),"median", MEDIAN(Instances!HQ29:Instances!HQ29),"min", MIN(Instances!HQ29:Instances!HQ29),"max", MAX(Instances!HQ29:Instances!HQ29),"diff", MAX(Instances!HQ29:Instances!HQ29)-MIN(Instances!HQ29:Instances!HQ29))</f>
        <v>0</v>
      </c>
      <c r="HR29" s="1" cm="1">
        <f t="array" ref="HR29">_xlfn.SWITCH($A$2,"average", AVERAGE(Instances!HR29:Instances!HR29),"median", MEDIAN(Instances!HR29:Instances!HR29),"min", MIN(Instances!HR29:Instances!HR29),"max", MAX(Instances!HR29:Instances!HR29),"diff", MAX(Instances!HR29:Instances!HR29)-MIN(Instances!HR29:Instances!HR29))</f>
        <v>0</v>
      </c>
      <c r="HS29" s="1" cm="1">
        <f t="array" ref="HS29">_xlfn.SWITCH($A$2,"average", AVERAGE(Instances!HS29:Instances!HS29),"median", MEDIAN(Instances!HS29:Instances!HS29),"min", MIN(Instances!HS29:Instances!HS29),"max", MAX(Instances!HS29:Instances!HS29),"diff", MAX(Instances!HS29:Instances!HS29)-MIN(Instances!HS29:Instances!HS29))</f>
        <v>0</v>
      </c>
      <c r="HT29" s="1" cm="1">
        <f t="array" ref="HT29">_xlfn.SWITCH($A$2,"average", AVERAGE(Instances!HT29:Instances!HT29),"median", MEDIAN(Instances!HT29:Instances!HT29),"min", MIN(Instances!HT29:Instances!HT29),"max", MAX(Instances!HT29:Instances!HT29),"diff", MAX(Instances!HT29:Instances!HT29)-MIN(Instances!HT29:Instances!HT29))</f>
        <v>0</v>
      </c>
      <c r="HU29" s="1" cm="1">
        <f t="array" ref="HU29">_xlfn.SWITCH($A$2,"average", AVERAGE(Instances!HU29:Instances!HU29),"median", MEDIAN(Instances!HU29:Instances!HU29),"min", MIN(Instances!HU29:Instances!HU29),"max", MAX(Instances!HU29:Instances!HU29),"diff", MAX(Instances!HU29:Instances!HU29)-MIN(Instances!HU29:Instances!HU29))</f>
        <v>0</v>
      </c>
      <c r="HV29" s="1" cm="1">
        <f t="array" ref="HV29">_xlfn.SWITCH($A$2,"average", AVERAGE(Instances!HV29:Instances!HV29),"median", MEDIAN(Instances!HV29:Instances!HV29),"min", MIN(Instances!HV29:Instances!HV29),"max", MAX(Instances!HV29:Instances!HV29),"diff", MAX(Instances!HV29:Instances!HV29)-MIN(Instances!HV29:Instances!HV29))</f>
        <v>0</v>
      </c>
      <c r="HW29" s="1" cm="1">
        <f t="array" ref="HW29">_xlfn.SWITCH($A$2,"average", AVERAGE(Instances!HW29:Instances!HW29),"median", MEDIAN(Instances!HW29:Instances!HW29),"min", MIN(Instances!HW29:Instances!HW29),"max", MAX(Instances!HW29:Instances!HW29),"diff", MAX(Instances!HW29:Instances!HW29)-MIN(Instances!HW29:Instances!HW29))</f>
        <v>0</v>
      </c>
      <c r="HX29" s="1"/>
      <c r="HY29" s="1" cm="1">
        <f t="array" ref="HY29">_xlfn.SWITCH($A$2,"average", AVERAGE(Instances!HY29:Instances!HY29),"median", MEDIAN(Instances!HY29:Instances!HY29),"min", MIN(Instances!HY29:Instances!HY29),"max", MAX(Instances!HY29:Instances!HY29),"diff", MAX(Instances!HY29:Instances!HY29)-MIN(Instances!HY29:Instances!HY29))</f>
        <v>0</v>
      </c>
      <c r="HZ29" s="1" cm="1">
        <f t="array" ref="HZ29">_xlfn.SWITCH($A$2,"average", AVERAGE(Instances!HZ29:Instances!HZ29),"median", MEDIAN(Instances!HZ29:Instances!HZ29),"min", MIN(Instances!HZ29:Instances!HZ29),"max", MAX(Instances!HZ29:Instances!HZ29),"diff", MAX(Instances!HZ29:Instances!HZ29)-MIN(Instances!HZ29:Instances!HZ29))</f>
        <v>0</v>
      </c>
      <c r="IA29" s="1" cm="1">
        <f t="array" ref="IA29">_xlfn.SWITCH($A$2,"average", AVERAGE(Instances!IA29:Instances!IA29),"median", MEDIAN(Instances!IA29:Instances!IA29),"min", MIN(Instances!IA29:Instances!IA29),"max", MAX(Instances!IA29:Instances!IA29),"diff", MAX(Instances!IA29:Instances!IA29)-MIN(Instances!IA29:Instances!IA29))</f>
        <v>0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 cm="1">
        <f t="array" ref="JL29">_xlfn.SWITCH($A$2,"average", AVERAGE(Instances!JL29:Instances!JL29),"median", MEDIAN(Instances!JL29:Instances!JL29),"min", MIN(Instances!JL29:Instances!JL29),"max", MAX(Instances!JL29:Instances!JL29),"diff", MAX(Instances!JL29:Instances!JL29)-MIN(Instances!JL29:Instances!JL29))</f>
        <v>0</v>
      </c>
      <c r="JM29" s="1" cm="1">
        <f t="array" ref="JM29">_xlfn.SWITCH($A$2,"average", AVERAGE(Instances!JM29:Instances!JM29),"median", MEDIAN(Instances!JM29:Instances!JM29),"min", MIN(Instances!JM29:Instances!JM29),"max", MAX(Instances!JM29:Instances!JM29),"diff", MAX(Instances!JM29:Instances!JM29)-MIN(Instances!JM29:Instances!JM29))</f>
        <v>0</v>
      </c>
      <c r="JN29" s="1" cm="1">
        <f t="array" ref="JN29">_xlfn.SWITCH($A$2,"average", AVERAGE(Instances!JN29:Instances!JN29),"median", MEDIAN(Instances!JN29:Instances!JN29),"min", MIN(Instances!JN29:Instances!JN29),"max", MAX(Instances!JN29:Instances!JN29),"diff", MAX(Instances!JN29:Instances!JN29)-MIN(Instances!JN29:Instances!JN29))</f>
        <v>0</v>
      </c>
      <c r="JO29" s="1" cm="1">
        <f t="array" ref="JO29">_xlfn.SWITCH($A$2,"average", AVERAGE(Instances!JO29:Instances!JO29),"median", MEDIAN(Instances!JO29:Instances!JO29),"min", MIN(Instances!JO29:Instances!JO29),"max", MAX(Instances!JO29:Instances!JO29),"diff", MAX(Instances!JO29:Instances!JO29)-MIN(Instances!JO29:Instances!JO29))</f>
        <v>0</v>
      </c>
      <c r="JP29" s="1" cm="1">
        <f t="array" ref="JP29">_xlfn.SWITCH($A$2,"average", AVERAGE(Instances!JP29:Instances!JP29),"median", MEDIAN(Instances!JP29:Instances!JP29),"min", MIN(Instances!JP29:Instances!JP29),"max", MAX(Instances!JP29:Instances!JP29),"diff", MAX(Instances!JP29:Instances!JP29)-MIN(Instances!JP29:Instances!JP29))</f>
        <v>0</v>
      </c>
      <c r="JQ29" s="1" cm="1">
        <f t="array" ref="JQ29">_xlfn.SWITCH($A$2,"average", AVERAGE(Instances!JQ29:Instances!JQ29),"median", MEDIAN(Instances!JQ29:Instances!JQ29),"min", MIN(Instances!JQ29:Instances!JQ29),"max", MAX(Instances!JQ29:Instances!JQ29),"diff", MAX(Instances!JQ29:Instances!JQ29)-MIN(Instances!JQ29:Instances!JQ29))</f>
        <v>0</v>
      </c>
      <c r="JR29" s="1" cm="1">
        <f t="array" ref="JR29">_xlfn.SWITCH($A$2,"average", AVERAGE(Instances!JR29:Instances!JR29),"median", MEDIAN(Instances!JR29:Instances!JR29),"min", MIN(Instances!JR29:Instances!JR29),"max", MAX(Instances!JR29:Instances!JR29),"diff", MAX(Instances!JR29:Instances!JR29)-MIN(Instances!JR29:Instances!JR29))</f>
        <v>0</v>
      </c>
      <c r="JS29" s="1" cm="1">
        <f t="array" ref="JS29">_xlfn.SWITCH($A$2,"average", AVERAGE(Instances!JS29:Instances!JS29),"median", MEDIAN(Instances!JS29:Instances!JS29),"min", MIN(Instances!JS29:Instances!JS29),"max", MAX(Instances!JS29:Instances!JS29),"diff", MAX(Instances!JS29:Instances!JS29)-MIN(Instances!JS29:Instances!JS29))</f>
        <v>0</v>
      </c>
      <c r="JT29" s="1" cm="1">
        <f t="array" ref="JT29">_xlfn.SWITCH($A$2,"average", AVERAGE(Instances!JT29:Instances!JT29),"median", MEDIAN(Instances!JT29:Instances!JT29),"min", MIN(Instances!JT29:Instances!JT29),"max", MAX(Instances!JT29:Instances!JT29),"diff", MAX(Instances!JT29:Instances!JT29)-MIN(Instances!JT29:Instances!JT29))</f>
        <v>0</v>
      </c>
      <c r="JU29" s="1" cm="1">
        <f t="array" ref="JU29">_xlfn.SWITCH($A$2,"average", AVERAGE(Instances!JU29:Instances!JU29),"median", MEDIAN(Instances!JU29:Instances!JU29),"min", MIN(Instances!JU29:Instances!JU29),"max", MAX(Instances!JU29:Instances!JU29),"diff", MAX(Instances!JU29:Instances!JU29)-MIN(Instances!JU29:Instances!JU29))</f>
        <v>0</v>
      </c>
      <c r="JV29" s="1" cm="1">
        <f t="array" ref="JV29">_xlfn.SWITCH($A$2,"average", AVERAGE(Instances!JV29:Instances!JV29),"median", MEDIAN(Instances!JV29:Instances!JV29),"min", MIN(Instances!JV29:Instances!JV29),"max", MAX(Instances!JV29:Instances!JV29),"diff", MAX(Instances!JV29:Instances!JV29)-MIN(Instances!JV29:Instances!JV29))</f>
        <v>0</v>
      </c>
      <c r="JW29" s="1" cm="1">
        <f t="array" ref="JW29">_xlfn.SWITCH($A$2,"average", AVERAGE(Instances!JW29:Instances!JW29),"median", MEDIAN(Instances!JW29:Instances!JW29),"min", MIN(Instances!JW29:Instances!JW29),"max", MAX(Instances!JW29:Instances!JW29),"diff", MAX(Instances!JW29:Instances!JW29)-MIN(Instances!JW29:Instances!JW29))</f>
        <v>0</v>
      </c>
      <c r="JX29" s="1" cm="1">
        <f t="array" ref="JX29">_xlfn.SWITCH($A$2,"average", AVERAGE(Instances!JX29:Instances!JX29),"median", MEDIAN(Instances!JX29:Instances!JX29),"min", MIN(Instances!JX29:Instances!JX29),"max", MAX(Instances!JX29:Instances!JX29),"diff", MAX(Instances!JX29:Instances!JX29)-MIN(Instances!JX29:Instances!JX29))</f>
        <v>0</v>
      </c>
      <c r="JY29" s="1" cm="1">
        <f t="array" ref="JY29">_xlfn.SWITCH($A$2,"average", AVERAGE(Instances!JY29:Instances!JY29),"median", MEDIAN(Instances!JY29:Instances!JY29),"min", MIN(Instances!JY29:Instances!JY29),"max", MAX(Instances!JY29:Instances!JY29),"diff", MAX(Instances!JY29:Instances!JY29)-MIN(Instances!JY29:Instances!JY29))</f>
        <v>0</v>
      </c>
      <c r="JZ29" s="1"/>
      <c r="KA29" s="1" cm="1">
        <f t="array" ref="KA29">_xlfn.SWITCH($A$2,"average", AVERAGE(Instances!KA29:Instances!KA29),"median", MEDIAN(Instances!KA29:Instances!KA29),"min", MIN(Instances!KA29:Instances!KA29),"max", MAX(Instances!KA29:Instances!KA29),"diff", MAX(Instances!KA29:Instances!KA29)-MIN(Instances!KA29:Instances!KA29))</f>
        <v>0</v>
      </c>
      <c r="KB29" s="1" cm="1">
        <f t="array" ref="KB29">_xlfn.SWITCH($A$2,"average", AVERAGE(Instances!KB29:Instances!KB29),"median", MEDIAN(Instances!KB29:Instances!KB29),"min", MIN(Instances!KB29:Instances!KB29),"max", MAX(Instances!KB29:Instances!KB29),"diff", MAX(Instances!KB29:Instances!KB29)-MIN(Instances!KB29:Instances!KB29))</f>
        <v>0</v>
      </c>
      <c r="KC29" s="1" cm="1">
        <f t="array" ref="KC29">_xlfn.SWITCH($A$2,"average", AVERAGE(Instances!KC29:Instances!KC29),"median", MEDIAN(Instances!KC29:Instances!KC29),"min", MIN(Instances!KC29:Instances!KC29),"max", MAX(Instances!KC29:Instances!KC29),"diff", MAX(Instances!KC29:Instances!KC29)-MIN(Instances!KC29:Instances!KC29))</f>
        <v>0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 cm="1">
        <f t="array" ref="L30">_xlfn.SWITCH($A$2,"average", AVERAGE(Instances!L30:Instances!L30),"median", MEDIAN(Instances!L30:Instances!L30),"min", MIN(Instances!L30:Instances!L30),"max", MAX(Instances!L30:Instances!L30),"diff", MAX(Instances!L30:Instances!L30)-MIN(Instances!L30:Instances!L30))</f>
        <v>0</v>
      </c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 cm="1">
        <f t="array" ref="O30">_xlfn.SWITCH($A$2,"average", AVERAGE(Instances!O30:Instances!O30),"median", MEDIAN(Instances!O30:Instances!O30),"min", MIN(Instances!O30:Instances!O30),"max", MAX(Instances!O30:Instances!O30),"diff", MAX(Instances!O30:Instances!O30)-MIN(Instances!O30:Instances!O30))</f>
        <v>0</v>
      </c>
      <c r="P30" s="1"/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 cm="1">
        <f t="array" ref="S30">_xlfn.SWITCH($A$2,"average", AVERAGE(Instances!S30:Instances!S30),"median", MEDIAN(Instances!S30:Instances!S30),"min", MIN(Instances!S30:Instances!S30),"max", MAX(Instances!S30:Instances!S30),"diff", MAX(Instances!S30:Instances!S30)-MIN(Instances!S30:Instances!S30))</f>
        <v>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 cm="1">
        <f t="array" ref="AL30">_xlfn.SWITCH($A$2,"average", AVERAGE(Instances!AL30:Instances!AL30),"median", MEDIAN(Instances!AL30:Instances!AL30),"min", MIN(Instances!AL30:Instances!AL30),"max", MAX(Instances!AL30:Instances!AL30),"diff", MAX(Instances!AL30:Instances!AL30)-MIN(Instances!AL30:Instances!AL30))</f>
        <v>0</v>
      </c>
      <c r="AM30" s="1" cm="1">
        <f t="array" ref="AM30">_xlfn.SWITCH($A$2,"average", AVERAGE(Instances!AM30:Instances!AM30),"median", MEDIAN(Instances!AM30:Instances!AM30),"min", MIN(Instances!AM30:Instances!AM30),"max", MAX(Instances!AM30:Instances!AM30),"diff", MAX(Instances!AM30:Instances!AM30)-MIN(Instances!AM30:Instances!AM30))</f>
        <v>0</v>
      </c>
      <c r="AN30" s="1" cm="1">
        <f t="array" ref="AN30">_xlfn.SWITCH($A$2,"average", AVERAGE(Instances!AN30:Instances!AN30),"median", MEDIAN(Instances!AN30:Instances!AN30),"min", MIN(Instances!AN30:Instances!AN30),"max", MAX(Instances!AN30:Instances!AN30),"diff", MAX(Instances!AN30:Instances!AN30)-MIN(Instances!AN30:Instances!AN30))</f>
        <v>0</v>
      </c>
      <c r="AO30" s="1" cm="1">
        <f t="array" ref="AO30">_xlfn.SWITCH($A$2,"average", AVERAGE(Instances!AO30:Instances!AO30),"median", MEDIAN(Instances!AO30:Instances!AO30),"min", MIN(Instances!AO30:Instances!AO30),"max", MAX(Instances!AO30:Instances!AO30),"diff", MAX(Instances!AO30:Instances!AO30)-MIN(Instances!AO30:Instances!AO30))</f>
        <v>0</v>
      </c>
      <c r="AP30" s="1" cm="1">
        <f t="array" ref="AP30">_xlfn.SWITCH($A$2,"average", AVERAGE(Instances!AP30:Instances!AP30),"median", MEDIAN(Instances!AP30:Instances!AP30),"min", MIN(Instances!AP30:Instances!AP30),"max", MAX(Instances!AP30:Instances!AP30),"diff", MAX(Instances!AP30:Instances!AP30)-MIN(Instances!AP30:Instances!AP30))</f>
        <v>0</v>
      </c>
      <c r="AQ30" s="1" cm="1">
        <f t="array" ref="AQ30">_xlfn.SWITCH($A$2,"average", AVERAGE(Instances!AQ30:Instances!AQ30),"median", MEDIAN(Instances!AQ30:Instances!AQ30),"min", MIN(Instances!AQ30:Instances!AQ30),"max", MAX(Instances!AQ30:Instances!AQ30),"diff", MAX(Instances!AQ30:Instances!AQ30)-MIN(Instances!AQ30:Instances!AQ30))</f>
        <v>0</v>
      </c>
      <c r="AR30" s="1" cm="1">
        <f t="array" ref="AR30">_xlfn.SWITCH($A$2,"average", AVERAGE(Instances!AR30:Instances!AR30),"median", MEDIAN(Instances!AR30:Instances!AR30),"min", MIN(Instances!AR30:Instances!AR30),"max", MAX(Instances!AR30:Instances!AR30),"diff", MAX(Instances!AR30:Instances!AR30)-MIN(Instances!AR30:Instances!AR30))</f>
        <v>0</v>
      </c>
      <c r="AS30" s="1" cm="1">
        <f t="array" ref="AS30">_xlfn.SWITCH($A$2,"average", AVERAGE(Instances!AS30:Instances!AS30),"median", MEDIAN(Instances!AS30:Instances!AS30),"min", MIN(Instances!AS30:Instances!AS30),"max", MAX(Instances!AS30:Instances!AS30),"diff", MAX(Instances!AS30:Instances!AS30)-MIN(Instances!AS30:Instances!AS30))</f>
        <v>0</v>
      </c>
      <c r="AT30" s="1" cm="1">
        <f t="array" ref="AT30">_xlfn.SWITCH($A$2,"average", AVERAGE(Instances!AT30:Instances!AT30),"median", MEDIAN(Instances!AT30:Instances!AT30),"min", MIN(Instances!AT30:Instances!AT30),"max", MAX(Instances!AT30:Instances!AT30),"diff", MAX(Instances!AT30:Instances!AT30)-MIN(Instances!AT30:Instances!AT30))</f>
        <v>0</v>
      </c>
      <c r="AU30" s="1" cm="1">
        <f t="array" ref="AU30">_xlfn.SWITCH($A$2,"average", AVERAGE(Instances!AU30:Instances!AU30),"median", MEDIAN(Instances!AU30:Instances!AU30),"min", MIN(Instances!AU30:Instances!AU30),"max", MAX(Instances!AU30:Instances!AU30),"diff", MAX(Instances!AU30:Instances!AU30)-MIN(Instances!AU30:Instances!AU30))</f>
        <v>0</v>
      </c>
      <c r="AV30" s="1" cm="1">
        <f t="array" ref="AV30">_xlfn.SWITCH($A$2,"average", AVERAGE(Instances!AV30:Instances!AV30),"median", MEDIAN(Instances!AV30:Instances!AV30),"min", MIN(Instances!AV30:Instances!AV30),"max", MAX(Instances!AV30:Instances!AV30),"diff", MAX(Instances!AV30:Instances!AV30)-MIN(Instances!AV30:Instances!AV30))</f>
        <v>0</v>
      </c>
      <c r="AW30" s="1" cm="1">
        <f t="array" ref="AW30">_xlfn.SWITCH($A$2,"average", AVERAGE(Instances!AW30:Instances!AW30),"median", MEDIAN(Instances!AW30:Instances!AW30),"min", MIN(Instances!AW30:Instances!AW30),"max", MAX(Instances!AW30:Instances!AW30),"diff", MAX(Instances!AW30:Instances!AW30)-MIN(Instances!AW30:Instances!AW30))</f>
        <v>0</v>
      </c>
      <c r="AX30" s="1" cm="1">
        <f t="array" ref="AX30">_xlfn.SWITCH($A$2,"average", AVERAGE(Instances!AX30:Instances!AX30),"median", MEDIAN(Instances!AX30:Instances!AX30),"min", MIN(Instances!AX30:Instances!AX30),"max", MAX(Instances!AX30:Instances!AX30),"diff", MAX(Instances!AX30:Instances!AX30)-MIN(Instances!AX30:Instances!AX30))</f>
        <v>0</v>
      </c>
      <c r="AY30" s="1" cm="1">
        <f t="array" ref="AY30">_xlfn.SWITCH($A$2,"average", AVERAGE(Instances!AY30:Instances!AY30),"median", MEDIAN(Instances!AY30:Instances!AY30),"min", MIN(Instances!AY30:Instances!AY30),"max", MAX(Instances!AY30:Instances!AY30),"diff", MAX(Instances!AY30:Instances!AY30)-MIN(Instances!AY30:Instances!AY30))</f>
        <v>0</v>
      </c>
      <c r="AZ30" s="1"/>
      <c r="BA30" s="1" cm="1">
        <f t="array" ref="BA30">_xlfn.SWITCH($A$2,"average", AVERAGE(Instances!BA30:Instances!BA30),"median", MEDIAN(Instances!BA30:Instances!BA30),"min", MIN(Instances!BA30:Instances!BA30),"max", MAX(Instances!BA30:Instances!BA30),"diff", MAX(Instances!BA30:Instances!BA30)-MIN(Instances!BA30:Instances!BA30))</f>
        <v>0</v>
      </c>
      <c r="BB30" s="1" cm="1">
        <f t="array" ref="BB30">_xlfn.SWITCH($A$2,"average", AVERAGE(Instances!BB30:Instances!BB30),"median", MEDIAN(Instances!BB30:Instances!BB30),"min", MIN(Instances!BB30:Instances!BB30),"max", MAX(Instances!BB30:Instances!BB30),"diff", MAX(Instances!BB30:Instances!BB30)-MIN(Instances!BB30:Instances!BB30))</f>
        <v>0</v>
      </c>
      <c r="BC30" s="1" cm="1">
        <f t="array" ref="BC30">_xlfn.SWITCH($A$2,"average", AVERAGE(Instances!BC30:Instances!BC30),"median", MEDIAN(Instances!BC30:Instances!BC30),"min", MIN(Instances!BC30:Instances!BC30),"max", MAX(Instances!BC30:Instances!BC30),"diff", MAX(Instances!BC30:Instances!BC30)-MIN(Instances!BC30:Instances!BC30))</f>
        <v>0</v>
      </c>
      <c r="BD30" s="1" cm="1">
        <f t="array" ref="BD30">_xlfn.SWITCH($A$2,"average", AVERAGE(Instances!BD30:Instances!BD30),"median", MEDIAN(Instances!BD30:Instances!BD30),"min", MIN(Instances!BD30:Instances!BD30),"max", MAX(Instances!BD30:Instances!BD30),"diff", MAX(Instances!BD30:Instances!BD30)-MIN(Instances!BD30:Instances!BD30))</f>
        <v>0</v>
      </c>
      <c r="BE30" s="1" cm="1">
        <f t="array" ref="BE30">_xlfn.SWITCH($A$2,"average", AVERAGE(Instances!BE30:Instances!BE30),"median", MEDIAN(Instances!BE30:Instances!BE30),"min", MIN(Instances!BE30:Instances!BE30),"max", MAX(Instances!BE30:Instances!BE30),"diff", MAX(Instances!BE30:Instances!BE30)-MIN(Instances!BE30:Instances!BE30))</f>
        <v>0</v>
      </c>
      <c r="BF30" s="1" cm="1">
        <f t="array" ref="BF30">_xlfn.SWITCH($A$2,"average", AVERAGE(Instances!BF30:Instances!BF30),"median", MEDIAN(Instances!BF30:Instances!BF30),"min", MIN(Instances!BF30:Instances!BF30),"max", MAX(Instances!BF30:Instances!BF30),"diff", MAX(Instances!BF30:Instances!BF30)-MIN(Instances!BF30:Instances!BF30))</f>
        <v>0</v>
      </c>
      <c r="BG30" s="1" cm="1">
        <f t="array" ref="BG30">_xlfn.SWITCH($A$2,"average", AVERAGE(Instances!BG30:Instances!BG30),"median", MEDIAN(Instances!BG30:Instances!BG30),"min", MIN(Instances!BG30:Instances!BG30),"max", MAX(Instances!BG30:Instances!BG30),"diff", MAX(Instances!BG30:Instances!BG30)-MIN(Instances!BG30:Instances!BG30))</f>
        <v>0</v>
      </c>
      <c r="BH30" s="1" cm="1">
        <f t="array" ref="BH30">_xlfn.SWITCH($A$2,"average", AVERAGE(Instances!BH30:Instances!BH30),"median", MEDIAN(Instances!BH30:Instances!BH30),"min", MIN(Instances!BH30:Instances!BH30),"max", MAX(Instances!BH30:Instances!BH30),"diff", MAX(Instances!BH30:Instances!BH30)-MIN(Instances!BH30:Instances!BH30))</f>
        <v>0</v>
      </c>
      <c r="BI30" s="1" cm="1">
        <f t="array" ref="BI30">_xlfn.SWITCH($A$2,"average", AVERAGE(Instances!BI30:Instances!BI30),"median", MEDIAN(Instances!BI30:Instances!BI30),"min", MIN(Instances!BI30:Instances!BI30),"max", MAX(Instances!BI30:Instances!BI30),"diff", MAX(Instances!BI30:Instances!BI30)-MIN(Instances!BI30:Instances!BI30))</f>
        <v>0</v>
      </c>
      <c r="BJ30" s="1" cm="1">
        <f t="array" ref="BJ30">_xlfn.SWITCH($A$2,"average", AVERAGE(Instances!BJ30:Instances!BJ30),"median", MEDIAN(Instances!BJ30:Instances!BJ30),"min", MIN(Instances!BJ30:Instances!BJ30),"max", MAX(Instances!BJ30:Instances!BJ30),"diff", MAX(Instances!BJ30:Instances!BJ30)-MIN(Instances!BJ30:Instances!BJ30))</f>
        <v>0</v>
      </c>
      <c r="BK30" s="1" cm="1">
        <f t="array" ref="BK30">_xlfn.SWITCH($A$2,"average", AVERAGE(Instances!BK30:Instances!BK30),"median", MEDIAN(Instances!BK30:Instances!BK30),"min", MIN(Instances!BK30:Instances!BK30),"max", MAX(Instances!BK30:Instances!BK30),"diff", MAX(Instances!BK30:Instances!BK30)-MIN(Instances!BK30:Instances!BK30))</f>
        <v>0</v>
      </c>
      <c r="BL30" s="1" cm="1">
        <f t="array" ref="BL30">_xlfn.SWITCH($A$2,"average", AVERAGE(Instances!BL30:Instances!BL30),"median", MEDIAN(Instances!BL30:Instances!BL30),"min", MIN(Instances!BL30:Instances!BL30),"max", MAX(Instances!BL30:Instances!BL30),"diff", MAX(Instances!BL30:Instances!BL30)-MIN(Instances!BL30:Instances!BL30))</f>
        <v>0</v>
      </c>
      <c r="BM30" s="1" cm="1">
        <f t="array" ref="BM30">_xlfn.SWITCH($A$2,"average", AVERAGE(Instances!BM30:Instances!BM30),"median", MEDIAN(Instances!BM30:Instances!BM30),"min", MIN(Instances!BM30:Instances!BM30),"max", MAX(Instances!BM30:Instances!BM30),"diff", MAX(Instances!BM30:Instances!BM30)-MIN(Instances!BM30:Instances!BM30))</f>
        <v>0</v>
      </c>
      <c r="BN30" s="1" cm="1">
        <f t="array" ref="BN30">_xlfn.SWITCH($A$2,"average", AVERAGE(Instances!BN30:Instances!BN30),"median", MEDIAN(Instances!BN30:Instances!BN30),"min", MIN(Instances!BN30:Instances!BN30),"max", MAX(Instances!BN30:Instances!BN30),"diff", MAX(Instances!BN30:Instances!BN30)-MIN(Instances!BN30:Instances!BN30))</f>
        <v>0</v>
      </c>
      <c r="BO30" s="1" cm="1">
        <f t="array" ref="BO30">_xlfn.SWITCH($A$2,"average", AVERAGE(Instances!BO30:Instances!BO30),"median", MEDIAN(Instances!BO30:Instances!BO30),"min", MIN(Instances!BO30:Instances!BO30),"max", MAX(Instances!BO30:Instances!BO30),"diff", MAX(Instances!BO30:Instances!BO30)-MIN(Instances!BO30:Instances!BO30))</f>
        <v>0</v>
      </c>
      <c r="BP30" s="1" cm="1">
        <f t="array" ref="BP30">_xlfn.SWITCH($A$2,"average", AVERAGE(Instances!BP30:Instances!BP30),"median", MEDIAN(Instances!BP30:Instances!BP30),"min", MIN(Instances!BP30:Instances!BP30),"max", MAX(Instances!BP30:Instances!BP30),"diff", MAX(Instances!BP30:Instances!BP30)-MIN(Instances!BP30:Instances!BP30))</f>
        <v>0</v>
      </c>
      <c r="BQ30" s="1" cm="1">
        <f t="array" ref="BQ30">_xlfn.SWITCH($A$2,"average", AVERAGE(Instances!BQ30:Instances!BQ30),"median", MEDIAN(Instances!BQ30:Instances!BQ30),"min", MIN(Instances!BQ30:Instances!BQ30),"max", MAX(Instances!BQ30:Instances!BQ30),"diff", MAX(Instances!BQ30:Instances!BQ30)-MIN(Instances!BQ30:Instances!BQ30))</f>
        <v>0</v>
      </c>
      <c r="BR30" s="1"/>
      <c r="BS30" s="1" cm="1">
        <f t="array" ref="BS30">_xlfn.SWITCH($A$2,"average", AVERAGE(Instances!BS30:Instances!BS30),"median", MEDIAN(Instances!BS30:Instances!BS30),"min", MIN(Instances!BS30:Instances!BS30),"max", MAX(Instances!BS30:Instances!BS30),"diff", MAX(Instances!BS30:Instances!BS30)-MIN(Instances!BS30:Instances!BS30))</f>
        <v>0</v>
      </c>
      <c r="BT30" s="1" cm="1">
        <f t="array" ref="BT30">_xlfn.SWITCH($A$2,"average", AVERAGE(Instances!BT30:Instances!BT30),"median", MEDIAN(Instances!BT30:Instances!BT30),"min", MIN(Instances!BT30:Instances!BT30),"max", MAX(Instances!BT30:Instances!BT30),"diff", MAX(Instances!BT30:Instances!BT30)-MIN(Instances!BT30:Instances!BT30))</f>
        <v>0</v>
      </c>
      <c r="BU30" s="1" cm="1">
        <f t="array" ref="BU30">_xlfn.SWITCH($A$2,"average", AVERAGE(Instances!BU30:Instances!BU30),"median", MEDIAN(Instances!BU30:Instances!BU30),"min", MIN(Instances!BU30:Instances!BU30),"max", MAX(Instances!BU30:Instances!BU30),"diff", MAX(Instances!BU30:Instances!BU30)-MIN(Instances!BU30:Instances!BU30))</f>
        <v>0</v>
      </c>
      <c r="BV30" s="1" cm="1">
        <f t="array" ref="BV30">_xlfn.SWITCH($A$2,"average", AVERAGE(Instances!BV30:Instances!BV30),"median", MEDIAN(Instances!BV30:Instances!BV30),"min", MIN(Instances!BV30:Instances!BV30),"max", MAX(Instances!BV30:Instances!BV30),"diff", MAX(Instances!BV30:Instances!BV30)-MIN(Instances!BV30:Instances!BV30))</f>
        <v>0</v>
      </c>
      <c r="BW30" s="1" cm="1">
        <f t="array" ref="BW30">_xlfn.SWITCH($A$2,"average", AVERAGE(Instances!BW30:Instances!BW30),"median", MEDIAN(Instances!BW30:Instances!BW30),"min", MIN(Instances!BW30:Instances!BW30),"max", MAX(Instances!BW30:Instances!BW30),"diff", MAX(Instances!BW30:Instances!BW30)-MIN(Instances!BW30:Instances!BW30))</f>
        <v>0</v>
      </c>
      <c r="BX30" s="1" cm="1">
        <f t="array" ref="BX30">_xlfn.SWITCH($A$2,"average", AVERAGE(Instances!BX30:Instances!BX30),"median", MEDIAN(Instances!BX30:Instances!BX30),"min", MIN(Instances!BX30:Instances!BX30),"max", MAX(Instances!BX30:Instances!BX30),"diff", MAX(Instances!BX30:Instances!BX30)-MIN(Instances!BX30:Instances!BX30))</f>
        <v>0</v>
      </c>
      <c r="BY30" s="1" cm="1">
        <f t="array" ref="BY30">_xlfn.SWITCH($A$2,"average", AVERAGE(Instances!BY30:Instances!BY30),"median", MEDIAN(Instances!BY30:Instances!BY30),"min", MIN(Instances!BY30:Instances!BY30),"max", MAX(Instances!BY30:Instances!BY30),"diff", MAX(Instances!BY30:Instances!BY30)-MIN(Instances!BY30:Instances!BY30))</f>
        <v>0</v>
      </c>
      <c r="BZ30" s="1" cm="1">
        <f t="array" ref="BZ30">_xlfn.SWITCH($A$2,"average", AVERAGE(Instances!BZ30:Instances!BZ30),"median", MEDIAN(Instances!BZ30:Instances!BZ30),"min", MIN(Instances!BZ30:Instances!BZ30),"max", MAX(Instances!BZ30:Instances!BZ30),"diff", MAX(Instances!BZ30:Instances!BZ30)-MIN(Instances!BZ30:Instances!BZ30))</f>
        <v>0</v>
      </c>
      <c r="CA30" s="1" cm="1">
        <f t="array" ref="CA30">_xlfn.SWITCH($A$2,"average", AVERAGE(Instances!CA30:Instances!CA30),"median", MEDIAN(Instances!CA30:Instances!CA30),"min", MIN(Instances!CA30:Instances!CA30),"max", MAX(Instances!CA30:Instances!CA30),"diff", MAX(Instances!CA30:Instances!CA30)-MIN(Instances!CA30:Instances!CA30))</f>
        <v>0</v>
      </c>
      <c r="CB30" s="1" cm="1">
        <f t="array" ref="CB30">_xlfn.SWITCH($A$2,"average", AVERAGE(Instances!CB30:Instances!CB30),"median", MEDIAN(Instances!CB30:Instances!CB30),"min", MIN(Instances!CB30:Instances!CB30),"max", MAX(Instances!CB30:Instances!CB30),"diff", MAX(Instances!CB30:Instances!CB30)-MIN(Instances!CB30:Instances!CB30))</f>
        <v>0</v>
      </c>
      <c r="CC30" s="1" cm="1">
        <f t="array" ref="CC30">_xlfn.SWITCH($A$2,"average", AVERAGE(Instances!CC30:Instances!CC30),"median", MEDIAN(Instances!CC30:Instances!CC30),"min", MIN(Instances!CC30:Instances!CC30),"max", MAX(Instances!CC30:Instances!CC30),"diff", MAX(Instances!CC30:Instances!CC30)-MIN(Instances!CC30:Instances!CC30))</f>
        <v>0</v>
      </c>
      <c r="CD30" s="1" cm="1">
        <f t="array" ref="CD30">_xlfn.SWITCH($A$2,"average", AVERAGE(Instances!CD30:Instances!CD30),"median", MEDIAN(Instances!CD30:Instances!CD30),"min", MIN(Instances!CD30:Instances!CD30),"max", MAX(Instances!CD30:Instances!CD30),"diff", MAX(Instances!CD30:Instances!CD30)-MIN(Instances!CD30:Instances!CD30))</f>
        <v>0</v>
      </c>
      <c r="CE30" s="1" cm="1">
        <f t="array" ref="CE30">_xlfn.SWITCH($A$2,"average", AVERAGE(Instances!CE30:Instances!CE30),"median", MEDIAN(Instances!CE30:Instances!CE30),"min", MIN(Instances!CE30:Instances!CE30),"max", MAX(Instances!CE30:Instances!CE30),"diff", MAX(Instances!CE30:Instances!CE30)-MIN(Instances!CE30:Instances!CE30))</f>
        <v>0</v>
      </c>
      <c r="CF30" s="1" cm="1">
        <f t="array" ref="CF30">_xlfn.SWITCH($A$2,"average", AVERAGE(Instances!CF30:Instances!CF30),"median", MEDIAN(Instances!CF30:Instances!CF30),"min", MIN(Instances!CF30:Instances!CF30),"max", MAX(Instances!CF30:Instances!CF30),"diff", MAX(Instances!CF30:Instances!CF30)-MIN(Instances!CF30:Instances!CF30))</f>
        <v>0</v>
      </c>
      <c r="CG30" s="1" cm="1">
        <f t="array" ref="CG30">_xlfn.SWITCH($A$2,"average", AVERAGE(Instances!CG30:Instances!CG30),"median", MEDIAN(Instances!CG30:Instances!CG30),"min", MIN(Instances!CG30:Instances!CG30),"max", MAX(Instances!CG30:Instances!CG30),"diff", MAX(Instances!CG30:Instances!CG30)-MIN(Instances!CG30:Instances!CG30))</f>
        <v>0</v>
      </c>
      <c r="CH30" s="1" cm="1">
        <f t="array" ref="CH30">_xlfn.SWITCH($A$2,"average", AVERAGE(Instances!CH30:Instances!CH30),"median", MEDIAN(Instances!CH30:Instances!CH30),"min", MIN(Instances!CH30:Instances!CH30),"max", MAX(Instances!CH30:Instances!CH30),"diff", MAX(Instances!CH30:Instances!CH30)-MIN(Instances!CH30:Instances!CH30))</f>
        <v>0</v>
      </c>
      <c r="CI30" s="1" cm="1">
        <f t="array" ref="CI30">_xlfn.SWITCH($A$2,"average", AVERAGE(Instances!CI30:Instances!CI30),"median", MEDIAN(Instances!CI30:Instances!CI30),"min", MIN(Instances!CI30:Instances!CI30),"max", MAX(Instances!CI30:Instances!CI30),"diff", MAX(Instances!CI30:Instances!CI30)-MIN(Instances!CI30:Instances!CI30))</f>
        <v>0</v>
      </c>
      <c r="CJ30" s="1"/>
      <c r="CK30" s="1" cm="1">
        <f t="array" ref="CK30">_xlfn.SWITCH($A$2,"average", AVERAGE(Instances!CK30:Instances!CK30),"median", MEDIAN(Instances!CK30:Instances!CK30),"min", MIN(Instances!CK30:Instances!CK30),"max", MAX(Instances!CK30:Instances!CK30),"diff", MAX(Instances!CK30:Instances!CK30)-MIN(Instances!CK30:Instances!CK30))</f>
        <v>0</v>
      </c>
      <c r="CL30" s="1" cm="1">
        <f t="array" ref="CL30">_xlfn.SWITCH($A$2,"average", AVERAGE(Instances!CL30:Instances!CL30),"median", MEDIAN(Instances!CL30:Instances!CL30),"min", MIN(Instances!CL30:Instances!CL30),"max", MAX(Instances!CL30:Instances!CL30),"diff", MAX(Instances!CL30:Instances!CL30)-MIN(Instances!CL30:Instances!CL30))</f>
        <v>0</v>
      </c>
      <c r="CM30" s="1" cm="1">
        <f t="array" ref="CM30">_xlfn.SWITCH($A$2,"average", AVERAGE(Instances!CM30:Instances!CM30),"median", MEDIAN(Instances!CM30:Instances!CM30),"min", MIN(Instances!CM30:Instances!CM30),"max", MAX(Instances!CM30:Instances!CM30),"diff", MAX(Instances!CM30:Instances!CM30)-MIN(Instances!CM30:Instances!CM30))</f>
        <v>0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 cm="1">
        <f t="array" ref="DX30">_xlfn.SWITCH($A$2,"average", AVERAGE(Instances!DX30:Instances!DX30),"median", MEDIAN(Instances!DX30:Instances!DX30),"min", MIN(Instances!DX30:Instances!DX30),"max", MAX(Instances!DX30:Instances!DX30),"diff", MAX(Instances!DX30:Instances!DX30)-MIN(Instances!DX30:Instances!DX30))</f>
        <v>0</v>
      </c>
      <c r="DY30" s="1" cm="1">
        <f t="array" ref="DY30">_xlfn.SWITCH($A$2,"average", AVERAGE(Instances!DY30:Instances!DY30),"median", MEDIAN(Instances!DY30:Instances!DY30),"min", MIN(Instances!DY30:Instances!DY30),"max", MAX(Instances!DY30:Instances!DY30),"diff", MAX(Instances!DY30:Instances!DY30)-MIN(Instances!DY30:Instances!DY30))</f>
        <v>0</v>
      </c>
      <c r="DZ30" s="1" cm="1">
        <f t="array" ref="DZ30">_xlfn.SWITCH($A$2,"average", AVERAGE(Instances!DZ30:Instances!DZ30),"median", MEDIAN(Instances!DZ30:Instances!DZ30),"min", MIN(Instances!DZ30:Instances!DZ30),"max", MAX(Instances!DZ30:Instances!DZ30),"diff", MAX(Instances!DZ30:Instances!DZ30)-MIN(Instances!DZ30:Instances!DZ30))</f>
        <v>0</v>
      </c>
      <c r="EA30" s="1" cm="1">
        <f t="array" ref="EA30">_xlfn.SWITCH($A$2,"average", AVERAGE(Instances!EA30:Instances!EA30),"median", MEDIAN(Instances!EA30:Instances!EA30),"min", MIN(Instances!EA30:Instances!EA30),"max", MAX(Instances!EA30:Instances!EA30),"diff", MAX(Instances!EA30:Instances!EA30)-MIN(Instances!EA30:Instances!EA30))</f>
        <v>0</v>
      </c>
      <c r="EB30" s="1" cm="1">
        <f t="array" ref="EB30">_xlfn.SWITCH($A$2,"average", AVERAGE(Instances!EB30:Instances!EB30),"median", MEDIAN(Instances!EB30:Instances!EB30),"min", MIN(Instances!EB30:Instances!EB30),"max", MAX(Instances!EB30:Instances!EB30),"diff", MAX(Instances!EB30:Instances!EB30)-MIN(Instances!EB30:Instances!EB30))</f>
        <v>0</v>
      </c>
      <c r="EC30" s="1" cm="1">
        <f t="array" ref="EC30">_xlfn.SWITCH($A$2,"average", AVERAGE(Instances!EC30:Instances!EC30),"median", MEDIAN(Instances!EC30:Instances!EC30),"min", MIN(Instances!EC30:Instances!EC30),"max", MAX(Instances!EC30:Instances!EC30),"diff", MAX(Instances!EC30:Instances!EC30)-MIN(Instances!EC30:Instances!EC30))</f>
        <v>0</v>
      </c>
      <c r="ED30" s="1" cm="1">
        <f t="array" ref="ED30">_xlfn.SWITCH($A$2,"average", AVERAGE(Instances!ED30:Instances!ED30),"median", MEDIAN(Instances!ED30:Instances!ED30),"min", MIN(Instances!ED30:Instances!ED30),"max", MAX(Instances!ED30:Instances!ED30),"diff", MAX(Instances!ED30:Instances!ED30)-MIN(Instances!ED30:Instances!ED30))</f>
        <v>0</v>
      </c>
      <c r="EE30" s="1" cm="1">
        <f t="array" ref="EE30">_xlfn.SWITCH($A$2,"average", AVERAGE(Instances!EE30:Instances!EE30),"median", MEDIAN(Instances!EE30:Instances!EE30),"min", MIN(Instances!EE30:Instances!EE30),"max", MAX(Instances!EE30:Instances!EE30),"diff", MAX(Instances!EE30:Instances!EE30)-MIN(Instances!EE30:Instances!EE30))</f>
        <v>0</v>
      </c>
      <c r="EF30" s="1" cm="1">
        <f t="array" ref="EF30">_xlfn.SWITCH($A$2,"average", AVERAGE(Instances!EF30:Instances!EF30),"median", MEDIAN(Instances!EF30:Instances!EF30),"min", MIN(Instances!EF30:Instances!EF30),"max", MAX(Instances!EF30:Instances!EF30),"diff", MAX(Instances!EF30:Instances!EF30)-MIN(Instances!EF30:Instances!EF30))</f>
        <v>0</v>
      </c>
      <c r="EG30" s="1" cm="1">
        <f t="array" ref="EG30">_xlfn.SWITCH($A$2,"average", AVERAGE(Instances!EG30:Instances!EG30),"median", MEDIAN(Instances!EG30:Instances!EG30),"min", MIN(Instances!EG30:Instances!EG30),"max", MAX(Instances!EG30:Instances!EG30),"diff", MAX(Instances!EG30:Instances!EG30)-MIN(Instances!EG30:Instances!EG30))</f>
        <v>0</v>
      </c>
      <c r="EH30" s="1" cm="1">
        <f t="array" ref="EH30">_xlfn.SWITCH($A$2,"average", AVERAGE(Instances!EH30:Instances!EH30),"median", MEDIAN(Instances!EH30:Instances!EH30),"min", MIN(Instances!EH30:Instances!EH30),"max", MAX(Instances!EH30:Instances!EH30),"diff", MAX(Instances!EH30:Instances!EH30)-MIN(Instances!EH30:Instances!EH30))</f>
        <v>0</v>
      </c>
      <c r="EI30" s="1" cm="1">
        <f t="array" ref="EI30">_xlfn.SWITCH($A$2,"average", AVERAGE(Instances!EI30:Instances!EI30),"median", MEDIAN(Instances!EI30:Instances!EI30),"min", MIN(Instances!EI30:Instances!EI30),"max", MAX(Instances!EI30:Instances!EI30),"diff", MAX(Instances!EI30:Instances!EI30)-MIN(Instances!EI30:Instances!EI30))</f>
        <v>0</v>
      </c>
      <c r="EJ30" s="1" cm="1">
        <f t="array" ref="EJ30">_xlfn.SWITCH($A$2,"average", AVERAGE(Instances!EJ30:Instances!EJ30),"median", MEDIAN(Instances!EJ30:Instances!EJ30),"min", MIN(Instances!EJ30:Instances!EJ30),"max", MAX(Instances!EJ30:Instances!EJ30),"diff", MAX(Instances!EJ30:Instances!EJ30)-MIN(Instances!EJ30:Instances!EJ30))</f>
        <v>0</v>
      </c>
      <c r="EK30" s="1" cm="1">
        <f t="array" ref="EK30">_xlfn.SWITCH($A$2,"average", AVERAGE(Instances!EK30:Instances!EK30),"median", MEDIAN(Instances!EK30:Instances!EK30),"min", MIN(Instances!EK30:Instances!EK30),"max", MAX(Instances!EK30:Instances!EK30),"diff", MAX(Instances!EK30:Instances!EK30)-MIN(Instances!EK30:Instances!EK30))</f>
        <v>0</v>
      </c>
      <c r="EL30" s="1"/>
      <c r="EM30" s="1" cm="1">
        <f t="array" ref="EM30">_xlfn.SWITCH($A$2,"average", AVERAGE(Instances!EM30:Instances!EM30),"median", MEDIAN(Instances!EM30:Instances!EM30),"min", MIN(Instances!EM30:Instances!EM30),"max", MAX(Instances!EM30:Instances!EM30),"diff", MAX(Instances!EM30:Instances!EM30)-MIN(Instances!EM30:Instances!EM30))</f>
        <v>0</v>
      </c>
      <c r="EN30" s="1" cm="1">
        <f t="array" ref="EN30">_xlfn.SWITCH($A$2,"average", AVERAGE(Instances!EN30:Instances!EN30),"median", MEDIAN(Instances!EN30:Instances!EN30),"min", MIN(Instances!EN30:Instances!EN30),"max", MAX(Instances!EN30:Instances!EN30),"diff", MAX(Instances!EN30:Instances!EN30)-MIN(Instances!EN30:Instances!EN30))</f>
        <v>0</v>
      </c>
      <c r="EO30" s="1" cm="1">
        <f t="array" ref="EO30">_xlfn.SWITCH($A$2,"average", AVERAGE(Instances!EO30:Instances!EO30),"median", MEDIAN(Instances!EO30:Instances!EO30),"min", MIN(Instances!EO30:Instances!EO30),"max", MAX(Instances!EO30:Instances!EO30),"diff", MAX(Instances!EO30:Instances!EO30)-MIN(Instances!EO30:Instances!EO30))</f>
        <v>0</v>
      </c>
      <c r="EP30" s="1" cm="1">
        <f t="array" ref="EP30">_xlfn.SWITCH($A$2,"average", AVERAGE(Instances!EP30:Instances!EP30),"median", MEDIAN(Instances!EP30:Instances!EP30),"min", MIN(Instances!EP30:Instances!EP30),"max", MAX(Instances!EP30:Instances!EP30),"diff", MAX(Instances!EP30:Instances!EP30)-MIN(Instances!EP30:Instances!EP30))</f>
        <v>0</v>
      </c>
      <c r="EQ30" s="1" cm="1">
        <f t="array" ref="EQ30">_xlfn.SWITCH($A$2,"average", AVERAGE(Instances!EQ30:Instances!EQ30),"median", MEDIAN(Instances!EQ30:Instances!EQ30),"min", MIN(Instances!EQ30:Instances!EQ30),"max", MAX(Instances!EQ30:Instances!EQ30),"diff", MAX(Instances!EQ30:Instances!EQ30)-MIN(Instances!EQ30:Instances!EQ30))</f>
        <v>0</v>
      </c>
      <c r="ER30" s="1" cm="1">
        <f t="array" ref="ER30">_xlfn.SWITCH($A$2,"average", AVERAGE(Instances!ER30:Instances!ER30),"median", MEDIAN(Instances!ER30:Instances!ER30),"min", MIN(Instances!ER30:Instances!ER30),"max", MAX(Instances!ER30:Instances!ER30),"diff", MAX(Instances!ER30:Instances!ER30)-MIN(Instances!ER30:Instances!ER30))</f>
        <v>0</v>
      </c>
      <c r="ES30" s="1" cm="1">
        <f t="array" ref="ES30">_xlfn.SWITCH($A$2,"average", AVERAGE(Instances!ES30:Instances!ES30),"median", MEDIAN(Instances!ES30:Instances!ES30),"min", MIN(Instances!ES30:Instances!ES30),"max", MAX(Instances!ES30:Instances!ES30),"diff", MAX(Instances!ES30:Instances!ES30)-MIN(Instances!ES30:Instances!ES30))</f>
        <v>0</v>
      </c>
      <c r="ET30" s="1" cm="1">
        <f t="array" ref="ET30">_xlfn.SWITCH($A$2,"average", AVERAGE(Instances!ET30:Instances!ET30),"median", MEDIAN(Instances!ET30:Instances!ET30),"min", MIN(Instances!ET30:Instances!ET30),"max", MAX(Instances!ET30:Instances!ET30),"diff", MAX(Instances!ET30:Instances!ET30)-MIN(Instances!ET30:Instances!ET30))</f>
        <v>0</v>
      </c>
      <c r="EU30" s="1" cm="1">
        <f t="array" ref="EU30">_xlfn.SWITCH($A$2,"average", AVERAGE(Instances!EU30:Instances!EU30),"median", MEDIAN(Instances!EU30:Instances!EU30),"min", MIN(Instances!EU30:Instances!EU30),"max", MAX(Instances!EU30:Instances!EU30),"diff", MAX(Instances!EU30:Instances!EU30)-MIN(Instances!EU30:Instances!EU30))</f>
        <v>0</v>
      </c>
      <c r="EV30" s="1" cm="1">
        <f t="array" ref="EV30">_xlfn.SWITCH($A$2,"average", AVERAGE(Instances!EV30:Instances!EV30),"median", MEDIAN(Instances!EV30:Instances!EV30),"min", MIN(Instances!EV30:Instances!EV30),"max", MAX(Instances!EV30:Instances!EV30),"diff", MAX(Instances!EV30:Instances!EV30)-MIN(Instances!EV30:Instances!EV30))</f>
        <v>0</v>
      </c>
      <c r="EW30" s="1" cm="1">
        <f t="array" ref="EW30">_xlfn.SWITCH($A$2,"average", AVERAGE(Instances!EW30:Instances!EW30),"median", MEDIAN(Instances!EW30:Instances!EW30),"min", MIN(Instances!EW30:Instances!EW30),"max", MAX(Instances!EW30:Instances!EW30),"diff", MAX(Instances!EW30:Instances!EW30)-MIN(Instances!EW30:Instances!EW30))</f>
        <v>0</v>
      </c>
      <c r="EX30" s="1" cm="1">
        <f t="array" ref="EX30">_xlfn.SWITCH($A$2,"average", AVERAGE(Instances!EX30:Instances!EX30),"median", MEDIAN(Instances!EX30:Instances!EX30),"min", MIN(Instances!EX30:Instances!EX30),"max", MAX(Instances!EX30:Instances!EX30),"diff", MAX(Instances!EX30:Instances!EX30)-MIN(Instances!EX30:Instances!EX30))</f>
        <v>0</v>
      </c>
      <c r="EY30" s="1" cm="1">
        <f t="array" ref="EY30">_xlfn.SWITCH($A$2,"average", AVERAGE(Instances!EY30:Instances!EY30),"median", MEDIAN(Instances!EY30:Instances!EY30),"min", MIN(Instances!EY30:Instances!EY30),"max", MAX(Instances!EY30:Instances!EY30),"diff", MAX(Instances!EY30:Instances!EY30)-MIN(Instances!EY30:Instances!EY30))</f>
        <v>0</v>
      </c>
      <c r="EZ30" s="1" cm="1">
        <f t="array" ref="EZ30">_xlfn.SWITCH($A$2,"average", AVERAGE(Instances!EZ30:Instances!EZ30),"median", MEDIAN(Instances!EZ30:Instances!EZ30),"min", MIN(Instances!EZ30:Instances!EZ30),"max", MAX(Instances!EZ30:Instances!EZ30),"diff", MAX(Instances!EZ30:Instances!EZ30)-MIN(Instances!EZ30:Instances!EZ30))</f>
        <v>0</v>
      </c>
      <c r="FA30" s="1" cm="1">
        <f t="array" ref="FA30">_xlfn.SWITCH($A$2,"average", AVERAGE(Instances!FA30:Instances!FA30),"median", MEDIAN(Instances!FA30:Instances!FA30),"min", MIN(Instances!FA30:Instances!FA30),"max", MAX(Instances!FA30:Instances!FA30),"diff", MAX(Instances!FA30:Instances!FA30)-MIN(Instances!FA30:Instances!FA30))</f>
        <v>0</v>
      </c>
      <c r="FB30" s="1" cm="1">
        <f t="array" ref="FB30">_xlfn.SWITCH($A$2,"average", AVERAGE(Instances!FB30:Instances!FB30),"median", MEDIAN(Instances!FB30:Instances!FB30),"min", MIN(Instances!FB30:Instances!FB30),"max", MAX(Instances!FB30:Instances!FB30),"diff", MAX(Instances!FB30:Instances!FB30)-MIN(Instances!FB30:Instances!FB30))</f>
        <v>0</v>
      </c>
      <c r="FC30" s="1" cm="1">
        <f t="array" ref="FC30">_xlfn.SWITCH($A$2,"average", AVERAGE(Instances!FC30:Instances!FC30),"median", MEDIAN(Instances!FC30:Instances!FC30),"min", MIN(Instances!FC30:Instances!FC30),"max", MAX(Instances!FC30:Instances!FC30),"diff", MAX(Instances!FC30:Instances!FC30)-MIN(Instances!FC30:Instances!FC30))</f>
        <v>0</v>
      </c>
      <c r="FD30" s="1"/>
      <c r="FE30" s="1" cm="1">
        <f t="array" ref="FE30">_xlfn.SWITCH($A$2,"average", AVERAGE(Instances!FE30:Instances!FE30),"median", MEDIAN(Instances!FE30:Instances!FE30),"min", MIN(Instances!FE30:Instances!FE30),"max", MAX(Instances!FE30:Instances!FE30),"diff", MAX(Instances!FE30:Instances!FE30)-MIN(Instances!FE30:Instances!FE30))</f>
        <v>0</v>
      </c>
      <c r="FF30" s="1" cm="1">
        <f t="array" ref="FF30">_xlfn.SWITCH($A$2,"average", AVERAGE(Instances!FF30:Instances!FF30),"median", MEDIAN(Instances!FF30:Instances!FF30),"min", MIN(Instances!FF30:Instances!FF30),"max", MAX(Instances!FF30:Instances!FF30),"diff", MAX(Instances!FF30:Instances!FF30)-MIN(Instances!FF30:Instances!FF30))</f>
        <v>0</v>
      </c>
      <c r="FG30" s="1" cm="1">
        <f t="array" ref="FG30">_xlfn.SWITCH($A$2,"average", AVERAGE(Instances!FG30:Instances!FG30),"median", MEDIAN(Instances!FG30:Instances!FG30),"min", MIN(Instances!FG30:Instances!FG30),"max", MAX(Instances!FG30:Instances!FG30),"diff", MAX(Instances!FG30:Instances!FG30)-MIN(Instances!FG30:Instances!FG30))</f>
        <v>0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 cm="1">
        <f t="array" ref="FZ30">_xlfn.SWITCH($A$2,"average", AVERAGE(Instances!FZ30:Instances!FZ30),"median", MEDIAN(Instances!FZ30:Instances!FZ30),"min", MIN(Instances!FZ30:Instances!FZ30),"max", MAX(Instances!FZ30:Instances!FZ30),"diff", MAX(Instances!FZ30:Instances!FZ30)-MIN(Instances!FZ30:Instances!FZ30))</f>
        <v>0</v>
      </c>
      <c r="GA30" s="1" cm="1">
        <f t="array" ref="GA30">_xlfn.SWITCH($A$2,"average", AVERAGE(Instances!GA30:Instances!GA30),"median", MEDIAN(Instances!GA30:Instances!GA30),"min", MIN(Instances!GA30:Instances!GA30),"max", MAX(Instances!GA30:Instances!GA30),"diff", MAX(Instances!GA30:Instances!GA30)-MIN(Instances!GA30:Instances!GA30))</f>
        <v>0</v>
      </c>
      <c r="GB30" s="1" cm="1">
        <f t="array" ref="GB30">_xlfn.SWITCH($A$2,"average", AVERAGE(Instances!GB30:Instances!GB30),"median", MEDIAN(Instances!GB30:Instances!GB30),"min", MIN(Instances!GB30:Instances!GB30),"max", MAX(Instances!GB30:Instances!GB30),"diff", MAX(Instances!GB30:Instances!GB30)-MIN(Instances!GB30:Instances!GB30))</f>
        <v>0</v>
      </c>
      <c r="GC30" s="1" cm="1">
        <f t="array" ref="GC30">_xlfn.SWITCH($A$2,"average", AVERAGE(Instances!GC30:Instances!GC30),"median", MEDIAN(Instances!GC30:Instances!GC30),"min", MIN(Instances!GC30:Instances!GC30),"max", MAX(Instances!GC30:Instances!GC30),"diff", MAX(Instances!GC30:Instances!GC30)-MIN(Instances!GC30:Instances!GC30))</f>
        <v>0</v>
      </c>
      <c r="GD30" s="1" cm="1">
        <f t="array" ref="GD30">_xlfn.SWITCH($A$2,"average", AVERAGE(Instances!GD30:Instances!GD30),"median", MEDIAN(Instances!GD30:Instances!GD30),"min", MIN(Instances!GD30:Instances!GD30),"max", MAX(Instances!GD30:Instances!GD30),"diff", MAX(Instances!GD30:Instances!GD30)-MIN(Instances!GD30:Instances!GD30))</f>
        <v>0</v>
      </c>
      <c r="GE30" s="1" cm="1">
        <f t="array" ref="GE30">_xlfn.SWITCH($A$2,"average", AVERAGE(Instances!GE30:Instances!GE30),"median", MEDIAN(Instances!GE30:Instances!GE30),"min", MIN(Instances!GE30:Instances!GE30),"max", MAX(Instances!GE30:Instances!GE30),"diff", MAX(Instances!GE30:Instances!GE30)-MIN(Instances!GE30:Instances!GE30))</f>
        <v>0</v>
      </c>
      <c r="GF30" s="1" cm="1">
        <f t="array" ref="GF30">_xlfn.SWITCH($A$2,"average", AVERAGE(Instances!GF30:Instances!GF30),"median", MEDIAN(Instances!GF30:Instances!GF30),"min", MIN(Instances!GF30:Instances!GF30),"max", MAX(Instances!GF30:Instances!GF30),"diff", MAX(Instances!GF30:Instances!GF30)-MIN(Instances!GF30:Instances!GF30))</f>
        <v>0</v>
      </c>
      <c r="GG30" s="1" cm="1">
        <f t="array" ref="GG30">_xlfn.SWITCH($A$2,"average", AVERAGE(Instances!GG30:Instances!GG30),"median", MEDIAN(Instances!GG30:Instances!GG30),"min", MIN(Instances!GG30:Instances!GG30),"max", MAX(Instances!GG30:Instances!GG30),"diff", MAX(Instances!GG30:Instances!GG30)-MIN(Instances!GG30:Instances!GG30))</f>
        <v>0</v>
      </c>
      <c r="GH30" s="1" cm="1">
        <f t="array" ref="GH30">_xlfn.SWITCH($A$2,"average", AVERAGE(Instances!GH30:Instances!GH30),"median", MEDIAN(Instances!GH30:Instances!GH30),"min", MIN(Instances!GH30:Instances!GH30),"max", MAX(Instances!GH30:Instances!GH30),"diff", MAX(Instances!GH30:Instances!GH30)-MIN(Instances!GH30:Instances!GH30))</f>
        <v>0</v>
      </c>
      <c r="GI30" s="1" cm="1">
        <f t="array" ref="GI30">_xlfn.SWITCH($A$2,"average", AVERAGE(Instances!GI30:Instances!GI30),"median", MEDIAN(Instances!GI30:Instances!GI30),"min", MIN(Instances!GI30:Instances!GI30),"max", MAX(Instances!GI30:Instances!GI30),"diff", MAX(Instances!GI30:Instances!GI30)-MIN(Instances!GI30:Instances!GI30))</f>
        <v>0</v>
      </c>
      <c r="GJ30" s="1" cm="1">
        <f t="array" ref="GJ30">_xlfn.SWITCH($A$2,"average", AVERAGE(Instances!GJ30:Instances!GJ30),"median", MEDIAN(Instances!GJ30:Instances!GJ30),"min", MIN(Instances!GJ30:Instances!GJ30),"max", MAX(Instances!GJ30:Instances!GJ30),"diff", MAX(Instances!GJ30:Instances!GJ30)-MIN(Instances!GJ30:Instances!GJ30))</f>
        <v>0</v>
      </c>
      <c r="GK30" s="1" cm="1">
        <f t="array" ref="GK30">_xlfn.SWITCH($A$2,"average", AVERAGE(Instances!GK30:Instances!GK30),"median", MEDIAN(Instances!GK30:Instances!GK30),"min", MIN(Instances!GK30:Instances!GK30),"max", MAX(Instances!GK30:Instances!GK30),"diff", MAX(Instances!GK30:Instances!GK30)-MIN(Instances!GK30:Instances!GK30))</f>
        <v>0</v>
      </c>
      <c r="GL30" s="1" cm="1">
        <f t="array" ref="GL30">_xlfn.SWITCH($A$2,"average", AVERAGE(Instances!GL30:Instances!GL30),"median", MEDIAN(Instances!GL30:Instances!GL30),"min", MIN(Instances!GL30:Instances!GL30),"max", MAX(Instances!GL30:Instances!GL30),"diff", MAX(Instances!GL30:Instances!GL30)-MIN(Instances!GL30:Instances!GL30))</f>
        <v>0</v>
      </c>
      <c r="GM30" s="1" cm="1">
        <f t="array" ref="GM30">_xlfn.SWITCH($A$2,"average", AVERAGE(Instances!GM30:Instances!GM30),"median", MEDIAN(Instances!GM30:Instances!GM30),"min", MIN(Instances!GM30:Instances!GM30),"max", MAX(Instances!GM30:Instances!GM30),"diff", MAX(Instances!GM30:Instances!GM30)-MIN(Instances!GM30:Instances!GM30))</f>
        <v>0</v>
      </c>
      <c r="GN30" s="1"/>
      <c r="GO30" s="1" cm="1">
        <f t="array" ref="GO30">_xlfn.SWITCH($A$2,"average", AVERAGE(Instances!GO30:Instances!GO30),"median", MEDIAN(Instances!GO30:Instances!GO30),"min", MIN(Instances!GO30:Instances!GO30),"max", MAX(Instances!GO30:Instances!GO30),"diff", MAX(Instances!GO30:Instances!GO30)-MIN(Instances!GO30:Instances!GO30))</f>
        <v>0</v>
      </c>
      <c r="GP30" s="1" cm="1">
        <f t="array" ref="GP30">_xlfn.SWITCH($A$2,"average", AVERAGE(Instances!GP30:Instances!GP30),"median", MEDIAN(Instances!GP30:Instances!GP30),"min", MIN(Instances!GP30:Instances!GP30),"max", MAX(Instances!GP30:Instances!GP30),"diff", MAX(Instances!GP30:Instances!GP30)-MIN(Instances!GP30:Instances!GP30))</f>
        <v>0</v>
      </c>
      <c r="GQ30" s="1" cm="1">
        <f t="array" ref="GQ30">_xlfn.SWITCH($A$2,"average", AVERAGE(Instances!GQ30:Instances!GQ30),"median", MEDIAN(Instances!GQ30:Instances!GQ30),"min", MIN(Instances!GQ30:Instances!GQ30),"max", MAX(Instances!GQ30:Instances!GQ30),"diff", MAX(Instances!GQ30:Instances!GQ30)-MIN(Instances!GQ30:Instances!GQ30))</f>
        <v>0</v>
      </c>
      <c r="GR30" s="1" cm="1">
        <f t="array" ref="GR30">_xlfn.SWITCH($A$2,"average", AVERAGE(Instances!GR30:Instances!GR30),"median", MEDIAN(Instances!GR30:Instances!GR30),"min", MIN(Instances!GR30:Instances!GR30),"max", MAX(Instances!GR30:Instances!GR30),"diff", MAX(Instances!GR30:Instances!GR30)-MIN(Instances!GR30:Instances!GR30))</f>
        <v>0</v>
      </c>
      <c r="GS30" s="1" cm="1">
        <f t="array" ref="GS30">_xlfn.SWITCH($A$2,"average", AVERAGE(Instances!GS30:Instances!GS30),"median", MEDIAN(Instances!GS30:Instances!GS30),"min", MIN(Instances!GS30:Instances!GS30),"max", MAX(Instances!GS30:Instances!GS30),"diff", MAX(Instances!GS30:Instances!GS30)-MIN(Instances!GS30:Instances!GS30))</f>
        <v>0</v>
      </c>
      <c r="GT30" s="1" cm="1">
        <f t="array" ref="GT30">_xlfn.SWITCH($A$2,"average", AVERAGE(Instances!GT30:Instances!GT30),"median", MEDIAN(Instances!GT30:Instances!GT30),"min", MIN(Instances!GT30:Instances!GT30),"max", MAX(Instances!GT30:Instances!GT30),"diff", MAX(Instances!GT30:Instances!GT30)-MIN(Instances!GT30:Instances!GT30))</f>
        <v>0</v>
      </c>
      <c r="GU30" s="1" cm="1">
        <f t="array" ref="GU30">_xlfn.SWITCH($A$2,"average", AVERAGE(Instances!GU30:Instances!GU30),"median", MEDIAN(Instances!GU30:Instances!GU30),"min", MIN(Instances!GU30:Instances!GU30),"max", MAX(Instances!GU30:Instances!GU30),"diff", MAX(Instances!GU30:Instances!GU30)-MIN(Instances!GU30:Instances!GU30))</f>
        <v>0</v>
      </c>
      <c r="GV30" s="1" cm="1">
        <f t="array" ref="GV30">_xlfn.SWITCH($A$2,"average", AVERAGE(Instances!GV30:Instances!GV30),"median", MEDIAN(Instances!GV30:Instances!GV30),"min", MIN(Instances!GV30:Instances!GV30),"max", MAX(Instances!GV30:Instances!GV30),"diff", MAX(Instances!GV30:Instances!GV30)-MIN(Instances!GV30:Instances!GV30))</f>
        <v>0</v>
      </c>
      <c r="GW30" s="1" cm="1">
        <f t="array" ref="GW30">_xlfn.SWITCH($A$2,"average", AVERAGE(Instances!GW30:Instances!GW30),"median", MEDIAN(Instances!GW30:Instances!GW30),"min", MIN(Instances!GW30:Instances!GW30),"max", MAX(Instances!GW30:Instances!GW30),"diff", MAX(Instances!GW30:Instances!GW30)-MIN(Instances!GW30:Instances!GW30))</f>
        <v>0</v>
      </c>
      <c r="GX30" s="1" cm="1">
        <f t="array" ref="GX30">_xlfn.SWITCH($A$2,"average", AVERAGE(Instances!GX30:Instances!GX30),"median", MEDIAN(Instances!GX30:Instances!GX30),"min", MIN(Instances!GX30:Instances!GX30),"max", MAX(Instances!GX30:Instances!GX30),"diff", MAX(Instances!GX30:Instances!GX30)-MIN(Instances!GX30:Instances!GX30))</f>
        <v>0</v>
      </c>
      <c r="GY30" s="1" cm="1">
        <f t="array" ref="GY30">_xlfn.SWITCH($A$2,"average", AVERAGE(Instances!GY30:Instances!GY30),"median", MEDIAN(Instances!GY30:Instances!GY30),"min", MIN(Instances!GY30:Instances!GY30),"max", MAX(Instances!GY30:Instances!GY30),"diff", MAX(Instances!GY30:Instances!GY30)-MIN(Instances!GY30:Instances!GY30))</f>
        <v>0</v>
      </c>
      <c r="GZ30" s="1" cm="1">
        <f t="array" ref="GZ30">_xlfn.SWITCH($A$2,"average", AVERAGE(Instances!GZ30:Instances!GZ30),"median", MEDIAN(Instances!GZ30:Instances!GZ30),"min", MIN(Instances!GZ30:Instances!GZ30),"max", MAX(Instances!GZ30:Instances!GZ30),"diff", MAX(Instances!GZ30:Instances!GZ30)-MIN(Instances!GZ30:Instances!GZ30))</f>
        <v>0</v>
      </c>
      <c r="HA30" s="1" cm="1">
        <f t="array" ref="HA30">_xlfn.SWITCH($A$2,"average", AVERAGE(Instances!HA30:Instances!HA30),"median", MEDIAN(Instances!HA30:Instances!HA30),"min", MIN(Instances!HA30:Instances!HA30),"max", MAX(Instances!HA30:Instances!HA30),"diff", MAX(Instances!HA30:Instances!HA30)-MIN(Instances!HA30:Instances!HA30))</f>
        <v>0</v>
      </c>
      <c r="HB30" s="1" cm="1">
        <f t="array" ref="HB30">_xlfn.SWITCH($A$2,"average", AVERAGE(Instances!HB30:Instances!HB30),"median", MEDIAN(Instances!HB30:Instances!HB30),"min", MIN(Instances!HB30:Instances!HB30),"max", MAX(Instances!HB30:Instances!HB30),"diff", MAX(Instances!HB30:Instances!HB30)-MIN(Instances!HB30:Instances!HB30))</f>
        <v>0</v>
      </c>
      <c r="HC30" s="1" cm="1">
        <f t="array" ref="HC30">_xlfn.SWITCH($A$2,"average", AVERAGE(Instances!HC30:Instances!HC30),"median", MEDIAN(Instances!HC30:Instances!HC30),"min", MIN(Instances!HC30:Instances!HC30),"max", MAX(Instances!HC30:Instances!HC30),"diff", MAX(Instances!HC30:Instances!HC30)-MIN(Instances!HC30:Instances!HC30))</f>
        <v>0</v>
      </c>
      <c r="HD30" s="1" cm="1">
        <f t="array" ref="HD30">_xlfn.SWITCH($A$2,"average", AVERAGE(Instances!HD30:Instances!HD30),"median", MEDIAN(Instances!HD30:Instances!HD30),"min", MIN(Instances!HD30:Instances!HD30),"max", MAX(Instances!HD30:Instances!HD30),"diff", MAX(Instances!HD30:Instances!HD30)-MIN(Instances!HD30:Instances!HD30))</f>
        <v>0</v>
      </c>
      <c r="HE30" s="1" cm="1">
        <f t="array" ref="HE30">_xlfn.SWITCH($A$2,"average", AVERAGE(Instances!HE30:Instances!HE30),"median", MEDIAN(Instances!HE30:Instances!HE30),"min", MIN(Instances!HE30:Instances!HE30),"max", MAX(Instances!HE30:Instances!HE30),"diff", MAX(Instances!HE30:Instances!HE30)-MIN(Instances!HE30:Instances!HE30))</f>
        <v>0</v>
      </c>
      <c r="HF30" s="1"/>
      <c r="HG30" s="1" cm="1">
        <f t="array" ref="HG30">_xlfn.SWITCH($A$2,"average", AVERAGE(Instances!HG30:Instances!HG30),"median", MEDIAN(Instances!HG30:Instances!HG30),"min", MIN(Instances!HG30:Instances!HG30),"max", MAX(Instances!HG30:Instances!HG30),"diff", MAX(Instances!HG30:Instances!HG30)-MIN(Instances!HG30:Instances!HG30))</f>
        <v>0</v>
      </c>
      <c r="HH30" s="1" cm="1">
        <f t="array" ref="HH30">_xlfn.SWITCH($A$2,"average", AVERAGE(Instances!HH30:Instances!HH30),"median", MEDIAN(Instances!HH30:Instances!HH30),"min", MIN(Instances!HH30:Instances!HH30),"max", MAX(Instances!HH30:Instances!HH30),"diff", MAX(Instances!HH30:Instances!HH30)-MIN(Instances!HH30:Instances!HH30))</f>
        <v>0</v>
      </c>
      <c r="HI30" s="1" cm="1">
        <f t="array" ref="HI30">_xlfn.SWITCH($A$2,"average", AVERAGE(Instances!HI30:Instances!HI30),"median", MEDIAN(Instances!HI30:Instances!HI30),"min", MIN(Instances!HI30:Instances!HI30),"max", MAX(Instances!HI30:Instances!HI30),"diff", MAX(Instances!HI30:Instances!HI30)-MIN(Instances!HI30:Instances!HI30))</f>
        <v>0</v>
      </c>
      <c r="HJ30" s="1" cm="1">
        <f t="array" ref="HJ30">_xlfn.SWITCH($A$2,"average", AVERAGE(Instances!HJ30:Instances!HJ30),"median", MEDIAN(Instances!HJ30:Instances!HJ30),"min", MIN(Instances!HJ30:Instances!HJ30),"max", MAX(Instances!HJ30:Instances!HJ30),"diff", MAX(Instances!HJ30:Instances!HJ30)-MIN(Instances!HJ30:Instances!HJ30))</f>
        <v>0</v>
      </c>
      <c r="HK30" s="1" cm="1">
        <f t="array" ref="HK30">_xlfn.SWITCH($A$2,"average", AVERAGE(Instances!HK30:Instances!HK30),"median", MEDIAN(Instances!HK30:Instances!HK30),"min", MIN(Instances!HK30:Instances!HK30),"max", MAX(Instances!HK30:Instances!HK30),"diff", MAX(Instances!HK30:Instances!HK30)-MIN(Instances!HK30:Instances!HK30))</f>
        <v>0</v>
      </c>
      <c r="HL30" s="1" cm="1">
        <f t="array" ref="HL30">_xlfn.SWITCH($A$2,"average", AVERAGE(Instances!HL30:Instances!HL30),"median", MEDIAN(Instances!HL30:Instances!HL30),"min", MIN(Instances!HL30:Instances!HL30),"max", MAX(Instances!HL30:Instances!HL30),"diff", MAX(Instances!HL30:Instances!HL30)-MIN(Instances!HL30:Instances!HL30))</f>
        <v>0</v>
      </c>
      <c r="HM30" s="1" cm="1">
        <f t="array" ref="HM30">_xlfn.SWITCH($A$2,"average", AVERAGE(Instances!HM30:Instances!HM30),"median", MEDIAN(Instances!HM30:Instances!HM30),"min", MIN(Instances!HM30:Instances!HM30),"max", MAX(Instances!HM30:Instances!HM30),"diff", MAX(Instances!HM30:Instances!HM30)-MIN(Instances!HM30:Instances!HM30))</f>
        <v>0</v>
      </c>
      <c r="HN30" s="1" cm="1">
        <f t="array" ref="HN30">_xlfn.SWITCH($A$2,"average", AVERAGE(Instances!HN30:Instances!HN30),"median", MEDIAN(Instances!HN30:Instances!HN30),"min", MIN(Instances!HN30:Instances!HN30),"max", MAX(Instances!HN30:Instances!HN30),"diff", MAX(Instances!HN30:Instances!HN30)-MIN(Instances!HN30:Instances!HN30))</f>
        <v>0</v>
      </c>
      <c r="HO30" s="1" cm="1">
        <f t="array" ref="HO30">_xlfn.SWITCH($A$2,"average", AVERAGE(Instances!HO30:Instances!HO30),"median", MEDIAN(Instances!HO30:Instances!HO30),"min", MIN(Instances!HO30:Instances!HO30),"max", MAX(Instances!HO30:Instances!HO30),"diff", MAX(Instances!HO30:Instances!HO30)-MIN(Instances!HO30:Instances!HO30))</f>
        <v>0</v>
      </c>
      <c r="HP30" s="1" cm="1">
        <f t="array" ref="HP30">_xlfn.SWITCH($A$2,"average", AVERAGE(Instances!HP30:Instances!HP30),"median", MEDIAN(Instances!HP30:Instances!HP30),"min", MIN(Instances!HP30:Instances!HP30),"max", MAX(Instances!HP30:Instances!HP30),"diff", MAX(Instances!HP30:Instances!HP30)-MIN(Instances!HP30:Instances!HP30))</f>
        <v>0</v>
      </c>
      <c r="HQ30" s="1" cm="1">
        <f t="array" ref="HQ30">_xlfn.SWITCH($A$2,"average", AVERAGE(Instances!HQ30:Instances!HQ30),"median", MEDIAN(Instances!HQ30:Instances!HQ30),"min", MIN(Instances!HQ30:Instances!HQ30),"max", MAX(Instances!HQ30:Instances!HQ30),"diff", MAX(Instances!HQ30:Instances!HQ30)-MIN(Instances!HQ30:Instances!HQ30))</f>
        <v>0</v>
      </c>
      <c r="HR30" s="1" cm="1">
        <f t="array" ref="HR30">_xlfn.SWITCH($A$2,"average", AVERAGE(Instances!HR30:Instances!HR30),"median", MEDIAN(Instances!HR30:Instances!HR30),"min", MIN(Instances!HR30:Instances!HR30),"max", MAX(Instances!HR30:Instances!HR30),"diff", MAX(Instances!HR30:Instances!HR30)-MIN(Instances!HR30:Instances!HR30))</f>
        <v>0</v>
      </c>
      <c r="HS30" s="1" cm="1">
        <f t="array" ref="HS30">_xlfn.SWITCH($A$2,"average", AVERAGE(Instances!HS30:Instances!HS30),"median", MEDIAN(Instances!HS30:Instances!HS30),"min", MIN(Instances!HS30:Instances!HS30),"max", MAX(Instances!HS30:Instances!HS30),"diff", MAX(Instances!HS30:Instances!HS30)-MIN(Instances!HS30:Instances!HS30))</f>
        <v>0</v>
      </c>
      <c r="HT30" s="1" cm="1">
        <f t="array" ref="HT30">_xlfn.SWITCH($A$2,"average", AVERAGE(Instances!HT30:Instances!HT30),"median", MEDIAN(Instances!HT30:Instances!HT30),"min", MIN(Instances!HT30:Instances!HT30),"max", MAX(Instances!HT30:Instances!HT30),"diff", MAX(Instances!HT30:Instances!HT30)-MIN(Instances!HT30:Instances!HT30))</f>
        <v>0</v>
      </c>
      <c r="HU30" s="1" cm="1">
        <f t="array" ref="HU30">_xlfn.SWITCH($A$2,"average", AVERAGE(Instances!HU30:Instances!HU30),"median", MEDIAN(Instances!HU30:Instances!HU30),"min", MIN(Instances!HU30:Instances!HU30),"max", MAX(Instances!HU30:Instances!HU30),"diff", MAX(Instances!HU30:Instances!HU30)-MIN(Instances!HU30:Instances!HU30))</f>
        <v>0</v>
      </c>
      <c r="HV30" s="1" cm="1">
        <f t="array" ref="HV30">_xlfn.SWITCH($A$2,"average", AVERAGE(Instances!HV30:Instances!HV30),"median", MEDIAN(Instances!HV30:Instances!HV30),"min", MIN(Instances!HV30:Instances!HV30),"max", MAX(Instances!HV30:Instances!HV30),"diff", MAX(Instances!HV30:Instances!HV30)-MIN(Instances!HV30:Instances!HV30))</f>
        <v>0</v>
      </c>
      <c r="HW30" s="1" cm="1">
        <f t="array" ref="HW30">_xlfn.SWITCH($A$2,"average", AVERAGE(Instances!HW30:Instances!HW30),"median", MEDIAN(Instances!HW30:Instances!HW30),"min", MIN(Instances!HW30:Instances!HW30),"max", MAX(Instances!HW30:Instances!HW30),"diff", MAX(Instances!HW30:Instances!HW30)-MIN(Instances!HW30:Instances!HW30))</f>
        <v>0</v>
      </c>
      <c r="HX30" s="1"/>
      <c r="HY30" s="1" cm="1">
        <f t="array" ref="HY30">_xlfn.SWITCH($A$2,"average", AVERAGE(Instances!HY30:Instances!HY30),"median", MEDIAN(Instances!HY30:Instances!HY30),"min", MIN(Instances!HY30:Instances!HY30),"max", MAX(Instances!HY30:Instances!HY30),"diff", MAX(Instances!HY30:Instances!HY30)-MIN(Instances!HY30:Instances!HY30))</f>
        <v>0</v>
      </c>
      <c r="HZ30" s="1" cm="1">
        <f t="array" ref="HZ30">_xlfn.SWITCH($A$2,"average", AVERAGE(Instances!HZ30:Instances!HZ30),"median", MEDIAN(Instances!HZ30:Instances!HZ30),"min", MIN(Instances!HZ30:Instances!HZ30),"max", MAX(Instances!HZ30:Instances!HZ30),"diff", MAX(Instances!HZ30:Instances!HZ30)-MIN(Instances!HZ30:Instances!HZ30))</f>
        <v>0</v>
      </c>
      <c r="IA30" s="1" cm="1">
        <f t="array" ref="IA30">_xlfn.SWITCH($A$2,"average", AVERAGE(Instances!IA30:Instances!IA30),"median", MEDIAN(Instances!IA30:Instances!IA30),"min", MIN(Instances!IA30:Instances!IA30),"max", MAX(Instances!IA30:Instances!IA30),"diff", MAX(Instances!IA30:Instances!IA30)-MIN(Instances!IA30:Instances!IA30))</f>
        <v>0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 cm="1">
        <f t="array" ref="JL30">_xlfn.SWITCH($A$2,"average", AVERAGE(Instances!JL30:Instances!JL30),"median", MEDIAN(Instances!JL30:Instances!JL30),"min", MIN(Instances!JL30:Instances!JL30),"max", MAX(Instances!JL30:Instances!JL30),"diff", MAX(Instances!JL30:Instances!JL30)-MIN(Instances!JL30:Instances!JL30))</f>
        <v>0</v>
      </c>
      <c r="JM30" s="1" cm="1">
        <f t="array" ref="JM30">_xlfn.SWITCH($A$2,"average", AVERAGE(Instances!JM30:Instances!JM30),"median", MEDIAN(Instances!JM30:Instances!JM30),"min", MIN(Instances!JM30:Instances!JM30),"max", MAX(Instances!JM30:Instances!JM30),"diff", MAX(Instances!JM30:Instances!JM30)-MIN(Instances!JM30:Instances!JM30))</f>
        <v>0</v>
      </c>
      <c r="JN30" s="1" cm="1">
        <f t="array" ref="JN30">_xlfn.SWITCH($A$2,"average", AVERAGE(Instances!JN30:Instances!JN30),"median", MEDIAN(Instances!JN30:Instances!JN30),"min", MIN(Instances!JN30:Instances!JN30),"max", MAX(Instances!JN30:Instances!JN30),"diff", MAX(Instances!JN30:Instances!JN30)-MIN(Instances!JN30:Instances!JN30))</f>
        <v>0</v>
      </c>
      <c r="JO30" s="1" cm="1">
        <f t="array" ref="JO30">_xlfn.SWITCH($A$2,"average", AVERAGE(Instances!JO30:Instances!JO30),"median", MEDIAN(Instances!JO30:Instances!JO30),"min", MIN(Instances!JO30:Instances!JO30),"max", MAX(Instances!JO30:Instances!JO30),"diff", MAX(Instances!JO30:Instances!JO30)-MIN(Instances!JO30:Instances!JO30))</f>
        <v>0</v>
      </c>
      <c r="JP30" s="1" cm="1">
        <f t="array" ref="JP30">_xlfn.SWITCH($A$2,"average", AVERAGE(Instances!JP30:Instances!JP30),"median", MEDIAN(Instances!JP30:Instances!JP30),"min", MIN(Instances!JP30:Instances!JP30),"max", MAX(Instances!JP30:Instances!JP30),"diff", MAX(Instances!JP30:Instances!JP30)-MIN(Instances!JP30:Instances!JP30))</f>
        <v>0</v>
      </c>
      <c r="JQ30" s="1" cm="1">
        <f t="array" ref="JQ30">_xlfn.SWITCH($A$2,"average", AVERAGE(Instances!JQ30:Instances!JQ30),"median", MEDIAN(Instances!JQ30:Instances!JQ30),"min", MIN(Instances!JQ30:Instances!JQ30),"max", MAX(Instances!JQ30:Instances!JQ30),"diff", MAX(Instances!JQ30:Instances!JQ30)-MIN(Instances!JQ30:Instances!JQ30))</f>
        <v>0</v>
      </c>
      <c r="JR30" s="1" cm="1">
        <f t="array" ref="JR30">_xlfn.SWITCH($A$2,"average", AVERAGE(Instances!JR30:Instances!JR30),"median", MEDIAN(Instances!JR30:Instances!JR30),"min", MIN(Instances!JR30:Instances!JR30),"max", MAX(Instances!JR30:Instances!JR30),"diff", MAX(Instances!JR30:Instances!JR30)-MIN(Instances!JR30:Instances!JR30))</f>
        <v>0</v>
      </c>
      <c r="JS30" s="1" cm="1">
        <f t="array" ref="JS30">_xlfn.SWITCH($A$2,"average", AVERAGE(Instances!JS30:Instances!JS30),"median", MEDIAN(Instances!JS30:Instances!JS30),"min", MIN(Instances!JS30:Instances!JS30),"max", MAX(Instances!JS30:Instances!JS30),"diff", MAX(Instances!JS30:Instances!JS30)-MIN(Instances!JS30:Instances!JS30))</f>
        <v>0</v>
      </c>
      <c r="JT30" s="1" cm="1">
        <f t="array" ref="JT30">_xlfn.SWITCH($A$2,"average", AVERAGE(Instances!JT30:Instances!JT30),"median", MEDIAN(Instances!JT30:Instances!JT30),"min", MIN(Instances!JT30:Instances!JT30),"max", MAX(Instances!JT30:Instances!JT30),"diff", MAX(Instances!JT30:Instances!JT30)-MIN(Instances!JT30:Instances!JT30))</f>
        <v>0</v>
      </c>
      <c r="JU30" s="1" cm="1">
        <f t="array" ref="JU30">_xlfn.SWITCH($A$2,"average", AVERAGE(Instances!JU30:Instances!JU30),"median", MEDIAN(Instances!JU30:Instances!JU30),"min", MIN(Instances!JU30:Instances!JU30),"max", MAX(Instances!JU30:Instances!JU30),"diff", MAX(Instances!JU30:Instances!JU30)-MIN(Instances!JU30:Instances!JU30))</f>
        <v>0</v>
      </c>
      <c r="JV30" s="1" cm="1">
        <f t="array" ref="JV30">_xlfn.SWITCH($A$2,"average", AVERAGE(Instances!JV30:Instances!JV30),"median", MEDIAN(Instances!JV30:Instances!JV30),"min", MIN(Instances!JV30:Instances!JV30),"max", MAX(Instances!JV30:Instances!JV30),"diff", MAX(Instances!JV30:Instances!JV30)-MIN(Instances!JV30:Instances!JV30))</f>
        <v>0</v>
      </c>
      <c r="JW30" s="1" cm="1">
        <f t="array" ref="JW30">_xlfn.SWITCH($A$2,"average", AVERAGE(Instances!JW30:Instances!JW30),"median", MEDIAN(Instances!JW30:Instances!JW30),"min", MIN(Instances!JW30:Instances!JW30),"max", MAX(Instances!JW30:Instances!JW30),"diff", MAX(Instances!JW30:Instances!JW30)-MIN(Instances!JW30:Instances!JW30))</f>
        <v>0</v>
      </c>
      <c r="JX30" s="1" cm="1">
        <f t="array" ref="JX30">_xlfn.SWITCH($A$2,"average", AVERAGE(Instances!JX30:Instances!JX30),"median", MEDIAN(Instances!JX30:Instances!JX30),"min", MIN(Instances!JX30:Instances!JX30),"max", MAX(Instances!JX30:Instances!JX30),"diff", MAX(Instances!JX30:Instances!JX30)-MIN(Instances!JX30:Instances!JX30))</f>
        <v>0</v>
      </c>
      <c r="JY30" s="1" cm="1">
        <f t="array" ref="JY30">_xlfn.SWITCH($A$2,"average", AVERAGE(Instances!JY30:Instances!JY30),"median", MEDIAN(Instances!JY30:Instances!JY30),"min", MIN(Instances!JY30:Instances!JY30),"max", MAX(Instances!JY30:Instances!JY30),"diff", MAX(Instances!JY30:Instances!JY30)-MIN(Instances!JY30:Instances!JY30))</f>
        <v>0</v>
      </c>
      <c r="JZ30" s="1"/>
      <c r="KA30" s="1" cm="1">
        <f t="array" ref="KA30">_xlfn.SWITCH($A$2,"average", AVERAGE(Instances!KA30:Instances!KA30),"median", MEDIAN(Instances!KA30:Instances!KA30),"min", MIN(Instances!KA30:Instances!KA30),"max", MAX(Instances!KA30:Instances!KA30),"diff", MAX(Instances!KA30:Instances!KA30)-MIN(Instances!KA30:Instances!KA30))</f>
        <v>0</v>
      </c>
      <c r="KB30" s="1" cm="1">
        <f t="array" ref="KB30">_xlfn.SWITCH($A$2,"average", AVERAGE(Instances!KB30:Instances!KB30),"median", MEDIAN(Instances!KB30:Instances!KB30),"min", MIN(Instances!KB30:Instances!KB30),"max", MAX(Instances!KB30:Instances!KB30),"diff", MAX(Instances!KB30:Instances!KB30)-MIN(Instances!KB30:Instances!KB30))</f>
        <v>0</v>
      </c>
      <c r="KC30" s="1" cm="1">
        <f t="array" ref="KC30">_xlfn.SWITCH($A$2,"average", AVERAGE(Instances!KC30:Instances!KC30),"median", MEDIAN(Instances!KC30:Instances!KC30),"min", MIN(Instances!KC30:Instances!KC30),"max", MAX(Instances!KC30:Instances!KC30),"diff", MAX(Instances!KC30:Instances!KC30)-MIN(Instances!KC30:Instances!KC30))</f>
        <v>0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 cm="1">
        <f t="array" ref="L31">_xlfn.SWITCH($A$2,"average", AVERAGE(Instances!L31:Instances!L31),"median", MEDIAN(Instances!L31:Instances!L31),"min", MIN(Instances!L31:Instances!L31),"max", MAX(Instances!L31:Instances!L31),"diff", MAX(Instances!L31:Instances!L31)-MIN(Instances!L31:Instances!L31))</f>
        <v>0</v>
      </c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 cm="1">
        <f t="array" ref="O31">_xlfn.SWITCH($A$2,"average", AVERAGE(Instances!O31:Instances!O31),"median", MEDIAN(Instances!O31:Instances!O31),"min", MIN(Instances!O31:Instances!O31),"max", MAX(Instances!O31:Instances!O31),"diff", MAX(Instances!O31:Instances!O31)-MIN(Instances!O31:Instances!O31))</f>
        <v>0</v>
      </c>
      <c r="P31" s="1"/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 cm="1">
        <f t="array" ref="S31">_xlfn.SWITCH($A$2,"average", AVERAGE(Instances!S31:Instances!S31),"median", MEDIAN(Instances!S31:Instances!S31),"min", MIN(Instances!S31:Instances!S31),"max", MAX(Instances!S31:Instances!S31),"diff", MAX(Instances!S31:Instances!S31)-MIN(Instances!S31:Instances!S31))</f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 cm="1">
        <f t="array" ref="AL31">_xlfn.SWITCH($A$2,"average", AVERAGE(Instances!AL31:Instances!AL31),"median", MEDIAN(Instances!AL31:Instances!AL31),"min", MIN(Instances!AL31:Instances!AL31),"max", MAX(Instances!AL31:Instances!AL31),"diff", MAX(Instances!AL31:Instances!AL31)-MIN(Instances!AL31:Instances!AL31))</f>
        <v>0</v>
      </c>
      <c r="AM31" s="1" cm="1">
        <f t="array" ref="AM31">_xlfn.SWITCH($A$2,"average", AVERAGE(Instances!AM31:Instances!AM31),"median", MEDIAN(Instances!AM31:Instances!AM31),"min", MIN(Instances!AM31:Instances!AM31),"max", MAX(Instances!AM31:Instances!AM31),"diff", MAX(Instances!AM31:Instances!AM31)-MIN(Instances!AM31:Instances!AM31))</f>
        <v>0</v>
      </c>
      <c r="AN31" s="1" cm="1">
        <f t="array" ref="AN31">_xlfn.SWITCH($A$2,"average", AVERAGE(Instances!AN31:Instances!AN31),"median", MEDIAN(Instances!AN31:Instances!AN31),"min", MIN(Instances!AN31:Instances!AN31),"max", MAX(Instances!AN31:Instances!AN31),"diff", MAX(Instances!AN31:Instances!AN31)-MIN(Instances!AN31:Instances!AN31))</f>
        <v>0</v>
      </c>
      <c r="AO31" s="1" cm="1">
        <f t="array" ref="AO31">_xlfn.SWITCH($A$2,"average", AVERAGE(Instances!AO31:Instances!AO31),"median", MEDIAN(Instances!AO31:Instances!AO31),"min", MIN(Instances!AO31:Instances!AO31),"max", MAX(Instances!AO31:Instances!AO31),"diff", MAX(Instances!AO31:Instances!AO31)-MIN(Instances!AO31:Instances!AO31))</f>
        <v>0</v>
      </c>
      <c r="AP31" s="1" cm="1">
        <f t="array" ref="AP31">_xlfn.SWITCH($A$2,"average", AVERAGE(Instances!AP31:Instances!AP31),"median", MEDIAN(Instances!AP31:Instances!AP31),"min", MIN(Instances!AP31:Instances!AP31),"max", MAX(Instances!AP31:Instances!AP31),"diff", MAX(Instances!AP31:Instances!AP31)-MIN(Instances!AP31:Instances!AP31))</f>
        <v>0</v>
      </c>
      <c r="AQ31" s="1" cm="1">
        <f t="array" ref="AQ31">_xlfn.SWITCH($A$2,"average", AVERAGE(Instances!AQ31:Instances!AQ31),"median", MEDIAN(Instances!AQ31:Instances!AQ31),"min", MIN(Instances!AQ31:Instances!AQ31),"max", MAX(Instances!AQ31:Instances!AQ31),"diff", MAX(Instances!AQ31:Instances!AQ31)-MIN(Instances!AQ31:Instances!AQ31))</f>
        <v>0</v>
      </c>
      <c r="AR31" s="1" cm="1">
        <f t="array" ref="AR31">_xlfn.SWITCH($A$2,"average", AVERAGE(Instances!AR31:Instances!AR31),"median", MEDIAN(Instances!AR31:Instances!AR31),"min", MIN(Instances!AR31:Instances!AR31),"max", MAX(Instances!AR31:Instances!AR31),"diff", MAX(Instances!AR31:Instances!AR31)-MIN(Instances!AR31:Instances!AR31))</f>
        <v>0</v>
      </c>
      <c r="AS31" s="1" cm="1">
        <f t="array" ref="AS31">_xlfn.SWITCH($A$2,"average", AVERAGE(Instances!AS31:Instances!AS31),"median", MEDIAN(Instances!AS31:Instances!AS31),"min", MIN(Instances!AS31:Instances!AS31),"max", MAX(Instances!AS31:Instances!AS31),"diff", MAX(Instances!AS31:Instances!AS31)-MIN(Instances!AS31:Instances!AS31))</f>
        <v>0</v>
      </c>
      <c r="AT31" s="1" cm="1">
        <f t="array" ref="AT31">_xlfn.SWITCH($A$2,"average", AVERAGE(Instances!AT31:Instances!AT31),"median", MEDIAN(Instances!AT31:Instances!AT31),"min", MIN(Instances!AT31:Instances!AT31),"max", MAX(Instances!AT31:Instances!AT31),"diff", MAX(Instances!AT31:Instances!AT31)-MIN(Instances!AT31:Instances!AT31))</f>
        <v>0</v>
      </c>
      <c r="AU31" s="1" cm="1">
        <f t="array" ref="AU31">_xlfn.SWITCH($A$2,"average", AVERAGE(Instances!AU31:Instances!AU31),"median", MEDIAN(Instances!AU31:Instances!AU31),"min", MIN(Instances!AU31:Instances!AU31),"max", MAX(Instances!AU31:Instances!AU31),"diff", MAX(Instances!AU31:Instances!AU31)-MIN(Instances!AU31:Instances!AU31))</f>
        <v>0</v>
      </c>
      <c r="AV31" s="1" cm="1">
        <f t="array" ref="AV31">_xlfn.SWITCH($A$2,"average", AVERAGE(Instances!AV31:Instances!AV31),"median", MEDIAN(Instances!AV31:Instances!AV31),"min", MIN(Instances!AV31:Instances!AV31),"max", MAX(Instances!AV31:Instances!AV31),"diff", MAX(Instances!AV31:Instances!AV31)-MIN(Instances!AV31:Instances!AV31))</f>
        <v>0</v>
      </c>
      <c r="AW31" s="1" cm="1">
        <f t="array" ref="AW31">_xlfn.SWITCH($A$2,"average", AVERAGE(Instances!AW31:Instances!AW31),"median", MEDIAN(Instances!AW31:Instances!AW31),"min", MIN(Instances!AW31:Instances!AW31),"max", MAX(Instances!AW31:Instances!AW31),"diff", MAX(Instances!AW31:Instances!AW31)-MIN(Instances!AW31:Instances!AW31))</f>
        <v>0</v>
      </c>
      <c r="AX31" s="1" cm="1">
        <f t="array" ref="AX31">_xlfn.SWITCH($A$2,"average", AVERAGE(Instances!AX31:Instances!AX31),"median", MEDIAN(Instances!AX31:Instances!AX31),"min", MIN(Instances!AX31:Instances!AX31),"max", MAX(Instances!AX31:Instances!AX31),"diff", MAX(Instances!AX31:Instances!AX31)-MIN(Instances!AX31:Instances!AX31))</f>
        <v>0</v>
      </c>
      <c r="AY31" s="1" cm="1">
        <f t="array" ref="AY31">_xlfn.SWITCH($A$2,"average", AVERAGE(Instances!AY31:Instances!AY31),"median", MEDIAN(Instances!AY31:Instances!AY31),"min", MIN(Instances!AY31:Instances!AY31),"max", MAX(Instances!AY31:Instances!AY31),"diff", MAX(Instances!AY31:Instances!AY31)-MIN(Instances!AY31:Instances!AY31))</f>
        <v>0</v>
      </c>
      <c r="AZ31" s="1"/>
      <c r="BA31" s="1" cm="1">
        <f t="array" ref="BA31">_xlfn.SWITCH($A$2,"average", AVERAGE(Instances!BA31:Instances!BA31),"median", MEDIAN(Instances!BA31:Instances!BA31),"min", MIN(Instances!BA31:Instances!BA31),"max", MAX(Instances!BA31:Instances!BA31),"diff", MAX(Instances!BA31:Instances!BA31)-MIN(Instances!BA31:Instances!BA31))</f>
        <v>0</v>
      </c>
      <c r="BB31" s="1" cm="1">
        <f t="array" ref="BB31">_xlfn.SWITCH($A$2,"average", AVERAGE(Instances!BB31:Instances!BB31),"median", MEDIAN(Instances!BB31:Instances!BB31),"min", MIN(Instances!BB31:Instances!BB31),"max", MAX(Instances!BB31:Instances!BB31),"diff", MAX(Instances!BB31:Instances!BB31)-MIN(Instances!BB31:Instances!BB31))</f>
        <v>0</v>
      </c>
      <c r="BC31" s="1" cm="1">
        <f t="array" ref="BC31">_xlfn.SWITCH($A$2,"average", AVERAGE(Instances!BC31:Instances!BC31),"median", MEDIAN(Instances!BC31:Instances!BC31),"min", MIN(Instances!BC31:Instances!BC31),"max", MAX(Instances!BC31:Instances!BC31),"diff", MAX(Instances!BC31:Instances!BC31)-MIN(Instances!BC31:Instances!BC31))</f>
        <v>0</v>
      </c>
      <c r="BD31" s="1" cm="1">
        <f t="array" ref="BD31">_xlfn.SWITCH($A$2,"average", AVERAGE(Instances!BD31:Instances!BD31),"median", MEDIAN(Instances!BD31:Instances!BD31),"min", MIN(Instances!BD31:Instances!BD31),"max", MAX(Instances!BD31:Instances!BD31),"diff", MAX(Instances!BD31:Instances!BD31)-MIN(Instances!BD31:Instances!BD31))</f>
        <v>0</v>
      </c>
      <c r="BE31" s="1" cm="1">
        <f t="array" ref="BE31">_xlfn.SWITCH($A$2,"average", AVERAGE(Instances!BE31:Instances!BE31),"median", MEDIAN(Instances!BE31:Instances!BE31),"min", MIN(Instances!BE31:Instances!BE31),"max", MAX(Instances!BE31:Instances!BE31),"diff", MAX(Instances!BE31:Instances!BE31)-MIN(Instances!BE31:Instances!BE31))</f>
        <v>0</v>
      </c>
      <c r="BF31" s="1" cm="1">
        <f t="array" ref="BF31">_xlfn.SWITCH($A$2,"average", AVERAGE(Instances!BF31:Instances!BF31),"median", MEDIAN(Instances!BF31:Instances!BF31),"min", MIN(Instances!BF31:Instances!BF31),"max", MAX(Instances!BF31:Instances!BF31),"diff", MAX(Instances!BF31:Instances!BF31)-MIN(Instances!BF31:Instances!BF31))</f>
        <v>0</v>
      </c>
      <c r="BG31" s="1" cm="1">
        <f t="array" ref="BG31">_xlfn.SWITCH($A$2,"average", AVERAGE(Instances!BG31:Instances!BG31),"median", MEDIAN(Instances!BG31:Instances!BG31),"min", MIN(Instances!BG31:Instances!BG31),"max", MAX(Instances!BG31:Instances!BG31),"diff", MAX(Instances!BG31:Instances!BG31)-MIN(Instances!BG31:Instances!BG31))</f>
        <v>0</v>
      </c>
      <c r="BH31" s="1" cm="1">
        <f t="array" ref="BH31">_xlfn.SWITCH($A$2,"average", AVERAGE(Instances!BH31:Instances!BH31),"median", MEDIAN(Instances!BH31:Instances!BH31),"min", MIN(Instances!BH31:Instances!BH31),"max", MAX(Instances!BH31:Instances!BH31),"diff", MAX(Instances!BH31:Instances!BH31)-MIN(Instances!BH31:Instances!BH31))</f>
        <v>0</v>
      </c>
      <c r="BI31" s="1" cm="1">
        <f t="array" ref="BI31">_xlfn.SWITCH($A$2,"average", AVERAGE(Instances!BI31:Instances!BI31),"median", MEDIAN(Instances!BI31:Instances!BI31),"min", MIN(Instances!BI31:Instances!BI31),"max", MAX(Instances!BI31:Instances!BI31),"diff", MAX(Instances!BI31:Instances!BI31)-MIN(Instances!BI31:Instances!BI31))</f>
        <v>0</v>
      </c>
      <c r="BJ31" s="1" cm="1">
        <f t="array" ref="BJ31">_xlfn.SWITCH($A$2,"average", AVERAGE(Instances!BJ31:Instances!BJ31),"median", MEDIAN(Instances!BJ31:Instances!BJ31),"min", MIN(Instances!BJ31:Instances!BJ31),"max", MAX(Instances!BJ31:Instances!BJ31),"diff", MAX(Instances!BJ31:Instances!BJ31)-MIN(Instances!BJ31:Instances!BJ31))</f>
        <v>0</v>
      </c>
      <c r="BK31" s="1" cm="1">
        <f t="array" ref="BK31">_xlfn.SWITCH($A$2,"average", AVERAGE(Instances!BK31:Instances!BK31),"median", MEDIAN(Instances!BK31:Instances!BK31),"min", MIN(Instances!BK31:Instances!BK31),"max", MAX(Instances!BK31:Instances!BK31),"diff", MAX(Instances!BK31:Instances!BK31)-MIN(Instances!BK31:Instances!BK31))</f>
        <v>0</v>
      </c>
      <c r="BL31" s="1" cm="1">
        <f t="array" ref="BL31">_xlfn.SWITCH($A$2,"average", AVERAGE(Instances!BL31:Instances!BL31),"median", MEDIAN(Instances!BL31:Instances!BL31),"min", MIN(Instances!BL31:Instances!BL31),"max", MAX(Instances!BL31:Instances!BL31),"diff", MAX(Instances!BL31:Instances!BL31)-MIN(Instances!BL31:Instances!BL31))</f>
        <v>0</v>
      </c>
      <c r="BM31" s="1" cm="1">
        <f t="array" ref="BM31">_xlfn.SWITCH($A$2,"average", AVERAGE(Instances!BM31:Instances!BM31),"median", MEDIAN(Instances!BM31:Instances!BM31),"min", MIN(Instances!BM31:Instances!BM31),"max", MAX(Instances!BM31:Instances!BM31),"diff", MAX(Instances!BM31:Instances!BM31)-MIN(Instances!BM31:Instances!BM31))</f>
        <v>0</v>
      </c>
      <c r="BN31" s="1" cm="1">
        <f t="array" ref="BN31">_xlfn.SWITCH($A$2,"average", AVERAGE(Instances!BN31:Instances!BN31),"median", MEDIAN(Instances!BN31:Instances!BN31),"min", MIN(Instances!BN31:Instances!BN31),"max", MAX(Instances!BN31:Instances!BN31),"diff", MAX(Instances!BN31:Instances!BN31)-MIN(Instances!BN31:Instances!BN31))</f>
        <v>0</v>
      </c>
      <c r="BO31" s="1" cm="1">
        <f t="array" ref="BO31">_xlfn.SWITCH($A$2,"average", AVERAGE(Instances!BO31:Instances!BO31),"median", MEDIAN(Instances!BO31:Instances!BO31),"min", MIN(Instances!BO31:Instances!BO31),"max", MAX(Instances!BO31:Instances!BO31),"diff", MAX(Instances!BO31:Instances!BO31)-MIN(Instances!BO31:Instances!BO31))</f>
        <v>0</v>
      </c>
      <c r="BP31" s="1" cm="1">
        <f t="array" ref="BP31">_xlfn.SWITCH($A$2,"average", AVERAGE(Instances!BP31:Instances!BP31),"median", MEDIAN(Instances!BP31:Instances!BP31),"min", MIN(Instances!BP31:Instances!BP31),"max", MAX(Instances!BP31:Instances!BP31),"diff", MAX(Instances!BP31:Instances!BP31)-MIN(Instances!BP31:Instances!BP31))</f>
        <v>0</v>
      </c>
      <c r="BQ31" s="1" cm="1">
        <f t="array" ref="BQ31">_xlfn.SWITCH($A$2,"average", AVERAGE(Instances!BQ31:Instances!BQ31),"median", MEDIAN(Instances!BQ31:Instances!BQ31),"min", MIN(Instances!BQ31:Instances!BQ31),"max", MAX(Instances!BQ31:Instances!BQ31),"diff", MAX(Instances!BQ31:Instances!BQ31)-MIN(Instances!BQ31:Instances!BQ31))</f>
        <v>0</v>
      </c>
      <c r="BR31" s="1"/>
      <c r="BS31" s="1" cm="1">
        <f t="array" ref="BS31">_xlfn.SWITCH($A$2,"average", AVERAGE(Instances!BS31:Instances!BS31),"median", MEDIAN(Instances!BS31:Instances!BS31),"min", MIN(Instances!BS31:Instances!BS31),"max", MAX(Instances!BS31:Instances!BS31),"diff", MAX(Instances!BS31:Instances!BS31)-MIN(Instances!BS31:Instances!BS31))</f>
        <v>0</v>
      </c>
      <c r="BT31" s="1" cm="1">
        <f t="array" ref="BT31">_xlfn.SWITCH($A$2,"average", AVERAGE(Instances!BT31:Instances!BT31),"median", MEDIAN(Instances!BT31:Instances!BT31),"min", MIN(Instances!BT31:Instances!BT31),"max", MAX(Instances!BT31:Instances!BT31),"diff", MAX(Instances!BT31:Instances!BT31)-MIN(Instances!BT31:Instances!BT31))</f>
        <v>0</v>
      </c>
      <c r="BU31" s="1" cm="1">
        <f t="array" ref="BU31">_xlfn.SWITCH($A$2,"average", AVERAGE(Instances!BU31:Instances!BU31),"median", MEDIAN(Instances!BU31:Instances!BU31),"min", MIN(Instances!BU31:Instances!BU31),"max", MAX(Instances!BU31:Instances!BU31),"diff", MAX(Instances!BU31:Instances!BU31)-MIN(Instances!BU31:Instances!BU31))</f>
        <v>0</v>
      </c>
      <c r="BV31" s="1" cm="1">
        <f t="array" ref="BV31">_xlfn.SWITCH($A$2,"average", AVERAGE(Instances!BV31:Instances!BV31),"median", MEDIAN(Instances!BV31:Instances!BV31),"min", MIN(Instances!BV31:Instances!BV31),"max", MAX(Instances!BV31:Instances!BV31),"diff", MAX(Instances!BV31:Instances!BV31)-MIN(Instances!BV31:Instances!BV31))</f>
        <v>0</v>
      </c>
      <c r="BW31" s="1" cm="1">
        <f t="array" ref="BW31">_xlfn.SWITCH($A$2,"average", AVERAGE(Instances!BW31:Instances!BW31),"median", MEDIAN(Instances!BW31:Instances!BW31),"min", MIN(Instances!BW31:Instances!BW31),"max", MAX(Instances!BW31:Instances!BW31),"diff", MAX(Instances!BW31:Instances!BW31)-MIN(Instances!BW31:Instances!BW31))</f>
        <v>0</v>
      </c>
      <c r="BX31" s="1" cm="1">
        <f t="array" ref="BX31">_xlfn.SWITCH($A$2,"average", AVERAGE(Instances!BX31:Instances!BX31),"median", MEDIAN(Instances!BX31:Instances!BX31),"min", MIN(Instances!BX31:Instances!BX31),"max", MAX(Instances!BX31:Instances!BX31),"diff", MAX(Instances!BX31:Instances!BX31)-MIN(Instances!BX31:Instances!BX31))</f>
        <v>0</v>
      </c>
      <c r="BY31" s="1" cm="1">
        <f t="array" ref="BY31">_xlfn.SWITCH($A$2,"average", AVERAGE(Instances!BY31:Instances!BY31),"median", MEDIAN(Instances!BY31:Instances!BY31),"min", MIN(Instances!BY31:Instances!BY31),"max", MAX(Instances!BY31:Instances!BY31),"diff", MAX(Instances!BY31:Instances!BY31)-MIN(Instances!BY31:Instances!BY31))</f>
        <v>0</v>
      </c>
      <c r="BZ31" s="1" cm="1">
        <f t="array" ref="BZ31">_xlfn.SWITCH($A$2,"average", AVERAGE(Instances!BZ31:Instances!BZ31),"median", MEDIAN(Instances!BZ31:Instances!BZ31),"min", MIN(Instances!BZ31:Instances!BZ31),"max", MAX(Instances!BZ31:Instances!BZ31),"diff", MAX(Instances!BZ31:Instances!BZ31)-MIN(Instances!BZ31:Instances!BZ31))</f>
        <v>0</v>
      </c>
      <c r="CA31" s="1" cm="1">
        <f t="array" ref="CA31">_xlfn.SWITCH($A$2,"average", AVERAGE(Instances!CA31:Instances!CA31),"median", MEDIAN(Instances!CA31:Instances!CA31),"min", MIN(Instances!CA31:Instances!CA31),"max", MAX(Instances!CA31:Instances!CA31),"diff", MAX(Instances!CA31:Instances!CA31)-MIN(Instances!CA31:Instances!CA31))</f>
        <v>0</v>
      </c>
      <c r="CB31" s="1" cm="1">
        <f t="array" ref="CB31">_xlfn.SWITCH($A$2,"average", AVERAGE(Instances!CB31:Instances!CB31),"median", MEDIAN(Instances!CB31:Instances!CB31),"min", MIN(Instances!CB31:Instances!CB31),"max", MAX(Instances!CB31:Instances!CB31),"diff", MAX(Instances!CB31:Instances!CB31)-MIN(Instances!CB31:Instances!CB31))</f>
        <v>0</v>
      </c>
      <c r="CC31" s="1" cm="1">
        <f t="array" ref="CC31">_xlfn.SWITCH($A$2,"average", AVERAGE(Instances!CC31:Instances!CC31),"median", MEDIAN(Instances!CC31:Instances!CC31),"min", MIN(Instances!CC31:Instances!CC31),"max", MAX(Instances!CC31:Instances!CC31),"diff", MAX(Instances!CC31:Instances!CC31)-MIN(Instances!CC31:Instances!CC31))</f>
        <v>0</v>
      </c>
      <c r="CD31" s="1" cm="1">
        <f t="array" ref="CD31">_xlfn.SWITCH($A$2,"average", AVERAGE(Instances!CD31:Instances!CD31),"median", MEDIAN(Instances!CD31:Instances!CD31),"min", MIN(Instances!CD31:Instances!CD31),"max", MAX(Instances!CD31:Instances!CD31),"diff", MAX(Instances!CD31:Instances!CD31)-MIN(Instances!CD31:Instances!CD31))</f>
        <v>0</v>
      </c>
      <c r="CE31" s="1" cm="1">
        <f t="array" ref="CE31">_xlfn.SWITCH($A$2,"average", AVERAGE(Instances!CE31:Instances!CE31),"median", MEDIAN(Instances!CE31:Instances!CE31),"min", MIN(Instances!CE31:Instances!CE31),"max", MAX(Instances!CE31:Instances!CE31),"diff", MAX(Instances!CE31:Instances!CE31)-MIN(Instances!CE31:Instances!CE31))</f>
        <v>0</v>
      </c>
      <c r="CF31" s="1" cm="1">
        <f t="array" ref="CF31">_xlfn.SWITCH($A$2,"average", AVERAGE(Instances!CF31:Instances!CF31),"median", MEDIAN(Instances!CF31:Instances!CF31),"min", MIN(Instances!CF31:Instances!CF31),"max", MAX(Instances!CF31:Instances!CF31),"diff", MAX(Instances!CF31:Instances!CF31)-MIN(Instances!CF31:Instances!CF31))</f>
        <v>0</v>
      </c>
      <c r="CG31" s="1" cm="1">
        <f t="array" ref="CG31">_xlfn.SWITCH($A$2,"average", AVERAGE(Instances!CG31:Instances!CG31),"median", MEDIAN(Instances!CG31:Instances!CG31),"min", MIN(Instances!CG31:Instances!CG31),"max", MAX(Instances!CG31:Instances!CG31),"diff", MAX(Instances!CG31:Instances!CG31)-MIN(Instances!CG31:Instances!CG31))</f>
        <v>0</v>
      </c>
      <c r="CH31" s="1" cm="1">
        <f t="array" ref="CH31">_xlfn.SWITCH($A$2,"average", AVERAGE(Instances!CH31:Instances!CH31),"median", MEDIAN(Instances!CH31:Instances!CH31),"min", MIN(Instances!CH31:Instances!CH31),"max", MAX(Instances!CH31:Instances!CH31),"diff", MAX(Instances!CH31:Instances!CH31)-MIN(Instances!CH31:Instances!CH31))</f>
        <v>0</v>
      </c>
      <c r="CI31" s="1" cm="1">
        <f t="array" ref="CI31">_xlfn.SWITCH($A$2,"average", AVERAGE(Instances!CI31:Instances!CI31),"median", MEDIAN(Instances!CI31:Instances!CI31),"min", MIN(Instances!CI31:Instances!CI31),"max", MAX(Instances!CI31:Instances!CI31),"diff", MAX(Instances!CI31:Instances!CI31)-MIN(Instances!CI31:Instances!CI31))</f>
        <v>0</v>
      </c>
      <c r="CJ31" s="1"/>
      <c r="CK31" s="1" cm="1">
        <f t="array" ref="CK31">_xlfn.SWITCH($A$2,"average", AVERAGE(Instances!CK31:Instances!CK31),"median", MEDIAN(Instances!CK31:Instances!CK31),"min", MIN(Instances!CK31:Instances!CK31),"max", MAX(Instances!CK31:Instances!CK31),"diff", MAX(Instances!CK31:Instances!CK31)-MIN(Instances!CK31:Instances!CK31))</f>
        <v>0</v>
      </c>
      <c r="CL31" s="1" cm="1">
        <f t="array" ref="CL31">_xlfn.SWITCH($A$2,"average", AVERAGE(Instances!CL31:Instances!CL31),"median", MEDIAN(Instances!CL31:Instances!CL31),"min", MIN(Instances!CL31:Instances!CL31),"max", MAX(Instances!CL31:Instances!CL31),"diff", MAX(Instances!CL31:Instances!CL31)-MIN(Instances!CL31:Instances!CL31))</f>
        <v>0</v>
      </c>
      <c r="CM31" s="1" cm="1">
        <f t="array" ref="CM31">_xlfn.SWITCH($A$2,"average", AVERAGE(Instances!CM31:Instances!CM31),"median", MEDIAN(Instances!CM31:Instances!CM31),"min", MIN(Instances!CM31:Instances!CM31),"max", MAX(Instances!CM31:Instances!CM31),"diff", MAX(Instances!CM31:Instances!CM31)-MIN(Instances!CM31:Instances!CM31))</f>
        <v>0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 cm="1">
        <f t="array" ref="DX31">_xlfn.SWITCH($A$2,"average", AVERAGE(Instances!DX31:Instances!DX31),"median", MEDIAN(Instances!DX31:Instances!DX31),"min", MIN(Instances!DX31:Instances!DX31),"max", MAX(Instances!DX31:Instances!DX31),"diff", MAX(Instances!DX31:Instances!DX31)-MIN(Instances!DX31:Instances!DX31))</f>
        <v>0</v>
      </c>
      <c r="DY31" s="1" cm="1">
        <f t="array" ref="DY31">_xlfn.SWITCH($A$2,"average", AVERAGE(Instances!DY31:Instances!DY31),"median", MEDIAN(Instances!DY31:Instances!DY31),"min", MIN(Instances!DY31:Instances!DY31),"max", MAX(Instances!DY31:Instances!DY31),"diff", MAX(Instances!DY31:Instances!DY31)-MIN(Instances!DY31:Instances!DY31))</f>
        <v>0</v>
      </c>
      <c r="DZ31" s="1" cm="1">
        <f t="array" ref="DZ31">_xlfn.SWITCH($A$2,"average", AVERAGE(Instances!DZ31:Instances!DZ31),"median", MEDIAN(Instances!DZ31:Instances!DZ31),"min", MIN(Instances!DZ31:Instances!DZ31),"max", MAX(Instances!DZ31:Instances!DZ31),"diff", MAX(Instances!DZ31:Instances!DZ31)-MIN(Instances!DZ31:Instances!DZ31))</f>
        <v>0</v>
      </c>
      <c r="EA31" s="1" cm="1">
        <f t="array" ref="EA31">_xlfn.SWITCH($A$2,"average", AVERAGE(Instances!EA31:Instances!EA31),"median", MEDIAN(Instances!EA31:Instances!EA31),"min", MIN(Instances!EA31:Instances!EA31),"max", MAX(Instances!EA31:Instances!EA31),"diff", MAX(Instances!EA31:Instances!EA31)-MIN(Instances!EA31:Instances!EA31))</f>
        <v>0</v>
      </c>
      <c r="EB31" s="1" cm="1">
        <f t="array" ref="EB31">_xlfn.SWITCH($A$2,"average", AVERAGE(Instances!EB31:Instances!EB31),"median", MEDIAN(Instances!EB31:Instances!EB31),"min", MIN(Instances!EB31:Instances!EB31),"max", MAX(Instances!EB31:Instances!EB31),"diff", MAX(Instances!EB31:Instances!EB31)-MIN(Instances!EB31:Instances!EB31))</f>
        <v>0</v>
      </c>
      <c r="EC31" s="1" cm="1">
        <f t="array" ref="EC31">_xlfn.SWITCH($A$2,"average", AVERAGE(Instances!EC31:Instances!EC31),"median", MEDIAN(Instances!EC31:Instances!EC31),"min", MIN(Instances!EC31:Instances!EC31),"max", MAX(Instances!EC31:Instances!EC31),"diff", MAX(Instances!EC31:Instances!EC31)-MIN(Instances!EC31:Instances!EC31))</f>
        <v>0</v>
      </c>
      <c r="ED31" s="1" cm="1">
        <f t="array" ref="ED31">_xlfn.SWITCH($A$2,"average", AVERAGE(Instances!ED31:Instances!ED31),"median", MEDIAN(Instances!ED31:Instances!ED31),"min", MIN(Instances!ED31:Instances!ED31),"max", MAX(Instances!ED31:Instances!ED31),"diff", MAX(Instances!ED31:Instances!ED31)-MIN(Instances!ED31:Instances!ED31))</f>
        <v>0</v>
      </c>
      <c r="EE31" s="1" cm="1">
        <f t="array" ref="EE31">_xlfn.SWITCH($A$2,"average", AVERAGE(Instances!EE31:Instances!EE31),"median", MEDIAN(Instances!EE31:Instances!EE31),"min", MIN(Instances!EE31:Instances!EE31),"max", MAX(Instances!EE31:Instances!EE31),"diff", MAX(Instances!EE31:Instances!EE31)-MIN(Instances!EE31:Instances!EE31))</f>
        <v>0</v>
      </c>
      <c r="EF31" s="1" cm="1">
        <f t="array" ref="EF31">_xlfn.SWITCH($A$2,"average", AVERAGE(Instances!EF31:Instances!EF31),"median", MEDIAN(Instances!EF31:Instances!EF31),"min", MIN(Instances!EF31:Instances!EF31),"max", MAX(Instances!EF31:Instances!EF31),"diff", MAX(Instances!EF31:Instances!EF31)-MIN(Instances!EF31:Instances!EF31))</f>
        <v>0</v>
      </c>
      <c r="EG31" s="1" cm="1">
        <f t="array" ref="EG31">_xlfn.SWITCH($A$2,"average", AVERAGE(Instances!EG31:Instances!EG31),"median", MEDIAN(Instances!EG31:Instances!EG31),"min", MIN(Instances!EG31:Instances!EG31),"max", MAX(Instances!EG31:Instances!EG31),"diff", MAX(Instances!EG31:Instances!EG31)-MIN(Instances!EG31:Instances!EG31))</f>
        <v>0</v>
      </c>
      <c r="EH31" s="1" cm="1">
        <f t="array" ref="EH31">_xlfn.SWITCH($A$2,"average", AVERAGE(Instances!EH31:Instances!EH31),"median", MEDIAN(Instances!EH31:Instances!EH31),"min", MIN(Instances!EH31:Instances!EH31),"max", MAX(Instances!EH31:Instances!EH31),"diff", MAX(Instances!EH31:Instances!EH31)-MIN(Instances!EH31:Instances!EH31))</f>
        <v>0</v>
      </c>
      <c r="EI31" s="1" cm="1">
        <f t="array" ref="EI31">_xlfn.SWITCH($A$2,"average", AVERAGE(Instances!EI31:Instances!EI31),"median", MEDIAN(Instances!EI31:Instances!EI31),"min", MIN(Instances!EI31:Instances!EI31),"max", MAX(Instances!EI31:Instances!EI31),"diff", MAX(Instances!EI31:Instances!EI31)-MIN(Instances!EI31:Instances!EI31))</f>
        <v>0</v>
      </c>
      <c r="EJ31" s="1" cm="1">
        <f t="array" ref="EJ31">_xlfn.SWITCH($A$2,"average", AVERAGE(Instances!EJ31:Instances!EJ31),"median", MEDIAN(Instances!EJ31:Instances!EJ31),"min", MIN(Instances!EJ31:Instances!EJ31),"max", MAX(Instances!EJ31:Instances!EJ31),"diff", MAX(Instances!EJ31:Instances!EJ31)-MIN(Instances!EJ31:Instances!EJ31))</f>
        <v>0</v>
      </c>
      <c r="EK31" s="1" cm="1">
        <f t="array" ref="EK31">_xlfn.SWITCH($A$2,"average", AVERAGE(Instances!EK31:Instances!EK31),"median", MEDIAN(Instances!EK31:Instances!EK31),"min", MIN(Instances!EK31:Instances!EK31),"max", MAX(Instances!EK31:Instances!EK31),"diff", MAX(Instances!EK31:Instances!EK31)-MIN(Instances!EK31:Instances!EK31))</f>
        <v>0</v>
      </c>
      <c r="EL31" s="1"/>
      <c r="EM31" s="1" cm="1">
        <f t="array" ref="EM31">_xlfn.SWITCH($A$2,"average", AVERAGE(Instances!EM31:Instances!EM31),"median", MEDIAN(Instances!EM31:Instances!EM31),"min", MIN(Instances!EM31:Instances!EM31),"max", MAX(Instances!EM31:Instances!EM31),"diff", MAX(Instances!EM31:Instances!EM31)-MIN(Instances!EM31:Instances!EM31))</f>
        <v>0</v>
      </c>
      <c r="EN31" s="1" cm="1">
        <f t="array" ref="EN31">_xlfn.SWITCH($A$2,"average", AVERAGE(Instances!EN31:Instances!EN31),"median", MEDIAN(Instances!EN31:Instances!EN31),"min", MIN(Instances!EN31:Instances!EN31),"max", MAX(Instances!EN31:Instances!EN31),"diff", MAX(Instances!EN31:Instances!EN31)-MIN(Instances!EN31:Instances!EN31))</f>
        <v>0</v>
      </c>
      <c r="EO31" s="1" cm="1">
        <f t="array" ref="EO31">_xlfn.SWITCH($A$2,"average", AVERAGE(Instances!EO31:Instances!EO31),"median", MEDIAN(Instances!EO31:Instances!EO31),"min", MIN(Instances!EO31:Instances!EO31),"max", MAX(Instances!EO31:Instances!EO31),"diff", MAX(Instances!EO31:Instances!EO31)-MIN(Instances!EO31:Instances!EO31))</f>
        <v>0</v>
      </c>
      <c r="EP31" s="1" cm="1">
        <f t="array" ref="EP31">_xlfn.SWITCH($A$2,"average", AVERAGE(Instances!EP31:Instances!EP31),"median", MEDIAN(Instances!EP31:Instances!EP31),"min", MIN(Instances!EP31:Instances!EP31),"max", MAX(Instances!EP31:Instances!EP31),"diff", MAX(Instances!EP31:Instances!EP31)-MIN(Instances!EP31:Instances!EP31))</f>
        <v>0</v>
      </c>
      <c r="EQ31" s="1" cm="1">
        <f t="array" ref="EQ31">_xlfn.SWITCH($A$2,"average", AVERAGE(Instances!EQ31:Instances!EQ31),"median", MEDIAN(Instances!EQ31:Instances!EQ31),"min", MIN(Instances!EQ31:Instances!EQ31),"max", MAX(Instances!EQ31:Instances!EQ31),"diff", MAX(Instances!EQ31:Instances!EQ31)-MIN(Instances!EQ31:Instances!EQ31))</f>
        <v>0</v>
      </c>
      <c r="ER31" s="1" cm="1">
        <f t="array" ref="ER31">_xlfn.SWITCH($A$2,"average", AVERAGE(Instances!ER31:Instances!ER31),"median", MEDIAN(Instances!ER31:Instances!ER31),"min", MIN(Instances!ER31:Instances!ER31),"max", MAX(Instances!ER31:Instances!ER31),"diff", MAX(Instances!ER31:Instances!ER31)-MIN(Instances!ER31:Instances!ER31))</f>
        <v>0</v>
      </c>
      <c r="ES31" s="1" cm="1">
        <f t="array" ref="ES31">_xlfn.SWITCH($A$2,"average", AVERAGE(Instances!ES31:Instances!ES31),"median", MEDIAN(Instances!ES31:Instances!ES31),"min", MIN(Instances!ES31:Instances!ES31),"max", MAX(Instances!ES31:Instances!ES31),"diff", MAX(Instances!ES31:Instances!ES31)-MIN(Instances!ES31:Instances!ES31))</f>
        <v>0</v>
      </c>
      <c r="ET31" s="1" cm="1">
        <f t="array" ref="ET31">_xlfn.SWITCH($A$2,"average", AVERAGE(Instances!ET31:Instances!ET31),"median", MEDIAN(Instances!ET31:Instances!ET31),"min", MIN(Instances!ET31:Instances!ET31),"max", MAX(Instances!ET31:Instances!ET31),"diff", MAX(Instances!ET31:Instances!ET31)-MIN(Instances!ET31:Instances!ET31))</f>
        <v>0</v>
      </c>
      <c r="EU31" s="1" cm="1">
        <f t="array" ref="EU31">_xlfn.SWITCH($A$2,"average", AVERAGE(Instances!EU31:Instances!EU31),"median", MEDIAN(Instances!EU31:Instances!EU31),"min", MIN(Instances!EU31:Instances!EU31),"max", MAX(Instances!EU31:Instances!EU31),"diff", MAX(Instances!EU31:Instances!EU31)-MIN(Instances!EU31:Instances!EU31))</f>
        <v>0</v>
      </c>
      <c r="EV31" s="1" cm="1">
        <f t="array" ref="EV31">_xlfn.SWITCH($A$2,"average", AVERAGE(Instances!EV31:Instances!EV31),"median", MEDIAN(Instances!EV31:Instances!EV31),"min", MIN(Instances!EV31:Instances!EV31),"max", MAX(Instances!EV31:Instances!EV31),"diff", MAX(Instances!EV31:Instances!EV31)-MIN(Instances!EV31:Instances!EV31))</f>
        <v>0</v>
      </c>
      <c r="EW31" s="1" cm="1">
        <f t="array" ref="EW31">_xlfn.SWITCH($A$2,"average", AVERAGE(Instances!EW31:Instances!EW31),"median", MEDIAN(Instances!EW31:Instances!EW31),"min", MIN(Instances!EW31:Instances!EW31),"max", MAX(Instances!EW31:Instances!EW31),"diff", MAX(Instances!EW31:Instances!EW31)-MIN(Instances!EW31:Instances!EW31))</f>
        <v>0</v>
      </c>
      <c r="EX31" s="1" cm="1">
        <f t="array" ref="EX31">_xlfn.SWITCH($A$2,"average", AVERAGE(Instances!EX31:Instances!EX31),"median", MEDIAN(Instances!EX31:Instances!EX31),"min", MIN(Instances!EX31:Instances!EX31),"max", MAX(Instances!EX31:Instances!EX31),"diff", MAX(Instances!EX31:Instances!EX31)-MIN(Instances!EX31:Instances!EX31))</f>
        <v>0</v>
      </c>
      <c r="EY31" s="1" cm="1">
        <f t="array" ref="EY31">_xlfn.SWITCH($A$2,"average", AVERAGE(Instances!EY31:Instances!EY31),"median", MEDIAN(Instances!EY31:Instances!EY31),"min", MIN(Instances!EY31:Instances!EY31),"max", MAX(Instances!EY31:Instances!EY31),"diff", MAX(Instances!EY31:Instances!EY31)-MIN(Instances!EY31:Instances!EY31))</f>
        <v>0</v>
      </c>
      <c r="EZ31" s="1" cm="1">
        <f t="array" ref="EZ31">_xlfn.SWITCH($A$2,"average", AVERAGE(Instances!EZ31:Instances!EZ31),"median", MEDIAN(Instances!EZ31:Instances!EZ31),"min", MIN(Instances!EZ31:Instances!EZ31),"max", MAX(Instances!EZ31:Instances!EZ31),"diff", MAX(Instances!EZ31:Instances!EZ31)-MIN(Instances!EZ31:Instances!EZ31))</f>
        <v>0</v>
      </c>
      <c r="FA31" s="1" cm="1">
        <f t="array" ref="FA31">_xlfn.SWITCH($A$2,"average", AVERAGE(Instances!FA31:Instances!FA31),"median", MEDIAN(Instances!FA31:Instances!FA31),"min", MIN(Instances!FA31:Instances!FA31),"max", MAX(Instances!FA31:Instances!FA31),"diff", MAX(Instances!FA31:Instances!FA31)-MIN(Instances!FA31:Instances!FA31))</f>
        <v>0</v>
      </c>
      <c r="FB31" s="1" cm="1">
        <f t="array" ref="FB31">_xlfn.SWITCH($A$2,"average", AVERAGE(Instances!FB31:Instances!FB31),"median", MEDIAN(Instances!FB31:Instances!FB31),"min", MIN(Instances!FB31:Instances!FB31),"max", MAX(Instances!FB31:Instances!FB31),"diff", MAX(Instances!FB31:Instances!FB31)-MIN(Instances!FB31:Instances!FB31))</f>
        <v>0</v>
      </c>
      <c r="FC31" s="1" cm="1">
        <f t="array" ref="FC31">_xlfn.SWITCH($A$2,"average", AVERAGE(Instances!FC31:Instances!FC31),"median", MEDIAN(Instances!FC31:Instances!FC31),"min", MIN(Instances!FC31:Instances!FC31),"max", MAX(Instances!FC31:Instances!FC31),"diff", MAX(Instances!FC31:Instances!FC31)-MIN(Instances!FC31:Instances!FC31))</f>
        <v>0</v>
      </c>
      <c r="FD31" s="1"/>
      <c r="FE31" s="1" cm="1">
        <f t="array" ref="FE31">_xlfn.SWITCH($A$2,"average", AVERAGE(Instances!FE31:Instances!FE31),"median", MEDIAN(Instances!FE31:Instances!FE31),"min", MIN(Instances!FE31:Instances!FE31),"max", MAX(Instances!FE31:Instances!FE31),"diff", MAX(Instances!FE31:Instances!FE31)-MIN(Instances!FE31:Instances!FE31))</f>
        <v>0</v>
      </c>
      <c r="FF31" s="1" cm="1">
        <f t="array" ref="FF31">_xlfn.SWITCH($A$2,"average", AVERAGE(Instances!FF31:Instances!FF31),"median", MEDIAN(Instances!FF31:Instances!FF31),"min", MIN(Instances!FF31:Instances!FF31),"max", MAX(Instances!FF31:Instances!FF31),"diff", MAX(Instances!FF31:Instances!FF31)-MIN(Instances!FF31:Instances!FF31))</f>
        <v>0</v>
      </c>
      <c r="FG31" s="1" cm="1">
        <f t="array" ref="FG31">_xlfn.SWITCH($A$2,"average", AVERAGE(Instances!FG31:Instances!FG31),"median", MEDIAN(Instances!FG31:Instances!FG31),"min", MIN(Instances!FG31:Instances!FG31),"max", MAX(Instances!FG31:Instances!FG31),"diff", MAX(Instances!FG31:Instances!FG31)-MIN(Instances!FG31:Instances!FG31))</f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 cm="1">
        <f t="array" ref="FZ31">_xlfn.SWITCH($A$2,"average", AVERAGE(Instances!FZ31:Instances!FZ31),"median", MEDIAN(Instances!FZ31:Instances!FZ31),"min", MIN(Instances!FZ31:Instances!FZ31),"max", MAX(Instances!FZ31:Instances!FZ31),"diff", MAX(Instances!FZ31:Instances!FZ31)-MIN(Instances!FZ31:Instances!FZ31))</f>
        <v>0</v>
      </c>
      <c r="GA31" s="1" cm="1">
        <f t="array" ref="GA31">_xlfn.SWITCH($A$2,"average", AVERAGE(Instances!GA31:Instances!GA31),"median", MEDIAN(Instances!GA31:Instances!GA31),"min", MIN(Instances!GA31:Instances!GA31),"max", MAX(Instances!GA31:Instances!GA31),"diff", MAX(Instances!GA31:Instances!GA31)-MIN(Instances!GA31:Instances!GA31))</f>
        <v>0</v>
      </c>
      <c r="GB31" s="1" cm="1">
        <f t="array" ref="GB31">_xlfn.SWITCH($A$2,"average", AVERAGE(Instances!GB31:Instances!GB31),"median", MEDIAN(Instances!GB31:Instances!GB31),"min", MIN(Instances!GB31:Instances!GB31),"max", MAX(Instances!GB31:Instances!GB31),"diff", MAX(Instances!GB31:Instances!GB31)-MIN(Instances!GB31:Instances!GB31))</f>
        <v>0</v>
      </c>
      <c r="GC31" s="1" cm="1">
        <f t="array" ref="GC31">_xlfn.SWITCH($A$2,"average", AVERAGE(Instances!GC31:Instances!GC31),"median", MEDIAN(Instances!GC31:Instances!GC31),"min", MIN(Instances!GC31:Instances!GC31),"max", MAX(Instances!GC31:Instances!GC31),"diff", MAX(Instances!GC31:Instances!GC31)-MIN(Instances!GC31:Instances!GC31))</f>
        <v>0</v>
      </c>
      <c r="GD31" s="1" cm="1">
        <f t="array" ref="GD31">_xlfn.SWITCH($A$2,"average", AVERAGE(Instances!GD31:Instances!GD31),"median", MEDIAN(Instances!GD31:Instances!GD31),"min", MIN(Instances!GD31:Instances!GD31),"max", MAX(Instances!GD31:Instances!GD31),"diff", MAX(Instances!GD31:Instances!GD31)-MIN(Instances!GD31:Instances!GD31))</f>
        <v>0</v>
      </c>
      <c r="GE31" s="1" cm="1">
        <f t="array" ref="GE31">_xlfn.SWITCH($A$2,"average", AVERAGE(Instances!GE31:Instances!GE31),"median", MEDIAN(Instances!GE31:Instances!GE31),"min", MIN(Instances!GE31:Instances!GE31),"max", MAX(Instances!GE31:Instances!GE31),"diff", MAX(Instances!GE31:Instances!GE31)-MIN(Instances!GE31:Instances!GE31))</f>
        <v>0</v>
      </c>
      <c r="GF31" s="1" cm="1">
        <f t="array" ref="GF31">_xlfn.SWITCH($A$2,"average", AVERAGE(Instances!GF31:Instances!GF31),"median", MEDIAN(Instances!GF31:Instances!GF31),"min", MIN(Instances!GF31:Instances!GF31),"max", MAX(Instances!GF31:Instances!GF31),"diff", MAX(Instances!GF31:Instances!GF31)-MIN(Instances!GF31:Instances!GF31))</f>
        <v>0</v>
      </c>
      <c r="GG31" s="1" cm="1">
        <f t="array" ref="GG31">_xlfn.SWITCH($A$2,"average", AVERAGE(Instances!GG31:Instances!GG31),"median", MEDIAN(Instances!GG31:Instances!GG31),"min", MIN(Instances!GG31:Instances!GG31),"max", MAX(Instances!GG31:Instances!GG31),"diff", MAX(Instances!GG31:Instances!GG31)-MIN(Instances!GG31:Instances!GG31))</f>
        <v>0</v>
      </c>
      <c r="GH31" s="1" cm="1">
        <f t="array" ref="GH31">_xlfn.SWITCH($A$2,"average", AVERAGE(Instances!GH31:Instances!GH31),"median", MEDIAN(Instances!GH31:Instances!GH31),"min", MIN(Instances!GH31:Instances!GH31),"max", MAX(Instances!GH31:Instances!GH31),"diff", MAX(Instances!GH31:Instances!GH31)-MIN(Instances!GH31:Instances!GH31))</f>
        <v>0</v>
      </c>
      <c r="GI31" s="1" cm="1">
        <f t="array" ref="GI31">_xlfn.SWITCH($A$2,"average", AVERAGE(Instances!GI31:Instances!GI31),"median", MEDIAN(Instances!GI31:Instances!GI31),"min", MIN(Instances!GI31:Instances!GI31),"max", MAX(Instances!GI31:Instances!GI31),"diff", MAX(Instances!GI31:Instances!GI31)-MIN(Instances!GI31:Instances!GI31))</f>
        <v>0</v>
      </c>
      <c r="GJ31" s="1" cm="1">
        <f t="array" ref="GJ31">_xlfn.SWITCH($A$2,"average", AVERAGE(Instances!GJ31:Instances!GJ31),"median", MEDIAN(Instances!GJ31:Instances!GJ31),"min", MIN(Instances!GJ31:Instances!GJ31),"max", MAX(Instances!GJ31:Instances!GJ31),"diff", MAX(Instances!GJ31:Instances!GJ31)-MIN(Instances!GJ31:Instances!GJ31))</f>
        <v>0</v>
      </c>
      <c r="GK31" s="1" cm="1">
        <f t="array" ref="GK31">_xlfn.SWITCH($A$2,"average", AVERAGE(Instances!GK31:Instances!GK31),"median", MEDIAN(Instances!GK31:Instances!GK31),"min", MIN(Instances!GK31:Instances!GK31),"max", MAX(Instances!GK31:Instances!GK31),"diff", MAX(Instances!GK31:Instances!GK31)-MIN(Instances!GK31:Instances!GK31))</f>
        <v>0</v>
      </c>
      <c r="GL31" s="1" cm="1">
        <f t="array" ref="GL31">_xlfn.SWITCH($A$2,"average", AVERAGE(Instances!GL31:Instances!GL31),"median", MEDIAN(Instances!GL31:Instances!GL31),"min", MIN(Instances!GL31:Instances!GL31),"max", MAX(Instances!GL31:Instances!GL31),"diff", MAX(Instances!GL31:Instances!GL31)-MIN(Instances!GL31:Instances!GL31))</f>
        <v>0</v>
      </c>
      <c r="GM31" s="1" cm="1">
        <f t="array" ref="GM31">_xlfn.SWITCH($A$2,"average", AVERAGE(Instances!GM31:Instances!GM31),"median", MEDIAN(Instances!GM31:Instances!GM31),"min", MIN(Instances!GM31:Instances!GM31),"max", MAX(Instances!GM31:Instances!GM31),"diff", MAX(Instances!GM31:Instances!GM31)-MIN(Instances!GM31:Instances!GM31))</f>
        <v>0</v>
      </c>
      <c r="GN31" s="1"/>
      <c r="GO31" s="1" cm="1">
        <f t="array" ref="GO31">_xlfn.SWITCH($A$2,"average", AVERAGE(Instances!GO31:Instances!GO31),"median", MEDIAN(Instances!GO31:Instances!GO31),"min", MIN(Instances!GO31:Instances!GO31),"max", MAX(Instances!GO31:Instances!GO31),"diff", MAX(Instances!GO31:Instances!GO31)-MIN(Instances!GO31:Instances!GO31))</f>
        <v>0</v>
      </c>
      <c r="GP31" s="1" cm="1">
        <f t="array" ref="GP31">_xlfn.SWITCH($A$2,"average", AVERAGE(Instances!GP31:Instances!GP31),"median", MEDIAN(Instances!GP31:Instances!GP31),"min", MIN(Instances!GP31:Instances!GP31),"max", MAX(Instances!GP31:Instances!GP31),"diff", MAX(Instances!GP31:Instances!GP31)-MIN(Instances!GP31:Instances!GP31))</f>
        <v>0</v>
      </c>
      <c r="GQ31" s="1" cm="1">
        <f t="array" ref="GQ31">_xlfn.SWITCH($A$2,"average", AVERAGE(Instances!GQ31:Instances!GQ31),"median", MEDIAN(Instances!GQ31:Instances!GQ31),"min", MIN(Instances!GQ31:Instances!GQ31),"max", MAX(Instances!GQ31:Instances!GQ31),"diff", MAX(Instances!GQ31:Instances!GQ31)-MIN(Instances!GQ31:Instances!GQ31))</f>
        <v>0</v>
      </c>
      <c r="GR31" s="1" cm="1">
        <f t="array" ref="GR31">_xlfn.SWITCH($A$2,"average", AVERAGE(Instances!GR31:Instances!GR31),"median", MEDIAN(Instances!GR31:Instances!GR31),"min", MIN(Instances!GR31:Instances!GR31),"max", MAX(Instances!GR31:Instances!GR31),"diff", MAX(Instances!GR31:Instances!GR31)-MIN(Instances!GR31:Instances!GR31))</f>
        <v>0</v>
      </c>
      <c r="GS31" s="1" cm="1">
        <f t="array" ref="GS31">_xlfn.SWITCH($A$2,"average", AVERAGE(Instances!GS31:Instances!GS31),"median", MEDIAN(Instances!GS31:Instances!GS31),"min", MIN(Instances!GS31:Instances!GS31),"max", MAX(Instances!GS31:Instances!GS31),"diff", MAX(Instances!GS31:Instances!GS31)-MIN(Instances!GS31:Instances!GS31))</f>
        <v>0</v>
      </c>
      <c r="GT31" s="1" cm="1">
        <f t="array" ref="GT31">_xlfn.SWITCH($A$2,"average", AVERAGE(Instances!GT31:Instances!GT31),"median", MEDIAN(Instances!GT31:Instances!GT31),"min", MIN(Instances!GT31:Instances!GT31),"max", MAX(Instances!GT31:Instances!GT31),"diff", MAX(Instances!GT31:Instances!GT31)-MIN(Instances!GT31:Instances!GT31))</f>
        <v>0</v>
      </c>
      <c r="GU31" s="1" cm="1">
        <f t="array" ref="GU31">_xlfn.SWITCH($A$2,"average", AVERAGE(Instances!GU31:Instances!GU31),"median", MEDIAN(Instances!GU31:Instances!GU31),"min", MIN(Instances!GU31:Instances!GU31),"max", MAX(Instances!GU31:Instances!GU31),"diff", MAX(Instances!GU31:Instances!GU31)-MIN(Instances!GU31:Instances!GU31))</f>
        <v>0</v>
      </c>
      <c r="GV31" s="1" cm="1">
        <f t="array" ref="GV31">_xlfn.SWITCH($A$2,"average", AVERAGE(Instances!GV31:Instances!GV31),"median", MEDIAN(Instances!GV31:Instances!GV31),"min", MIN(Instances!GV31:Instances!GV31),"max", MAX(Instances!GV31:Instances!GV31),"diff", MAX(Instances!GV31:Instances!GV31)-MIN(Instances!GV31:Instances!GV31))</f>
        <v>0</v>
      </c>
      <c r="GW31" s="1" cm="1">
        <f t="array" ref="GW31">_xlfn.SWITCH($A$2,"average", AVERAGE(Instances!GW31:Instances!GW31),"median", MEDIAN(Instances!GW31:Instances!GW31),"min", MIN(Instances!GW31:Instances!GW31),"max", MAX(Instances!GW31:Instances!GW31),"diff", MAX(Instances!GW31:Instances!GW31)-MIN(Instances!GW31:Instances!GW31))</f>
        <v>0</v>
      </c>
      <c r="GX31" s="1" cm="1">
        <f t="array" ref="GX31">_xlfn.SWITCH($A$2,"average", AVERAGE(Instances!GX31:Instances!GX31),"median", MEDIAN(Instances!GX31:Instances!GX31),"min", MIN(Instances!GX31:Instances!GX31),"max", MAX(Instances!GX31:Instances!GX31),"diff", MAX(Instances!GX31:Instances!GX31)-MIN(Instances!GX31:Instances!GX31))</f>
        <v>0</v>
      </c>
      <c r="GY31" s="1" cm="1">
        <f t="array" ref="GY31">_xlfn.SWITCH($A$2,"average", AVERAGE(Instances!GY31:Instances!GY31),"median", MEDIAN(Instances!GY31:Instances!GY31),"min", MIN(Instances!GY31:Instances!GY31),"max", MAX(Instances!GY31:Instances!GY31),"diff", MAX(Instances!GY31:Instances!GY31)-MIN(Instances!GY31:Instances!GY31))</f>
        <v>0</v>
      </c>
      <c r="GZ31" s="1" cm="1">
        <f t="array" ref="GZ31">_xlfn.SWITCH($A$2,"average", AVERAGE(Instances!GZ31:Instances!GZ31),"median", MEDIAN(Instances!GZ31:Instances!GZ31),"min", MIN(Instances!GZ31:Instances!GZ31),"max", MAX(Instances!GZ31:Instances!GZ31),"diff", MAX(Instances!GZ31:Instances!GZ31)-MIN(Instances!GZ31:Instances!GZ31))</f>
        <v>0</v>
      </c>
      <c r="HA31" s="1" cm="1">
        <f t="array" ref="HA31">_xlfn.SWITCH($A$2,"average", AVERAGE(Instances!HA31:Instances!HA31),"median", MEDIAN(Instances!HA31:Instances!HA31),"min", MIN(Instances!HA31:Instances!HA31),"max", MAX(Instances!HA31:Instances!HA31),"diff", MAX(Instances!HA31:Instances!HA31)-MIN(Instances!HA31:Instances!HA31))</f>
        <v>0</v>
      </c>
      <c r="HB31" s="1" cm="1">
        <f t="array" ref="HB31">_xlfn.SWITCH($A$2,"average", AVERAGE(Instances!HB31:Instances!HB31),"median", MEDIAN(Instances!HB31:Instances!HB31),"min", MIN(Instances!HB31:Instances!HB31),"max", MAX(Instances!HB31:Instances!HB31),"diff", MAX(Instances!HB31:Instances!HB31)-MIN(Instances!HB31:Instances!HB31))</f>
        <v>0</v>
      </c>
      <c r="HC31" s="1" cm="1">
        <f t="array" ref="HC31">_xlfn.SWITCH($A$2,"average", AVERAGE(Instances!HC31:Instances!HC31),"median", MEDIAN(Instances!HC31:Instances!HC31),"min", MIN(Instances!HC31:Instances!HC31),"max", MAX(Instances!HC31:Instances!HC31),"diff", MAX(Instances!HC31:Instances!HC31)-MIN(Instances!HC31:Instances!HC31))</f>
        <v>0</v>
      </c>
      <c r="HD31" s="1" cm="1">
        <f t="array" ref="HD31">_xlfn.SWITCH($A$2,"average", AVERAGE(Instances!HD31:Instances!HD31),"median", MEDIAN(Instances!HD31:Instances!HD31),"min", MIN(Instances!HD31:Instances!HD31),"max", MAX(Instances!HD31:Instances!HD31),"diff", MAX(Instances!HD31:Instances!HD31)-MIN(Instances!HD31:Instances!HD31))</f>
        <v>0</v>
      </c>
      <c r="HE31" s="1" cm="1">
        <f t="array" ref="HE31">_xlfn.SWITCH($A$2,"average", AVERAGE(Instances!HE31:Instances!HE31),"median", MEDIAN(Instances!HE31:Instances!HE31),"min", MIN(Instances!HE31:Instances!HE31),"max", MAX(Instances!HE31:Instances!HE31),"diff", MAX(Instances!HE31:Instances!HE31)-MIN(Instances!HE31:Instances!HE31))</f>
        <v>0</v>
      </c>
      <c r="HF31" s="1"/>
      <c r="HG31" s="1" cm="1">
        <f t="array" ref="HG31">_xlfn.SWITCH($A$2,"average", AVERAGE(Instances!HG31:Instances!HG31),"median", MEDIAN(Instances!HG31:Instances!HG31),"min", MIN(Instances!HG31:Instances!HG31),"max", MAX(Instances!HG31:Instances!HG31),"diff", MAX(Instances!HG31:Instances!HG31)-MIN(Instances!HG31:Instances!HG31))</f>
        <v>0</v>
      </c>
      <c r="HH31" s="1" cm="1">
        <f t="array" ref="HH31">_xlfn.SWITCH($A$2,"average", AVERAGE(Instances!HH31:Instances!HH31),"median", MEDIAN(Instances!HH31:Instances!HH31),"min", MIN(Instances!HH31:Instances!HH31),"max", MAX(Instances!HH31:Instances!HH31),"diff", MAX(Instances!HH31:Instances!HH31)-MIN(Instances!HH31:Instances!HH31))</f>
        <v>0</v>
      </c>
      <c r="HI31" s="1" cm="1">
        <f t="array" ref="HI31">_xlfn.SWITCH($A$2,"average", AVERAGE(Instances!HI31:Instances!HI31),"median", MEDIAN(Instances!HI31:Instances!HI31),"min", MIN(Instances!HI31:Instances!HI31),"max", MAX(Instances!HI31:Instances!HI31),"diff", MAX(Instances!HI31:Instances!HI31)-MIN(Instances!HI31:Instances!HI31))</f>
        <v>0</v>
      </c>
      <c r="HJ31" s="1" cm="1">
        <f t="array" ref="HJ31">_xlfn.SWITCH($A$2,"average", AVERAGE(Instances!HJ31:Instances!HJ31),"median", MEDIAN(Instances!HJ31:Instances!HJ31),"min", MIN(Instances!HJ31:Instances!HJ31),"max", MAX(Instances!HJ31:Instances!HJ31),"diff", MAX(Instances!HJ31:Instances!HJ31)-MIN(Instances!HJ31:Instances!HJ31))</f>
        <v>0</v>
      </c>
      <c r="HK31" s="1" cm="1">
        <f t="array" ref="HK31">_xlfn.SWITCH($A$2,"average", AVERAGE(Instances!HK31:Instances!HK31),"median", MEDIAN(Instances!HK31:Instances!HK31),"min", MIN(Instances!HK31:Instances!HK31),"max", MAX(Instances!HK31:Instances!HK31),"diff", MAX(Instances!HK31:Instances!HK31)-MIN(Instances!HK31:Instances!HK31))</f>
        <v>0</v>
      </c>
      <c r="HL31" s="1" cm="1">
        <f t="array" ref="HL31">_xlfn.SWITCH($A$2,"average", AVERAGE(Instances!HL31:Instances!HL31),"median", MEDIAN(Instances!HL31:Instances!HL31),"min", MIN(Instances!HL31:Instances!HL31),"max", MAX(Instances!HL31:Instances!HL31),"diff", MAX(Instances!HL31:Instances!HL31)-MIN(Instances!HL31:Instances!HL31))</f>
        <v>0</v>
      </c>
      <c r="HM31" s="1" cm="1">
        <f t="array" ref="HM31">_xlfn.SWITCH($A$2,"average", AVERAGE(Instances!HM31:Instances!HM31),"median", MEDIAN(Instances!HM31:Instances!HM31),"min", MIN(Instances!HM31:Instances!HM31),"max", MAX(Instances!HM31:Instances!HM31),"diff", MAX(Instances!HM31:Instances!HM31)-MIN(Instances!HM31:Instances!HM31))</f>
        <v>0</v>
      </c>
      <c r="HN31" s="1" cm="1">
        <f t="array" ref="HN31">_xlfn.SWITCH($A$2,"average", AVERAGE(Instances!HN31:Instances!HN31),"median", MEDIAN(Instances!HN31:Instances!HN31),"min", MIN(Instances!HN31:Instances!HN31),"max", MAX(Instances!HN31:Instances!HN31),"diff", MAX(Instances!HN31:Instances!HN31)-MIN(Instances!HN31:Instances!HN31))</f>
        <v>0</v>
      </c>
      <c r="HO31" s="1" cm="1">
        <f t="array" ref="HO31">_xlfn.SWITCH($A$2,"average", AVERAGE(Instances!HO31:Instances!HO31),"median", MEDIAN(Instances!HO31:Instances!HO31),"min", MIN(Instances!HO31:Instances!HO31),"max", MAX(Instances!HO31:Instances!HO31),"diff", MAX(Instances!HO31:Instances!HO31)-MIN(Instances!HO31:Instances!HO31))</f>
        <v>0</v>
      </c>
      <c r="HP31" s="1" cm="1">
        <f t="array" ref="HP31">_xlfn.SWITCH($A$2,"average", AVERAGE(Instances!HP31:Instances!HP31),"median", MEDIAN(Instances!HP31:Instances!HP31),"min", MIN(Instances!HP31:Instances!HP31),"max", MAX(Instances!HP31:Instances!HP31),"diff", MAX(Instances!HP31:Instances!HP31)-MIN(Instances!HP31:Instances!HP31))</f>
        <v>0</v>
      </c>
      <c r="HQ31" s="1" cm="1">
        <f t="array" ref="HQ31">_xlfn.SWITCH($A$2,"average", AVERAGE(Instances!HQ31:Instances!HQ31),"median", MEDIAN(Instances!HQ31:Instances!HQ31),"min", MIN(Instances!HQ31:Instances!HQ31),"max", MAX(Instances!HQ31:Instances!HQ31),"diff", MAX(Instances!HQ31:Instances!HQ31)-MIN(Instances!HQ31:Instances!HQ31))</f>
        <v>0</v>
      </c>
      <c r="HR31" s="1" cm="1">
        <f t="array" ref="HR31">_xlfn.SWITCH($A$2,"average", AVERAGE(Instances!HR31:Instances!HR31),"median", MEDIAN(Instances!HR31:Instances!HR31),"min", MIN(Instances!HR31:Instances!HR31),"max", MAX(Instances!HR31:Instances!HR31),"diff", MAX(Instances!HR31:Instances!HR31)-MIN(Instances!HR31:Instances!HR31))</f>
        <v>0</v>
      </c>
      <c r="HS31" s="1" cm="1">
        <f t="array" ref="HS31">_xlfn.SWITCH($A$2,"average", AVERAGE(Instances!HS31:Instances!HS31),"median", MEDIAN(Instances!HS31:Instances!HS31),"min", MIN(Instances!HS31:Instances!HS31),"max", MAX(Instances!HS31:Instances!HS31),"diff", MAX(Instances!HS31:Instances!HS31)-MIN(Instances!HS31:Instances!HS31))</f>
        <v>0</v>
      </c>
      <c r="HT31" s="1" cm="1">
        <f t="array" ref="HT31">_xlfn.SWITCH($A$2,"average", AVERAGE(Instances!HT31:Instances!HT31),"median", MEDIAN(Instances!HT31:Instances!HT31),"min", MIN(Instances!HT31:Instances!HT31),"max", MAX(Instances!HT31:Instances!HT31),"diff", MAX(Instances!HT31:Instances!HT31)-MIN(Instances!HT31:Instances!HT31))</f>
        <v>0</v>
      </c>
      <c r="HU31" s="1" cm="1">
        <f t="array" ref="HU31">_xlfn.SWITCH($A$2,"average", AVERAGE(Instances!HU31:Instances!HU31),"median", MEDIAN(Instances!HU31:Instances!HU31),"min", MIN(Instances!HU31:Instances!HU31),"max", MAX(Instances!HU31:Instances!HU31),"diff", MAX(Instances!HU31:Instances!HU31)-MIN(Instances!HU31:Instances!HU31))</f>
        <v>0</v>
      </c>
      <c r="HV31" s="1" cm="1">
        <f t="array" ref="HV31">_xlfn.SWITCH($A$2,"average", AVERAGE(Instances!HV31:Instances!HV31),"median", MEDIAN(Instances!HV31:Instances!HV31),"min", MIN(Instances!HV31:Instances!HV31),"max", MAX(Instances!HV31:Instances!HV31),"diff", MAX(Instances!HV31:Instances!HV31)-MIN(Instances!HV31:Instances!HV31))</f>
        <v>0</v>
      </c>
      <c r="HW31" s="1" cm="1">
        <f t="array" ref="HW31">_xlfn.SWITCH($A$2,"average", AVERAGE(Instances!HW31:Instances!HW31),"median", MEDIAN(Instances!HW31:Instances!HW31),"min", MIN(Instances!HW31:Instances!HW31),"max", MAX(Instances!HW31:Instances!HW31),"diff", MAX(Instances!HW31:Instances!HW31)-MIN(Instances!HW31:Instances!HW31))</f>
        <v>0</v>
      </c>
      <c r="HX31" s="1"/>
      <c r="HY31" s="1" cm="1">
        <f t="array" ref="HY31">_xlfn.SWITCH($A$2,"average", AVERAGE(Instances!HY31:Instances!HY31),"median", MEDIAN(Instances!HY31:Instances!HY31),"min", MIN(Instances!HY31:Instances!HY31),"max", MAX(Instances!HY31:Instances!HY31),"diff", MAX(Instances!HY31:Instances!HY31)-MIN(Instances!HY31:Instances!HY31))</f>
        <v>0</v>
      </c>
      <c r="HZ31" s="1" cm="1">
        <f t="array" ref="HZ31">_xlfn.SWITCH($A$2,"average", AVERAGE(Instances!HZ31:Instances!HZ31),"median", MEDIAN(Instances!HZ31:Instances!HZ31),"min", MIN(Instances!HZ31:Instances!HZ31),"max", MAX(Instances!HZ31:Instances!HZ31),"diff", MAX(Instances!HZ31:Instances!HZ31)-MIN(Instances!HZ31:Instances!HZ31))</f>
        <v>0</v>
      </c>
      <c r="IA31" s="1" cm="1">
        <f t="array" ref="IA31">_xlfn.SWITCH($A$2,"average", AVERAGE(Instances!IA31:Instances!IA31),"median", MEDIAN(Instances!IA31:Instances!IA31),"min", MIN(Instances!IA31:Instances!IA31),"max", MAX(Instances!IA31:Instances!IA31),"diff", MAX(Instances!IA31:Instances!IA31)-MIN(Instances!IA31:Instances!IA31))</f>
        <v>0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 cm="1">
        <f t="array" ref="JL31">_xlfn.SWITCH($A$2,"average", AVERAGE(Instances!JL31:Instances!JL31),"median", MEDIAN(Instances!JL31:Instances!JL31),"min", MIN(Instances!JL31:Instances!JL31),"max", MAX(Instances!JL31:Instances!JL31),"diff", MAX(Instances!JL31:Instances!JL31)-MIN(Instances!JL31:Instances!JL31))</f>
        <v>0</v>
      </c>
      <c r="JM31" s="1" cm="1">
        <f t="array" ref="JM31">_xlfn.SWITCH($A$2,"average", AVERAGE(Instances!JM31:Instances!JM31),"median", MEDIAN(Instances!JM31:Instances!JM31),"min", MIN(Instances!JM31:Instances!JM31),"max", MAX(Instances!JM31:Instances!JM31),"diff", MAX(Instances!JM31:Instances!JM31)-MIN(Instances!JM31:Instances!JM31))</f>
        <v>0</v>
      </c>
      <c r="JN31" s="1" cm="1">
        <f t="array" ref="JN31">_xlfn.SWITCH($A$2,"average", AVERAGE(Instances!JN31:Instances!JN31),"median", MEDIAN(Instances!JN31:Instances!JN31),"min", MIN(Instances!JN31:Instances!JN31),"max", MAX(Instances!JN31:Instances!JN31),"diff", MAX(Instances!JN31:Instances!JN31)-MIN(Instances!JN31:Instances!JN31))</f>
        <v>0</v>
      </c>
      <c r="JO31" s="1" cm="1">
        <f t="array" ref="JO31">_xlfn.SWITCH($A$2,"average", AVERAGE(Instances!JO31:Instances!JO31),"median", MEDIAN(Instances!JO31:Instances!JO31),"min", MIN(Instances!JO31:Instances!JO31),"max", MAX(Instances!JO31:Instances!JO31),"diff", MAX(Instances!JO31:Instances!JO31)-MIN(Instances!JO31:Instances!JO31))</f>
        <v>0</v>
      </c>
      <c r="JP31" s="1" cm="1">
        <f t="array" ref="JP31">_xlfn.SWITCH($A$2,"average", AVERAGE(Instances!JP31:Instances!JP31),"median", MEDIAN(Instances!JP31:Instances!JP31),"min", MIN(Instances!JP31:Instances!JP31),"max", MAX(Instances!JP31:Instances!JP31),"diff", MAX(Instances!JP31:Instances!JP31)-MIN(Instances!JP31:Instances!JP31))</f>
        <v>0</v>
      </c>
      <c r="JQ31" s="1" cm="1">
        <f t="array" ref="JQ31">_xlfn.SWITCH($A$2,"average", AVERAGE(Instances!JQ31:Instances!JQ31),"median", MEDIAN(Instances!JQ31:Instances!JQ31),"min", MIN(Instances!JQ31:Instances!JQ31),"max", MAX(Instances!JQ31:Instances!JQ31),"diff", MAX(Instances!JQ31:Instances!JQ31)-MIN(Instances!JQ31:Instances!JQ31))</f>
        <v>0</v>
      </c>
      <c r="JR31" s="1" cm="1">
        <f t="array" ref="JR31">_xlfn.SWITCH($A$2,"average", AVERAGE(Instances!JR31:Instances!JR31),"median", MEDIAN(Instances!JR31:Instances!JR31),"min", MIN(Instances!JR31:Instances!JR31),"max", MAX(Instances!JR31:Instances!JR31),"diff", MAX(Instances!JR31:Instances!JR31)-MIN(Instances!JR31:Instances!JR31))</f>
        <v>0</v>
      </c>
      <c r="JS31" s="1" cm="1">
        <f t="array" ref="JS31">_xlfn.SWITCH($A$2,"average", AVERAGE(Instances!JS31:Instances!JS31),"median", MEDIAN(Instances!JS31:Instances!JS31),"min", MIN(Instances!JS31:Instances!JS31),"max", MAX(Instances!JS31:Instances!JS31),"diff", MAX(Instances!JS31:Instances!JS31)-MIN(Instances!JS31:Instances!JS31))</f>
        <v>0</v>
      </c>
      <c r="JT31" s="1" cm="1">
        <f t="array" ref="JT31">_xlfn.SWITCH($A$2,"average", AVERAGE(Instances!JT31:Instances!JT31),"median", MEDIAN(Instances!JT31:Instances!JT31),"min", MIN(Instances!JT31:Instances!JT31),"max", MAX(Instances!JT31:Instances!JT31),"diff", MAX(Instances!JT31:Instances!JT31)-MIN(Instances!JT31:Instances!JT31))</f>
        <v>0</v>
      </c>
      <c r="JU31" s="1" cm="1">
        <f t="array" ref="JU31">_xlfn.SWITCH($A$2,"average", AVERAGE(Instances!JU31:Instances!JU31),"median", MEDIAN(Instances!JU31:Instances!JU31),"min", MIN(Instances!JU31:Instances!JU31),"max", MAX(Instances!JU31:Instances!JU31),"diff", MAX(Instances!JU31:Instances!JU31)-MIN(Instances!JU31:Instances!JU31))</f>
        <v>0</v>
      </c>
      <c r="JV31" s="1" cm="1">
        <f t="array" ref="JV31">_xlfn.SWITCH($A$2,"average", AVERAGE(Instances!JV31:Instances!JV31),"median", MEDIAN(Instances!JV31:Instances!JV31),"min", MIN(Instances!JV31:Instances!JV31),"max", MAX(Instances!JV31:Instances!JV31),"diff", MAX(Instances!JV31:Instances!JV31)-MIN(Instances!JV31:Instances!JV31))</f>
        <v>0</v>
      </c>
      <c r="JW31" s="1" cm="1">
        <f t="array" ref="JW31">_xlfn.SWITCH($A$2,"average", AVERAGE(Instances!JW31:Instances!JW31),"median", MEDIAN(Instances!JW31:Instances!JW31),"min", MIN(Instances!JW31:Instances!JW31),"max", MAX(Instances!JW31:Instances!JW31),"diff", MAX(Instances!JW31:Instances!JW31)-MIN(Instances!JW31:Instances!JW31))</f>
        <v>0</v>
      </c>
      <c r="JX31" s="1" cm="1">
        <f t="array" ref="JX31">_xlfn.SWITCH($A$2,"average", AVERAGE(Instances!JX31:Instances!JX31),"median", MEDIAN(Instances!JX31:Instances!JX31),"min", MIN(Instances!JX31:Instances!JX31),"max", MAX(Instances!JX31:Instances!JX31),"diff", MAX(Instances!JX31:Instances!JX31)-MIN(Instances!JX31:Instances!JX31))</f>
        <v>0</v>
      </c>
      <c r="JY31" s="1" cm="1">
        <f t="array" ref="JY31">_xlfn.SWITCH($A$2,"average", AVERAGE(Instances!JY31:Instances!JY31),"median", MEDIAN(Instances!JY31:Instances!JY31),"min", MIN(Instances!JY31:Instances!JY31),"max", MAX(Instances!JY31:Instances!JY31),"diff", MAX(Instances!JY31:Instances!JY31)-MIN(Instances!JY31:Instances!JY31))</f>
        <v>0</v>
      </c>
      <c r="JZ31" s="1"/>
      <c r="KA31" s="1" cm="1">
        <f t="array" ref="KA31">_xlfn.SWITCH($A$2,"average", AVERAGE(Instances!KA31:Instances!KA31),"median", MEDIAN(Instances!KA31:Instances!KA31),"min", MIN(Instances!KA31:Instances!KA31),"max", MAX(Instances!KA31:Instances!KA31),"diff", MAX(Instances!KA31:Instances!KA31)-MIN(Instances!KA31:Instances!KA31))</f>
        <v>0</v>
      </c>
      <c r="KB31" s="1" cm="1">
        <f t="array" ref="KB31">_xlfn.SWITCH($A$2,"average", AVERAGE(Instances!KB31:Instances!KB31),"median", MEDIAN(Instances!KB31:Instances!KB31),"min", MIN(Instances!KB31:Instances!KB31),"max", MAX(Instances!KB31:Instances!KB31),"diff", MAX(Instances!KB31:Instances!KB31)-MIN(Instances!KB31:Instances!KB31))</f>
        <v>0</v>
      </c>
      <c r="KC31" s="1" cm="1">
        <f t="array" ref="KC31">_xlfn.SWITCH($A$2,"average", AVERAGE(Instances!KC31:Instances!KC31),"median", MEDIAN(Instances!KC31:Instances!KC31),"min", MIN(Instances!KC31:Instances!KC31),"max", MAX(Instances!KC31:Instances!KC31),"diff", MAX(Instances!KC31:Instances!KC31)-MIN(Instances!KC31:Instances!KC31))</f>
        <v>0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 cm="1">
        <f t="array" ref="L32">_xlfn.SWITCH($A$2,"average", AVERAGE(Instances!L32:Instances!L32),"median", MEDIAN(Instances!L32:Instances!L32),"min", MIN(Instances!L32:Instances!L32),"max", MAX(Instances!L32:Instances!L32),"diff", MAX(Instances!L32:Instances!L32)-MIN(Instances!L32:Instances!L32))</f>
        <v>0</v>
      </c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 cm="1">
        <f t="array" ref="O32">_xlfn.SWITCH($A$2,"average", AVERAGE(Instances!O32:Instances!O32),"median", MEDIAN(Instances!O32:Instances!O32),"min", MIN(Instances!O32:Instances!O32),"max", MAX(Instances!O32:Instances!O32),"diff", MAX(Instances!O32:Instances!O32)-MIN(Instances!O32:Instances!O32))</f>
        <v>0</v>
      </c>
      <c r="P32" s="1"/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 cm="1">
        <f t="array" ref="S32">_xlfn.SWITCH($A$2,"average", AVERAGE(Instances!S32:Instances!S32),"median", MEDIAN(Instances!S32:Instances!S32),"min", MIN(Instances!S32:Instances!S32),"max", MAX(Instances!S32:Instances!S32),"diff", MAX(Instances!S32:Instances!S32)-MIN(Instances!S32:Instances!S32))</f>
        <v>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 cm="1">
        <f t="array" ref="AL32">_xlfn.SWITCH($A$2,"average", AVERAGE(Instances!AL32:Instances!AL32),"median", MEDIAN(Instances!AL32:Instances!AL32),"min", MIN(Instances!AL32:Instances!AL32),"max", MAX(Instances!AL32:Instances!AL32),"diff", MAX(Instances!AL32:Instances!AL32)-MIN(Instances!AL32:Instances!AL32))</f>
        <v>0</v>
      </c>
      <c r="AM32" s="1" cm="1">
        <f t="array" ref="AM32">_xlfn.SWITCH($A$2,"average", AVERAGE(Instances!AM32:Instances!AM32),"median", MEDIAN(Instances!AM32:Instances!AM32),"min", MIN(Instances!AM32:Instances!AM32),"max", MAX(Instances!AM32:Instances!AM32),"diff", MAX(Instances!AM32:Instances!AM32)-MIN(Instances!AM32:Instances!AM32))</f>
        <v>0</v>
      </c>
      <c r="AN32" s="1" cm="1">
        <f t="array" ref="AN32">_xlfn.SWITCH($A$2,"average", AVERAGE(Instances!AN32:Instances!AN32),"median", MEDIAN(Instances!AN32:Instances!AN32),"min", MIN(Instances!AN32:Instances!AN32),"max", MAX(Instances!AN32:Instances!AN32),"diff", MAX(Instances!AN32:Instances!AN32)-MIN(Instances!AN32:Instances!AN32))</f>
        <v>0</v>
      </c>
      <c r="AO32" s="1" cm="1">
        <f t="array" ref="AO32">_xlfn.SWITCH($A$2,"average", AVERAGE(Instances!AO32:Instances!AO32),"median", MEDIAN(Instances!AO32:Instances!AO32),"min", MIN(Instances!AO32:Instances!AO32),"max", MAX(Instances!AO32:Instances!AO32),"diff", MAX(Instances!AO32:Instances!AO32)-MIN(Instances!AO32:Instances!AO32))</f>
        <v>0</v>
      </c>
      <c r="AP32" s="1" cm="1">
        <f t="array" ref="AP32">_xlfn.SWITCH($A$2,"average", AVERAGE(Instances!AP32:Instances!AP32),"median", MEDIAN(Instances!AP32:Instances!AP32),"min", MIN(Instances!AP32:Instances!AP32),"max", MAX(Instances!AP32:Instances!AP32),"diff", MAX(Instances!AP32:Instances!AP32)-MIN(Instances!AP32:Instances!AP32))</f>
        <v>0</v>
      </c>
      <c r="AQ32" s="1" cm="1">
        <f t="array" ref="AQ32">_xlfn.SWITCH($A$2,"average", AVERAGE(Instances!AQ32:Instances!AQ32),"median", MEDIAN(Instances!AQ32:Instances!AQ32),"min", MIN(Instances!AQ32:Instances!AQ32),"max", MAX(Instances!AQ32:Instances!AQ32),"diff", MAX(Instances!AQ32:Instances!AQ32)-MIN(Instances!AQ32:Instances!AQ32))</f>
        <v>0</v>
      </c>
      <c r="AR32" s="1" cm="1">
        <f t="array" ref="AR32">_xlfn.SWITCH($A$2,"average", AVERAGE(Instances!AR32:Instances!AR32),"median", MEDIAN(Instances!AR32:Instances!AR32),"min", MIN(Instances!AR32:Instances!AR32),"max", MAX(Instances!AR32:Instances!AR32),"diff", MAX(Instances!AR32:Instances!AR32)-MIN(Instances!AR32:Instances!AR32))</f>
        <v>0</v>
      </c>
      <c r="AS32" s="1" cm="1">
        <f t="array" ref="AS32">_xlfn.SWITCH($A$2,"average", AVERAGE(Instances!AS32:Instances!AS32),"median", MEDIAN(Instances!AS32:Instances!AS32),"min", MIN(Instances!AS32:Instances!AS32),"max", MAX(Instances!AS32:Instances!AS32),"diff", MAX(Instances!AS32:Instances!AS32)-MIN(Instances!AS32:Instances!AS32))</f>
        <v>0</v>
      </c>
      <c r="AT32" s="1" cm="1">
        <f t="array" ref="AT32">_xlfn.SWITCH($A$2,"average", AVERAGE(Instances!AT32:Instances!AT32),"median", MEDIAN(Instances!AT32:Instances!AT32),"min", MIN(Instances!AT32:Instances!AT32),"max", MAX(Instances!AT32:Instances!AT32),"diff", MAX(Instances!AT32:Instances!AT32)-MIN(Instances!AT32:Instances!AT32))</f>
        <v>0</v>
      </c>
      <c r="AU32" s="1" cm="1">
        <f t="array" ref="AU32">_xlfn.SWITCH($A$2,"average", AVERAGE(Instances!AU32:Instances!AU32),"median", MEDIAN(Instances!AU32:Instances!AU32),"min", MIN(Instances!AU32:Instances!AU32),"max", MAX(Instances!AU32:Instances!AU32),"diff", MAX(Instances!AU32:Instances!AU32)-MIN(Instances!AU32:Instances!AU32))</f>
        <v>0</v>
      </c>
      <c r="AV32" s="1" cm="1">
        <f t="array" ref="AV32">_xlfn.SWITCH($A$2,"average", AVERAGE(Instances!AV32:Instances!AV32),"median", MEDIAN(Instances!AV32:Instances!AV32),"min", MIN(Instances!AV32:Instances!AV32),"max", MAX(Instances!AV32:Instances!AV32),"diff", MAX(Instances!AV32:Instances!AV32)-MIN(Instances!AV32:Instances!AV32))</f>
        <v>0</v>
      </c>
      <c r="AW32" s="1" cm="1">
        <f t="array" ref="AW32">_xlfn.SWITCH($A$2,"average", AVERAGE(Instances!AW32:Instances!AW32),"median", MEDIAN(Instances!AW32:Instances!AW32),"min", MIN(Instances!AW32:Instances!AW32),"max", MAX(Instances!AW32:Instances!AW32),"diff", MAX(Instances!AW32:Instances!AW32)-MIN(Instances!AW32:Instances!AW32))</f>
        <v>0</v>
      </c>
      <c r="AX32" s="1" cm="1">
        <f t="array" ref="AX32">_xlfn.SWITCH($A$2,"average", AVERAGE(Instances!AX32:Instances!AX32),"median", MEDIAN(Instances!AX32:Instances!AX32),"min", MIN(Instances!AX32:Instances!AX32),"max", MAX(Instances!AX32:Instances!AX32),"diff", MAX(Instances!AX32:Instances!AX32)-MIN(Instances!AX32:Instances!AX32))</f>
        <v>0</v>
      </c>
      <c r="AY32" s="1" cm="1">
        <f t="array" ref="AY32">_xlfn.SWITCH($A$2,"average", AVERAGE(Instances!AY32:Instances!AY32),"median", MEDIAN(Instances!AY32:Instances!AY32),"min", MIN(Instances!AY32:Instances!AY32),"max", MAX(Instances!AY32:Instances!AY32),"diff", MAX(Instances!AY32:Instances!AY32)-MIN(Instances!AY32:Instances!AY32))</f>
        <v>0</v>
      </c>
      <c r="AZ32" s="1"/>
      <c r="BA32" s="1" cm="1">
        <f t="array" ref="BA32">_xlfn.SWITCH($A$2,"average", AVERAGE(Instances!BA32:Instances!BA32),"median", MEDIAN(Instances!BA32:Instances!BA32),"min", MIN(Instances!BA32:Instances!BA32),"max", MAX(Instances!BA32:Instances!BA32),"diff", MAX(Instances!BA32:Instances!BA32)-MIN(Instances!BA32:Instances!BA32))</f>
        <v>0</v>
      </c>
      <c r="BB32" s="1" cm="1">
        <f t="array" ref="BB32">_xlfn.SWITCH($A$2,"average", AVERAGE(Instances!BB32:Instances!BB32),"median", MEDIAN(Instances!BB32:Instances!BB32),"min", MIN(Instances!BB32:Instances!BB32),"max", MAX(Instances!BB32:Instances!BB32),"diff", MAX(Instances!BB32:Instances!BB32)-MIN(Instances!BB32:Instances!BB32))</f>
        <v>0</v>
      </c>
      <c r="BC32" s="1" cm="1">
        <f t="array" ref="BC32">_xlfn.SWITCH($A$2,"average", AVERAGE(Instances!BC32:Instances!BC32),"median", MEDIAN(Instances!BC32:Instances!BC32),"min", MIN(Instances!BC32:Instances!BC32),"max", MAX(Instances!BC32:Instances!BC32),"diff", MAX(Instances!BC32:Instances!BC32)-MIN(Instances!BC32:Instances!BC32))</f>
        <v>0</v>
      </c>
      <c r="BD32" s="1" cm="1">
        <f t="array" ref="BD32">_xlfn.SWITCH($A$2,"average", AVERAGE(Instances!BD32:Instances!BD32),"median", MEDIAN(Instances!BD32:Instances!BD32),"min", MIN(Instances!BD32:Instances!BD32),"max", MAX(Instances!BD32:Instances!BD32),"diff", MAX(Instances!BD32:Instances!BD32)-MIN(Instances!BD32:Instances!BD32))</f>
        <v>0</v>
      </c>
      <c r="BE32" s="1" cm="1">
        <f t="array" ref="BE32">_xlfn.SWITCH($A$2,"average", AVERAGE(Instances!BE32:Instances!BE32),"median", MEDIAN(Instances!BE32:Instances!BE32),"min", MIN(Instances!BE32:Instances!BE32),"max", MAX(Instances!BE32:Instances!BE32),"diff", MAX(Instances!BE32:Instances!BE32)-MIN(Instances!BE32:Instances!BE32))</f>
        <v>0</v>
      </c>
      <c r="BF32" s="1" cm="1">
        <f t="array" ref="BF32">_xlfn.SWITCH($A$2,"average", AVERAGE(Instances!BF32:Instances!BF32),"median", MEDIAN(Instances!BF32:Instances!BF32),"min", MIN(Instances!BF32:Instances!BF32),"max", MAX(Instances!BF32:Instances!BF32),"diff", MAX(Instances!BF32:Instances!BF32)-MIN(Instances!BF32:Instances!BF32))</f>
        <v>0</v>
      </c>
      <c r="BG32" s="1" cm="1">
        <f t="array" ref="BG32">_xlfn.SWITCH($A$2,"average", AVERAGE(Instances!BG32:Instances!BG32),"median", MEDIAN(Instances!BG32:Instances!BG32),"min", MIN(Instances!BG32:Instances!BG32),"max", MAX(Instances!BG32:Instances!BG32),"diff", MAX(Instances!BG32:Instances!BG32)-MIN(Instances!BG32:Instances!BG32))</f>
        <v>0</v>
      </c>
      <c r="BH32" s="1" cm="1">
        <f t="array" ref="BH32">_xlfn.SWITCH($A$2,"average", AVERAGE(Instances!BH32:Instances!BH32),"median", MEDIAN(Instances!BH32:Instances!BH32),"min", MIN(Instances!BH32:Instances!BH32),"max", MAX(Instances!BH32:Instances!BH32),"diff", MAX(Instances!BH32:Instances!BH32)-MIN(Instances!BH32:Instances!BH32))</f>
        <v>0</v>
      </c>
      <c r="BI32" s="1" cm="1">
        <f t="array" ref="BI32">_xlfn.SWITCH($A$2,"average", AVERAGE(Instances!BI32:Instances!BI32),"median", MEDIAN(Instances!BI32:Instances!BI32),"min", MIN(Instances!BI32:Instances!BI32),"max", MAX(Instances!BI32:Instances!BI32),"diff", MAX(Instances!BI32:Instances!BI32)-MIN(Instances!BI32:Instances!BI32))</f>
        <v>0</v>
      </c>
      <c r="BJ32" s="1" cm="1">
        <f t="array" ref="BJ32">_xlfn.SWITCH($A$2,"average", AVERAGE(Instances!BJ32:Instances!BJ32),"median", MEDIAN(Instances!BJ32:Instances!BJ32),"min", MIN(Instances!BJ32:Instances!BJ32),"max", MAX(Instances!BJ32:Instances!BJ32),"diff", MAX(Instances!BJ32:Instances!BJ32)-MIN(Instances!BJ32:Instances!BJ32))</f>
        <v>0</v>
      </c>
      <c r="BK32" s="1" cm="1">
        <f t="array" ref="BK32">_xlfn.SWITCH($A$2,"average", AVERAGE(Instances!BK32:Instances!BK32),"median", MEDIAN(Instances!BK32:Instances!BK32),"min", MIN(Instances!BK32:Instances!BK32),"max", MAX(Instances!BK32:Instances!BK32),"diff", MAX(Instances!BK32:Instances!BK32)-MIN(Instances!BK32:Instances!BK32))</f>
        <v>0</v>
      </c>
      <c r="BL32" s="1" cm="1">
        <f t="array" ref="BL32">_xlfn.SWITCH($A$2,"average", AVERAGE(Instances!BL32:Instances!BL32),"median", MEDIAN(Instances!BL32:Instances!BL32),"min", MIN(Instances!BL32:Instances!BL32),"max", MAX(Instances!BL32:Instances!BL32),"diff", MAX(Instances!BL32:Instances!BL32)-MIN(Instances!BL32:Instances!BL32))</f>
        <v>0</v>
      </c>
      <c r="BM32" s="1" cm="1">
        <f t="array" ref="BM32">_xlfn.SWITCH($A$2,"average", AVERAGE(Instances!BM32:Instances!BM32),"median", MEDIAN(Instances!BM32:Instances!BM32),"min", MIN(Instances!BM32:Instances!BM32),"max", MAX(Instances!BM32:Instances!BM32),"diff", MAX(Instances!BM32:Instances!BM32)-MIN(Instances!BM32:Instances!BM32))</f>
        <v>0</v>
      </c>
      <c r="BN32" s="1" cm="1">
        <f t="array" ref="BN32">_xlfn.SWITCH($A$2,"average", AVERAGE(Instances!BN32:Instances!BN32),"median", MEDIAN(Instances!BN32:Instances!BN32),"min", MIN(Instances!BN32:Instances!BN32),"max", MAX(Instances!BN32:Instances!BN32),"diff", MAX(Instances!BN32:Instances!BN32)-MIN(Instances!BN32:Instances!BN32))</f>
        <v>0</v>
      </c>
      <c r="BO32" s="1" cm="1">
        <f t="array" ref="BO32">_xlfn.SWITCH($A$2,"average", AVERAGE(Instances!BO32:Instances!BO32),"median", MEDIAN(Instances!BO32:Instances!BO32),"min", MIN(Instances!BO32:Instances!BO32),"max", MAX(Instances!BO32:Instances!BO32),"diff", MAX(Instances!BO32:Instances!BO32)-MIN(Instances!BO32:Instances!BO32))</f>
        <v>0</v>
      </c>
      <c r="BP32" s="1" cm="1">
        <f t="array" ref="BP32">_xlfn.SWITCH($A$2,"average", AVERAGE(Instances!BP32:Instances!BP32),"median", MEDIAN(Instances!BP32:Instances!BP32),"min", MIN(Instances!BP32:Instances!BP32),"max", MAX(Instances!BP32:Instances!BP32),"diff", MAX(Instances!BP32:Instances!BP32)-MIN(Instances!BP32:Instances!BP32))</f>
        <v>0</v>
      </c>
      <c r="BQ32" s="1" cm="1">
        <f t="array" ref="BQ32">_xlfn.SWITCH($A$2,"average", AVERAGE(Instances!BQ32:Instances!BQ32),"median", MEDIAN(Instances!BQ32:Instances!BQ32),"min", MIN(Instances!BQ32:Instances!BQ32),"max", MAX(Instances!BQ32:Instances!BQ32),"diff", MAX(Instances!BQ32:Instances!BQ32)-MIN(Instances!BQ32:Instances!BQ32))</f>
        <v>0</v>
      </c>
      <c r="BR32" s="1"/>
      <c r="BS32" s="1" cm="1">
        <f t="array" ref="BS32">_xlfn.SWITCH($A$2,"average", AVERAGE(Instances!BS32:Instances!BS32),"median", MEDIAN(Instances!BS32:Instances!BS32),"min", MIN(Instances!BS32:Instances!BS32),"max", MAX(Instances!BS32:Instances!BS32),"diff", MAX(Instances!BS32:Instances!BS32)-MIN(Instances!BS32:Instances!BS32))</f>
        <v>0</v>
      </c>
      <c r="BT32" s="1" cm="1">
        <f t="array" ref="BT32">_xlfn.SWITCH($A$2,"average", AVERAGE(Instances!BT32:Instances!BT32),"median", MEDIAN(Instances!BT32:Instances!BT32),"min", MIN(Instances!BT32:Instances!BT32),"max", MAX(Instances!BT32:Instances!BT32),"diff", MAX(Instances!BT32:Instances!BT32)-MIN(Instances!BT32:Instances!BT32))</f>
        <v>0</v>
      </c>
      <c r="BU32" s="1" cm="1">
        <f t="array" ref="BU32">_xlfn.SWITCH($A$2,"average", AVERAGE(Instances!BU32:Instances!BU32),"median", MEDIAN(Instances!BU32:Instances!BU32),"min", MIN(Instances!BU32:Instances!BU32),"max", MAX(Instances!BU32:Instances!BU32),"diff", MAX(Instances!BU32:Instances!BU32)-MIN(Instances!BU32:Instances!BU32))</f>
        <v>0</v>
      </c>
      <c r="BV32" s="1" cm="1">
        <f t="array" ref="BV32">_xlfn.SWITCH($A$2,"average", AVERAGE(Instances!BV32:Instances!BV32),"median", MEDIAN(Instances!BV32:Instances!BV32),"min", MIN(Instances!BV32:Instances!BV32),"max", MAX(Instances!BV32:Instances!BV32),"diff", MAX(Instances!BV32:Instances!BV32)-MIN(Instances!BV32:Instances!BV32))</f>
        <v>0</v>
      </c>
      <c r="BW32" s="1" cm="1">
        <f t="array" ref="BW32">_xlfn.SWITCH($A$2,"average", AVERAGE(Instances!BW32:Instances!BW32),"median", MEDIAN(Instances!BW32:Instances!BW32),"min", MIN(Instances!BW32:Instances!BW32),"max", MAX(Instances!BW32:Instances!BW32),"diff", MAX(Instances!BW32:Instances!BW32)-MIN(Instances!BW32:Instances!BW32))</f>
        <v>0</v>
      </c>
      <c r="BX32" s="1" cm="1">
        <f t="array" ref="BX32">_xlfn.SWITCH($A$2,"average", AVERAGE(Instances!BX32:Instances!BX32),"median", MEDIAN(Instances!BX32:Instances!BX32),"min", MIN(Instances!BX32:Instances!BX32),"max", MAX(Instances!BX32:Instances!BX32),"diff", MAX(Instances!BX32:Instances!BX32)-MIN(Instances!BX32:Instances!BX32))</f>
        <v>0</v>
      </c>
      <c r="BY32" s="1" cm="1">
        <f t="array" ref="BY32">_xlfn.SWITCH($A$2,"average", AVERAGE(Instances!BY32:Instances!BY32),"median", MEDIAN(Instances!BY32:Instances!BY32),"min", MIN(Instances!BY32:Instances!BY32),"max", MAX(Instances!BY32:Instances!BY32),"diff", MAX(Instances!BY32:Instances!BY32)-MIN(Instances!BY32:Instances!BY32))</f>
        <v>0</v>
      </c>
      <c r="BZ32" s="1" cm="1">
        <f t="array" ref="BZ32">_xlfn.SWITCH($A$2,"average", AVERAGE(Instances!BZ32:Instances!BZ32),"median", MEDIAN(Instances!BZ32:Instances!BZ32),"min", MIN(Instances!BZ32:Instances!BZ32),"max", MAX(Instances!BZ32:Instances!BZ32),"diff", MAX(Instances!BZ32:Instances!BZ32)-MIN(Instances!BZ32:Instances!BZ32))</f>
        <v>0</v>
      </c>
      <c r="CA32" s="1" cm="1">
        <f t="array" ref="CA32">_xlfn.SWITCH($A$2,"average", AVERAGE(Instances!CA32:Instances!CA32),"median", MEDIAN(Instances!CA32:Instances!CA32),"min", MIN(Instances!CA32:Instances!CA32),"max", MAX(Instances!CA32:Instances!CA32),"diff", MAX(Instances!CA32:Instances!CA32)-MIN(Instances!CA32:Instances!CA32))</f>
        <v>0</v>
      </c>
      <c r="CB32" s="1" cm="1">
        <f t="array" ref="CB32">_xlfn.SWITCH($A$2,"average", AVERAGE(Instances!CB32:Instances!CB32),"median", MEDIAN(Instances!CB32:Instances!CB32),"min", MIN(Instances!CB32:Instances!CB32),"max", MAX(Instances!CB32:Instances!CB32),"diff", MAX(Instances!CB32:Instances!CB32)-MIN(Instances!CB32:Instances!CB32))</f>
        <v>0</v>
      </c>
      <c r="CC32" s="1" cm="1">
        <f t="array" ref="CC32">_xlfn.SWITCH($A$2,"average", AVERAGE(Instances!CC32:Instances!CC32),"median", MEDIAN(Instances!CC32:Instances!CC32),"min", MIN(Instances!CC32:Instances!CC32),"max", MAX(Instances!CC32:Instances!CC32),"diff", MAX(Instances!CC32:Instances!CC32)-MIN(Instances!CC32:Instances!CC32))</f>
        <v>0</v>
      </c>
      <c r="CD32" s="1" cm="1">
        <f t="array" ref="CD32">_xlfn.SWITCH($A$2,"average", AVERAGE(Instances!CD32:Instances!CD32),"median", MEDIAN(Instances!CD32:Instances!CD32),"min", MIN(Instances!CD32:Instances!CD32),"max", MAX(Instances!CD32:Instances!CD32),"diff", MAX(Instances!CD32:Instances!CD32)-MIN(Instances!CD32:Instances!CD32))</f>
        <v>0</v>
      </c>
      <c r="CE32" s="1" cm="1">
        <f t="array" ref="CE32">_xlfn.SWITCH($A$2,"average", AVERAGE(Instances!CE32:Instances!CE32),"median", MEDIAN(Instances!CE32:Instances!CE32),"min", MIN(Instances!CE32:Instances!CE32),"max", MAX(Instances!CE32:Instances!CE32),"diff", MAX(Instances!CE32:Instances!CE32)-MIN(Instances!CE32:Instances!CE32))</f>
        <v>0</v>
      </c>
      <c r="CF32" s="1" cm="1">
        <f t="array" ref="CF32">_xlfn.SWITCH($A$2,"average", AVERAGE(Instances!CF32:Instances!CF32),"median", MEDIAN(Instances!CF32:Instances!CF32),"min", MIN(Instances!CF32:Instances!CF32),"max", MAX(Instances!CF32:Instances!CF32),"diff", MAX(Instances!CF32:Instances!CF32)-MIN(Instances!CF32:Instances!CF32))</f>
        <v>0</v>
      </c>
      <c r="CG32" s="1" cm="1">
        <f t="array" ref="CG32">_xlfn.SWITCH($A$2,"average", AVERAGE(Instances!CG32:Instances!CG32),"median", MEDIAN(Instances!CG32:Instances!CG32),"min", MIN(Instances!CG32:Instances!CG32),"max", MAX(Instances!CG32:Instances!CG32),"diff", MAX(Instances!CG32:Instances!CG32)-MIN(Instances!CG32:Instances!CG32))</f>
        <v>0</v>
      </c>
      <c r="CH32" s="1" cm="1">
        <f t="array" ref="CH32">_xlfn.SWITCH($A$2,"average", AVERAGE(Instances!CH32:Instances!CH32),"median", MEDIAN(Instances!CH32:Instances!CH32),"min", MIN(Instances!CH32:Instances!CH32),"max", MAX(Instances!CH32:Instances!CH32),"diff", MAX(Instances!CH32:Instances!CH32)-MIN(Instances!CH32:Instances!CH32))</f>
        <v>0</v>
      </c>
      <c r="CI32" s="1" cm="1">
        <f t="array" ref="CI32">_xlfn.SWITCH($A$2,"average", AVERAGE(Instances!CI32:Instances!CI32),"median", MEDIAN(Instances!CI32:Instances!CI32),"min", MIN(Instances!CI32:Instances!CI32),"max", MAX(Instances!CI32:Instances!CI32),"diff", MAX(Instances!CI32:Instances!CI32)-MIN(Instances!CI32:Instances!CI32))</f>
        <v>0</v>
      </c>
      <c r="CJ32" s="1"/>
      <c r="CK32" s="1" cm="1">
        <f t="array" ref="CK32">_xlfn.SWITCH($A$2,"average", AVERAGE(Instances!CK32:Instances!CK32),"median", MEDIAN(Instances!CK32:Instances!CK32),"min", MIN(Instances!CK32:Instances!CK32),"max", MAX(Instances!CK32:Instances!CK32),"diff", MAX(Instances!CK32:Instances!CK32)-MIN(Instances!CK32:Instances!CK32))</f>
        <v>0</v>
      </c>
      <c r="CL32" s="1" cm="1">
        <f t="array" ref="CL32">_xlfn.SWITCH($A$2,"average", AVERAGE(Instances!CL32:Instances!CL32),"median", MEDIAN(Instances!CL32:Instances!CL32),"min", MIN(Instances!CL32:Instances!CL32),"max", MAX(Instances!CL32:Instances!CL32),"diff", MAX(Instances!CL32:Instances!CL32)-MIN(Instances!CL32:Instances!CL32))</f>
        <v>0</v>
      </c>
      <c r="CM32" s="1" cm="1">
        <f t="array" ref="CM32">_xlfn.SWITCH($A$2,"average", AVERAGE(Instances!CM32:Instances!CM32),"median", MEDIAN(Instances!CM32:Instances!CM32),"min", MIN(Instances!CM32:Instances!CM32),"max", MAX(Instances!CM32:Instances!CM32),"diff", MAX(Instances!CM32:Instances!CM32)-MIN(Instances!CM32:Instances!CM32))</f>
        <v>0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 cm="1">
        <f t="array" ref="DX32">_xlfn.SWITCH($A$2,"average", AVERAGE(Instances!DX32:Instances!DX32),"median", MEDIAN(Instances!DX32:Instances!DX32),"min", MIN(Instances!DX32:Instances!DX32),"max", MAX(Instances!DX32:Instances!DX32),"diff", MAX(Instances!DX32:Instances!DX32)-MIN(Instances!DX32:Instances!DX32))</f>
        <v>0</v>
      </c>
      <c r="DY32" s="1" cm="1">
        <f t="array" ref="DY32">_xlfn.SWITCH($A$2,"average", AVERAGE(Instances!DY32:Instances!DY32),"median", MEDIAN(Instances!DY32:Instances!DY32),"min", MIN(Instances!DY32:Instances!DY32),"max", MAX(Instances!DY32:Instances!DY32),"diff", MAX(Instances!DY32:Instances!DY32)-MIN(Instances!DY32:Instances!DY32))</f>
        <v>0</v>
      </c>
      <c r="DZ32" s="1" cm="1">
        <f t="array" ref="DZ32">_xlfn.SWITCH($A$2,"average", AVERAGE(Instances!DZ32:Instances!DZ32),"median", MEDIAN(Instances!DZ32:Instances!DZ32),"min", MIN(Instances!DZ32:Instances!DZ32),"max", MAX(Instances!DZ32:Instances!DZ32),"diff", MAX(Instances!DZ32:Instances!DZ32)-MIN(Instances!DZ32:Instances!DZ32))</f>
        <v>0</v>
      </c>
      <c r="EA32" s="1" cm="1">
        <f t="array" ref="EA32">_xlfn.SWITCH($A$2,"average", AVERAGE(Instances!EA32:Instances!EA32),"median", MEDIAN(Instances!EA32:Instances!EA32),"min", MIN(Instances!EA32:Instances!EA32),"max", MAX(Instances!EA32:Instances!EA32),"diff", MAX(Instances!EA32:Instances!EA32)-MIN(Instances!EA32:Instances!EA32))</f>
        <v>0</v>
      </c>
      <c r="EB32" s="1" cm="1">
        <f t="array" ref="EB32">_xlfn.SWITCH($A$2,"average", AVERAGE(Instances!EB32:Instances!EB32),"median", MEDIAN(Instances!EB32:Instances!EB32),"min", MIN(Instances!EB32:Instances!EB32),"max", MAX(Instances!EB32:Instances!EB32),"diff", MAX(Instances!EB32:Instances!EB32)-MIN(Instances!EB32:Instances!EB32))</f>
        <v>0</v>
      </c>
      <c r="EC32" s="1" cm="1">
        <f t="array" ref="EC32">_xlfn.SWITCH($A$2,"average", AVERAGE(Instances!EC32:Instances!EC32),"median", MEDIAN(Instances!EC32:Instances!EC32),"min", MIN(Instances!EC32:Instances!EC32),"max", MAX(Instances!EC32:Instances!EC32),"diff", MAX(Instances!EC32:Instances!EC32)-MIN(Instances!EC32:Instances!EC32))</f>
        <v>0</v>
      </c>
      <c r="ED32" s="1" cm="1">
        <f t="array" ref="ED32">_xlfn.SWITCH($A$2,"average", AVERAGE(Instances!ED32:Instances!ED32),"median", MEDIAN(Instances!ED32:Instances!ED32),"min", MIN(Instances!ED32:Instances!ED32),"max", MAX(Instances!ED32:Instances!ED32),"diff", MAX(Instances!ED32:Instances!ED32)-MIN(Instances!ED32:Instances!ED32))</f>
        <v>0</v>
      </c>
      <c r="EE32" s="1" cm="1">
        <f t="array" ref="EE32">_xlfn.SWITCH($A$2,"average", AVERAGE(Instances!EE32:Instances!EE32),"median", MEDIAN(Instances!EE32:Instances!EE32),"min", MIN(Instances!EE32:Instances!EE32),"max", MAX(Instances!EE32:Instances!EE32),"diff", MAX(Instances!EE32:Instances!EE32)-MIN(Instances!EE32:Instances!EE32))</f>
        <v>0</v>
      </c>
      <c r="EF32" s="1" cm="1">
        <f t="array" ref="EF32">_xlfn.SWITCH($A$2,"average", AVERAGE(Instances!EF32:Instances!EF32),"median", MEDIAN(Instances!EF32:Instances!EF32),"min", MIN(Instances!EF32:Instances!EF32),"max", MAX(Instances!EF32:Instances!EF32),"diff", MAX(Instances!EF32:Instances!EF32)-MIN(Instances!EF32:Instances!EF32))</f>
        <v>0</v>
      </c>
      <c r="EG32" s="1" cm="1">
        <f t="array" ref="EG32">_xlfn.SWITCH($A$2,"average", AVERAGE(Instances!EG32:Instances!EG32),"median", MEDIAN(Instances!EG32:Instances!EG32),"min", MIN(Instances!EG32:Instances!EG32),"max", MAX(Instances!EG32:Instances!EG32),"diff", MAX(Instances!EG32:Instances!EG32)-MIN(Instances!EG32:Instances!EG32))</f>
        <v>0</v>
      </c>
      <c r="EH32" s="1" cm="1">
        <f t="array" ref="EH32">_xlfn.SWITCH($A$2,"average", AVERAGE(Instances!EH32:Instances!EH32),"median", MEDIAN(Instances!EH32:Instances!EH32),"min", MIN(Instances!EH32:Instances!EH32),"max", MAX(Instances!EH32:Instances!EH32),"diff", MAX(Instances!EH32:Instances!EH32)-MIN(Instances!EH32:Instances!EH32))</f>
        <v>0</v>
      </c>
      <c r="EI32" s="1" cm="1">
        <f t="array" ref="EI32">_xlfn.SWITCH($A$2,"average", AVERAGE(Instances!EI32:Instances!EI32),"median", MEDIAN(Instances!EI32:Instances!EI32),"min", MIN(Instances!EI32:Instances!EI32),"max", MAX(Instances!EI32:Instances!EI32),"diff", MAX(Instances!EI32:Instances!EI32)-MIN(Instances!EI32:Instances!EI32))</f>
        <v>0</v>
      </c>
      <c r="EJ32" s="1" cm="1">
        <f t="array" ref="EJ32">_xlfn.SWITCH($A$2,"average", AVERAGE(Instances!EJ32:Instances!EJ32),"median", MEDIAN(Instances!EJ32:Instances!EJ32),"min", MIN(Instances!EJ32:Instances!EJ32),"max", MAX(Instances!EJ32:Instances!EJ32),"diff", MAX(Instances!EJ32:Instances!EJ32)-MIN(Instances!EJ32:Instances!EJ32))</f>
        <v>0</v>
      </c>
      <c r="EK32" s="1" cm="1">
        <f t="array" ref="EK32">_xlfn.SWITCH($A$2,"average", AVERAGE(Instances!EK32:Instances!EK32),"median", MEDIAN(Instances!EK32:Instances!EK32),"min", MIN(Instances!EK32:Instances!EK32),"max", MAX(Instances!EK32:Instances!EK32),"diff", MAX(Instances!EK32:Instances!EK32)-MIN(Instances!EK32:Instances!EK32))</f>
        <v>0</v>
      </c>
      <c r="EL32" s="1"/>
      <c r="EM32" s="1" cm="1">
        <f t="array" ref="EM32">_xlfn.SWITCH($A$2,"average", AVERAGE(Instances!EM32:Instances!EM32),"median", MEDIAN(Instances!EM32:Instances!EM32),"min", MIN(Instances!EM32:Instances!EM32),"max", MAX(Instances!EM32:Instances!EM32),"diff", MAX(Instances!EM32:Instances!EM32)-MIN(Instances!EM32:Instances!EM32))</f>
        <v>0</v>
      </c>
      <c r="EN32" s="1" cm="1">
        <f t="array" ref="EN32">_xlfn.SWITCH($A$2,"average", AVERAGE(Instances!EN32:Instances!EN32),"median", MEDIAN(Instances!EN32:Instances!EN32),"min", MIN(Instances!EN32:Instances!EN32),"max", MAX(Instances!EN32:Instances!EN32),"diff", MAX(Instances!EN32:Instances!EN32)-MIN(Instances!EN32:Instances!EN32))</f>
        <v>0</v>
      </c>
      <c r="EO32" s="1" cm="1">
        <f t="array" ref="EO32">_xlfn.SWITCH($A$2,"average", AVERAGE(Instances!EO32:Instances!EO32),"median", MEDIAN(Instances!EO32:Instances!EO32),"min", MIN(Instances!EO32:Instances!EO32),"max", MAX(Instances!EO32:Instances!EO32),"diff", MAX(Instances!EO32:Instances!EO32)-MIN(Instances!EO32:Instances!EO32))</f>
        <v>0</v>
      </c>
      <c r="EP32" s="1" cm="1">
        <f t="array" ref="EP32">_xlfn.SWITCH($A$2,"average", AVERAGE(Instances!EP32:Instances!EP32),"median", MEDIAN(Instances!EP32:Instances!EP32),"min", MIN(Instances!EP32:Instances!EP32),"max", MAX(Instances!EP32:Instances!EP32),"diff", MAX(Instances!EP32:Instances!EP32)-MIN(Instances!EP32:Instances!EP32))</f>
        <v>0</v>
      </c>
      <c r="EQ32" s="1" cm="1">
        <f t="array" ref="EQ32">_xlfn.SWITCH($A$2,"average", AVERAGE(Instances!EQ32:Instances!EQ32),"median", MEDIAN(Instances!EQ32:Instances!EQ32),"min", MIN(Instances!EQ32:Instances!EQ32),"max", MAX(Instances!EQ32:Instances!EQ32),"diff", MAX(Instances!EQ32:Instances!EQ32)-MIN(Instances!EQ32:Instances!EQ32))</f>
        <v>0</v>
      </c>
      <c r="ER32" s="1" cm="1">
        <f t="array" ref="ER32">_xlfn.SWITCH($A$2,"average", AVERAGE(Instances!ER32:Instances!ER32),"median", MEDIAN(Instances!ER32:Instances!ER32),"min", MIN(Instances!ER32:Instances!ER32),"max", MAX(Instances!ER32:Instances!ER32),"diff", MAX(Instances!ER32:Instances!ER32)-MIN(Instances!ER32:Instances!ER32))</f>
        <v>0</v>
      </c>
      <c r="ES32" s="1" cm="1">
        <f t="array" ref="ES32">_xlfn.SWITCH($A$2,"average", AVERAGE(Instances!ES32:Instances!ES32),"median", MEDIAN(Instances!ES32:Instances!ES32),"min", MIN(Instances!ES32:Instances!ES32),"max", MAX(Instances!ES32:Instances!ES32),"diff", MAX(Instances!ES32:Instances!ES32)-MIN(Instances!ES32:Instances!ES32))</f>
        <v>0</v>
      </c>
      <c r="ET32" s="1" cm="1">
        <f t="array" ref="ET32">_xlfn.SWITCH($A$2,"average", AVERAGE(Instances!ET32:Instances!ET32),"median", MEDIAN(Instances!ET32:Instances!ET32),"min", MIN(Instances!ET32:Instances!ET32),"max", MAX(Instances!ET32:Instances!ET32),"diff", MAX(Instances!ET32:Instances!ET32)-MIN(Instances!ET32:Instances!ET32))</f>
        <v>0</v>
      </c>
      <c r="EU32" s="1" cm="1">
        <f t="array" ref="EU32">_xlfn.SWITCH($A$2,"average", AVERAGE(Instances!EU32:Instances!EU32),"median", MEDIAN(Instances!EU32:Instances!EU32),"min", MIN(Instances!EU32:Instances!EU32),"max", MAX(Instances!EU32:Instances!EU32),"diff", MAX(Instances!EU32:Instances!EU32)-MIN(Instances!EU32:Instances!EU32))</f>
        <v>0</v>
      </c>
      <c r="EV32" s="1" cm="1">
        <f t="array" ref="EV32">_xlfn.SWITCH($A$2,"average", AVERAGE(Instances!EV32:Instances!EV32),"median", MEDIAN(Instances!EV32:Instances!EV32),"min", MIN(Instances!EV32:Instances!EV32),"max", MAX(Instances!EV32:Instances!EV32),"diff", MAX(Instances!EV32:Instances!EV32)-MIN(Instances!EV32:Instances!EV32))</f>
        <v>0</v>
      </c>
      <c r="EW32" s="1" cm="1">
        <f t="array" ref="EW32">_xlfn.SWITCH($A$2,"average", AVERAGE(Instances!EW32:Instances!EW32),"median", MEDIAN(Instances!EW32:Instances!EW32),"min", MIN(Instances!EW32:Instances!EW32),"max", MAX(Instances!EW32:Instances!EW32),"diff", MAX(Instances!EW32:Instances!EW32)-MIN(Instances!EW32:Instances!EW32))</f>
        <v>0</v>
      </c>
      <c r="EX32" s="1" cm="1">
        <f t="array" ref="EX32">_xlfn.SWITCH($A$2,"average", AVERAGE(Instances!EX32:Instances!EX32),"median", MEDIAN(Instances!EX32:Instances!EX32),"min", MIN(Instances!EX32:Instances!EX32),"max", MAX(Instances!EX32:Instances!EX32),"diff", MAX(Instances!EX32:Instances!EX32)-MIN(Instances!EX32:Instances!EX32))</f>
        <v>0</v>
      </c>
      <c r="EY32" s="1" cm="1">
        <f t="array" ref="EY32">_xlfn.SWITCH($A$2,"average", AVERAGE(Instances!EY32:Instances!EY32),"median", MEDIAN(Instances!EY32:Instances!EY32),"min", MIN(Instances!EY32:Instances!EY32),"max", MAX(Instances!EY32:Instances!EY32),"diff", MAX(Instances!EY32:Instances!EY32)-MIN(Instances!EY32:Instances!EY32))</f>
        <v>0</v>
      </c>
      <c r="EZ32" s="1" cm="1">
        <f t="array" ref="EZ32">_xlfn.SWITCH($A$2,"average", AVERAGE(Instances!EZ32:Instances!EZ32),"median", MEDIAN(Instances!EZ32:Instances!EZ32),"min", MIN(Instances!EZ32:Instances!EZ32),"max", MAX(Instances!EZ32:Instances!EZ32),"diff", MAX(Instances!EZ32:Instances!EZ32)-MIN(Instances!EZ32:Instances!EZ32))</f>
        <v>0</v>
      </c>
      <c r="FA32" s="1" cm="1">
        <f t="array" ref="FA32">_xlfn.SWITCH($A$2,"average", AVERAGE(Instances!FA32:Instances!FA32),"median", MEDIAN(Instances!FA32:Instances!FA32),"min", MIN(Instances!FA32:Instances!FA32),"max", MAX(Instances!FA32:Instances!FA32),"diff", MAX(Instances!FA32:Instances!FA32)-MIN(Instances!FA32:Instances!FA32))</f>
        <v>0</v>
      </c>
      <c r="FB32" s="1" cm="1">
        <f t="array" ref="FB32">_xlfn.SWITCH($A$2,"average", AVERAGE(Instances!FB32:Instances!FB32),"median", MEDIAN(Instances!FB32:Instances!FB32),"min", MIN(Instances!FB32:Instances!FB32),"max", MAX(Instances!FB32:Instances!FB32),"diff", MAX(Instances!FB32:Instances!FB32)-MIN(Instances!FB32:Instances!FB32))</f>
        <v>0</v>
      </c>
      <c r="FC32" s="1" cm="1">
        <f t="array" ref="FC32">_xlfn.SWITCH($A$2,"average", AVERAGE(Instances!FC32:Instances!FC32),"median", MEDIAN(Instances!FC32:Instances!FC32),"min", MIN(Instances!FC32:Instances!FC32),"max", MAX(Instances!FC32:Instances!FC32),"diff", MAX(Instances!FC32:Instances!FC32)-MIN(Instances!FC32:Instances!FC32))</f>
        <v>0</v>
      </c>
      <c r="FD32" s="1"/>
      <c r="FE32" s="1" cm="1">
        <f t="array" ref="FE32">_xlfn.SWITCH($A$2,"average", AVERAGE(Instances!FE32:Instances!FE32),"median", MEDIAN(Instances!FE32:Instances!FE32),"min", MIN(Instances!FE32:Instances!FE32),"max", MAX(Instances!FE32:Instances!FE32),"diff", MAX(Instances!FE32:Instances!FE32)-MIN(Instances!FE32:Instances!FE32))</f>
        <v>0</v>
      </c>
      <c r="FF32" s="1" cm="1">
        <f t="array" ref="FF32">_xlfn.SWITCH($A$2,"average", AVERAGE(Instances!FF32:Instances!FF32),"median", MEDIAN(Instances!FF32:Instances!FF32),"min", MIN(Instances!FF32:Instances!FF32),"max", MAX(Instances!FF32:Instances!FF32),"diff", MAX(Instances!FF32:Instances!FF32)-MIN(Instances!FF32:Instances!FF32))</f>
        <v>0</v>
      </c>
      <c r="FG32" s="1" cm="1">
        <f t="array" ref="FG32">_xlfn.SWITCH($A$2,"average", AVERAGE(Instances!FG32:Instances!FG32),"median", MEDIAN(Instances!FG32:Instances!FG32),"min", MIN(Instances!FG32:Instances!FG32),"max", MAX(Instances!FG32:Instances!FG32),"diff", MAX(Instances!FG32:Instances!FG32)-MIN(Instances!FG32:Instances!FG32))</f>
        <v>0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 cm="1">
        <f t="array" ref="FZ32">_xlfn.SWITCH($A$2,"average", AVERAGE(Instances!FZ32:Instances!FZ32),"median", MEDIAN(Instances!FZ32:Instances!FZ32),"min", MIN(Instances!FZ32:Instances!FZ32),"max", MAX(Instances!FZ32:Instances!FZ32),"diff", MAX(Instances!FZ32:Instances!FZ32)-MIN(Instances!FZ32:Instances!FZ32))</f>
        <v>0</v>
      </c>
      <c r="GA32" s="1" cm="1">
        <f t="array" ref="GA32">_xlfn.SWITCH($A$2,"average", AVERAGE(Instances!GA32:Instances!GA32),"median", MEDIAN(Instances!GA32:Instances!GA32),"min", MIN(Instances!GA32:Instances!GA32),"max", MAX(Instances!GA32:Instances!GA32),"diff", MAX(Instances!GA32:Instances!GA32)-MIN(Instances!GA32:Instances!GA32))</f>
        <v>0</v>
      </c>
      <c r="GB32" s="1" cm="1">
        <f t="array" ref="GB32">_xlfn.SWITCH($A$2,"average", AVERAGE(Instances!GB32:Instances!GB32),"median", MEDIAN(Instances!GB32:Instances!GB32),"min", MIN(Instances!GB32:Instances!GB32),"max", MAX(Instances!GB32:Instances!GB32),"diff", MAX(Instances!GB32:Instances!GB32)-MIN(Instances!GB32:Instances!GB32))</f>
        <v>0</v>
      </c>
      <c r="GC32" s="1" cm="1">
        <f t="array" ref="GC32">_xlfn.SWITCH($A$2,"average", AVERAGE(Instances!GC32:Instances!GC32),"median", MEDIAN(Instances!GC32:Instances!GC32),"min", MIN(Instances!GC32:Instances!GC32),"max", MAX(Instances!GC32:Instances!GC32),"diff", MAX(Instances!GC32:Instances!GC32)-MIN(Instances!GC32:Instances!GC32))</f>
        <v>0</v>
      </c>
      <c r="GD32" s="1" cm="1">
        <f t="array" ref="GD32">_xlfn.SWITCH($A$2,"average", AVERAGE(Instances!GD32:Instances!GD32),"median", MEDIAN(Instances!GD32:Instances!GD32),"min", MIN(Instances!GD32:Instances!GD32),"max", MAX(Instances!GD32:Instances!GD32),"diff", MAX(Instances!GD32:Instances!GD32)-MIN(Instances!GD32:Instances!GD32))</f>
        <v>0</v>
      </c>
      <c r="GE32" s="1" cm="1">
        <f t="array" ref="GE32">_xlfn.SWITCH($A$2,"average", AVERAGE(Instances!GE32:Instances!GE32),"median", MEDIAN(Instances!GE32:Instances!GE32),"min", MIN(Instances!GE32:Instances!GE32),"max", MAX(Instances!GE32:Instances!GE32),"diff", MAX(Instances!GE32:Instances!GE32)-MIN(Instances!GE32:Instances!GE32))</f>
        <v>0</v>
      </c>
      <c r="GF32" s="1" cm="1">
        <f t="array" ref="GF32">_xlfn.SWITCH($A$2,"average", AVERAGE(Instances!GF32:Instances!GF32),"median", MEDIAN(Instances!GF32:Instances!GF32),"min", MIN(Instances!GF32:Instances!GF32),"max", MAX(Instances!GF32:Instances!GF32),"diff", MAX(Instances!GF32:Instances!GF32)-MIN(Instances!GF32:Instances!GF32))</f>
        <v>0</v>
      </c>
      <c r="GG32" s="1" cm="1">
        <f t="array" ref="GG32">_xlfn.SWITCH($A$2,"average", AVERAGE(Instances!GG32:Instances!GG32),"median", MEDIAN(Instances!GG32:Instances!GG32),"min", MIN(Instances!GG32:Instances!GG32),"max", MAX(Instances!GG32:Instances!GG32),"diff", MAX(Instances!GG32:Instances!GG32)-MIN(Instances!GG32:Instances!GG32))</f>
        <v>0</v>
      </c>
      <c r="GH32" s="1" cm="1">
        <f t="array" ref="GH32">_xlfn.SWITCH($A$2,"average", AVERAGE(Instances!GH32:Instances!GH32),"median", MEDIAN(Instances!GH32:Instances!GH32),"min", MIN(Instances!GH32:Instances!GH32),"max", MAX(Instances!GH32:Instances!GH32),"diff", MAX(Instances!GH32:Instances!GH32)-MIN(Instances!GH32:Instances!GH32))</f>
        <v>0</v>
      </c>
      <c r="GI32" s="1" cm="1">
        <f t="array" ref="GI32">_xlfn.SWITCH($A$2,"average", AVERAGE(Instances!GI32:Instances!GI32),"median", MEDIAN(Instances!GI32:Instances!GI32),"min", MIN(Instances!GI32:Instances!GI32),"max", MAX(Instances!GI32:Instances!GI32),"diff", MAX(Instances!GI32:Instances!GI32)-MIN(Instances!GI32:Instances!GI32))</f>
        <v>0</v>
      </c>
      <c r="GJ32" s="1" cm="1">
        <f t="array" ref="GJ32">_xlfn.SWITCH($A$2,"average", AVERAGE(Instances!GJ32:Instances!GJ32),"median", MEDIAN(Instances!GJ32:Instances!GJ32),"min", MIN(Instances!GJ32:Instances!GJ32),"max", MAX(Instances!GJ32:Instances!GJ32),"diff", MAX(Instances!GJ32:Instances!GJ32)-MIN(Instances!GJ32:Instances!GJ32))</f>
        <v>0</v>
      </c>
      <c r="GK32" s="1" cm="1">
        <f t="array" ref="GK32">_xlfn.SWITCH($A$2,"average", AVERAGE(Instances!GK32:Instances!GK32),"median", MEDIAN(Instances!GK32:Instances!GK32),"min", MIN(Instances!GK32:Instances!GK32),"max", MAX(Instances!GK32:Instances!GK32),"diff", MAX(Instances!GK32:Instances!GK32)-MIN(Instances!GK32:Instances!GK32))</f>
        <v>0</v>
      </c>
      <c r="GL32" s="1" cm="1">
        <f t="array" ref="GL32">_xlfn.SWITCH($A$2,"average", AVERAGE(Instances!GL32:Instances!GL32),"median", MEDIAN(Instances!GL32:Instances!GL32),"min", MIN(Instances!GL32:Instances!GL32),"max", MAX(Instances!GL32:Instances!GL32),"diff", MAX(Instances!GL32:Instances!GL32)-MIN(Instances!GL32:Instances!GL32))</f>
        <v>0</v>
      </c>
      <c r="GM32" s="1" cm="1">
        <f t="array" ref="GM32">_xlfn.SWITCH($A$2,"average", AVERAGE(Instances!GM32:Instances!GM32),"median", MEDIAN(Instances!GM32:Instances!GM32),"min", MIN(Instances!GM32:Instances!GM32),"max", MAX(Instances!GM32:Instances!GM32),"diff", MAX(Instances!GM32:Instances!GM32)-MIN(Instances!GM32:Instances!GM32))</f>
        <v>0</v>
      </c>
      <c r="GN32" s="1"/>
      <c r="GO32" s="1" cm="1">
        <f t="array" ref="GO32">_xlfn.SWITCH($A$2,"average", AVERAGE(Instances!GO32:Instances!GO32),"median", MEDIAN(Instances!GO32:Instances!GO32),"min", MIN(Instances!GO32:Instances!GO32),"max", MAX(Instances!GO32:Instances!GO32),"diff", MAX(Instances!GO32:Instances!GO32)-MIN(Instances!GO32:Instances!GO32))</f>
        <v>0</v>
      </c>
      <c r="GP32" s="1" cm="1">
        <f t="array" ref="GP32">_xlfn.SWITCH($A$2,"average", AVERAGE(Instances!GP32:Instances!GP32),"median", MEDIAN(Instances!GP32:Instances!GP32),"min", MIN(Instances!GP32:Instances!GP32),"max", MAX(Instances!GP32:Instances!GP32),"diff", MAX(Instances!GP32:Instances!GP32)-MIN(Instances!GP32:Instances!GP32))</f>
        <v>0</v>
      </c>
      <c r="GQ32" s="1" cm="1">
        <f t="array" ref="GQ32">_xlfn.SWITCH($A$2,"average", AVERAGE(Instances!GQ32:Instances!GQ32),"median", MEDIAN(Instances!GQ32:Instances!GQ32),"min", MIN(Instances!GQ32:Instances!GQ32),"max", MAX(Instances!GQ32:Instances!GQ32),"diff", MAX(Instances!GQ32:Instances!GQ32)-MIN(Instances!GQ32:Instances!GQ32))</f>
        <v>0</v>
      </c>
      <c r="GR32" s="1" cm="1">
        <f t="array" ref="GR32">_xlfn.SWITCH($A$2,"average", AVERAGE(Instances!GR32:Instances!GR32),"median", MEDIAN(Instances!GR32:Instances!GR32),"min", MIN(Instances!GR32:Instances!GR32),"max", MAX(Instances!GR32:Instances!GR32),"diff", MAX(Instances!GR32:Instances!GR32)-MIN(Instances!GR32:Instances!GR32))</f>
        <v>0</v>
      </c>
      <c r="GS32" s="1" cm="1">
        <f t="array" ref="GS32">_xlfn.SWITCH($A$2,"average", AVERAGE(Instances!GS32:Instances!GS32),"median", MEDIAN(Instances!GS32:Instances!GS32),"min", MIN(Instances!GS32:Instances!GS32),"max", MAX(Instances!GS32:Instances!GS32),"diff", MAX(Instances!GS32:Instances!GS32)-MIN(Instances!GS32:Instances!GS32))</f>
        <v>0</v>
      </c>
      <c r="GT32" s="1" cm="1">
        <f t="array" ref="GT32">_xlfn.SWITCH($A$2,"average", AVERAGE(Instances!GT32:Instances!GT32),"median", MEDIAN(Instances!GT32:Instances!GT32),"min", MIN(Instances!GT32:Instances!GT32),"max", MAX(Instances!GT32:Instances!GT32),"diff", MAX(Instances!GT32:Instances!GT32)-MIN(Instances!GT32:Instances!GT32))</f>
        <v>0</v>
      </c>
      <c r="GU32" s="1" cm="1">
        <f t="array" ref="GU32">_xlfn.SWITCH($A$2,"average", AVERAGE(Instances!GU32:Instances!GU32),"median", MEDIAN(Instances!GU32:Instances!GU32),"min", MIN(Instances!GU32:Instances!GU32),"max", MAX(Instances!GU32:Instances!GU32),"diff", MAX(Instances!GU32:Instances!GU32)-MIN(Instances!GU32:Instances!GU32))</f>
        <v>0</v>
      </c>
      <c r="GV32" s="1" cm="1">
        <f t="array" ref="GV32">_xlfn.SWITCH($A$2,"average", AVERAGE(Instances!GV32:Instances!GV32),"median", MEDIAN(Instances!GV32:Instances!GV32),"min", MIN(Instances!GV32:Instances!GV32),"max", MAX(Instances!GV32:Instances!GV32),"diff", MAX(Instances!GV32:Instances!GV32)-MIN(Instances!GV32:Instances!GV32))</f>
        <v>0</v>
      </c>
      <c r="GW32" s="1" cm="1">
        <f t="array" ref="GW32">_xlfn.SWITCH($A$2,"average", AVERAGE(Instances!GW32:Instances!GW32),"median", MEDIAN(Instances!GW32:Instances!GW32),"min", MIN(Instances!GW32:Instances!GW32),"max", MAX(Instances!GW32:Instances!GW32),"diff", MAX(Instances!GW32:Instances!GW32)-MIN(Instances!GW32:Instances!GW32))</f>
        <v>0</v>
      </c>
      <c r="GX32" s="1" cm="1">
        <f t="array" ref="GX32">_xlfn.SWITCH($A$2,"average", AVERAGE(Instances!GX32:Instances!GX32),"median", MEDIAN(Instances!GX32:Instances!GX32),"min", MIN(Instances!GX32:Instances!GX32),"max", MAX(Instances!GX32:Instances!GX32),"diff", MAX(Instances!GX32:Instances!GX32)-MIN(Instances!GX32:Instances!GX32))</f>
        <v>0</v>
      </c>
      <c r="GY32" s="1" cm="1">
        <f t="array" ref="GY32">_xlfn.SWITCH($A$2,"average", AVERAGE(Instances!GY32:Instances!GY32),"median", MEDIAN(Instances!GY32:Instances!GY32),"min", MIN(Instances!GY32:Instances!GY32),"max", MAX(Instances!GY32:Instances!GY32),"diff", MAX(Instances!GY32:Instances!GY32)-MIN(Instances!GY32:Instances!GY32))</f>
        <v>0</v>
      </c>
      <c r="GZ32" s="1" cm="1">
        <f t="array" ref="GZ32">_xlfn.SWITCH($A$2,"average", AVERAGE(Instances!GZ32:Instances!GZ32),"median", MEDIAN(Instances!GZ32:Instances!GZ32),"min", MIN(Instances!GZ32:Instances!GZ32),"max", MAX(Instances!GZ32:Instances!GZ32),"diff", MAX(Instances!GZ32:Instances!GZ32)-MIN(Instances!GZ32:Instances!GZ32))</f>
        <v>0</v>
      </c>
      <c r="HA32" s="1" cm="1">
        <f t="array" ref="HA32">_xlfn.SWITCH($A$2,"average", AVERAGE(Instances!HA32:Instances!HA32),"median", MEDIAN(Instances!HA32:Instances!HA32),"min", MIN(Instances!HA32:Instances!HA32),"max", MAX(Instances!HA32:Instances!HA32),"diff", MAX(Instances!HA32:Instances!HA32)-MIN(Instances!HA32:Instances!HA32))</f>
        <v>0</v>
      </c>
      <c r="HB32" s="1" cm="1">
        <f t="array" ref="HB32">_xlfn.SWITCH($A$2,"average", AVERAGE(Instances!HB32:Instances!HB32),"median", MEDIAN(Instances!HB32:Instances!HB32),"min", MIN(Instances!HB32:Instances!HB32),"max", MAX(Instances!HB32:Instances!HB32),"diff", MAX(Instances!HB32:Instances!HB32)-MIN(Instances!HB32:Instances!HB32))</f>
        <v>0</v>
      </c>
      <c r="HC32" s="1" cm="1">
        <f t="array" ref="HC32">_xlfn.SWITCH($A$2,"average", AVERAGE(Instances!HC32:Instances!HC32),"median", MEDIAN(Instances!HC32:Instances!HC32),"min", MIN(Instances!HC32:Instances!HC32),"max", MAX(Instances!HC32:Instances!HC32),"diff", MAX(Instances!HC32:Instances!HC32)-MIN(Instances!HC32:Instances!HC32))</f>
        <v>0</v>
      </c>
      <c r="HD32" s="1" cm="1">
        <f t="array" ref="HD32">_xlfn.SWITCH($A$2,"average", AVERAGE(Instances!HD32:Instances!HD32),"median", MEDIAN(Instances!HD32:Instances!HD32),"min", MIN(Instances!HD32:Instances!HD32),"max", MAX(Instances!HD32:Instances!HD32),"diff", MAX(Instances!HD32:Instances!HD32)-MIN(Instances!HD32:Instances!HD32))</f>
        <v>0</v>
      </c>
      <c r="HE32" s="1" cm="1">
        <f t="array" ref="HE32">_xlfn.SWITCH($A$2,"average", AVERAGE(Instances!HE32:Instances!HE32),"median", MEDIAN(Instances!HE32:Instances!HE32),"min", MIN(Instances!HE32:Instances!HE32),"max", MAX(Instances!HE32:Instances!HE32),"diff", MAX(Instances!HE32:Instances!HE32)-MIN(Instances!HE32:Instances!HE32))</f>
        <v>0</v>
      </c>
      <c r="HF32" s="1"/>
      <c r="HG32" s="1" cm="1">
        <f t="array" ref="HG32">_xlfn.SWITCH($A$2,"average", AVERAGE(Instances!HG32:Instances!HG32),"median", MEDIAN(Instances!HG32:Instances!HG32),"min", MIN(Instances!HG32:Instances!HG32),"max", MAX(Instances!HG32:Instances!HG32),"diff", MAX(Instances!HG32:Instances!HG32)-MIN(Instances!HG32:Instances!HG32))</f>
        <v>0</v>
      </c>
      <c r="HH32" s="1" cm="1">
        <f t="array" ref="HH32">_xlfn.SWITCH($A$2,"average", AVERAGE(Instances!HH32:Instances!HH32),"median", MEDIAN(Instances!HH32:Instances!HH32),"min", MIN(Instances!HH32:Instances!HH32),"max", MAX(Instances!HH32:Instances!HH32),"diff", MAX(Instances!HH32:Instances!HH32)-MIN(Instances!HH32:Instances!HH32))</f>
        <v>0</v>
      </c>
      <c r="HI32" s="1" cm="1">
        <f t="array" ref="HI32">_xlfn.SWITCH($A$2,"average", AVERAGE(Instances!HI32:Instances!HI32),"median", MEDIAN(Instances!HI32:Instances!HI32),"min", MIN(Instances!HI32:Instances!HI32),"max", MAX(Instances!HI32:Instances!HI32),"diff", MAX(Instances!HI32:Instances!HI32)-MIN(Instances!HI32:Instances!HI32))</f>
        <v>0</v>
      </c>
      <c r="HJ32" s="1" cm="1">
        <f t="array" ref="HJ32">_xlfn.SWITCH($A$2,"average", AVERAGE(Instances!HJ32:Instances!HJ32),"median", MEDIAN(Instances!HJ32:Instances!HJ32),"min", MIN(Instances!HJ32:Instances!HJ32),"max", MAX(Instances!HJ32:Instances!HJ32),"diff", MAX(Instances!HJ32:Instances!HJ32)-MIN(Instances!HJ32:Instances!HJ32))</f>
        <v>0</v>
      </c>
      <c r="HK32" s="1" cm="1">
        <f t="array" ref="HK32">_xlfn.SWITCH($A$2,"average", AVERAGE(Instances!HK32:Instances!HK32),"median", MEDIAN(Instances!HK32:Instances!HK32),"min", MIN(Instances!HK32:Instances!HK32),"max", MAX(Instances!HK32:Instances!HK32),"diff", MAX(Instances!HK32:Instances!HK32)-MIN(Instances!HK32:Instances!HK32))</f>
        <v>0</v>
      </c>
      <c r="HL32" s="1" cm="1">
        <f t="array" ref="HL32">_xlfn.SWITCH($A$2,"average", AVERAGE(Instances!HL32:Instances!HL32),"median", MEDIAN(Instances!HL32:Instances!HL32),"min", MIN(Instances!HL32:Instances!HL32),"max", MAX(Instances!HL32:Instances!HL32),"diff", MAX(Instances!HL32:Instances!HL32)-MIN(Instances!HL32:Instances!HL32))</f>
        <v>0</v>
      </c>
      <c r="HM32" s="1" cm="1">
        <f t="array" ref="HM32">_xlfn.SWITCH($A$2,"average", AVERAGE(Instances!HM32:Instances!HM32),"median", MEDIAN(Instances!HM32:Instances!HM32),"min", MIN(Instances!HM32:Instances!HM32),"max", MAX(Instances!HM32:Instances!HM32),"diff", MAX(Instances!HM32:Instances!HM32)-MIN(Instances!HM32:Instances!HM32))</f>
        <v>0</v>
      </c>
      <c r="HN32" s="1" cm="1">
        <f t="array" ref="HN32">_xlfn.SWITCH($A$2,"average", AVERAGE(Instances!HN32:Instances!HN32),"median", MEDIAN(Instances!HN32:Instances!HN32),"min", MIN(Instances!HN32:Instances!HN32),"max", MAX(Instances!HN32:Instances!HN32),"diff", MAX(Instances!HN32:Instances!HN32)-MIN(Instances!HN32:Instances!HN32))</f>
        <v>0</v>
      </c>
      <c r="HO32" s="1" cm="1">
        <f t="array" ref="HO32">_xlfn.SWITCH($A$2,"average", AVERAGE(Instances!HO32:Instances!HO32),"median", MEDIAN(Instances!HO32:Instances!HO32),"min", MIN(Instances!HO32:Instances!HO32),"max", MAX(Instances!HO32:Instances!HO32),"diff", MAX(Instances!HO32:Instances!HO32)-MIN(Instances!HO32:Instances!HO32))</f>
        <v>0</v>
      </c>
      <c r="HP32" s="1" cm="1">
        <f t="array" ref="HP32">_xlfn.SWITCH($A$2,"average", AVERAGE(Instances!HP32:Instances!HP32),"median", MEDIAN(Instances!HP32:Instances!HP32),"min", MIN(Instances!HP32:Instances!HP32),"max", MAX(Instances!HP32:Instances!HP32),"diff", MAX(Instances!HP32:Instances!HP32)-MIN(Instances!HP32:Instances!HP32))</f>
        <v>0</v>
      </c>
      <c r="HQ32" s="1" cm="1">
        <f t="array" ref="HQ32">_xlfn.SWITCH($A$2,"average", AVERAGE(Instances!HQ32:Instances!HQ32),"median", MEDIAN(Instances!HQ32:Instances!HQ32),"min", MIN(Instances!HQ32:Instances!HQ32),"max", MAX(Instances!HQ32:Instances!HQ32),"diff", MAX(Instances!HQ32:Instances!HQ32)-MIN(Instances!HQ32:Instances!HQ32))</f>
        <v>0</v>
      </c>
      <c r="HR32" s="1" cm="1">
        <f t="array" ref="HR32">_xlfn.SWITCH($A$2,"average", AVERAGE(Instances!HR32:Instances!HR32),"median", MEDIAN(Instances!HR32:Instances!HR32),"min", MIN(Instances!HR32:Instances!HR32),"max", MAX(Instances!HR32:Instances!HR32),"diff", MAX(Instances!HR32:Instances!HR32)-MIN(Instances!HR32:Instances!HR32))</f>
        <v>0</v>
      </c>
      <c r="HS32" s="1" cm="1">
        <f t="array" ref="HS32">_xlfn.SWITCH($A$2,"average", AVERAGE(Instances!HS32:Instances!HS32),"median", MEDIAN(Instances!HS32:Instances!HS32),"min", MIN(Instances!HS32:Instances!HS32),"max", MAX(Instances!HS32:Instances!HS32),"diff", MAX(Instances!HS32:Instances!HS32)-MIN(Instances!HS32:Instances!HS32))</f>
        <v>0</v>
      </c>
      <c r="HT32" s="1" cm="1">
        <f t="array" ref="HT32">_xlfn.SWITCH($A$2,"average", AVERAGE(Instances!HT32:Instances!HT32),"median", MEDIAN(Instances!HT32:Instances!HT32),"min", MIN(Instances!HT32:Instances!HT32),"max", MAX(Instances!HT32:Instances!HT32),"diff", MAX(Instances!HT32:Instances!HT32)-MIN(Instances!HT32:Instances!HT32))</f>
        <v>0</v>
      </c>
      <c r="HU32" s="1" cm="1">
        <f t="array" ref="HU32">_xlfn.SWITCH($A$2,"average", AVERAGE(Instances!HU32:Instances!HU32),"median", MEDIAN(Instances!HU32:Instances!HU32),"min", MIN(Instances!HU32:Instances!HU32),"max", MAX(Instances!HU32:Instances!HU32),"diff", MAX(Instances!HU32:Instances!HU32)-MIN(Instances!HU32:Instances!HU32))</f>
        <v>0</v>
      </c>
      <c r="HV32" s="1" cm="1">
        <f t="array" ref="HV32">_xlfn.SWITCH($A$2,"average", AVERAGE(Instances!HV32:Instances!HV32),"median", MEDIAN(Instances!HV32:Instances!HV32),"min", MIN(Instances!HV32:Instances!HV32),"max", MAX(Instances!HV32:Instances!HV32),"diff", MAX(Instances!HV32:Instances!HV32)-MIN(Instances!HV32:Instances!HV32))</f>
        <v>0</v>
      </c>
      <c r="HW32" s="1" cm="1">
        <f t="array" ref="HW32">_xlfn.SWITCH($A$2,"average", AVERAGE(Instances!HW32:Instances!HW32),"median", MEDIAN(Instances!HW32:Instances!HW32),"min", MIN(Instances!HW32:Instances!HW32),"max", MAX(Instances!HW32:Instances!HW32),"diff", MAX(Instances!HW32:Instances!HW32)-MIN(Instances!HW32:Instances!HW32))</f>
        <v>0</v>
      </c>
      <c r="HX32" s="1"/>
      <c r="HY32" s="1" cm="1">
        <f t="array" ref="HY32">_xlfn.SWITCH($A$2,"average", AVERAGE(Instances!HY32:Instances!HY32),"median", MEDIAN(Instances!HY32:Instances!HY32),"min", MIN(Instances!HY32:Instances!HY32),"max", MAX(Instances!HY32:Instances!HY32),"diff", MAX(Instances!HY32:Instances!HY32)-MIN(Instances!HY32:Instances!HY32))</f>
        <v>0</v>
      </c>
      <c r="HZ32" s="1" cm="1">
        <f t="array" ref="HZ32">_xlfn.SWITCH($A$2,"average", AVERAGE(Instances!HZ32:Instances!HZ32),"median", MEDIAN(Instances!HZ32:Instances!HZ32),"min", MIN(Instances!HZ32:Instances!HZ32),"max", MAX(Instances!HZ32:Instances!HZ32),"diff", MAX(Instances!HZ32:Instances!HZ32)-MIN(Instances!HZ32:Instances!HZ32))</f>
        <v>0</v>
      </c>
      <c r="IA32" s="1" cm="1">
        <f t="array" ref="IA32">_xlfn.SWITCH($A$2,"average", AVERAGE(Instances!IA32:Instances!IA32),"median", MEDIAN(Instances!IA32:Instances!IA32),"min", MIN(Instances!IA32:Instances!IA32),"max", MAX(Instances!IA32:Instances!IA32),"diff", MAX(Instances!IA32:Instances!IA32)-MIN(Instances!IA32:Instances!IA32))</f>
        <v>0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 cm="1">
        <f t="array" ref="JL32">_xlfn.SWITCH($A$2,"average", AVERAGE(Instances!JL32:Instances!JL32),"median", MEDIAN(Instances!JL32:Instances!JL32),"min", MIN(Instances!JL32:Instances!JL32),"max", MAX(Instances!JL32:Instances!JL32),"diff", MAX(Instances!JL32:Instances!JL32)-MIN(Instances!JL32:Instances!JL32))</f>
        <v>0</v>
      </c>
      <c r="JM32" s="1" cm="1">
        <f t="array" ref="JM32">_xlfn.SWITCH($A$2,"average", AVERAGE(Instances!JM32:Instances!JM32),"median", MEDIAN(Instances!JM32:Instances!JM32),"min", MIN(Instances!JM32:Instances!JM32),"max", MAX(Instances!JM32:Instances!JM32),"diff", MAX(Instances!JM32:Instances!JM32)-MIN(Instances!JM32:Instances!JM32))</f>
        <v>0</v>
      </c>
      <c r="JN32" s="1" cm="1">
        <f t="array" ref="JN32">_xlfn.SWITCH($A$2,"average", AVERAGE(Instances!JN32:Instances!JN32),"median", MEDIAN(Instances!JN32:Instances!JN32),"min", MIN(Instances!JN32:Instances!JN32),"max", MAX(Instances!JN32:Instances!JN32),"diff", MAX(Instances!JN32:Instances!JN32)-MIN(Instances!JN32:Instances!JN32))</f>
        <v>0</v>
      </c>
      <c r="JO32" s="1" cm="1">
        <f t="array" ref="JO32">_xlfn.SWITCH($A$2,"average", AVERAGE(Instances!JO32:Instances!JO32),"median", MEDIAN(Instances!JO32:Instances!JO32),"min", MIN(Instances!JO32:Instances!JO32),"max", MAX(Instances!JO32:Instances!JO32),"diff", MAX(Instances!JO32:Instances!JO32)-MIN(Instances!JO32:Instances!JO32))</f>
        <v>0</v>
      </c>
      <c r="JP32" s="1" cm="1">
        <f t="array" ref="JP32">_xlfn.SWITCH($A$2,"average", AVERAGE(Instances!JP32:Instances!JP32),"median", MEDIAN(Instances!JP32:Instances!JP32),"min", MIN(Instances!JP32:Instances!JP32),"max", MAX(Instances!JP32:Instances!JP32),"diff", MAX(Instances!JP32:Instances!JP32)-MIN(Instances!JP32:Instances!JP32))</f>
        <v>0</v>
      </c>
      <c r="JQ32" s="1" cm="1">
        <f t="array" ref="JQ32">_xlfn.SWITCH($A$2,"average", AVERAGE(Instances!JQ32:Instances!JQ32),"median", MEDIAN(Instances!JQ32:Instances!JQ32),"min", MIN(Instances!JQ32:Instances!JQ32),"max", MAX(Instances!JQ32:Instances!JQ32),"diff", MAX(Instances!JQ32:Instances!JQ32)-MIN(Instances!JQ32:Instances!JQ32))</f>
        <v>0</v>
      </c>
      <c r="JR32" s="1" cm="1">
        <f t="array" ref="JR32">_xlfn.SWITCH($A$2,"average", AVERAGE(Instances!JR32:Instances!JR32),"median", MEDIAN(Instances!JR32:Instances!JR32),"min", MIN(Instances!JR32:Instances!JR32),"max", MAX(Instances!JR32:Instances!JR32),"diff", MAX(Instances!JR32:Instances!JR32)-MIN(Instances!JR32:Instances!JR32))</f>
        <v>0</v>
      </c>
      <c r="JS32" s="1" cm="1">
        <f t="array" ref="JS32">_xlfn.SWITCH($A$2,"average", AVERAGE(Instances!JS32:Instances!JS32),"median", MEDIAN(Instances!JS32:Instances!JS32),"min", MIN(Instances!JS32:Instances!JS32),"max", MAX(Instances!JS32:Instances!JS32),"diff", MAX(Instances!JS32:Instances!JS32)-MIN(Instances!JS32:Instances!JS32))</f>
        <v>0</v>
      </c>
      <c r="JT32" s="1" cm="1">
        <f t="array" ref="JT32">_xlfn.SWITCH($A$2,"average", AVERAGE(Instances!JT32:Instances!JT32),"median", MEDIAN(Instances!JT32:Instances!JT32),"min", MIN(Instances!JT32:Instances!JT32),"max", MAX(Instances!JT32:Instances!JT32),"diff", MAX(Instances!JT32:Instances!JT32)-MIN(Instances!JT32:Instances!JT32))</f>
        <v>0</v>
      </c>
      <c r="JU32" s="1" cm="1">
        <f t="array" ref="JU32">_xlfn.SWITCH($A$2,"average", AVERAGE(Instances!JU32:Instances!JU32),"median", MEDIAN(Instances!JU32:Instances!JU32),"min", MIN(Instances!JU32:Instances!JU32),"max", MAX(Instances!JU32:Instances!JU32),"diff", MAX(Instances!JU32:Instances!JU32)-MIN(Instances!JU32:Instances!JU32))</f>
        <v>0</v>
      </c>
      <c r="JV32" s="1" cm="1">
        <f t="array" ref="JV32">_xlfn.SWITCH($A$2,"average", AVERAGE(Instances!JV32:Instances!JV32),"median", MEDIAN(Instances!JV32:Instances!JV32),"min", MIN(Instances!JV32:Instances!JV32),"max", MAX(Instances!JV32:Instances!JV32),"diff", MAX(Instances!JV32:Instances!JV32)-MIN(Instances!JV32:Instances!JV32))</f>
        <v>0</v>
      </c>
      <c r="JW32" s="1" cm="1">
        <f t="array" ref="JW32">_xlfn.SWITCH($A$2,"average", AVERAGE(Instances!JW32:Instances!JW32),"median", MEDIAN(Instances!JW32:Instances!JW32),"min", MIN(Instances!JW32:Instances!JW32),"max", MAX(Instances!JW32:Instances!JW32),"diff", MAX(Instances!JW32:Instances!JW32)-MIN(Instances!JW32:Instances!JW32))</f>
        <v>0</v>
      </c>
      <c r="JX32" s="1" cm="1">
        <f t="array" ref="JX32">_xlfn.SWITCH($A$2,"average", AVERAGE(Instances!JX32:Instances!JX32),"median", MEDIAN(Instances!JX32:Instances!JX32),"min", MIN(Instances!JX32:Instances!JX32),"max", MAX(Instances!JX32:Instances!JX32),"diff", MAX(Instances!JX32:Instances!JX32)-MIN(Instances!JX32:Instances!JX32))</f>
        <v>0</v>
      </c>
      <c r="JY32" s="1" cm="1">
        <f t="array" ref="JY32">_xlfn.SWITCH($A$2,"average", AVERAGE(Instances!JY32:Instances!JY32),"median", MEDIAN(Instances!JY32:Instances!JY32),"min", MIN(Instances!JY32:Instances!JY32),"max", MAX(Instances!JY32:Instances!JY32),"diff", MAX(Instances!JY32:Instances!JY32)-MIN(Instances!JY32:Instances!JY32))</f>
        <v>0</v>
      </c>
      <c r="JZ32" s="1"/>
      <c r="KA32" s="1" cm="1">
        <f t="array" ref="KA32">_xlfn.SWITCH($A$2,"average", AVERAGE(Instances!KA32:Instances!KA32),"median", MEDIAN(Instances!KA32:Instances!KA32),"min", MIN(Instances!KA32:Instances!KA32),"max", MAX(Instances!KA32:Instances!KA32),"diff", MAX(Instances!KA32:Instances!KA32)-MIN(Instances!KA32:Instances!KA32))</f>
        <v>0</v>
      </c>
      <c r="KB32" s="1" cm="1">
        <f t="array" ref="KB32">_xlfn.SWITCH($A$2,"average", AVERAGE(Instances!KB32:Instances!KB32),"median", MEDIAN(Instances!KB32:Instances!KB32),"min", MIN(Instances!KB32:Instances!KB32),"max", MAX(Instances!KB32:Instances!KB32),"diff", MAX(Instances!KB32:Instances!KB32)-MIN(Instances!KB32:Instances!KB32))</f>
        <v>0</v>
      </c>
      <c r="KC32" s="1" cm="1">
        <f t="array" ref="KC32">_xlfn.SWITCH($A$2,"average", AVERAGE(Instances!KC32:Instances!KC32),"median", MEDIAN(Instances!KC32:Instances!KC32),"min", MIN(Instances!KC32:Instances!KC32),"max", MAX(Instances!KC32:Instances!KC32),"diff", MAX(Instances!KC32:Instances!KC32)-MIN(Instances!KC32:Instances!KC32))</f>
        <v>0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 cm="1">
        <f t="array" ref="L33">_xlfn.SWITCH($A$2,"average", AVERAGE(Instances!L33:Instances!L33),"median", MEDIAN(Instances!L33:Instances!L33),"min", MIN(Instances!L33:Instances!L33),"max", MAX(Instances!L33:Instances!L33),"diff", MAX(Instances!L33:Instances!L33)-MIN(Instances!L33:Instances!L33))</f>
        <v>0</v>
      </c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 cm="1">
        <f t="array" ref="O33">_xlfn.SWITCH($A$2,"average", AVERAGE(Instances!O33:Instances!O33),"median", MEDIAN(Instances!O33:Instances!O33),"min", MIN(Instances!O33:Instances!O33),"max", MAX(Instances!O33:Instances!O33),"diff", MAX(Instances!O33:Instances!O33)-MIN(Instances!O33:Instances!O33))</f>
        <v>0</v>
      </c>
      <c r="P33" s="1"/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 cm="1">
        <f t="array" ref="S33">_xlfn.SWITCH($A$2,"average", AVERAGE(Instances!S33:Instances!S33),"median", MEDIAN(Instances!S33:Instances!S33),"min", MIN(Instances!S33:Instances!S33),"max", MAX(Instances!S33:Instances!S33),"diff", MAX(Instances!S33:Instances!S33)-MIN(Instances!S33:Instances!S33))</f>
        <v>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 cm="1">
        <f t="array" ref="AL33">_xlfn.SWITCH($A$2,"average", AVERAGE(Instances!AL33:Instances!AL33),"median", MEDIAN(Instances!AL33:Instances!AL33),"min", MIN(Instances!AL33:Instances!AL33),"max", MAX(Instances!AL33:Instances!AL33),"diff", MAX(Instances!AL33:Instances!AL33)-MIN(Instances!AL33:Instances!AL33))</f>
        <v>0</v>
      </c>
      <c r="AM33" s="1" cm="1">
        <f t="array" ref="AM33">_xlfn.SWITCH($A$2,"average", AVERAGE(Instances!AM33:Instances!AM33),"median", MEDIAN(Instances!AM33:Instances!AM33),"min", MIN(Instances!AM33:Instances!AM33),"max", MAX(Instances!AM33:Instances!AM33),"diff", MAX(Instances!AM33:Instances!AM33)-MIN(Instances!AM33:Instances!AM33))</f>
        <v>0</v>
      </c>
      <c r="AN33" s="1" cm="1">
        <f t="array" ref="AN33">_xlfn.SWITCH($A$2,"average", AVERAGE(Instances!AN33:Instances!AN33),"median", MEDIAN(Instances!AN33:Instances!AN33),"min", MIN(Instances!AN33:Instances!AN33),"max", MAX(Instances!AN33:Instances!AN33),"diff", MAX(Instances!AN33:Instances!AN33)-MIN(Instances!AN33:Instances!AN33))</f>
        <v>0</v>
      </c>
      <c r="AO33" s="1" cm="1">
        <f t="array" ref="AO33">_xlfn.SWITCH($A$2,"average", AVERAGE(Instances!AO33:Instances!AO33),"median", MEDIAN(Instances!AO33:Instances!AO33),"min", MIN(Instances!AO33:Instances!AO33),"max", MAX(Instances!AO33:Instances!AO33),"diff", MAX(Instances!AO33:Instances!AO33)-MIN(Instances!AO33:Instances!AO33))</f>
        <v>0</v>
      </c>
      <c r="AP33" s="1" cm="1">
        <f t="array" ref="AP33">_xlfn.SWITCH($A$2,"average", AVERAGE(Instances!AP33:Instances!AP33),"median", MEDIAN(Instances!AP33:Instances!AP33),"min", MIN(Instances!AP33:Instances!AP33),"max", MAX(Instances!AP33:Instances!AP33),"diff", MAX(Instances!AP33:Instances!AP33)-MIN(Instances!AP33:Instances!AP33))</f>
        <v>0</v>
      </c>
      <c r="AQ33" s="1" cm="1">
        <f t="array" ref="AQ33">_xlfn.SWITCH($A$2,"average", AVERAGE(Instances!AQ33:Instances!AQ33),"median", MEDIAN(Instances!AQ33:Instances!AQ33),"min", MIN(Instances!AQ33:Instances!AQ33),"max", MAX(Instances!AQ33:Instances!AQ33),"diff", MAX(Instances!AQ33:Instances!AQ33)-MIN(Instances!AQ33:Instances!AQ33))</f>
        <v>0</v>
      </c>
      <c r="AR33" s="1" cm="1">
        <f t="array" ref="AR33">_xlfn.SWITCH($A$2,"average", AVERAGE(Instances!AR33:Instances!AR33),"median", MEDIAN(Instances!AR33:Instances!AR33),"min", MIN(Instances!AR33:Instances!AR33),"max", MAX(Instances!AR33:Instances!AR33),"diff", MAX(Instances!AR33:Instances!AR33)-MIN(Instances!AR33:Instances!AR33))</f>
        <v>0</v>
      </c>
      <c r="AS33" s="1" cm="1">
        <f t="array" ref="AS33">_xlfn.SWITCH($A$2,"average", AVERAGE(Instances!AS33:Instances!AS33),"median", MEDIAN(Instances!AS33:Instances!AS33),"min", MIN(Instances!AS33:Instances!AS33),"max", MAX(Instances!AS33:Instances!AS33),"diff", MAX(Instances!AS33:Instances!AS33)-MIN(Instances!AS33:Instances!AS33))</f>
        <v>0</v>
      </c>
      <c r="AT33" s="1" cm="1">
        <f t="array" ref="AT33">_xlfn.SWITCH($A$2,"average", AVERAGE(Instances!AT33:Instances!AT33),"median", MEDIAN(Instances!AT33:Instances!AT33),"min", MIN(Instances!AT33:Instances!AT33),"max", MAX(Instances!AT33:Instances!AT33),"diff", MAX(Instances!AT33:Instances!AT33)-MIN(Instances!AT33:Instances!AT33))</f>
        <v>0</v>
      </c>
      <c r="AU33" s="1" cm="1">
        <f t="array" ref="AU33">_xlfn.SWITCH($A$2,"average", AVERAGE(Instances!AU33:Instances!AU33),"median", MEDIAN(Instances!AU33:Instances!AU33),"min", MIN(Instances!AU33:Instances!AU33),"max", MAX(Instances!AU33:Instances!AU33),"diff", MAX(Instances!AU33:Instances!AU33)-MIN(Instances!AU33:Instances!AU33))</f>
        <v>0</v>
      </c>
      <c r="AV33" s="1" cm="1">
        <f t="array" ref="AV33">_xlfn.SWITCH($A$2,"average", AVERAGE(Instances!AV33:Instances!AV33),"median", MEDIAN(Instances!AV33:Instances!AV33),"min", MIN(Instances!AV33:Instances!AV33),"max", MAX(Instances!AV33:Instances!AV33),"diff", MAX(Instances!AV33:Instances!AV33)-MIN(Instances!AV33:Instances!AV33))</f>
        <v>0</v>
      </c>
      <c r="AW33" s="1" cm="1">
        <f t="array" ref="AW33">_xlfn.SWITCH($A$2,"average", AVERAGE(Instances!AW33:Instances!AW33),"median", MEDIAN(Instances!AW33:Instances!AW33),"min", MIN(Instances!AW33:Instances!AW33),"max", MAX(Instances!AW33:Instances!AW33),"diff", MAX(Instances!AW33:Instances!AW33)-MIN(Instances!AW33:Instances!AW33))</f>
        <v>0</v>
      </c>
      <c r="AX33" s="1" cm="1">
        <f t="array" ref="AX33">_xlfn.SWITCH($A$2,"average", AVERAGE(Instances!AX33:Instances!AX33),"median", MEDIAN(Instances!AX33:Instances!AX33),"min", MIN(Instances!AX33:Instances!AX33),"max", MAX(Instances!AX33:Instances!AX33),"diff", MAX(Instances!AX33:Instances!AX33)-MIN(Instances!AX33:Instances!AX33))</f>
        <v>0</v>
      </c>
      <c r="AY33" s="1" cm="1">
        <f t="array" ref="AY33">_xlfn.SWITCH($A$2,"average", AVERAGE(Instances!AY33:Instances!AY33),"median", MEDIAN(Instances!AY33:Instances!AY33),"min", MIN(Instances!AY33:Instances!AY33),"max", MAX(Instances!AY33:Instances!AY33),"diff", MAX(Instances!AY33:Instances!AY33)-MIN(Instances!AY33:Instances!AY33))</f>
        <v>0</v>
      </c>
      <c r="AZ33" s="1"/>
      <c r="BA33" s="1" cm="1">
        <f t="array" ref="BA33">_xlfn.SWITCH($A$2,"average", AVERAGE(Instances!BA33:Instances!BA33),"median", MEDIAN(Instances!BA33:Instances!BA33),"min", MIN(Instances!BA33:Instances!BA33),"max", MAX(Instances!BA33:Instances!BA33),"diff", MAX(Instances!BA33:Instances!BA33)-MIN(Instances!BA33:Instances!BA33))</f>
        <v>0</v>
      </c>
      <c r="BB33" s="1" cm="1">
        <f t="array" ref="BB33">_xlfn.SWITCH($A$2,"average", AVERAGE(Instances!BB33:Instances!BB33),"median", MEDIAN(Instances!BB33:Instances!BB33),"min", MIN(Instances!BB33:Instances!BB33),"max", MAX(Instances!BB33:Instances!BB33),"diff", MAX(Instances!BB33:Instances!BB33)-MIN(Instances!BB33:Instances!BB33))</f>
        <v>0</v>
      </c>
      <c r="BC33" s="1" cm="1">
        <f t="array" ref="BC33">_xlfn.SWITCH($A$2,"average", AVERAGE(Instances!BC33:Instances!BC33),"median", MEDIAN(Instances!BC33:Instances!BC33),"min", MIN(Instances!BC33:Instances!BC33),"max", MAX(Instances!BC33:Instances!BC33),"diff", MAX(Instances!BC33:Instances!BC33)-MIN(Instances!BC33:Instances!BC33))</f>
        <v>0</v>
      </c>
      <c r="BD33" s="1" cm="1">
        <f t="array" ref="BD33">_xlfn.SWITCH($A$2,"average", AVERAGE(Instances!BD33:Instances!BD33),"median", MEDIAN(Instances!BD33:Instances!BD33),"min", MIN(Instances!BD33:Instances!BD33),"max", MAX(Instances!BD33:Instances!BD33),"diff", MAX(Instances!BD33:Instances!BD33)-MIN(Instances!BD33:Instances!BD33))</f>
        <v>0</v>
      </c>
      <c r="BE33" s="1" cm="1">
        <f t="array" ref="BE33">_xlfn.SWITCH($A$2,"average", AVERAGE(Instances!BE33:Instances!BE33),"median", MEDIAN(Instances!BE33:Instances!BE33),"min", MIN(Instances!BE33:Instances!BE33),"max", MAX(Instances!BE33:Instances!BE33),"diff", MAX(Instances!BE33:Instances!BE33)-MIN(Instances!BE33:Instances!BE33))</f>
        <v>0</v>
      </c>
      <c r="BF33" s="1" cm="1">
        <f t="array" ref="BF33">_xlfn.SWITCH($A$2,"average", AVERAGE(Instances!BF33:Instances!BF33),"median", MEDIAN(Instances!BF33:Instances!BF33),"min", MIN(Instances!BF33:Instances!BF33),"max", MAX(Instances!BF33:Instances!BF33),"diff", MAX(Instances!BF33:Instances!BF33)-MIN(Instances!BF33:Instances!BF33))</f>
        <v>0</v>
      </c>
      <c r="BG33" s="1" cm="1">
        <f t="array" ref="BG33">_xlfn.SWITCH($A$2,"average", AVERAGE(Instances!BG33:Instances!BG33),"median", MEDIAN(Instances!BG33:Instances!BG33),"min", MIN(Instances!BG33:Instances!BG33),"max", MAX(Instances!BG33:Instances!BG33),"diff", MAX(Instances!BG33:Instances!BG33)-MIN(Instances!BG33:Instances!BG33))</f>
        <v>0</v>
      </c>
      <c r="BH33" s="1" cm="1">
        <f t="array" ref="BH33">_xlfn.SWITCH($A$2,"average", AVERAGE(Instances!BH33:Instances!BH33),"median", MEDIAN(Instances!BH33:Instances!BH33),"min", MIN(Instances!BH33:Instances!BH33),"max", MAX(Instances!BH33:Instances!BH33),"diff", MAX(Instances!BH33:Instances!BH33)-MIN(Instances!BH33:Instances!BH33))</f>
        <v>0</v>
      </c>
      <c r="BI33" s="1" cm="1">
        <f t="array" ref="BI33">_xlfn.SWITCH($A$2,"average", AVERAGE(Instances!BI33:Instances!BI33),"median", MEDIAN(Instances!BI33:Instances!BI33),"min", MIN(Instances!BI33:Instances!BI33),"max", MAX(Instances!BI33:Instances!BI33),"diff", MAX(Instances!BI33:Instances!BI33)-MIN(Instances!BI33:Instances!BI33))</f>
        <v>0</v>
      </c>
      <c r="BJ33" s="1" cm="1">
        <f t="array" ref="BJ33">_xlfn.SWITCH($A$2,"average", AVERAGE(Instances!BJ33:Instances!BJ33),"median", MEDIAN(Instances!BJ33:Instances!BJ33),"min", MIN(Instances!BJ33:Instances!BJ33),"max", MAX(Instances!BJ33:Instances!BJ33),"diff", MAX(Instances!BJ33:Instances!BJ33)-MIN(Instances!BJ33:Instances!BJ33))</f>
        <v>0</v>
      </c>
      <c r="BK33" s="1" cm="1">
        <f t="array" ref="BK33">_xlfn.SWITCH($A$2,"average", AVERAGE(Instances!BK33:Instances!BK33),"median", MEDIAN(Instances!BK33:Instances!BK33),"min", MIN(Instances!BK33:Instances!BK33),"max", MAX(Instances!BK33:Instances!BK33),"diff", MAX(Instances!BK33:Instances!BK33)-MIN(Instances!BK33:Instances!BK33))</f>
        <v>0</v>
      </c>
      <c r="BL33" s="1" cm="1">
        <f t="array" ref="BL33">_xlfn.SWITCH($A$2,"average", AVERAGE(Instances!BL33:Instances!BL33),"median", MEDIAN(Instances!BL33:Instances!BL33),"min", MIN(Instances!BL33:Instances!BL33),"max", MAX(Instances!BL33:Instances!BL33),"diff", MAX(Instances!BL33:Instances!BL33)-MIN(Instances!BL33:Instances!BL33))</f>
        <v>0</v>
      </c>
      <c r="BM33" s="1" cm="1">
        <f t="array" ref="BM33">_xlfn.SWITCH($A$2,"average", AVERAGE(Instances!BM33:Instances!BM33),"median", MEDIAN(Instances!BM33:Instances!BM33),"min", MIN(Instances!BM33:Instances!BM33),"max", MAX(Instances!BM33:Instances!BM33),"diff", MAX(Instances!BM33:Instances!BM33)-MIN(Instances!BM33:Instances!BM33))</f>
        <v>0</v>
      </c>
      <c r="BN33" s="1" cm="1">
        <f t="array" ref="BN33">_xlfn.SWITCH($A$2,"average", AVERAGE(Instances!BN33:Instances!BN33),"median", MEDIAN(Instances!BN33:Instances!BN33),"min", MIN(Instances!BN33:Instances!BN33),"max", MAX(Instances!BN33:Instances!BN33),"diff", MAX(Instances!BN33:Instances!BN33)-MIN(Instances!BN33:Instances!BN33))</f>
        <v>0</v>
      </c>
      <c r="BO33" s="1" cm="1">
        <f t="array" ref="BO33">_xlfn.SWITCH($A$2,"average", AVERAGE(Instances!BO33:Instances!BO33),"median", MEDIAN(Instances!BO33:Instances!BO33),"min", MIN(Instances!BO33:Instances!BO33),"max", MAX(Instances!BO33:Instances!BO33),"diff", MAX(Instances!BO33:Instances!BO33)-MIN(Instances!BO33:Instances!BO33))</f>
        <v>0</v>
      </c>
      <c r="BP33" s="1" cm="1">
        <f t="array" ref="BP33">_xlfn.SWITCH($A$2,"average", AVERAGE(Instances!BP33:Instances!BP33),"median", MEDIAN(Instances!BP33:Instances!BP33),"min", MIN(Instances!BP33:Instances!BP33),"max", MAX(Instances!BP33:Instances!BP33),"diff", MAX(Instances!BP33:Instances!BP33)-MIN(Instances!BP33:Instances!BP33))</f>
        <v>0</v>
      </c>
      <c r="BQ33" s="1" cm="1">
        <f t="array" ref="BQ33">_xlfn.SWITCH($A$2,"average", AVERAGE(Instances!BQ33:Instances!BQ33),"median", MEDIAN(Instances!BQ33:Instances!BQ33),"min", MIN(Instances!BQ33:Instances!BQ33),"max", MAX(Instances!BQ33:Instances!BQ33),"diff", MAX(Instances!BQ33:Instances!BQ33)-MIN(Instances!BQ33:Instances!BQ33))</f>
        <v>0</v>
      </c>
      <c r="BR33" s="1"/>
      <c r="BS33" s="1" cm="1">
        <f t="array" ref="BS33">_xlfn.SWITCH($A$2,"average", AVERAGE(Instances!BS33:Instances!BS33),"median", MEDIAN(Instances!BS33:Instances!BS33),"min", MIN(Instances!BS33:Instances!BS33),"max", MAX(Instances!BS33:Instances!BS33),"diff", MAX(Instances!BS33:Instances!BS33)-MIN(Instances!BS33:Instances!BS33))</f>
        <v>0</v>
      </c>
      <c r="BT33" s="1" cm="1">
        <f t="array" ref="BT33">_xlfn.SWITCH($A$2,"average", AVERAGE(Instances!BT33:Instances!BT33),"median", MEDIAN(Instances!BT33:Instances!BT33),"min", MIN(Instances!BT33:Instances!BT33),"max", MAX(Instances!BT33:Instances!BT33),"diff", MAX(Instances!BT33:Instances!BT33)-MIN(Instances!BT33:Instances!BT33))</f>
        <v>0</v>
      </c>
      <c r="BU33" s="1" cm="1">
        <f t="array" ref="BU33">_xlfn.SWITCH($A$2,"average", AVERAGE(Instances!BU33:Instances!BU33),"median", MEDIAN(Instances!BU33:Instances!BU33),"min", MIN(Instances!BU33:Instances!BU33),"max", MAX(Instances!BU33:Instances!BU33),"diff", MAX(Instances!BU33:Instances!BU33)-MIN(Instances!BU33:Instances!BU33))</f>
        <v>0</v>
      </c>
      <c r="BV33" s="1" cm="1">
        <f t="array" ref="BV33">_xlfn.SWITCH($A$2,"average", AVERAGE(Instances!BV33:Instances!BV33),"median", MEDIAN(Instances!BV33:Instances!BV33),"min", MIN(Instances!BV33:Instances!BV33),"max", MAX(Instances!BV33:Instances!BV33),"diff", MAX(Instances!BV33:Instances!BV33)-MIN(Instances!BV33:Instances!BV33))</f>
        <v>0</v>
      </c>
      <c r="BW33" s="1" cm="1">
        <f t="array" ref="BW33">_xlfn.SWITCH($A$2,"average", AVERAGE(Instances!BW33:Instances!BW33),"median", MEDIAN(Instances!BW33:Instances!BW33),"min", MIN(Instances!BW33:Instances!BW33),"max", MAX(Instances!BW33:Instances!BW33),"diff", MAX(Instances!BW33:Instances!BW33)-MIN(Instances!BW33:Instances!BW33))</f>
        <v>0</v>
      </c>
      <c r="BX33" s="1" cm="1">
        <f t="array" ref="BX33">_xlfn.SWITCH($A$2,"average", AVERAGE(Instances!BX33:Instances!BX33),"median", MEDIAN(Instances!BX33:Instances!BX33),"min", MIN(Instances!BX33:Instances!BX33),"max", MAX(Instances!BX33:Instances!BX33),"diff", MAX(Instances!BX33:Instances!BX33)-MIN(Instances!BX33:Instances!BX33))</f>
        <v>0</v>
      </c>
      <c r="BY33" s="1" cm="1">
        <f t="array" ref="BY33">_xlfn.SWITCH($A$2,"average", AVERAGE(Instances!BY33:Instances!BY33),"median", MEDIAN(Instances!BY33:Instances!BY33),"min", MIN(Instances!BY33:Instances!BY33),"max", MAX(Instances!BY33:Instances!BY33),"diff", MAX(Instances!BY33:Instances!BY33)-MIN(Instances!BY33:Instances!BY33))</f>
        <v>0</v>
      </c>
      <c r="BZ33" s="1" cm="1">
        <f t="array" ref="BZ33">_xlfn.SWITCH($A$2,"average", AVERAGE(Instances!BZ33:Instances!BZ33),"median", MEDIAN(Instances!BZ33:Instances!BZ33),"min", MIN(Instances!BZ33:Instances!BZ33),"max", MAX(Instances!BZ33:Instances!BZ33),"diff", MAX(Instances!BZ33:Instances!BZ33)-MIN(Instances!BZ33:Instances!BZ33))</f>
        <v>0</v>
      </c>
      <c r="CA33" s="1" cm="1">
        <f t="array" ref="CA33">_xlfn.SWITCH($A$2,"average", AVERAGE(Instances!CA33:Instances!CA33),"median", MEDIAN(Instances!CA33:Instances!CA33),"min", MIN(Instances!CA33:Instances!CA33),"max", MAX(Instances!CA33:Instances!CA33),"diff", MAX(Instances!CA33:Instances!CA33)-MIN(Instances!CA33:Instances!CA33))</f>
        <v>0</v>
      </c>
      <c r="CB33" s="1" cm="1">
        <f t="array" ref="CB33">_xlfn.SWITCH($A$2,"average", AVERAGE(Instances!CB33:Instances!CB33),"median", MEDIAN(Instances!CB33:Instances!CB33),"min", MIN(Instances!CB33:Instances!CB33),"max", MAX(Instances!CB33:Instances!CB33),"diff", MAX(Instances!CB33:Instances!CB33)-MIN(Instances!CB33:Instances!CB33))</f>
        <v>0</v>
      </c>
      <c r="CC33" s="1" cm="1">
        <f t="array" ref="CC33">_xlfn.SWITCH($A$2,"average", AVERAGE(Instances!CC33:Instances!CC33),"median", MEDIAN(Instances!CC33:Instances!CC33),"min", MIN(Instances!CC33:Instances!CC33),"max", MAX(Instances!CC33:Instances!CC33),"diff", MAX(Instances!CC33:Instances!CC33)-MIN(Instances!CC33:Instances!CC33))</f>
        <v>0</v>
      </c>
      <c r="CD33" s="1" cm="1">
        <f t="array" ref="CD33">_xlfn.SWITCH($A$2,"average", AVERAGE(Instances!CD33:Instances!CD33),"median", MEDIAN(Instances!CD33:Instances!CD33),"min", MIN(Instances!CD33:Instances!CD33),"max", MAX(Instances!CD33:Instances!CD33),"diff", MAX(Instances!CD33:Instances!CD33)-MIN(Instances!CD33:Instances!CD33))</f>
        <v>0</v>
      </c>
      <c r="CE33" s="1" cm="1">
        <f t="array" ref="CE33">_xlfn.SWITCH($A$2,"average", AVERAGE(Instances!CE33:Instances!CE33),"median", MEDIAN(Instances!CE33:Instances!CE33),"min", MIN(Instances!CE33:Instances!CE33),"max", MAX(Instances!CE33:Instances!CE33),"diff", MAX(Instances!CE33:Instances!CE33)-MIN(Instances!CE33:Instances!CE33))</f>
        <v>0</v>
      </c>
      <c r="CF33" s="1" cm="1">
        <f t="array" ref="CF33">_xlfn.SWITCH($A$2,"average", AVERAGE(Instances!CF33:Instances!CF33),"median", MEDIAN(Instances!CF33:Instances!CF33),"min", MIN(Instances!CF33:Instances!CF33),"max", MAX(Instances!CF33:Instances!CF33),"diff", MAX(Instances!CF33:Instances!CF33)-MIN(Instances!CF33:Instances!CF33))</f>
        <v>0</v>
      </c>
      <c r="CG33" s="1" cm="1">
        <f t="array" ref="CG33">_xlfn.SWITCH($A$2,"average", AVERAGE(Instances!CG33:Instances!CG33),"median", MEDIAN(Instances!CG33:Instances!CG33),"min", MIN(Instances!CG33:Instances!CG33),"max", MAX(Instances!CG33:Instances!CG33),"diff", MAX(Instances!CG33:Instances!CG33)-MIN(Instances!CG33:Instances!CG33))</f>
        <v>0</v>
      </c>
      <c r="CH33" s="1" cm="1">
        <f t="array" ref="CH33">_xlfn.SWITCH($A$2,"average", AVERAGE(Instances!CH33:Instances!CH33),"median", MEDIAN(Instances!CH33:Instances!CH33),"min", MIN(Instances!CH33:Instances!CH33),"max", MAX(Instances!CH33:Instances!CH33),"diff", MAX(Instances!CH33:Instances!CH33)-MIN(Instances!CH33:Instances!CH33))</f>
        <v>0</v>
      </c>
      <c r="CI33" s="1" cm="1">
        <f t="array" ref="CI33">_xlfn.SWITCH($A$2,"average", AVERAGE(Instances!CI33:Instances!CI33),"median", MEDIAN(Instances!CI33:Instances!CI33),"min", MIN(Instances!CI33:Instances!CI33),"max", MAX(Instances!CI33:Instances!CI33),"diff", MAX(Instances!CI33:Instances!CI33)-MIN(Instances!CI33:Instances!CI33))</f>
        <v>0</v>
      </c>
      <c r="CJ33" s="1"/>
      <c r="CK33" s="1" cm="1">
        <f t="array" ref="CK33">_xlfn.SWITCH($A$2,"average", AVERAGE(Instances!CK33:Instances!CK33),"median", MEDIAN(Instances!CK33:Instances!CK33),"min", MIN(Instances!CK33:Instances!CK33),"max", MAX(Instances!CK33:Instances!CK33),"diff", MAX(Instances!CK33:Instances!CK33)-MIN(Instances!CK33:Instances!CK33))</f>
        <v>0</v>
      </c>
      <c r="CL33" s="1" cm="1">
        <f t="array" ref="CL33">_xlfn.SWITCH($A$2,"average", AVERAGE(Instances!CL33:Instances!CL33),"median", MEDIAN(Instances!CL33:Instances!CL33),"min", MIN(Instances!CL33:Instances!CL33),"max", MAX(Instances!CL33:Instances!CL33),"diff", MAX(Instances!CL33:Instances!CL33)-MIN(Instances!CL33:Instances!CL33))</f>
        <v>0</v>
      </c>
      <c r="CM33" s="1" cm="1">
        <f t="array" ref="CM33">_xlfn.SWITCH($A$2,"average", AVERAGE(Instances!CM33:Instances!CM33),"median", MEDIAN(Instances!CM33:Instances!CM33),"min", MIN(Instances!CM33:Instances!CM33),"max", MAX(Instances!CM33:Instances!CM33),"diff", MAX(Instances!CM33:Instances!CM33)-MIN(Instances!CM33:Instances!CM33))</f>
        <v>0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 cm="1">
        <f t="array" ref="DX33">_xlfn.SWITCH($A$2,"average", AVERAGE(Instances!DX33:Instances!DX33),"median", MEDIAN(Instances!DX33:Instances!DX33),"min", MIN(Instances!DX33:Instances!DX33),"max", MAX(Instances!DX33:Instances!DX33),"diff", MAX(Instances!DX33:Instances!DX33)-MIN(Instances!DX33:Instances!DX33))</f>
        <v>0</v>
      </c>
      <c r="DY33" s="1" cm="1">
        <f t="array" ref="DY33">_xlfn.SWITCH($A$2,"average", AVERAGE(Instances!DY33:Instances!DY33),"median", MEDIAN(Instances!DY33:Instances!DY33),"min", MIN(Instances!DY33:Instances!DY33),"max", MAX(Instances!DY33:Instances!DY33),"diff", MAX(Instances!DY33:Instances!DY33)-MIN(Instances!DY33:Instances!DY33))</f>
        <v>0</v>
      </c>
      <c r="DZ33" s="1" cm="1">
        <f t="array" ref="DZ33">_xlfn.SWITCH($A$2,"average", AVERAGE(Instances!DZ33:Instances!DZ33),"median", MEDIAN(Instances!DZ33:Instances!DZ33),"min", MIN(Instances!DZ33:Instances!DZ33),"max", MAX(Instances!DZ33:Instances!DZ33),"diff", MAX(Instances!DZ33:Instances!DZ33)-MIN(Instances!DZ33:Instances!DZ33))</f>
        <v>0</v>
      </c>
      <c r="EA33" s="1" cm="1">
        <f t="array" ref="EA33">_xlfn.SWITCH($A$2,"average", AVERAGE(Instances!EA33:Instances!EA33),"median", MEDIAN(Instances!EA33:Instances!EA33),"min", MIN(Instances!EA33:Instances!EA33),"max", MAX(Instances!EA33:Instances!EA33),"diff", MAX(Instances!EA33:Instances!EA33)-MIN(Instances!EA33:Instances!EA33))</f>
        <v>0</v>
      </c>
      <c r="EB33" s="1" cm="1">
        <f t="array" ref="EB33">_xlfn.SWITCH($A$2,"average", AVERAGE(Instances!EB33:Instances!EB33),"median", MEDIAN(Instances!EB33:Instances!EB33),"min", MIN(Instances!EB33:Instances!EB33),"max", MAX(Instances!EB33:Instances!EB33),"diff", MAX(Instances!EB33:Instances!EB33)-MIN(Instances!EB33:Instances!EB33))</f>
        <v>0</v>
      </c>
      <c r="EC33" s="1" cm="1">
        <f t="array" ref="EC33">_xlfn.SWITCH($A$2,"average", AVERAGE(Instances!EC33:Instances!EC33),"median", MEDIAN(Instances!EC33:Instances!EC33),"min", MIN(Instances!EC33:Instances!EC33),"max", MAX(Instances!EC33:Instances!EC33),"diff", MAX(Instances!EC33:Instances!EC33)-MIN(Instances!EC33:Instances!EC33))</f>
        <v>0</v>
      </c>
      <c r="ED33" s="1" cm="1">
        <f t="array" ref="ED33">_xlfn.SWITCH($A$2,"average", AVERAGE(Instances!ED33:Instances!ED33),"median", MEDIAN(Instances!ED33:Instances!ED33),"min", MIN(Instances!ED33:Instances!ED33),"max", MAX(Instances!ED33:Instances!ED33),"diff", MAX(Instances!ED33:Instances!ED33)-MIN(Instances!ED33:Instances!ED33))</f>
        <v>0</v>
      </c>
      <c r="EE33" s="1" cm="1">
        <f t="array" ref="EE33">_xlfn.SWITCH($A$2,"average", AVERAGE(Instances!EE33:Instances!EE33),"median", MEDIAN(Instances!EE33:Instances!EE33),"min", MIN(Instances!EE33:Instances!EE33),"max", MAX(Instances!EE33:Instances!EE33),"diff", MAX(Instances!EE33:Instances!EE33)-MIN(Instances!EE33:Instances!EE33))</f>
        <v>0</v>
      </c>
      <c r="EF33" s="1" cm="1">
        <f t="array" ref="EF33">_xlfn.SWITCH($A$2,"average", AVERAGE(Instances!EF33:Instances!EF33),"median", MEDIAN(Instances!EF33:Instances!EF33),"min", MIN(Instances!EF33:Instances!EF33),"max", MAX(Instances!EF33:Instances!EF33),"diff", MAX(Instances!EF33:Instances!EF33)-MIN(Instances!EF33:Instances!EF33))</f>
        <v>0</v>
      </c>
      <c r="EG33" s="1" cm="1">
        <f t="array" ref="EG33">_xlfn.SWITCH($A$2,"average", AVERAGE(Instances!EG33:Instances!EG33),"median", MEDIAN(Instances!EG33:Instances!EG33),"min", MIN(Instances!EG33:Instances!EG33),"max", MAX(Instances!EG33:Instances!EG33),"diff", MAX(Instances!EG33:Instances!EG33)-MIN(Instances!EG33:Instances!EG33))</f>
        <v>0</v>
      </c>
      <c r="EH33" s="1" cm="1">
        <f t="array" ref="EH33">_xlfn.SWITCH($A$2,"average", AVERAGE(Instances!EH33:Instances!EH33),"median", MEDIAN(Instances!EH33:Instances!EH33),"min", MIN(Instances!EH33:Instances!EH33),"max", MAX(Instances!EH33:Instances!EH33),"diff", MAX(Instances!EH33:Instances!EH33)-MIN(Instances!EH33:Instances!EH33))</f>
        <v>0</v>
      </c>
      <c r="EI33" s="1" cm="1">
        <f t="array" ref="EI33">_xlfn.SWITCH($A$2,"average", AVERAGE(Instances!EI33:Instances!EI33),"median", MEDIAN(Instances!EI33:Instances!EI33),"min", MIN(Instances!EI33:Instances!EI33),"max", MAX(Instances!EI33:Instances!EI33),"diff", MAX(Instances!EI33:Instances!EI33)-MIN(Instances!EI33:Instances!EI33))</f>
        <v>0</v>
      </c>
      <c r="EJ33" s="1" cm="1">
        <f t="array" ref="EJ33">_xlfn.SWITCH($A$2,"average", AVERAGE(Instances!EJ33:Instances!EJ33),"median", MEDIAN(Instances!EJ33:Instances!EJ33),"min", MIN(Instances!EJ33:Instances!EJ33),"max", MAX(Instances!EJ33:Instances!EJ33),"diff", MAX(Instances!EJ33:Instances!EJ33)-MIN(Instances!EJ33:Instances!EJ33))</f>
        <v>0</v>
      </c>
      <c r="EK33" s="1" cm="1">
        <f t="array" ref="EK33">_xlfn.SWITCH($A$2,"average", AVERAGE(Instances!EK33:Instances!EK33),"median", MEDIAN(Instances!EK33:Instances!EK33),"min", MIN(Instances!EK33:Instances!EK33),"max", MAX(Instances!EK33:Instances!EK33),"diff", MAX(Instances!EK33:Instances!EK33)-MIN(Instances!EK33:Instances!EK33))</f>
        <v>0</v>
      </c>
      <c r="EL33" s="1"/>
      <c r="EM33" s="1" cm="1">
        <f t="array" ref="EM33">_xlfn.SWITCH($A$2,"average", AVERAGE(Instances!EM33:Instances!EM33),"median", MEDIAN(Instances!EM33:Instances!EM33),"min", MIN(Instances!EM33:Instances!EM33),"max", MAX(Instances!EM33:Instances!EM33),"diff", MAX(Instances!EM33:Instances!EM33)-MIN(Instances!EM33:Instances!EM33))</f>
        <v>0</v>
      </c>
      <c r="EN33" s="1" cm="1">
        <f t="array" ref="EN33">_xlfn.SWITCH($A$2,"average", AVERAGE(Instances!EN33:Instances!EN33),"median", MEDIAN(Instances!EN33:Instances!EN33),"min", MIN(Instances!EN33:Instances!EN33),"max", MAX(Instances!EN33:Instances!EN33),"diff", MAX(Instances!EN33:Instances!EN33)-MIN(Instances!EN33:Instances!EN33))</f>
        <v>0</v>
      </c>
      <c r="EO33" s="1" cm="1">
        <f t="array" ref="EO33">_xlfn.SWITCH($A$2,"average", AVERAGE(Instances!EO33:Instances!EO33),"median", MEDIAN(Instances!EO33:Instances!EO33),"min", MIN(Instances!EO33:Instances!EO33),"max", MAX(Instances!EO33:Instances!EO33),"diff", MAX(Instances!EO33:Instances!EO33)-MIN(Instances!EO33:Instances!EO33))</f>
        <v>0</v>
      </c>
      <c r="EP33" s="1" cm="1">
        <f t="array" ref="EP33">_xlfn.SWITCH($A$2,"average", AVERAGE(Instances!EP33:Instances!EP33),"median", MEDIAN(Instances!EP33:Instances!EP33),"min", MIN(Instances!EP33:Instances!EP33),"max", MAX(Instances!EP33:Instances!EP33),"diff", MAX(Instances!EP33:Instances!EP33)-MIN(Instances!EP33:Instances!EP33))</f>
        <v>0</v>
      </c>
      <c r="EQ33" s="1" cm="1">
        <f t="array" ref="EQ33">_xlfn.SWITCH($A$2,"average", AVERAGE(Instances!EQ33:Instances!EQ33),"median", MEDIAN(Instances!EQ33:Instances!EQ33),"min", MIN(Instances!EQ33:Instances!EQ33),"max", MAX(Instances!EQ33:Instances!EQ33),"diff", MAX(Instances!EQ33:Instances!EQ33)-MIN(Instances!EQ33:Instances!EQ33))</f>
        <v>0</v>
      </c>
      <c r="ER33" s="1" cm="1">
        <f t="array" ref="ER33">_xlfn.SWITCH($A$2,"average", AVERAGE(Instances!ER33:Instances!ER33),"median", MEDIAN(Instances!ER33:Instances!ER33),"min", MIN(Instances!ER33:Instances!ER33),"max", MAX(Instances!ER33:Instances!ER33),"diff", MAX(Instances!ER33:Instances!ER33)-MIN(Instances!ER33:Instances!ER33))</f>
        <v>0</v>
      </c>
      <c r="ES33" s="1" cm="1">
        <f t="array" ref="ES33">_xlfn.SWITCH($A$2,"average", AVERAGE(Instances!ES33:Instances!ES33),"median", MEDIAN(Instances!ES33:Instances!ES33),"min", MIN(Instances!ES33:Instances!ES33),"max", MAX(Instances!ES33:Instances!ES33),"diff", MAX(Instances!ES33:Instances!ES33)-MIN(Instances!ES33:Instances!ES33))</f>
        <v>0</v>
      </c>
      <c r="ET33" s="1" cm="1">
        <f t="array" ref="ET33">_xlfn.SWITCH($A$2,"average", AVERAGE(Instances!ET33:Instances!ET33),"median", MEDIAN(Instances!ET33:Instances!ET33),"min", MIN(Instances!ET33:Instances!ET33),"max", MAX(Instances!ET33:Instances!ET33),"diff", MAX(Instances!ET33:Instances!ET33)-MIN(Instances!ET33:Instances!ET33))</f>
        <v>0</v>
      </c>
      <c r="EU33" s="1" cm="1">
        <f t="array" ref="EU33">_xlfn.SWITCH($A$2,"average", AVERAGE(Instances!EU33:Instances!EU33),"median", MEDIAN(Instances!EU33:Instances!EU33),"min", MIN(Instances!EU33:Instances!EU33),"max", MAX(Instances!EU33:Instances!EU33),"diff", MAX(Instances!EU33:Instances!EU33)-MIN(Instances!EU33:Instances!EU33))</f>
        <v>0</v>
      </c>
      <c r="EV33" s="1" cm="1">
        <f t="array" ref="EV33">_xlfn.SWITCH($A$2,"average", AVERAGE(Instances!EV33:Instances!EV33),"median", MEDIAN(Instances!EV33:Instances!EV33),"min", MIN(Instances!EV33:Instances!EV33),"max", MAX(Instances!EV33:Instances!EV33),"diff", MAX(Instances!EV33:Instances!EV33)-MIN(Instances!EV33:Instances!EV33))</f>
        <v>0</v>
      </c>
      <c r="EW33" s="1" cm="1">
        <f t="array" ref="EW33">_xlfn.SWITCH($A$2,"average", AVERAGE(Instances!EW33:Instances!EW33),"median", MEDIAN(Instances!EW33:Instances!EW33),"min", MIN(Instances!EW33:Instances!EW33),"max", MAX(Instances!EW33:Instances!EW33),"diff", MAX(Instances!EW33:Instances!EW33)-MIN(Instances!EW33:Instances!EW33))</f>
        <v>0</v>
      </c>
      <c r="EX33" s="1" cm="1">
        <f t="array" ref="EX33">_xlfn.SWITCH($A$2,"average", AVERAGE(Instances!EX33:Instances!EX33),"median", MEDIAN(Instances!EX33:Instances!EX33),"min", MIN(Instances!EX33:Instances!EX33),"max", MAX(Instances!EX33:Instances!EX33),"diff", MAX(Instances!EX33:Instances!EX33)-MIN(Instances!EX33:Instances!EX33))</f>
        <v>0</v>
      </c>
      <c r="EY33" s="1" cm="1">
        <f t="array" ref="EY33">_xlfn.SWITCH($A$2,"average", AVERAGE(Instances!EY33:Instances!EY33),"median", MEDIAN(Instances!EY33:Instances!EY33),"min", MIN(Instances!EY33:Instances!EY33),"max", MAX(Instances!EY33:Instances!EY33),"diff", MAX(Instances!EY33:Instances!EY33)-MIN(Instances!EY33:Instances!EY33))</f>
        <v>0</v>
      </c>
      <c r="EZ33" s="1" cm="1">
        <f t="array" ref="EZ33">_xlfn.SWITCH($A$2,"average", AVERAGE(Instances!EZ33:Instances!EZ33),"median", MEDIAN(Instances!EZ33:Instances!EZ33),"min", MIN(Instances!EZ33:Instances!EZ33),"max", MAX(Instances!EZ33:Instances!EZ33),"diff", MAX(Instances!EZ33:Instances!EZ33)-MIN(Instances!EZ33:Instances!EZ33))</f>
        <v>0</v>
      </c>
      <c r="FA33" s="1" cm="1">
        <f t="array" ref="FA33">_xlfn.SWITCH($A$2,"average", AVERAGE(Instances!FA33:Instances!FA33),"median", MEDIAN(Instances!FA33:Instances!FA33),"min", MIN(Instances!FA33:Instances!FA33),"max", MAX(Instances!FA33:Instances!FA33),"diff", MAX(Instances!FA33:Instances!FA33)-MIN(Instances!FA33:Instances!FA33))</f>
        <v>0</v>
      </c>
      <c r="FB33" s="1" cm="1">
        <f t="array" ref="FB33">_xlfn.SWITCH($A$2,"average", AVERAGE(Instances!FB33:Instances!FB33),"median", MEDIAN(Instances!FB33:Instances!FB33),"min", MIN(Instances!FB33:Instances!FB33),"max", MAX(Instances!FB33:Instances!FB33),"diff", MAX(Instances!FB33:Instances!FB33)-MIN(Instances!FB33:Instances!FB33))</f>
        <v>0</v>
      </c>
      <c r="FC33" s="1" cm="1">
        <f t="array" ref="FC33">_xlfn.SWITCH($A$2,"average", AVERAGE(Instances!FC33:Instances!FC33),"median", MEDIAN(Instances!FC33:Instances!FC33),"min", MIN(Instances!FC33:Instances!FC33),"max", MAX(Instances!FC33:Instances!FC33),"diff", MAX(Instances!FC33:Instances!FC33)-MIN(Instances!FC33:Instances!FC33))</f>
        <v>0</v>
      </c>
      <c r="FD33" s="1"/>
      <c r="FE33" s="1" cm="1">
        <f t="array" ref="FE33">_xlfn.SWITCH($A$2,"average", AVERAGE(Instances!FE33:Instances!FE33),"median", MEDIAN(Instances!FE33:Instances!FE33),"min", MIN(Instances!FE33:Instances!FE33),"max", MAX(Instances!FE33:Instances!FE33),"diff", MAX(Instances!FE33:Instances!FE33)-MIN(Instances!FE33:Instances!FE33))</f>
        <v>0</v>
      </c>
      <c r="FF33" s="1" cm="1">
        <f t="array" ref="FF33">_xlfn.SWITCH($A$2,"average", AVERAGE(Instances!FF33:Instances!FF33),"median", MEDIAN(Instances!FF33:Instances!FF33),"min", MIN(Instances!FF33:Instances!FF33),"max", MAX(Instances!FF33:Instances!FF33),"diff", MAX(Instances!FF33:Instances!FF33)-MIN(Instances!FF33:Instances!FF33))</f>
        <v>0</v>
      </c>
      <c r="FG33" s="1" cm="1">
        <f t="array" ref="FG33">_xlfn.SWITCH($A$2,"average", AVERAGE(Instances!FG33:Instances!FG33),"median", MEDIAN(Instances!FG33:Instances!FG33),"min", MIN(Instances!FG33:Instances!FG33),"max", MAX(Instances!FG33:Instances!FG33),"diff", MAX(Instances!FG33:Instances!FG33)-MIN(Instances!FG33:Instances!FG33))</f>
        <v>0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 cm="1">
        <f t="array" ref="FZ33">_xlfn.SWITCH($A$2,"average", AVERAGE(Instances!FZ33:Instances!FZ33),"median", MEDIAN(Instances!FZ33:Instances!FZ33),"min", MIN(Instances!FZ33:Instances!FZ33),"max", MAX(Instances!FZ33:Instances!FZ33),"diff", MAX(Instances!FZ33:Instances!FZ33)-MIN(Instances!FZ33:Instances!FZ33))</f>
        <v>0</v>
      </c>
      <c r="GA33" s="1" cm="1">
        <f t="array" ref="GA33">_xlfn.SWITCH($A$2,"average", AVERAGE(Instances!GA33:Instances!GA33),"median", MEDIAN(Instances!GA33:Instances!GA33),"min", MIN(Instances!GA33:Instances!GA33),"max", MAX(Instances!GA33:Instances!GA33),"diff", MAX(Instances!GA33:Instances!GA33)-MIN(Instances!GA33:Instances!GA33))</f>
        <v>0</v>
      </c>
      <c r="GB33" s="1" cm="1">
        <f t="array" ref="GB33">_xlfn.SWITCH($A$2,"average", AVERAGE(Instances!GB33:Instances!GB33),"median", MEDIAN(Instances!GB33:Instances!GB33),"min", MIN(Instances!GB33:Instances!GB33),"max", MAX(Instances!GB33:Instances!GB33),"diff", MAX(Instances!GB33:Instances!GB33)-MIN(Instances!GB33:Instances!GB33))</f>
        <v>0</v>
      </c>
      <c r="GC33" s="1" cm="1">
        <f t="array" ref="GC33">_xlfn.SWITCH($A$2,"average", AVERAGE(Instances!GC33:Instances!GC33),"median", MEDIAN(Instances!GC33:Instances!GC33),"min", MIN(Instances!GC33:Instances!GC33),"max", MAX(Instances!GC33:Instances!GC33),"diff", MAX(Instances!GC33:Instances!GC33)-MIN(Instances!GC33:Instances!GC33))</f>
        <v>0</v>
      </c>
      <c r="GD33" s="1" cm="1">
        <f t="array" ref="GD33">_xlfn.SWITCH($A$2,"average", AVERAGE(Instances!GD33:Instances!GD33),"median", MEDIAN(Instances!GD33:Instances!GD33),"min", MIN(Instances!GD33:Instances!GD33),"max", MAX(Instances!GD33:Instances!GD33),"diff", MAX(Instances!GD33:Instances!GD33)-MIN(Instances!GD33:Instances!GD33))</f>
        <v>0</v>
      </c>
      <c r="GE33" s="1" cm="1">
        <f t="array" ref="GE33">_xlfn.SWITCH($A$2,"average", AVERAGE(Instances!GE33:Instances!GE33),"median", MEDIAN(Instances!GE33:Instances!GE33),"min", MIN(Instances!GE33:Instances!GE33),"max", MAX(Instances!GE33:Instances!GE33),"diff", MAX(Instances!GE33:Instances!GE33)-MIN(Instances!GE33:Instances!GE33))</f>
        <v>0</v>
      </c>
      <c r="GF33" s="1" cm="1">
        <f t="array" ref="GF33">_xlfn.SWITCH($A$2,"average", AVERAGE(Instances!GF33:Instances!GF33),"median", MEDIAN(Instances!GF33:Instances!GF33),"min", MIN(Instances!GF33:Instances!GF33),"max", MAX(Instances!GF33:Instances!GF33),"diff", MAX(Instances!GF33:Instances!GF33)-MIN(Instances!GF33:Instances!GF33))</f>
        <v>0</v>
      </c>
      <c r="GG33" s="1" cm="1">
        <f t="array" ref="GG33">_xlfn.SWITCH($A$2,"average", AVERAGE(Instances!GG33:Instances!GG33),"median", MEDIAN(Instances!GG33:Instances!GG33),"min", MIN(Instances!GG33:Instances!GG33),"max", MAX(Instances!GG33:Instances!GG33),"diff", MAX(Instances!GG33:Instances!GG33)-MIN(Instances!GG33:Instances!GG33))</f>
        <v>0</v>
      </c>
      <c r="GH33" s="1" cm="1">
        <f t="array" ref="GH33">_xlfn.SWITCH($A$2,"average", AVERAGE(Instances!GH33:Instances!GH33),"median", MEDIAN(Instances!GH33:Instances!GH33),"min", MIN(Instances!GH33:Instances!GH33),"max", MAX(Instances!GH33:Instances!GH33),"diff", MAX(Instances!GH33:Instances!GH33)-MIN(Instances!GH33:Instances!GH33))</f>
        <v>0</v>
      </c>
      <c r="GI33" s="1" cm="1">
        <f t="array" ref="GI33">_xlfn.SWITCH($A$2,"average", AVERAGE(Instances!GI33:Instances!GI33),"median", MEDIAN(Instances!GI33:Instances!GI33),"min", MIN(Instances!GI33:Instances!GI33),"max", MAX(Instances!GI33:Instances!GI33),"diff", MAX(Instances!GI33:Instances!GI33)-MIN(Instances!GI33:Instances!GI33))</f>
        <v>0</v>
      </c>
      <c r="GJ33" s="1" cm="1">
        <f t="array" ref="GJ33">_xlfn.SWITCH($A$2,"average", AVERAGE(Instances!GJ33:Instances!GJ33),"median", MEDIAN(Instances!GJ33:Instances!GJ33),"min", MIN(Instances!GJ33:Instances!GJ33),"max", MAX(Instances!GJ33:Instances!GJ33),"diff", MAX(Instances!GJ33:Instances!GJ33)-MIN(Instances!GJ33:Instances!GJ33))</f>
        <v>0</v>
      </c>
      <c r="GK33" s="1" cm="1">
        <f t="array" ref="GK33">_xlfn.SWITCH($A$2,"average", AVERAGE(Instances!GK33:Instances!GK33),"median", MEDIAN(Instances!GK33:Instances!GK33),"min", MIN(Instances!GK33:Instances!GK33),"max", MAX(Instances!GK33:Instances!GK33),"diff", MAX(Instances!GK33:Instances!GK33)-MIN(Instances!GK33:Instances!GK33))</f>
        <v>0</v>
      </c>
      <c r="GL33" s="1" cm="1">
        <f t="array" ref="GL33">_xlfn.SWITCH($A$2,"average", AVERAGE(Instances!GL33:Instances!GL33),"median", MEDIAN(Instances!GL33:Instances!GL33),"min", MIN(Instances!GL33:Instances!GL33),"max", MAX(Instances!GL33:Instances!GL33),"diff", MAX(Instances!GL33:Instances!GL33)-MIN(Instances!GL33:Instances!GL33))</f>
        <v>0</v>
      </c>
      <c r="GM33" s="1" cm="1">
        <f t="array" ref="GM33">_xlfn.SWITCH($A$2,"average", AVERAGE(Instances!GM33:Instances!GM33),"median", MEDIAN(Instances!GM33:Instances!GM33),"min", MIN(Instances!GM33:Instances!GM33),"max", MAX(Instances!GM33:Instances!GM33),"diff", MAX(Instances!GM33:Instances!GM33)-MIN(Instances!GM33:Instances!GM33))</f>
        <v>0</v>
      </c>
      <c r="GN33" s="1"/>
      <c r="GO33" s="1" cm="1">
        <f t="array" ref="GO33">_xlfn.SWITCH($A$2,"average", AVERAGE(Instances!GO33:Instances!GO33),"median", MEDIAN(Instances!GO33:Instances!GO33),"min", MIN(Instances!GO33:Instances!GO33),"max", MAX(Instances!GO33:Instances!GO33),"diff", MAX(Instances!GO33:Instances!GO33)-MIN(Instances!GO33:Instances!GO33))</f>
        <v>0</v>
      </c>
      <c r="GP33" s="1" cm="1">
        <f t="array" ref="GP33">_xlfn.SWITCH($A$2,"average", AVERAGE(Instances!GP33:Instances!GP33),"median", MEDIAN(Instances!GP33:Instances!GP33),"min", MIN(Instances!GP33:Instances!GP33),"max", MAX(Instances!GP33:Instances!GP33),"diff", MAX(Instances!GP33:Instances!GP33)-MIN(Instances!GP33:Instances!GP33))</f>
        <v>0</v>
      </c>
      <c r="GQ33" s="1" cm="1">
        <f t="array" ref="GQ33">_xlfn.SWITCH($A$2,"average", AVERAGE(Instances!GQ33:Instances!GQ33),"median", MEDIAN(Instances!GQ33:Instances!GQ33),"min", MIN(Instances!GQ33:Instances!GQ33),"max", MAX(Instances!GQ33:Instances!GQ33),"diff", MAX(Instances!GQ33:Instances!GQ33)-MIN(Instances!GQ33:Instances!GQ33))</f>
        <v>0</v>
      </c>
      <c r="GR33" s="1" cm="1">
        <f t="array" ref="GR33">_xlfn.SWITCH($A$2,"average", AVERAGE(Instances!GR33:Instances!GR33),"median", MEDIAN(Instances!GR33:Instances!GR33),"min", MIN(Instances!GR33:Instances!GR33),"max", MAX(Instances!GR33:Instances!GR33),"diff", MAX(Instances!GR33:Instances!GR33)-MIN(Instances!GR33:Instances!GR33))</f>
        <v>0</v>
      </c>
      <c r="GS33" s="1" cm="1">
        <f t="array" ref="GS33">_xlfn.SWITCH($A$2,"average", AVERAGE(Instances!GS33:Instances!GS33),"median", MEDIAN(Instances!GS33:Instances!GS33),"min", MIN(Instances!GS33:Instances!GS33),"max", MAX(Instances!GS33:Instances!GS33),"diff", MAX(Instances!GS33:Instances!GS33)-MIN(Instances!GS33:Instances!GS33))</f>
        <v>0</v>
      </c>
      <c r="GT33" s="1" cm="1">
        <f t="array" ref="GT33">_xlfn.SWITCH($A$2,"average", AVERAGE(Instances!GT33:Instances!GT33),"median", MEDIAN(Instances!GT33:Instances!GT33),"min", MIN(Instances!GT33:Instances!GT33),"max", MAX(Instances!GT33:Instances!GT33),"diff", MAX(Instances!GT33:Instances!GT33)-MIN(Instances!GT33:Instances!GT33))</f>
        <v>0</v>
      </c>
      <c r="GU33" s="1" cm="1">
        <f t="array" ref="GU33">_xlfn.SWITCH($A$2,"average", AVERAGE(Instances!GU33:Instances!GU33),"median", MEDIAN(Instances!GU33:Instances!GU33),"min", MIN(Instances!GU33:Instances!GU33),"max", MAX(Instances!GU33:Instances!GU33),"diff", MAX(Instances!GU33:Instances!GU33)-MIN(Instances!GU33:Instances!GU33))</f>
        <v>0</v>
      </c>
      <c r="GV33" s="1" cm="1">
        <f t="array" ref="GV33">_xlfn.SWITCH($A$2,"average", AVERAGE(Instances!GV33:Instances!GV33),"median", MEDIAN(Instances!GV33:Instances!GV33),"min", MIN(Instances!GV33:Instances!GV33),"max", MAX(Instances!GV33:Instances!GV33),"diff", MAX(Instances!GV33:Instances!GV33)-MIN(Instances!GV33:Instances!GV33))</f>
        <v>0</v>
      </c>
      <c r="GW33" s="1" cm="1">
        <f t="array" ref="GW33">_xlfn.SWITCH($A$2,"average", AVERAGE(Instances!GW33:Instances!GW33),"median", MEDIAN(Instances!GW33:Instances!GW33),"min", MIN(Instances!GW33:Instances!GW33),"max", MAX(Instances!GW33:Instances!GW33),"diff", MAX(Instances!GW33:Instances!GW33)-MIN(Instances!GW33:Instances!GW33))</f>
        <v>0</v>
      </c>
      <c r="GX33" s="1" cm="1">
        <f t="array" ref="GX33">_xlfn.SWITCH($A$2,"average", AVERAGE(Instances!GX33:Instances!GX33),"median", MEDIAN(Instances!GX33:Instances!GX33),"min", MIN(Instances!GX33:Instances!GX33),"max", MAX(Instances!GX33:Instances!GX33),"diff", MAX(Instances!GX33:Instances!GX33)-MIN(Instances!GX33:Instances!GX33))</f>
        <v>0</v>
      </c>
      <c r="GY33" s="1" cm="1">
        <f t="array" ref="GY33">_xlfn.SWITCH($A$2,"average", AVERAGE(Instances!GY33:Instances!GY33),"median", MEDIAN(Instances!GY33:Instances!GY33),"min", MIN(Instances!GY33:Instances!GY33),"max", MAX(Instances!GY33:Instances!GY33),"diff", MAX(Instances!GY33:Instances!GY33)-MIN(Instances!GY33:Instances!GY33))</f>
        <v>0</v>
      </c>
      <c r="GZ33" s="1" cm="1">
        <f t="array" ref="GZ33">_xlfn.SWITCH($A$2,"average", AVERAGE(Instances!GZ33:Instances!GZ33),"median", MEDIAN(Instances!GZ33:Instances!GZ33),"min", MIN(Instances!GZ33:Instances!GZ33),"max", MAX(Instances!GZ33:Instances!GZ33),"diff", MAX(Instances!GZ33:Instances!GZ33)-MIN(Instances!GZ33:Instances!GZ33))</f>
        <v>0</v>
      </c>
      <c r="HA33" s="1" cm="1">
        <f t="array" ref="HA33">_xlfn.SWITCH($A$2,"average", AVERAGE(Instances!HA33:Instances!HA33),"median", MEDIAN(Instances!HA33:Instances!HA33),"min", MIN(Instances!HA33:Instances!HA33),"max", MAX(Instances!HA33:Instances!HA33),"diff", MAX(Instances!HA33:Instances!HA33)-MIN(Instances!HA33:Instances!HA33))</f>
        <v>0</v>
      </c>
      <c r="HB33" s="1" cm="1">
        <f t="array" ref="HB33">_xlfn.SWITCH($A$2,"average", AVERAGE(Instances!HB33:Instances!HB33),"median", MEDIAN(Instances!HB33:Instances!HB33),"min", MIN(Instances!HB33:Instances!HB33),"max", MAX(Instances!HB33:Instances!HB33),"diff", MAX(Instances!HB33:Instances!HB33)-MIN(Instances!HB33:Instances!HB33))</f>
        <v>0</v>
      </c>
      <c r="HC33" s="1" cm="1">
        <f t="array" ref="HC33">_xlfn.SWITCH($A$2,"average", AVERAGE(Instances!HC33:Instances!HC33),"median", MEDIAN(Instances!HC33:Instances!HC33),"min", MIN(Instances!HC33:Instances!HC33),"max", MAX(Instances!HC33:Instances!HC33),"diff", MAX(Instances!HC33:Instances!HC33)-MIN(Instances!HC33:Instances!HC33))</f>
        <v>0</v>
      </c>
      <c r="HD33" s="1" cm="1">
        <f t="array" ref="HD33">_xlfn.SWITCH($A$2,"average", AVERAGE(Instances!HD33:Instances!HD33),"median", MEDIAN(Instances!HD33:Instances!HD33),"min", MIN(Instances!HD33:Instances!HD33),"max", MAX(Instances!HD33:Instances!HD33),"diff", MAX(Instances!HD33:Instances!HD33)-MIN(Instances!HD33:Instances!HD33))</f>
        <v>0</v>
      </c>
      <c r="HE33" s="1" cm="1">
        <f t="array" ref="HE33">_xlfn.SWITCH($A$2,"average", AVERAGE(Instances!HE33:Instances!HE33),"median", MEDIAN(Instances!HE33:Instances!HE33),"min", MIN(Instances!HE33:Instances!HE33),"max", MAX(Instances!HE33:Instances!HE33),"diff", MAX(Instances!HE33:Instances!HE33)-MIN(Instances!HE33:Instances!HE33))</f>
        <v>0</v>
      </c>
      <c r="HF33" s="1"/>
      <c r="HG33" s="1" cm="1">
        <f t="array" ref="HG33">_xlfn.SWITCH($A$2,"average", AVERAGE(Instances!HG33:Instances!HG33),"median", MEDIAN(Instances!HG33:Instances!HG33),"min", MIN(Instances!HG33:Instances!HG33),"max", MAX(Instances!HG33:Instances!HG33),"diff", MAX(Instances!HG33:Instances!HG33)-MIN(Instances!HG33:Instances!HG33))</f>
        <v>0</v>
      </c>
      <c r="HH33" s="1" cm="1">
        <f t="array" ref="HH33">_xlfn.SWITCH($A$2,"average", AVERAGE(Instances!HH33:Instances!HH33),"median", MEDIAN(Instances!HH33:Instances!HH33),"min", MIN(Instances!HH33:Instances!HH33),"max", MAX(Instances!HH33:Instances!HH33),"diff", MAX(Instances!HH33:Instances!HH33)-MIN(Instances!HH33:Instances!HH33))</f>
        <v>0</v>
      </c>
      <c r="HI33" s="1" cm="1">
        <f t="array" ref="HI33">_xlfn.SWITCH($A$2,"average", AVERAGE(Instances!HI33:Instances!HI33),"median", MEDIAN(Instances!HI33:Instances!HI33),"min", MIN(Instances!HI33:Instances!HI33),"max", MAX(Instances!HI33:Instances!HI33),"diff", MAX(Instances!HI33:Instances!HI33)-MIN(Instances!HI33:Instances!HI33))</f>
        <v>0</v>
      </c>
      <c r="HJ33" s="1" cm="1">
        <f t="array" ref="HJ33">_xlfn.SWITCH($A$2,"average", AVERAGE(Instances!HJ33:Instances!HJ33),"median", MEDIAN(Instances!HJ33:Instances!HJ33),"min", MIN(Instances!HJ33:Instances!HJ33),"max", MAX(Instances!HJ33:Instances!HJ33),"diff", MAX(Instances!HJ33:Instances!HJ33)-MIN(Instances!HJ33:Instances!HJ33))</f>
        <v>0</v>
      </c>
      <c r="HK33" s="1" cm="1">
        <f t="array" ref="HK33">_xlfn.SWITCH($A$2,"average", AVERAGE(Instances!HK33:Instances!HK33),"median", MEDIAN(Instances!HK33:Instances!HK33),"min", MIN(Instances!HK33:Instances!HK33),"max", MAX(Instances!HK33:Instances!HK33),"diff", MAX(Instances!HK33:Instances!HK33)-MIN(Instances!HK33:Instances!HK33))</f>
        <v>0</v>
      </c>
      <c r="HL33" s="1" cm="1">
        <f t="array" ref="HL33">_xlfn.SWITCH($A$2,"average", AVERAGE(Instances!HL33:Instances!HL33),"median", MEDIAN(Instances!HL33:Instances!HL33),"min", MIN(Instances!HL33:Instances!HL33),"max", MAX(Instances!HL33:Instances!HL33),"diff", MAX(Instances!HL33:Instances!HL33)-MIN(Instances!HL33:Instances!HL33))</f>
        <v>0</v>
      </c>
      <c r="HM33" s="1" cm="1">
        <f t="array" ref="HM33">_xlfn.SWITCH($A$2,"average", AVERAGE(Instances!HM33:Instances!HM33),"median", MEDIAN(Instances!HM33:Instances!HM33),"min", MIN(Instances!HM33:Instances!HM33),"max", MAX(Instances!HM33:Instances!HM33),"diff", MAX(Instances!HM33:Instances!HM33)-MIN(Instances!HM33:Instances!HM33))</f>
        <v>0</v>
      </c>
      <c r="HN33" s="1" cm="1">
        <f t="array" ref="HN33">_xlfn.SWITCH($A$2,"average", AVERAGE(Instances!HN33:Instances!HN33),"median", MEDIAN(Instances!HN33:Instances!HN33),"min", MIN(Instances!HN33:Instances!HN33),"max", MAX(Instances!HN33:Instances!HN33),"diff", MAX(Instances!HN33:Instances!HN33)-MIN(Instances!HN33:Instances!HN33))</f>
        <v>0</v>
      </c>
      <c r="HO33" s="1" cm="1">
        <f t="array" ref="HO33">_xlfn.SWITCH($A$2,"average", AVERAGE(Instances!HO33:Instances!HO33),"median", MEDIAN(Instances!HO33:Instances!HO33),"min", MIN(Instances!HO33:Instances!HO33),"max", MAX(Instances!HO33:Instances!HO33),"diff", MAX(Instances!HO33:Instances!HO33)-MIN(Instances!HO33:Instances!HO33))</f>
        <v>0</v>
      </c>
      <c r="HP33" s="1" cm="1">
        <f t="array" ref="HP33">_xlfn.SWITCH($A$2,"average", AVERAGE(Instances!HP33:Instances!HP33),"median", MEDIAN(Instances!HP33:Instances!HP33),"min", MIN(Instances!HP33:Instances!HP33),"max", MAX(Instances!HP33:Instances!HP33),"diff", MAX(Instances!HP33:Instances!HP33)-MIN(Instances!HP33:Instances!HP33))</f>
        <v>0</v>
      </c>
      <c r="HQ33" s="1" cm="1">
        <f t="array" ref="HQ33">_xlfn.SWITCH($A$2,"average", AVERAGE(Instances!HQ33:Instances!HQ33),"median", MEDIAN(Instances!HQ33:Instances!HQ33),"min", MIN(Instances!HQ33:Instances!HQ33),"max", MAX(Instances!HQ33:Instances!HQ33),"diff", MAX(Instances!HQ33:Instances!HQ33)-MIN(Instances!HQ33:Instances!HQ33))</f>
        <v>0</v>
      </c>
      <c r="HR33" s="1" cm="1">
        <f t="array" ref="HR33">_xlfn.SWITCH($A$2,"average", AVERAGE(Instances!HR33:Instances!HR33),"median", MEDIAN(Instances!HR33:Instances!HR33),"min", MIN(Instances!HR33:Instances!HR33),"max", MAX(Instances!HR33:Instances!HR33),"diff", MAX(Instances!HR33:Instances!HR33)-MIN(Instances!HR33:Instances!HR33))</f>
        <v>0</v>
      </c>
      <c r="HS33" s="1" cm="1">
        <f t="array" ref="HS33">_xlfn.SWITCH($A$2,"average", AVERAGE(Instances!HS33:Instances!HS33),"median", MEDIAN(Instances!HS33:Instances!HS33),"min", MIN(Instances!HS33:Instances!HS33),"max", MAX(Instances!HS33:Instances!HS33),"diff", MAX(Instances!HS33:Instances!HS33)-MIN(Instances!HS33:Instances!HS33))</f>
        <v>0</v>
      </c>
      <c r="HT33" s="1" cm="1">
        <f t="array" ref="HT33">_xlfn.SWITCH($A$2,"average", AVERAGE(Instances!HT33:Instances!HT33),"median", MEDIAN(Instances!HT33:Instances!HT33),"min", MIN(Instances!HT33:Instances!HT33),"max", MAX(Instances!HT33:Instances!HT33),"diff", MAX(Instances!HT33:Instances!HT33)-MIN(Instances!HT33:Instances!HT33))</f>
        <v>0</v>
      </c>
      <c r="HU33" s="1" cm="1">
        <f t="array" ref="HU33">_xlfn.SWITCH($A$2,"average", AVERAGE(Instances!HU33:Instances!HU33),"median", MEDIAN(Instances!HU33:Instances!HU33),"min", MIN(Instances!HU33:Instances!HU33),"max", MAX(Instances!HU33:Instances!HU33),"diff", MAX(Instances!HU33:Instances!HU33)-MIN(Instances!HU33:Instances!HU33))</f>
        <v>0</v>
      </c>
      <c r="HV33" s="1" cm="1">
        <f t="array" ref="HV33">_xlfn.SWITCH($A$2,"average", AVERAGE(Instances!HV33:Instances!HV33),"median", MEDIAN(Instances!HV33:Instances!HV33),"min", MIN(Instances!HV33:Instances!HV33),"max", MAX(Instances!HV33:Instances!HV33),"diff", MAX(Instances!HV33:Instances!HV33)-MIN(Instances!HV33:Instances!HV33))</f>
        <v>0</v>
      </c>
      <c r="HW33" s="1" cm="1">
        <f t="array" ref="HW33">_xlfn.SWITCH($A$2,"average", AVERAGE(Instances!HW33:Instances!HW33),"median", MEDIAN(Instances!HW33:Instances!HW33),"min", MIN(Instances!HW33:Instances!HW33),"max", MAX(Instances!HW33:Instances!HW33),"diff", MAX(Instances!HW33:Instances!HW33)-MIN(Instances!HW33:Instances!HW33))</f>
        <v>0</v>
      </c>
      <c r="HX33" s="1"/>
      <c r="HY33" s="1" cm="1">
        <f t="array" ref="HY33">_xlfn.SWITCH($A$2,"average", AVERAGE(Instances!HY33:Instances!HY33),"median", MEDIAN(Instances!HY33:Instances!HY33),"min", MIN(Instances!HY33:Instances!HY33),"max", MAX(Instances!HY33:Instances!HY33),"diff", MAX(Instances!HY33:Instances!HY33)-MIN(Instances!HY33:Instances!HY33))</f>
        <v>0</v>
      </c>
      <c r="HZ33" s="1" cm="1">
        <f t="array" ref="HZ33">_xlfn.SWITCH($A$2,"average", AVERAGE(Instances!HZ33:Instances!HZ33),"median", MEDIAN(Instances!HZ33:Instances!HZ33),"min", MIN(Instances!HZ33:Instances!HZ33),"max", MAX(Instances!HZ33:Instances!HZ33),"diff", MAX(Instances!HZ33:Instances!HZ33)-MIN(Instances!HZ33:Instances!HZ33))</f>
        <v>0</v>
      </c>
      <c r="IA33" s="1" cm="1">
        <f t="array" ref="IA33">_xlfn.SWITCH($A$2,"average", AVERAGE(Instances!IA33:Instances!IA33),"median", MEDIAN(Instances!IA33:Instances!IA33),"min", MIN(Instances!IA33:Instances!IA33),"max", MAX(Instances!IA33:Instances!IA33),"diff", MAX(Instances!IA33:Instances!IA33)-MIN(Instances!IA33:Instances!IA33))</f>
        <v>0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 cm="1">
        <f t="array" ref="JL33">_xlfn.SWITCH($A$2,"average", AVERAGE(Instances!JL33:Instances!JL33),"median", MEDIAN(Instances!JL33:Instances!JL33),"min", MIN(Instances!JL33:Instances!JL33),"max", MAX(Instances!JL33:Instances!JL33),"diff", MAX(Instances!JL33:Instances!JL33)-MIN(Instances!JL33:Instances!JL33))</f>
        <v>0</v>
      </c>
      <c r="JM33" s="1" cm="1">
        <f t="array" ref="JM33">_xlfn.SWITCH($A$2,"average", AVERAGE(Instances!JM33:Instances!JM33),"median", MEDIAN(Instances!JM33:Instances!JM33),"min", MIN(Instances!JM33:Instances!JM33),"max", MAX(Instances!JM33:Instances!JM33),"diff", MAX(Instances!JM33:Instances!JM33)-MIN(Instances!JM33:Instances!JM33))</f>
        <v>0</v>
      </c>
      <c r="JN33" s="1" cm="1">
        <f t="array" ref="JN33">_xlfn.SWITCH($A$2,"average", AVERAGE(Instances!JN33:Instances!JN33),"median", MEDIAN(Instances!JN33:Instances!JN33),"min", MIN(Instances!JN33:Instances!JN33),"max", MAX(Instances!JN33:Instances!JN33),"diff", MAX(Instances!JN33:Instances!JN33)-MIN(Instances!JN33:Instances!JN33))</f>
        <v>0</v>
      </c>
      <c r="JO33" s="1" cm="1">
        <f t="array" ref="JO33">_xlfn.SWITCH($A$2,"average", AVERAGE(Instances!JO33:Instances!JO33),"median", MEDIAN(Instances!JO33:Instances!JO33),"min", MIN(Instances!JO33:Instances!JO33),"max", MAX(Instances!JO33:Instances!JO33),"diff", MAX(Instances!JO33:Instances!JO33)-MIN(Instances!JO33:Instances!JO33))</f>
        <v>0</v>
      </c>
      <c r="JP33" s="1" cm="1">
        <f t="array" ref="JP33">_xlfn.SWITCH($A$2,"average", AVERAGE(Instances!JP33:Instances!JP33),"median", MEDIAN(Instances!JP33:Instances!JP33),"min", MIN(Instances!JP33:Instances!JP33),"max", MAX(Instances!JP33:Instances!JP33),"diff", MAX(Instances!JP33:Instances!JP33)-MIN(Instances!JP33:Instances!JP33))</f>
        <v>0</v>
      </c>
      <c r="JQ33" s="1" cm="1">
        <f t="array" ref="JQ33">_xlfn.SWITCH($A$2,"average", AVERAGE(Instances!JQ33:Instances!JQ33),"median", MEDIAN(Instances!JQ33:Instances!JQ33),"min", MIN(Instances!JQ33:Instances!JQ33),"max", MAX(Instances!JQ33:Instances!JQ33),"diff", MAX(Instances!JQ33:Instances!JQ33)-MIN(Instances!JQ33:Instances!JQ33))</f>
        <v>0</v>
      </c>
      <c r="JR33" s="1" cm="1">
        <f t="array" ref="JR33">_xlfn.SWITCH($A$2,"average", AVERAGE(Instances!JR33:Instances!JR33),"median", MEDIAN(Instances!JR33:Instances!JR33),"min", MIN(Instances!JR33:Instances!JR33),"max", MAX(Instances!JR33:Instances!JR33),"diff", MAX(Instances!JR33:Instances!JR33)-MIN(Instances!JR33:Instances!JR33))</f>
        <v>0</v>
      </c>
      <c r="JS33" s="1" cm="1">
        <f t="array" ref="JS33">_xlfn.SWITCH($A$2,"average", AVERAGE(Instances!JS33:Instances!JS33),"median", MEDIAN(Instances!JS33:Instances!JS33),"min", MIN(Instances!JS33:Instances!JS33),"max", MAX(Instances!JS33:Instances!JS33),"diff", MAX(Instances!JS33:Instances!JS33)-MIN(Instances!JS33:Instances!JS33))</f>
        <v>0</v>
      </c>
      <c r="JT33" s="1" cm="1">
        <f t="array" ref="JT33">_xlfn.SWITCH($A$2,"average", AVERAGE(Instances!JT33:Instances!JT33),"median", MEDIAN(Instances!JT33:Instances!JT33),"min", MIN(Instances!JT33:Instances!JT33),"max", MAX(Instances!JT33:Instances!JT33),"diff", MAX(Instances!JT33:Instances!JT33)-MIN(Instances!JT33:Instances!JT33))</f>
        <v>0</v>
      </c>
      <c r="JU33" s="1" cm="1">
        <f t="array" ref="JU33">_xlfn.SWITCH($A$2,"average", AVERAGE(Instances!JU33:Instances!JU33),"median", MEDIAN(Instances!JU33:Instances!JU33),"min", MIN(Instances!JU33:Instances!JU33),"max", MAX(Instances!JU33:Instances!JU33),"diff", MAX(Instances!JU33:Instances!JU33)-MIN(Instances!JU33:Instances!JU33))</f>
        <v>0</v>
      </c>
      <c r="JV33" s="1" cm="1">
        <f t="array" ref="JV33">_xlfn.SWITCH($A$2,"average", AVERAGE(Instances!JV33:Instances!JV33),"median", MEDIAN(Instances!JV33:Instances!JV33),"min", MIN(Instances!JV33:Instances!JV33),"max", MAX(Instances!JV33:Instances!JV33),"diff", MAX(Instances!JV33:Instances!JV33)-MIN(Instances!JV33:Instances!JV33))</f>
        <v>0</v>
      </c>
      <c r="JW33" s="1" cm="1">
        <f t="array" ref="JW33">_xlfn.SWITCH($A$2,"average", AVERAGE(Instances!JW33:Instances!JW33),"median", MEDIAN(Instances!JW33:Instances!JW33),"min", MIN(Instances!JW33:Instances!JW33),"max", MAX(Instances!JW33:Instances!JW33),"diff", MAX(Instances!JW33:Instances!JW33)-MIN(Instances!JW33:Instances!JW33))</f>
        <v>0</v>
      </c>
      <c r="JX33" s="1" cm="1">
        <f t="array" ref="JX33">_xlfn.SWITCH($A$2,"average", AVERAGE(Instances!JX33:Instances!JX33),"median", MEDIAN(Instances!JX33:Instances!JX33),"min", MIN(Instances!JX33:Instances!JX33),"max", MAX(Instances!JX33:Instances!JX33),"diff", MAX(Instances!JX33:Instances!JX33)-MIN(Instances!JX33:Instances!JX33))</f>
        <v>0</v>
      </c>
      <c r="JY33" s="1" cm="1">
        <f t="array" ref="JY33">_xlfn.SWITCH($A$2,"average", AVERAGE(Instances!JY33:Instances!JY33),"median", MEDIAN(Instances!JY33:Instances!JY33),"min", MIN(Instances!JY33:Instances!JY33),"max", MAX(Instances!JY33:Instances!JY33),"diff", MAX(Instances!JY33:Instances!JY33)-MIN(Instances!JY33:Instances!JY33))</f>
        <v>0</v>
      </c>
      <c r="JZ33" s="1"/>
      <c r="KA33" s="1" cm="1">
        <f t="array" ref="KA33">_xlfn.SWITCH($A$2,"average", AVERAGE(Instances!KA33:Instances!KA33),"median", MEDIAN(Instances!KA33:Instances!KA33),"min", MIN(Instances!KA33:Instances!KA33),"max", MAX(Instances!KA33:Instances!KA33),"diff", MAX(Instances!KA33:Instances!KA33)-MIN(Instances!KA33:Instances!KA33))</f>
        <v>0</v>
      </c>
      <c r="KB33" s="1" cm="1">
        <f t="array" ref="KB33">_xlfn.SWITCH($A$2,"average", AVERAGE(Instances!KB33:Instances!KB33),"median", MEDIAN(Instances!KB33:Instances!KB33),"min", MIN(Instances!KB33:Instances!KB33),"max", MAX(Instances!KB33:Instances!KB33),"diff", MAX(Instances!KB33:Instances!KB33)-MIN(Instances!KB33:Instances!KB33))</f>
        <v>0</v>
      </c>
      <c r="KC33" s="1" cm="1">
        <f t="array" ref="KC33">_xlfn.SWITCH($A$2,"average", AVERAGE(Instances!KC33:Instances!KC33),"median", MEDIAN(Instances!KC33:Instances!KC33),"min", MIN(Instances!KC33:Instances!KC33),"max", MAX(Instances!KC33:Instances!KC33),"diff", MAX(Instances!KC33:Instances!KC33)-MIN(Instances!KC33:Instances!KC33))</f>
        <v>0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 cm="1">
        <f t="array" ref="L34">_xlfn.SWITCH($A$2,"average", AVERAGE(Instances!L34:Instances!L34),"median", MEDIAN(Instances!L34:Instances!L34),"min", MIN(Instances!L34:Instances!L34),"max", MAX(Instances!L34:Instances!L34),"diff", MAX(Instances!L34:Instances!L34)-MIN(Instances!L34:Instances!L34))</f>
        <v>0</v>
      </c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 cm="1">
        <f t="array" ref="O34">_xlfn.SWITCH($A$2,"average", AVERAGE(Instances!O34:Instances!O34),"median", MEDIAN(Instances!O34:Instances!O34),"min", MIN(Instances!O34:Instances!O34),"max", MAX(Instances!O34:Instances!O34),"diff", MAX(Instances!O34:Instances!O34)-MIN(Instances!O34:Instances!O34))</f>
        <v>0</v>
      </c>
      <c r="P34" s="1"/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 cm="1">
        <f t="array" ref="S34">_xlfn.SWITCH($A$2,"average", AVERAGE(Instances!S34:Instances!S34),"median", MEDIAN(Instances!S34:Instances!S34),"min", MIN(Instances!S34:Instances!S34),"max", MAX(Instances!S34:Instances!S34),"diff", MAX(Instances!S34:Instances!S34)-MIN(Instances!S34:Instances!S34))</f>
        <v>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 cm="1">
        <f t="array" ref="AL34">_xlfn.SWITCH($A$2,"average", AVERAGE(Instances!AL34:Instances!AL34),"median", MEDIAN(Instances!AL34:Instances!AL34),"min", MIN(Instances!AL34:Instances!AL34),"max", MAX(Instances!AL34:Instances!AL34),"diff", MAX(Instances!AL34:Instances!AL34)-MIN(Instances!AL34:Instances!AL34))</f>
        <v>0</v>
      </c>
      <c r="AM34" s="1" cm="1">
        <f t="array" ref="AM34">_xlfn.SWITCH($A$2,"average", AVERAGE(Instances!AM34:Instances!AM34),"median", MEDIAN(Instances!AM34:Instances!AM34),"min", MIN(Instances!AM34:Instances!AM34),"max", MAX(Instances!AM34:Instances!AM34),"diff", MAX(Instances!AM34:Instances!AM34)-MIN(Instances!AM34:Instances!AM34))</f>
        <v>0</v>
      </c>
      <c r="AN34" s="1" cm="1">
        <f t="array" ref="AN34">_xlfn.SWITCH($A$2,"average", AVERAGE(Instances!AN34:Instances!AN34),"median", MEDIAN(Instances!AN34:Instances!AN34),"min", MIN(Instances!AN34:Instances!AN34),"max", MAX(Instances!AN34:Instances!AN34),"diff", MAX(Instances!AN34:Instances!AN34)-MIN(Instances!AN34:Instances!AN34))</f>
        <v>0</v>
      </c>
      <c r="AO34" s="1" cm="1">
        <f t="array" ref="AO34">_xlfn.SWITCH($A$2,"average", AVERAGE(Instances!AO34:Instances!AO34),"median", MEDIAN(Instances!AO34:Instances!AO34),"min", MIN(Instances!AO34:Instances!AO34),"max", MAX(Instances!AO34:Instances!AO34),"diff", MAX(Instances!AO34:Instances!AO34)-MIN(Instances!AO34:Instances!AO34))</f>
        <v>0</v>
      </c>
      <c r="AP34" s="1" cm="1">
        <f t="array" ref="AP34">_xlfn.SWITCH($A$2,"average", AVERAGE(Instances!AP34:Instances!AP34),"median", MEDIAN(Instances!AP34:Instances!AP34),"min", MIN(Instances!AP34:Instances!AP34),"max", MAX(Instances!AP34:Instances!AP34),"diff", MAX(Instances!AP34:Instances!AP34)-MIN(Instances!AP34:Instances!AP34))</f>
        <v>0</v>
      </c>
      <c r="AQ34" s="1" cm="1">
        <f t="array" ref="AQ34">_xlfn.SWITCH($A$2,"average", AVERAGE(Instances!AQ34:Instances!AQ34),"median", MEDIAN(Instances!AQ34:Instances!AQ34),"min", MIN(Instances!AQ34:Instances!AQ34),"max", MAX(Instances!AQ34:Instances!AQ34),"diff", MAX(Instances!AQ34:Instances!AQ34)-MIN(Instances!AQ34:Instances!AQ34))</f>
        <v>0</v>
      </c>
      <c r="AR34" s="1" cm="1">
        <f t="array" ref="AR34">_xlfn.SWITCH($A$2,"average", AVERAGE(Instances!AR34:Instances!AR34),"median", MEDIAN(Instances!AR34:Instances!AR34),"min", MIN(Instances!AR34:Instances!AR34),"max", MAX(Instances!AR34:Instances!AR34),"diff", MAX(Instances!AR34:Instances!AR34)-MIN(Instances!AR34:Instances!AR34))</f>
        <v>0</v>
      </c>
      <c r="AS34" s="1" cm="1">
        <f t="array" ref="AS34">_xlfn.SWITCH($A$2,"average", AVERAGE(Instances!AS34:Instances!AS34),"median", MEDIAN(Instances!AS34:Instances!AS34),"min", MIN(Instances!AS34:Instances!AS34),"max", MAX(Instances!AS34:Instances!AS34),"diff", MAX(Instances!AS34:Instances!AS34)-MIN(Instances!AS34:Instances!AS34))</f>
        <v>0</v>
      </c>
      <c r="AT34" s="1" cm="1">
        <f t="array" ref="AT34">_xlfn.SWITCH($A$2,"average", AVERAGE(Instances!AT34:Instances!AT34),"median", MEDIAN(Instances!AT34:Instances!AT34),"min", MIN(Instances!AT34:Instances!AT34),"max", MAX(Instances!AT34:Instances!AT34),"diff", MAX(Instances!AT34:Instances!AT34)-MIN(Instances!AT34:Instances!AT34))</f>
        <v>0</v>
      </c>
      <c r="AU34" s="1" cm="1">
        <f t="array" ref="AU34">_xlfn.SWITCH($A$2,"average", AVERAGE(Instances!AU34:Instances!AU34),"median", MEDIAN(Instances!AU34:Instances!AU34),"min", MIN(Instances!AU34:Instances!AU34),"max", MAX(Instances!AU34:Instances!AU34),"diff", MAX(Instances!AU34:Instances!AU34)-MIN(Instances!AU34:Instances!AU34))</f>
        <v>0</v>
      </c>
      <c r="AV34" s="1" cm="1">
        <f t="array" ref="AV34">_xlfn.SWITCH($A$2,"average", AVERAGE(Instances!AV34:Instances!AV34),"median", MEDIAN(Instances!AV34:Instances!AV34),"min", MIN(Instances!AV34:Instances!AV34),"max", MAX(Instances!AV34:Instances!AV34),"diff", MAX(Instances!AV34:Instances!AV34)-MIN(Instances!AV34:Instances!AV34))</f>
        <v>0</v>
      </c>
      <c r="AW34" s="1" cm="1">
        <f t="array" ref="AW34">_xlfn.SWITCH($A$2,"average", AVERAGE(Instances!AW34:Instances!AW34),"median", MEDIAN(Instances!AW34:Instances!AW34),"min", MIN(Instances!AW34:Instances!AW34),"max", MAX(Instances!AW34:Instances!AW34),"diff", MAX(Instances!AW34:Instances!AW34)-MIN(Instances!AW34:Instances!AW34))</f>
        <v>0</v>
      </c>
      <c r="AX34" s="1" cm="1">
        <f t="array" ref="AX34">_xlfn.SWITCH($A$2,"average", AVERAGE(Instances!AX34:Instances!AX34),"median", MEDIAN(Instances!AX34:Instances!AX34),"min", MIN(Instances!AX34:Instances!AX34),"max", MAX(Instances!AX34:Instances!AX34),"diff", MAX(Instances!AX34:Instances!AX34)-MIN(Instances!AX34:Instances!AX34))</f>
        <v>0</v>
      </c>
      <c r="AY34" s="1" cm="1">
        <f t="array" ref="AY34">_xlfn.SWITCH($A$2,"average", AVERAGE(Instances!AY34:Instances!AY34),"median", MEDIAN(Instances!AY34:Instances!AY34),"min", MIN(Instances!AY34:Instances!AY34),"max", MAX(Instances!AY34:Instances!AY34),"diff", MAX(Instances!AY34:Instances!AY34)-MIN(Instances!AY34:Instances!AY34))</f>
        <v>0</v>
      </c>
      <c r="AZ34" s="1"/>
      <c r="BA34" s="1" cm="1">
        <f t="array" ref="BA34">_xlfn.SWITCH($A$2,"average", AVERAGE(Instances!BA34:Instances!BA34),"median", MEDIAN(Instances!BA34:Instances!BA34),"min", MIN(Instances!BA34:Instances!BA34),"max", MAX(Instances!BA34:Instances!BA34),"diff", MAX(Instances!BA34:Instances!BA34)-MIN(Instances!BA34:Instances!BA34))</f>
        <v>0</v>
      </c>
      <c r="BB34" s="1" cm="1">
        <f t="array" ref="BB34">_xlfn.SWITCH($A$2,"average", AVERAGE(Instances!BB34:Instances!BB34),"median", MEDIAN(Instances!BB34:Instances!BB34),"min", MIN(Instances!BB34:Instances!BB34),"max", MAX(Instances!BB34:Instances!BB34),"diff", MAX(Instances!BB34:Instances!BB34)-MIN(Instances!BB34:Instances!BB34))</f>
        <v>0</v>
      </c>
      <c r="BC34" s="1" cm="1">
        <f t="array" ref="BC34">_xlfn.SWITCH($A$2,"average", AVERAGE(Instances!BC34:Instances!BC34),"median", MEDIAN(Instances!BC34:Instances!BC34),"min", MIN(Instances!BC34:Instances!BC34),"max", MAX(Instances!BC34:Instances!BC34),"diff", MAX(Instances!BC34:Instances!BC34)-MIN(Instances!BC34:Instances!BC34))</f>
        <v>0</v>
      </c>
      <c r="BD34" s="1" cm="1">
        <f t="array" ref="BD34">_xlfn.SWITCH($A$2,"average", AVERAGE(Instances!BD34:Instances!BD34),"median", MEDIAN(Instances!BD34:Instances!BD34),"min", MIN(Instances!BD34:Instances!BD34),"max", MAX(Instances!BD34:Instances!BD34),"diff", MAX(Instances!BD34:Instances!BD34)-MIN(Instances!BD34:Instances!BD34))</f>
        <v>0</v>
      </c>
      <c r="BE34" s="1" cm="1">
        <f t="array" ref="BE34">_xlfn.SWITCH($A$2,"average", AVERAGE(Instances!BE34:Instances!BE34),"median", MEDIAN(Instances!BE34:Instances!BE34),"min", MIN(Instances!BE34:Instances!BE34),"max", MAX(Instances!BE34:Instances!BE34),"diff", MAX(Instances!BE34:Instances!BE34)-MIN(Instances!BE34:Instances!BE34))</f>
        <v>0</v>
      </c>
      <c r="BF34" s="1" cm="1">
        <f t="array" ref="BF34">_xlfn.SWITCH($A$2,"average", AVERAGE(Instances!BF34:Instances!BF34),"median", MEDIAN(Instances!BF34:Instances!BF34),"min", MIN(Instances!BF34:Instances!BF34),"max", MAX(Instances!BF34:Instances!BF34),"diff", MAX(Instances!BF34:Instances!BF34)-MIN(Instances!BF34:Instances!BF34))</f>
        <v>0</v>
      </c>
      <c r="BG34" s="1" cm="1">
        <f t="array" ref="BG34">_xlfn.SWITCH($A$2,"average", AVERAGE(Instances!BG34:Instances!BG34),"median", MEDIAN(Instances!BG34:Instances!BG34),"min", MIN(Instances!BG34:Instances!BG34),"max", MAX(Instances!BG34:Instances!BG34),"diff", MAX(Instances!BG34:Instances!BG34)-MIN(Instances!BG34:Instances!BG34))</f>
        <v>0</v>
      </c>
      <c r="BH34" s="1" cm="1">
        <f t="array" ref="BH34">_xlfn.SWITCH($A$2,"average", AVERAGE(Instances!BH34:Instances!BH34),"median", MEDIAN(Instances!BH34:Instances!BH34),"min", MIN(Instances!BH34:Instances!BH34),"max", MAX(Instances!BH34:Instances!BH34),"diff", MAX(Instances!BH34:Instances!BH34)-MIN(Instances!BH34:Instances!BH34))</f>
        <v>0</v>
      </c>
      <c r="BI34" s="1" cm="1">
        <f t="array" ref="BI34">_xlfn.SWITCH($A$2,"average", AVERAGE(Instances!BI34:Instances!BI34),"median", MEDIAN(Instances!BI34:Instances!BI34),"min", MIN(Instances!BI34:Instances!BI34),"max", MAX(Instances!BI34:Instances!BI34),"diff", MAX(Instances!BI34:Instances!BI34)-MIN(Instances!BI34:Instances!BI34))</f>
        <v>0</v>
      </c>
      <c r="BJ34" s="1" cm="1">
        <f t="array" ref="BJ34">_xlfn.SWITCH($A$2,"average", AVERAGE(Instances!BJ34:Instances!BJ34),"median", MEDIAN(Instances!BJ34:Instances!BJ34),"min", MIN(Instances!BJ34:Instances!BJ34),"max", MAX(Instances!BJ34:Instances!BJ34),"diff", MAX(Instances!BJ34:Instances!BJ34)-MIN(Instances!BJ34:Instances!BJ34))</f>
        <v>0</v>
      </c>
      <c r="BK34" s="1" cm="1">
        <f t="array" ref="BK34">_xlfn.SWITCH($A$2,"average", AVERAGE(Instances!BK34:Instances!BK34),"median", MEDIAN(Instances!BK34:Instances!BK34),"min", MIN(Instances!BK34:Instances!BK34),"max", MAX(Instances!BK34:Instances!BK34),"diff", MAX(Instances!BK34:Instances!BK34)-MIN(Instances!BK34:Instances!BK34))</f>
        <v>0</v>
      </c>
      <c r="BL34" s="1" cm="1">
        <f t="array" ref="BL34">_xlfn.SWITCH($A$2,"average", AVERAGE(Instances!BL34:Instances!BL34),"median", MEDIAN(Instances!BL34:Instances!BL34),"min", MIN(Instances!BL34:Instances!BL34),"max", MAX(Instances!BL34:Instances!BL34),"diff", MAX(Instances!BL34:Instances!BL34)-MIN(Instances!BL34:Instances!BL34))</f>
        <v>0</v>
      </c>
      <c r="BM34" s="1" cm="1">
        <f t="array" ref="BM34">_xlfn.SWITCH($A$2,"average", AVERAGE(Instances!BM34:Instances!BM34),"median", MEDIAN(Instances!BM34:Instances!BM34),"min", MIN(Instances!BM34:Instances!BM34),"max", MAX(Instances!BM34:Instances!BM34),"diff", MAX(Instances!BM34:Instances!BM34)-MIN(Instances!BM34:Instances!BM34))</f>
        <v>0</v>
      </c>
      <c r="BN34" s="1" cm="1">
        <f t="array" ref="BN34">_xlfn.SWITCH($A$2,"average", AVERAGE(Instances!BN34:Instances!BN34),"median", MEDIAN(Instances!BN34:Instances!BN34),"min", MIN(Instances!BN34:Instances!BN34),"max", MAX(Instances!BN34:Instances!BN34),"diff", MAX(Instances!BN34:Instances!BN34)-MIN(Instances!BN34:Instances!BN34))</f>
        <v>0</v>
      </c>
      <c r="BO34" s="1" cm="1">
        <f t="array" ref="BO34">_xlfn.SWITCH($A$2,"average", AVERAGE(Instances!BO34:Instances!BO34),"median", MEDIAN(Instances!BO34:Instances!BO34),"min", MIN(Instances!BO34:Instances!BO34),"max", MAX(Instances!BO34:Instances!BO34),"diff", MAX(Instances!BO34:Instances!BO34)-MIN(Instances!BO34:Instances!BO34))</f>
        <v>0</v>
      </c>
      <c r="BP34" s="1" cm="1">
        <f t="array" ref="BP34">_xlfn.SWITCH($A$2,"average", AVERAGE(Instances!BP34:Instances!BP34),"median", MEDIAN(Instances!BP34:Instances!BP34),"min", MIN(Instances!BP34:Instances!BP34),"max", MAX(Instances!BP34:Instances!BP34),"diff", MAX(Instances!BP34:Instances!BP34)-MIN(Instances!BP34:Instances!BP34))</f>
        <v>0</v>
      </c>
      <c r="BQ34" s="1" cm="1">
        <f t="array" ref="BQ34">_xlfn.SWITCH($A$2,"average", AVERAGE(Instances!BQ34:Instances!BQ34),"median", MEDIAN(Instances!BQ34:Instances!BQ34),"min", MIN(Instances!BQ34:Instances!BQ34),"max", MAX(Instances!BQ34:Instances!BQ34),"diff", MAX(Instances!BQ34:Instances!BQ34)-MIN(Instances!BQ34:Instances!BQ34))</f>
        <v>0</v>
      </c>
      <c r="BR34" s="1"/>
      <c r="BS34" s="1" cm="1">
        <f t="array" ref="BS34">_xlfn.SWITCH($A$2,"average", AVERAGE(Instances!BS34:Instances!BS34),"median", MEDIAN(Instances!BS34:Instances!BS34),"min", MIN(Instances!BS34:Instances!BS34),"max", MAX(Instances!BS34:Instances!BS34),"diff", MAX(Instances!BS34:Instances!BS34)-MIN(Instances!BS34:Instances!BS34))</f>
        <v>0</v>
      </c>
      <c r="BT34" s="1" cm="1">
        <f t="array" ref="BT34">_xlfn.SWITCH($A$2,"average", AVERAGE(Instances!BT34:Instances!BT34),"median", MEDIAN(Instances!BT34:Instances!BT34),"min", MIN(Instances!BT34:Instances!BT34),"max", MAX(Instances!BT34:Instances!BT34),"diff", MAX(Instances!BT34:Instances!BT34)-MIN(Instances!BT34:Instances!BT34))</f>
        <v>0</v>
      </c>
      <c r="BU34" s="1" cm="1">
        <f t="array" ref="BU34">_xlfn.SWITCH($A$2,"average", AVERAGE(Instances!BU34:Instances!BU34),"median", MEDIAN(Instances!BU34:Instances!BU34),"min", MIN(Instances!BU34:Instances!BU34),"max", MAX(Instances!BU34:Instances!BU34),"diff", MAX(Instances!BU34:Instances!BU34)-MIN(Instances!BU34:Instances!BU34))</f>
        <v>0</v>
      </c>
      <c r="BV34" s="1" cm="1">
        <f t="array" ref="BV34">_xlfn.SWITCH($A$2,"average", AVERAGE(Instances!BV34:Instances!BV34),"median", MEDIAN(Instances!BV34:Instances!BV34),"min", MIN(Instances!BV34:Instances!BV34),"max", MAX(Instances!BV34:Instances!BV34),"diff", MAX(Instances!BV34:Instances!BV34)-MIN(Instances!BV34:Instances!BV34))</f>
        <v>0</v>
      </c>
      <c r="BW34" s="1" cm="1">
        <f t="array" ref="BW34">_xlfn.SWITCH($A$2,"average", AVERAGE(Instances!BW34:Instances!BW34),"median", MEDIAN(Instances!BW34:Instances!BW34),"min", MIN(Instances!BW34:Instances!BW34),"max", MAX(Instances!BW34:Instances!BW34),"diff", MAX(Instances!BW34:Instances!BW34)-MIN(Instances!BW34:Instances!BW34))</f>
        <v>0</v>
      </c>
      <c r="BX34" s="1" cm="1">
        <f t="array" ref="BX34">_xlfn.SWITCH($A$2,"average", AVERAGE(Instances!BX34:Instances!BX34),"median", MEDIAN(Instances!BX34:Instances!BX34),"min", MIN(Instances!BX34:Instances!BX34),"max", MAX(Instances!BX34:Instances!BX34),"diff", MAX(Instances!BX34:Instances!BX34)-MIN(Instances!BX34:Instances!BX34))</f>
        <v>0</v>
      </c>
      <c r="BY34" s="1" cm="1">
        <f t="array" ref="BY34">_xlfn.SWITCH($A$2,"average", AVERAGE(Instances!BY34:Instances!BY34),"median", MEDIAN(Instances!BY34:Instances!BY34),"min", MIN(Instances!BY34:Instances!BY34),"max", MAX(Instances!BY34:Instances!BY34),"diff", MAX(Instances!BY34:Instances!BY34)-MIN(Instances!BY34:Instances!BY34))</f>
        <v>0</v>
      </c>
      <c r="BZ34" s="1" cm="1">
        <f t="array" ref="BZ34">_xlfn.SWITCH($A$2,"average", AVERAGE(Instances!BZ34:Instances!BZ34),"median", MEDIAN(Instances!BZ34:Instances!BZ34),"min", MIN(Instances!BZ34:Instances!BZ34),"max", MAX(Instances!BZ34:Instances!BZ34),"diff", MAX(Instances!BZ34:Instances!BZ34)-MIN(Instances!BZ34:Instances!BZ34))</f>
        <v>0</v>
      </c>
      <c r="CA34" s="1" cm="1">
        <f t="array" ref="CA34">_xlfn.SWITCH($A$2,"average", AVERAGE(Instances!CA34:Instances!CA34),"median", MEDIAN(Instances!CA34:Instances!CA34),"min", MIN(Instances!CA34:Instances!CA34),"max", MAX(Instances!CA34:Instances!CA34),"diff", MAX(Instances!CA34:Instances!CA34)-MIN(Instances!CA34:Instances!CA34))</f>
        <v>0</v>
      </c>
      <c r="CB34" s="1" cm="1">
        <f t="array" ref="CB34">_xlfn.SWITCH($A$2,"average", AVERAGE(Instances!CB34:Instances!CB34),"median", MEDIAN(Instances!CB34:Instances!CB34),"min", MIN(Instances!CB34:Instances!CB34),"max", MAX(Instances!CB34:Instances!CB34),"diff", MAX(Instances!CB34:Instances!CB34)-MIN(Instances!CB34:Instances!CB34))</f>
        <v>0</v>
      </c>
      <c r="CC34" s="1" cm="1">
        <f t="array" ref="CC34">_xlfn.SWITCH($A$2,"average", AVERAGE(Instances!CC34:Instances!CC34),"median", MEDIAN(Instances!CC34:Instances!CC34),"min", MIN(Instances!CC34:Instances!CC34),"max", MAX(Instances!CC34:Instances!CC34),"diff", MAX(Instances!CC34:Instances!CC34)-MIN(Instances!CC34:Instances!CC34))</f>
        <v>0</v>
      </c>
      <c r="CD34" s="1" cm="1">
        <f t="array" ref="CD34">_xlfn.SWITCH($A$2,"average", AVERAGE(Instances!CD34:Instances!CD34),"median", MEDIAN(Instances!CD34:Instances!CD34),"min", MIN(Instances!CD34:Instances!CD34),"max", MAX(Instances!CD34:Instances!CD34),"diff", MAX(Instances!CD34:Instances!CD34)-MIN(Instances!CD34:Instances!CD34))</f>
        <v>0</v>
      </c>
      <c r="CE34" s="1" cm="1">
        <f t="array" ref="CE34">_xlfn.SWITCH($A$2,"average", AVERAGE(Instances!CE34:Instances!CE34),"median", MEDIAN(Instances!CE34:Instances!CE34),"min", MIN(Instances!CE34:Instances!CE34),"max", MAX(Instances!CE34:Instances!CE34),"diff", MAX(Instances!CE34:Instances!CE34)-MIN(Instances!CE34:Instances!CE34))</f>
        <v>0</v>
      </c>
      <c r="CF34" s="1" cm="1">
        <f t="array" ref="CF34">_xlfn.SWITCH($A$2,"average", AVERAGE(Instances!CF34:Instances!CF34),"median", MEDIAN(Instances!CF34:Instances!CF34),"min", MIN(Instances!CF34:Instances!CF34),"max", MAX(Instances!CF34:Instances!CF34),"diff", MAX(Instances!CF34:Instances!CF34)-MIN(Instances!CF34:Instances!CF34))</f>
        <v>0</v>
      </c>
      <c r="CG34" s="1" cm="1">
        <f t="array" ref="CG34">_xlfn.SWITCH($A$2,"average", AVERAGE(Instances!CG34:Instances!CG34),"median", MEDIAN(Instances!CG34:Instances!CG34),"min", MIN(Instances!CG34:Instances!CG34),"max", MAX(Instances!CG34:Instances!CG34),"diff", MAX(Instances!CG34:Instances!CG34)-MIN(Instances!CG34:Instances!CG34))</f>
        <v>0</v>
      </c>
      <c r="CH34" s="1" cm="1">
        <f t="array" ref="CH34">_xlfn.SWITCH($A$2,"average", AVERAGE(Instances!CH34:Instances!CH34),"median", MEDIAN(Instances!CH34:Instances!CH34),"min", MIN(Instances!CH34:Instances!CH34),"max", MAX(Instances!CH34:Instances!CH34),"diff", MAX(Instances!CH34:Instances!CH34)-MIN(Instances!CH34:Instances!CH34))</f>
        <v>0</v>
      </c>
      <c r="CI34" s="1" cm="1">
        <f t="array" ref="CI34">_xlfn.SWITCH($A$2,"average", AVERAGE(Instances!CI34:Instances!CI34),"median", MEDIAN(Instances!CI34:Instances!CI34),"min", MIN(Instances!CI34:Instances!CI34),"max", MAX(Instances!CI34:Instances!CI34),"diff", MAX(Instances!CI34:Instances!CI34)-MIN(Instances!CI34:Instances!CI34))</f>
        <v>0</v>
      </c>
      <c r="CJ34" s="1"/>
      <c r="CK34" s="1" cm="1">
        <f t="array" ref="CK34">_xlfn.SWITCH($A$2,"average", AVERAGE(Instances!CK34:Instances!CK34),"median", MEDIAN(Instances!CK34:Instances!CK34),"min", MIN(Instances!CK34:Instances!CK34),"max", MAX(Instances!CK34:Instances!CK34),"diff", MAX(Instances!CK34:Instances!CK34)-MIN(Instances!CK34:Instances!CK34))</f>
        <v>0</v>
      </c>
      <c r="CL34" s="1" cm="1">
        <f t="array" ref="CL34">_xlfn.SWITCH($A$2,"average", AVERAGE(Instances!CL34:Instances!CL34),"median", MEDIAN(Instances!CL34:Instances!CL34),"min", MIN(Instances!CL34:Instances!CL34),"max", MAX(Instances!CL34:Instances!CL34),"diff", MAX(Instances!CL34:Instances!CL34)-MIN(Instances!CL34:Instances!CL34))</f>
        <v>0</v>
      </c>
      <c r="CM34" s="1" cm="1">
        <f t="array" ref="CM34">_xlfn.SWITCH($A$2,"average", AVERAGE(Instances!CM34:Instances!CM34),"median", MEDIAN(Instances!CM34:Instances!CM34),"min", MIN(Instances!CM34:Instances!CM34),"max", MAX(Instances!CM34:Instances!CM34),"diff", MAX(Instances!CM34:Instances!CM34)-MIN(Instances!CM34:Instances!CM34))</f>
        <v>0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 cm="1">
        <f t="array" ref="DX34">_xlfn.SWITCH($A$2,"average", AVERAGE(Instances!DX34:Instances!DX34),"median", MEDIAN(Instances!DX34:Instances!DX34),"min", MIN(Instances!DX34:Instances!DX34),"max", MAX(Instances!DX34:Instances!DX34),"diff", MAX(Instances!DX34:Instances!DX34)-MIN(Instances!DX34:Instances!DX34))</f>
        <v>0</v>
      </c>
      <c r="DY34" s="1" cm="1">
        <f t="array" ref="DY34">_xlfn.SWITCH($A$2,"average", AVERAGE(Instances!DY34:Instances!DY34),"median", MEDIAN(Instances!DY34:Instances!DY34),"min", MIN(Instances!DY34:Instances!DY34),"max", MAX(Instances!DY34:Instances!DY34),"diff", MAX(Instances!DY34:Instances!DY34)-MIN(Instances!DY34:Instances!DY34))</f>
        <v>0</v>
      </c>
      <c r="DZ34" s="1" cm="1">
        <f t="array" ref="DZ34">_xlfn.SWITCH($A$2,"average", AVERAGE(Instances!DZ34:Instances!DZ34),"median", MEDIAN(Instances!DZ34:Instances!DZ34),"min", MIN(Instances!DZ34:Instances!DZ34),"max", MAX(Instances!DZ34:Instances!DZ34),"diff", MAX(Instances!DZ34:Instances!DZ34)-MIN(Instances!DZ34:Instances!DZ34))</f>
        <v>0</v>
      </c>
      <c r="EA34" s="1" cm="1">
        <f t="array" ref="EA34">_xlfn.SWITCH($A$2,"average", AVERAGE(Instances!EA34:Instances!EA34),"median", MEDIAN(Instances!EA34:Instances!EA34),"min", MIN(Instances!EA34:Instances!EA34),"max", MAX(Instances!EA34:Instances!EA34),"diff", MAX(Instances!EA34:Instances!EA34)-MIN(Instances!EA34:Instances!EA34))</f>
        <v>0</v>
      </c>
      <c r="EB34" s="1" cm="1">
        <f t="array" ref="EB34">_xlfn.SWITCH($A$2,"average", AVERAGE(Instances!EB34:Instances!EB34),"median", MEDIAN(Instances!EB34:Instances!EB34),"min", MIN(Instances!EB34:Instances!EB34),"max", MAX(Instances!EB34:Instances!EB34),"diff", MAX(Instances!EB34:Instances!EB34)-MIN(Instances!EB34:Instances!EB34))</f>
        <v>0</v>
      </c>
      <c r="EC34" s="1" cm="1">
        <f t="array" ref="EC34">_xlfn.SWITCH($A$2,"average", AVERAGE(Instances!EC34:Instances!EC34),"median", MEDIAN(Instances!EC34:Instances!EC34),"min", MIN(Instances!EC34:Instances!EC34),"max", MAX(Instances!EC34:Instances!EC34),"diff", MAX(Instances!EC34:Instances!EC34)-MIN(Instances!EC34:Instances!EC34))</f>
        <v>0</v>
      </c>
      <c r="ED34" s="1" cm="1">
        <f t="array" ref="ED34">_xlfn.SWITCH($A$2,"average", AVERAGE(Instances!ED34:Instances!ED34),"median", MEDIAN(Instances!ED34:Instances!ED34),"min", MIN(Instances!ED34:Instances!ED34),"max", MAX(Instances!ED34:Instances!ED34),"diff", MAX(Instances!ED34:Instances!ED34)-MIN(Instances!ED34:Instances!ED34))</f>
        <v>0</v>
      </c>
      <c r="EE34" s="1" cm="1">
        <f t="array" ref="EE34">_xlfn.SWITCH($A$2,"average", AVERAGE(Instances!EE34:Instances!EE34),"median", MEDIAN(Instances!EE34:Instances!EE34),"min", MIN(Instances!EE34:Instances!EE34),"max", MAX(Instances!EE34:Instances!EE34),"diff", MAX(Instances!EE34:Instances!EE34)-MIN(Instances!EE34:Instances!EE34))</f>
        <v>0</v>
      </c>
      <c r="EF34" s="1" cm="1">
        <f t="array" ref="EF34">_xlfn.SWITCH($A$2,"average", AVERAGE(Instances!EF34:Instances!EF34),"median", MEDIAN(Instances!EF34:Instances!EF34),"min", MIN(Instances!EF34:Instances!EF34),"max", MAX(Instances!EF34:Instances!EF34),"diff", MAX(Instances!EF34:Instances!EF34)-MIN(Instances!EF34:Instances!EF34))</f>
        <v>0</v>
      </c>
      <c r="EG34" s="1" cm="1">
        <f t="array" ref="EG34">_xlfn.SWITCH($A$2,"average", AVERAGE(Instances!EG34:Instances!EG34),"median", MEDIAN(Instances!EG34:Instances!EG34),"min", MIN(Instances!EG34:Instances!EG34),"max", MAX(Instances!EG34:Instances!EG34),"diff", MAX(Instances!EG34:Instances!EG34)-MIN(Instances!EG34:Instances!EG34))</f>
        <v>0</v>
      </c>
      <c r="EH34" s="1" cm="1">
        <f t="array" ref="EH34">_xlfn.SWITCH($A$2,"average", AVERAGE(Instances!EH34:Instances!EH34),"median", MEDIAN(Instances!EH34:Instances!EH34),"min", MIN(Instances!EH34:Instances!EH34),"max", MAX(Instances!EH34:Instances!EH34),"diff", MAX(Instances!EH34:Instances!EH34)-MIN(Instances!EH34:Instances!EH34))</f>
        <v>0</v>
      </c>
      <c r="EI34" s="1" cm="1">
        <f t="array" ref="EI34">_xlfn.SWITCH($A$2,"average", AVERAGE(Instances!EI34:Instances!EI34),"median", MEDIAN(Instances!EI34:Instances!EI34),"min", MIN(Instances!EI34:Instances!EI34),"max", MAX(Instances!EI34:Instances!EI34),"diff", MAX(Instances!EI34:Instances!EI34)-MIN(Instances!EI34:Instances!EI34))</f>
        <v>0</v>
      </c>
      <c r="EJ34" s="1" cm="1">
        <f t="array" ref="EJ34">_xlfn.SWITCH($A$2,"average", AVERAGE(Instances!EJ34:Instances!EJ34),"median", MEDIAN(Instances!EJ34:Instances!EJ34),"min", MIN(Instances!EJ34:Instances!EJ34),"max", MAX(Instances!EJ34:Instances!EJ34),"diff", MAX(Instances!EJ34:Instances!EJ34)-MIN(Instances!EJ34:Instances!EJ34))</f>
        <v>0</v>
      </c>
      <c r="EK34" s="1" cm="1">
        <f t="array" ref="EK34">_xlfn.SWITCH($A$2,"average", AVERAGE(Instances!EK34:Instances!EK34),"median", MEDIAN(Instances!EK34:Instances!EK34),"min", MIN(Instances!EK34:Instances!EK34),"max", MAX(Instances!EK34:Instances!EK34),"diff", MAX(Instances!EK34:Instances!EK34)-MIN(Instances!EK34:Instances!EK34))</f>
        <v>0</v>
      </c>
      <c r="EL34" s="1"/>
      <c r="EM34" s="1" cm="1">
        <f t="array" ref="EM34">_xlfn.SWITCH($A$2,"average", AVERAGE(Instances!EM34:Instances!EM34),"median", MEDIAN(Instances!EM34:Instances!EM34),"min", MIN(Instances!EM34:Instances!EM34),"max", MAX(Instances!EM34:Instances!EM34),"diff", MAX(Instances!EM34:Instances!EM34)-MIN(Instances!EM34:Instances!EM34))</f>
        <v>0</v>
      </c>
      <c r="EN34" s="1" cm="1">
        <f t="array" ref="EN34">_xlfn.SWITCH($A$2,"average", AVERAGE(Instances!EN34:Instances!EN34),"median", MEDIAN(Instances!EN34:Instances!EN34),"min", MIN(Instances!EN34:Instances!EN34),"max", MAX(Instances!EN34:Instances!EN34),"diff", MAX(Instances!EN34:Instances!EN34)-MIN(Instances!EN34:Instances!EN34))</f>
        <v>0</v>
      </c>
      <c r="EO34" s="1" cm="1">
        <f t="array" ref="EO34">_xlfn.SWITCH($A$2,"average", AVERAGE(Instances!EO34:Instances!EO34),"median", MEDIAN(Instances!EO34:Instances!EO34),"min", MIN(Instances!EO34:Instances!EO34),"max", MAX(Instances!EO34:Instances!EO34),"diff", MAX(Instances!EO34:Instances!EO34)-MIN(Instances!EO34:Instances!EO34))</f>
        <v>0</v>
      </c>
      <c r="EP34" s="1" cm="1">
        <f t="array" ref="EP34">_xlfn.SWITCH($A$2,"average", AVERAGE(Instances!EP34:Instances!EP34),"median", MEDIAN(Instances!EP34:Instances!EP34),"min", MIN(Instances!EP34:Instances!EP34),"max", MAX(Instances!EP34:Instances!EP34),"diff", MAX(Instances!EP34:Instances!EP34)-MIN(Instances!EP34:Instances!EP34))</f>
        <v>0</v>
      </c>
      <c r="EQ34" s="1" cm="1">
        <f t="array" ref="EQ34">_xlfn.SWITCH($A$2,"average", AVERAGE(Instances!EQ34:Instances!EQ34),"median", MEDIAN(Instances!EQ34:Instances!EQ34),"min", MIN(Instances!EQ34:Instances!EQ34),"max", MAX(Instances!EQ34:Instances!EQ34),"diff", MAX(Instances!EQ34:Instances!EQ34)-MIN(Instances!EQ34:Instances!EQ34))</f>
        <v>0</v>
      </c>
      <c r="ER34" s="1" cm="1">
        <f t="array" ref="ER34">_xlfn.SWITCH($A$2,"average", AVERAGE(Instances!ER34:Instances!ER34),"median", MEDIAN(Instances!ER34:Instances!ER34),"min", MIN(Instances!ER34:Instances!ER34),"max", MAX(Instances!ER34:Instances!ER34),"diff", MAX(Instances!ER34:Instances!ER34)-MIN(Instances!ER34:Instances!ER34))</f>
        <v>0</v>
      </c>
      <c r="ES34" s="1" cm="1">
        <f t="array" ref="ES34">_xlfn.SWITCH($A$2,"average", AVERAGE(Instances!ES34:Instances!ES34),"median", MEDIAN(Instances!ES34:Instances!ES34),"min", MIN(Instances!ES34:Instances!ES34),"max", MAX(Instances!ES34:Instances!ES34),"diff", MAX(Instances!ES34:Instances!ES34)-MIN(Instances!ES34:Instances!ES34))</f>
        <v>0</v>
      </c>
      <c r="ET34" s="1" cm="1">
        <f t="array" ref="ET34">_xlfn.SWITCH($A$2,"average", AVERAGE(Instances!ET34:Instances!ET34),"median", MEDIAN(Instances!ET34:Instances!ET34),"min", MIN(Instances!ET34:Instances!ET34),"max", MAX(Instances!ET34:Instances!ET34),"diff", MAX(Instances!ET34:Instances!ET34)-MIN(Instances!ET34:Instances!ET34))</f>
        <v>0</v>
      </c>
      <c r="EU34" s="1" cm="1">
        <f t="array" ref="EU34">_xlfn.SWITCH($A$2,"average", AVERAGE(Instances!EU34:Instances!EU34),"median", MEDIAN(Instances!EU34:Instances!EU34),"min", MIN(Instances!EU34:Instances!EU34),"max", MAX(Instances!EU34:Instances!EU34),"diff", MAX(Instances!EU34:Instances!EU34)-MIN(Instances!EU34:Instances!EU34))</f>
        <v>0</v>
      </c>
      <c r="EV34" s="1" cm="1">
        <f t="array" ref="EV34">_xlfn.SWITCH($A$2,"average", AVERAGE(Instances!EV34:Instances!EV34),"median", MEDIAN(Instances!EV34:Instances!EV34),"min", MIN(Instances!EV34:Instances!EV34),"max", MAX(Instances!EV34:Instances!EV34),"diff", MAX(Instances!EV34:Instances!EV34)-MIN(Instances!EV34:Instances!EV34))</f>
        <v>0</v>
      </c>
      <c r="EW34" s="1" cm="1">
        <f t="array" ref="EW34">_xlfn.SWITCH($A$2,"average", AVERAGE(Instances!EW34:Instances!EW34),"median", MEDIAN(Instances!EW34:Instances!EW34),"min", MIN(Instances!EW34:Instances!EW34),"max", MAX(Instances!EW34:Instances!EW34),"diff", MAX(Instances!EW34:Instances!EW34)-MIN(Instances!EW34:Instances!EW34))</f>
        <v>0</v>
      </c>
      <c r="EX34" s="1" cm="1">
        <f t="array" ref="EX34">_xlfn.SWITCH($A$2,"average", AVERAGE(Instances!EX34:Instances!EX34),"median", MEDIAN(Instances!EX34:Instances!EX34),"min", MIN(Instances!EX34:Instances!EX34),"max", MAX(Instances!EX34:Instances!EX34),"diff", MAX(Instances!EX34:Instances!EX34)-MIN(Instances!EX34:Instances!EX34))</f>
        <v>0</v>
      </c>
      <c r="EY34" s="1" cm="1">
        <f t="array" ref="EY34">_xlfn.SWITCH($A$2,"average", AVERAGE(Instances!EY34:Instances!EY34),"median", MEDIAN(Instances!EY34:Instances!EY34),"min", MIN(Instances!EY34:Instances!EY34),"max", MAX(Instances!EY34:Instances!EY34),"diff", MAX(Instances!EY34:Instances!EY34)-MIN(Instances!EY34:Instances!EY34))</f>
        <v>0</v>
      </c>
      <c r="EZ34" s="1" cm="1">
        <f t="array" ref="EZ34">_xlfn.SWITCH($A$2,"average", AVERAGE(Instances!EZ34:Instances!EZ34),"median", MEDIAN(Instances!EZ34:Instances!EZ34),"min", MIN(Instances!EZ34:Instances!EZ34),"max", MAX(Instances!EZ34:Instances!EZ34),"diff", MAX(Instances!EZ34:Instances!EZ34)-MIN(Instances!EZ34:Instances!EZ34))</f>
        <v>0</v>
      </c>
      <c r="FA34" s="1" cm="1">
        <f t="array" ref="FA34">_xlfn.SWITCH($A$2,"average", AVERAGE(Instances!FA34:Instances!FA34),"median", MEDIAN(Instances!FA34:Instances!FA34),"min", MIN(Instances!FA34:Instances!FA34),"max", MAX(Instances!FA34:Instances!FA34),"diff", MAX(Instances!FA34:Instances!FA34)-MIN(Instances!FA34:Instances!FA34))</f>
        <v>0</v>
      </c>
      <c r="FB34" s="1" cm="1">
        <f t="array" ref="FB34">_xlfn.SWITCH($A$2,"average", AVERAGE(Instances!FB34:Instances!FB34),"median", MEDIAN(Instances!FB34:Instances!FB34),"min", MIN(Instances!FB34:Instances!FB34),"max", MAX(Instances!FB34:Instances!FB34),"diff", MAX(Instances!FB34:Instances!FB34)-MIN(Instances!FB34:Instances!FB34))</f>
        <v>0</v>
      </c>
      <c r="FC34" s="1" cm="1">
        <f t="array" ref="FC34">_xlfn.SWITCH($A$2,"average", AVERAGE(Instances!FC34:Instances!FC34),"median", MEDIAN(Instances!FC34:Instances!FC34),"min", MIN(Instances!FC34:Instances!FC34),"max", MAX(Instances!FC34:Instances!FC34),"diff", MAX(Instances!FC34:Instances!FC34)-MIN(Instances!FC34:Instances!FC34))</f>
        <v>0</v>
      </c>
      <c r="FD34" s="1"/>
      <c r="FE34" s="1" cm="1">
        <f t="array" ref="FE34">_xlfn.SWITCH($A$2,"average", AVERAGE(Instances!FE34:Instances!FE34),"median", MEDIAN(Instances!FE34:Instances!FE34),"min", MIN(Instances!FE34:Instances!FE34),"max", MAX(Instances!FE34:Instances!FE34),"diff", MAX(Instances!FE34:Instances!FE34)-MIN(Instances!FE34:Instances!FE34))</f>
        <v>0</v>
      </c>
      <c r="FF34" s="1" cm="1">
        <f t="array" ref="FF34">_xlfn.SWITCH($A$2,"average", AVERAGE(Instances!FF34:Instances!FF34),"median", MEDIAN(Instances!FF34:Instances!FF34),"min", MIN(Instances!FF34:Instances!FF34),"max", MAX(Instances!FF34:Instances!FF34),"diff", MAX(Instances!FF34:Instances!FF34)-MIN(Instances!FF34:Instances!FF34))</f>
        <v>0</v>
      </c>
      <c r="FG34" s="1" cm="1">
        <f t="array" ref="FG34">_xlfn.SWITCH($A$2,"average", AVERAGE(Instances!FG34:Instances!FG34),"median", MEDIAN(Instances!FG34:Instances!FG34),"min", MIN(Instances!FG34:Instances!FG34),"max", MAX(Instances!FG34:Instances!FG34),"diff", MAX(Instances!FG34:Instances!FG34)-MIN(Instances!FG34:Instances!FG34))</f>
        <v>0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 cm="1">
        <f t="array" ref="FZ34">_xlfn.SWITCH($A$2,"average", AVERAGE(Instances!FZ34:Instances!FZ34),"median", MEDIAN(Instances!FZ34:Instances!FZ34),"min", MIN(Instances!FZ34:Instances!FZ34),"max", MAX(Instances!FZ34:Instances!FZ34),"diff", MAX(Instances!FZ34:Instances!FZ34)-MIN(Instances!FZ34:Instances!FZ34))</f>
        <v>0</v>
      </c>
      <c r="GA34" s="1" cm="1">
        <f t="array" ref="GA34">_xlfn.SWITCH($A$2,"average", AVERAGE(Instances!GA34:Instances!GA34),"median", MEDIAN(Instances!GA34:Instances!GA34),"min", MIN(Instances!GA34:Instances!GA34),"max", MAX(Instances!GA34:Instances!GA34),"diff", MAX(Instances!GA34:Instances!GA34)-MIN(Instances!GA34:Instances!GA34))</f>
        <v>0</v>
      </c>
      <c r="GB34" s="1" cm="1">
        <f t="array" ref="GB34">_xlfn.SWITCH($A$2,"average", AVERAGE(Instances!GB34:Instances!GB34),"median", MEDIAN(Instances!GB34:Instances!GB34),"min", MIN(Instances!GB34:Instances!GB34),"max", MAX(Instances!GB34:Instances!GB34),"diff", MAX(Instances!GB34:Instances!GB34)-MIN(Instances!GB34:Instances!GB34))</f>
        <v>0</v>
      </c>
      <c r="GC34" s="1" cm="1">
        <f t="array" ref="GC34">_xlfn.SWITCH($A$2,"average", AVERAGE(Instances!GC34:Instances!GC34),"median", MEDIAN(Instances!GC34:Instances!GC34),"min", MIN(Instances!GC34:Instances!GC34),"max", MAX(Instances!GC34:Instances!GC34),"diff", MAX(Instances!GC34:Instances!GC34)-MIN(Instances!GC34:Instances!GC34))</f>
        <v>0</v>
      </c>
      <c r="GD34" s="1" cm="1">
        <f t="array" ref="GD34">_xlfn.SWITCH($A$2,"average", AVERAGE(Instances!GD34:Instances!GD34),"median", MEDIAN(Instances!GD34:Instances!GD34),"min", MIN(Instances!GD34:Instances!GD34),"max", MAX(Instances!GD34:Instances!GD34),"diff", MAX(Instances!GD34:Instances!GD34)-MIN(Instances!GD34:Instances!GD34))</f>
        <v>0</v>
      </c>
      <c r="GE34" s="1" cm="1">
        <f t="array" ref="GE34">_xlfn.SWITCH($A$2,"average", AVERAGE(Instances!GE34:Instances!GE34),"median", MEDIAN(Instances!GE34:Instances!GE34),"min", MIN(Instances!GE34:Instances!GE34),"max", MAX(Instances!GE34:Instances!GE34),"diff", MAX(Instances!GE34:Instances!GE34)-MIN(Instances!GE34:Instances!GE34))</f>
        <v>0</v>
      </c>
      <c r="GF34" s="1" cm="1">
        <f t="array" ref="GF34">_xlfn.SWITCH($A$2,"average", AVERAGE(Instances!GF34:Instances!GF34),"median", MEDIAN(Instances!GF34:Instances!GF34),"min", MIN(Instances!GF34:Instances!GF34),"max", MAX(Instances!GF34:Instances!GF34),"diff", MAX(Instances!GF34:Instances!GF34)-MIN(Instances!GF34:Instances!GF34))</f>
        <v>0</v>
      </c>
      <c r="GG34" s="1" cm="1">
        <f t="array" ref="GG34">_xlfn.SWITCH($A$2,"average", AVERAGE(Instances!GG34:Instances!GG34),"median", MEDIAN(Instances!GG34:Instances!GG34),"min", MIN(Instances!GG34:Instances!GG34),"max", MAX(Instances!GG34:Instances!GG34),"diff", MAX(Instances!GG34:Instances!GG34)-MIN(Instances!GG34:Instances!GG34))</f>
        <v>0</v>
      </c>
      <c r="GH34" s="1" cm="1">
        <f t="array" ref="GH34">_xlfn.SWITCH($A$2,"average", AVERAGE(Instances!GH34:Instances!GH34),"median", MEDIAN(Instances!GH34:Instances!GH34),"min", MIN(Instances!GH34:Instances!GH34),"max", MAX(Instances!GH34:Instances!GH34),"diff", MAX(Instances!GH34:Instances!GH34)-MIN(Instances!GH34:Instances!GH34))</f>
        <v>0</v>
      </c>
      <c r="GI34" s="1" cm="1">
        <f t="array" ref="GI34">_xlfn.SWITCH($A$2,"average", AVERAGE(Instances!GI34:Instances!GI34),"median", MEDIAN(Instances!GI34:Instances!GI34),"min", MIN(Instances!GI34:Instances!GI34),"max", MAX(Instances!GI34:Instances!GI34),"diff", MAX(Instances!GI34:Instances!GI34)-MIN(Instances!GI34:Instances!GI34))</f>
        <v>0</v>
      </c>
      <c r="GJ34" s="1" cm="1">
        <f t="array" ref="GJ34">_xlfn.SWITCH($A$2,"average", AVERAGE(Instances!GJ34:Instances!GJ34),"median", MEDIAN(Instances!GJ34:Instances!GJ34),"min", MIN(Instances!GJ34:Instances!GJ34),"max", MAX(Instances!GJ34:Instances!GJ34),"diff", MAX(Instances!GJ34:Instances!GJ34)-MIN(Instances!GJ34:Instances!GJ34))</f>
        <v>0</v>
      </c>
      <c r="GK34" s="1" cm="1">
        <f t="array" ref="GK34">_xlfn.SWITCH($A$2,"average", AVERAGE(Instances!GK34:Instances!GK34),"median", MEDIAN(Instances!GK34:Instances!GK34),"min", MIN(Instances!GK34:Instances!GK34),"max", MAX(Instances!GK34:Instances!GK34),"diff", MAX(Instances!GK34:Instances!GK34)-MIN(Instances!GK34:Instances!GK34))</f>
        <v>0</v>
      </c>
      <c r="GL34" s="1" cm="1">
        <f t="array" ref="GL34">_xlfn.SWITCH($A$2,"average", AVERAGE(Instances!GL34:Instances!GL34),"median", MEDIAN(Instances!GL34:Instances!GL34),"min", MIN(Instances!GL34:Instances!GL34),"max", MAX(Instances!GL34:Instances!GL34),"diff", MAX(Instances!GL34:Instances!GL34)-MIN(Instances!GL34:Instances!GL34))</f>
        <v>0</v>
      </c>
      <c r="GM34" s="1" cm="1">
        <f t="array" ref="GM34">_xlfn.SWITCH($A$2,"average", AVERAGE(Instances!GM34:Instances!GM34),"median", MEDIAN(Instances!GM34:Instances!GM34),"min", MIN(Instances!GM34:Instances!GM34),"max", MAX(Instances!GM34:Instances!GM34),"diff", MAX(Instances!GM34:Instances!GM34)-MIN(Instances!GM34:Instances!GM34))</f>
        <v>0</v>
      </c>
      <c r="GN34" s="1"/>
      <c r="GO34" s="1" cm="1">
        <f t="array" ref="GO34">_xlfn.SWITCH($A$2,"average", AVERAGE(Instances!GO34:Instances!GO34),"median", MEDIAN(Instances!GO34:Instances!GO34),"min", MIN(Instances!GO34:Instances!GO34),"max", MAX(Instances!GO34:Instances!GO34),"diff", MAX(Instances!GO34:Instances!GO34)-MIN(Instances!GO34:Instances!GO34))</f>
        <v>0</v>
      </c>
      <c r="GP34" s="1" cm="1">
        <f t="array" ref="GP34">_xlfn.SWITCH($A$2,"average", AVERAGE(Instances!GP34:Instances!GP34),"median", MEDIAN(Instances!GP34:Instances!GP34),"min", MIN(Instances!GP34:Instances!GP34),"max", MAX(Instances!GP34:Instances!GP34),"diff", MAX(Instances!GP34:Instances!GP34)-MIN(Instances!GP34:Instances!GP34))</f>
        <v>0</v>
      </c>
      <c r="GQ34" s="1" cm="1">
        <f t="array" ref="GQ34">_xlfn.SWITCH($A$2,"average", AVERAGE(Instances!GQ34:Instances!GQ34),"median", MEDIAN(Instances!GQ34:Instances!GQ34),"min", MIN(Instances!GQ34:Instances!GQ34),"max", MAX(Instances!GQ34:Instances!GQ34),"diff", MAX(Instances!GQ34:Instances!GQ34)-MIN(Instances!GQ34:Instances!GQ34))</f>
        <v>0</v>
      </c>
      <c r="GR34" s="1" cm="1">
        <f t="array" ref="GR34">_xlfn.SWITCH($A$2,"average", AVERAGE(Instances!GR34:Instances!GR34),"median", MEDIAN(Instances!GR34:Instances!GR34),"min", MIN(Instances!GR34:Instances!GR34),"max", MAX(Instances!GR34:Instances!GR34),"diff", MAX(Instances!GR34:Instances!GR34)-MIN(Instances!GR34:Instances!GR34))</f>
        <v>0</v>
      </c>
      <c r="GS34" s="1" cm="1">
        <f t="array" ref="GS34">_xlfn.SWITCH($A$2,"average", AVERAGE(Instances!GS34:Instances!GS34),"median", MEDIAN(Instances!GS34:Instances!GS34),"min", MIN(Instances!GS34:Instances!GS34),"max", MAX(Instances!GS34:Instances!GS34),"diff", MAX(Instances!GS34:Instances!GS34)-MIN(Instances!GS34:Instances!GS34))</f>
        <v>0</v>
      </c>
      <c r="GT34" s="1" cm="1">
        <f t="array" ref="GT34">_xlfn.SWITCH($A$2,"average", AVERAGE(Instances!GT34:Instances!GT34),"median", MEDIAN(Instances!GT34:Instances!GT34),"min", MIN(Instances!GT34:Instances!GT34),"max", MAX(Instances!GT34:Instances!GT34),"diff", MAX(Instances!GT34:Instances!GT34)-MIN(Instances!GT34:Instances!GT34))</f>
        <v>0</v>
      </c>
      <c r="GU34" s="1" cm="1">
        <f t="array" ref="GU34">_xlfn.SWITCH($A$2,"average", AVERAGE(Instances!GU34:Instances!GU34),"median", MEDIAN(Instances!GU34:Instances!GU34),"min", MIN(Instances!GU34:Instances!GU34),"max", MAX(Instances!GU34:Instances!GU34),"diff", MAX(Instances!GU34:Instances!GU34)-MIN(Instances!GU34:Instances!GU34))</f>
        <v>0</v>
      </c>
      <c r="GV34" s="1" cm="1">
        <f t="array" ref="GV34">_xlfn.SWITCH($A$2,"average", AVERAGE(Instances!GV34:Instances!GV34),"median", MEDIAN(Instances!GV34:Instances!GV34),"min", MIN(Instances!GV34:Instances!GV34),"max", MAX(Instances!GV34:Instances!GV34),"diff", MAX(Instances!GV34:Instances!GV34)-MIN(Instances!GV34:Instances!GV34))</f>
        <v>0</v>
      </c>
      <c r="GW34" s="1" cm="1">
        <f t="array" ref="GW34">_xlfn.SWITCH($A$2,"average", AVERAGE(Instances!GW34:Instances!GW34),"median", MEDIAN(Instances!GW34:Instances!GW34),"min", MIN(Instances!GW34:Instances!GW34),"max", MAX(Instances!GW34:Instances!GW34),"diff", MAX(Instances!GW34:Instances!GW34)-MIN(Instances!GW34:Instances!GW34))</f>
        <v>0</v>
      </c>
      <c r="GX34" s="1" cm="1">
        <f t="array" ref="GX34">_xlfn.SWITCH($A$2,"average", AVERAGE(Instances!GX34:Instances!GX34),"median", MEDIAN(Instances!GX34:Instances!GX34),"min", MIN(Instances!GX34:Instances!GX34),"max", MAX(Instances!GX34:Instances!GX34),"diff", MAX(Instances!GX34:Instances!GX34)-MIN(Instances!GX34:Instances!GX34))</f>
        <v>0</v>
      </c>
      <c r="GY34" s="1" cm="1">
        <f t="array" ref="GY34">_xlfn.SWITCH($A$2,"average", AVERAGE(Instances!GY34:Instances!GY34),"median", MEDIAN(Instances!GY34:Instances!GY34),"min", MIN(Instances!GY34:Instances!GY34),"max", MAX(Instances!GY34:Instances!GY34),"diff", MAX(Instances!GY34:Instances!GY34)-MIN(Instances!GY34:Instances!GY34))</f>
        <v>0</v>
      </c>
      <c r="GZ34" s="1" cm="1">
        <f t="array" ref="GZ34">_xlfn.SWITCH($A$2,"average", AVERAGE(Instances!GZ34:Instances!GZ34),"median", MEDIAN(Instances!GZ34:Instances!GZ34),"min", MIN(Instances!GZ34:Instances!GZ34),"max", MAX(Instances!GZ34:Instances!GZ34),"diff", MAX(Instances!GZ34:Instances!GZ34)-MIN(Instances!GZ34:Instances!GZ34))</f>
        <v>0</v>
      </c>
      <c r="HA34" s="1" cm="1">
        <f t="array" ref="HA34">_xlfn.SWITCH($A$2,"average", AVERAGE(Instances!HA34:Instances!HA34),"median", MEDIAN(Instances!HA34:Instances!HA34),"min", MIN(Instances!HA34:Instances!HA34),"max", MAX(Instances!HA34:Instances!HA34),"diff", MAX(Instances!HA34:Instances!HA34)-MIN(Instances!HA34:Instances!HA34))</f>
        <v>0</v>
      </c>
      <c r="HB34" s="1" cm="1">
        <f t="array" ref="HB34">_xlfn.SWITCH($A$2,"average", AVERAGE(Instances!HB34:Instances!HB34),"median", MEDIAN(Instances!HB34:Instances!HB34),"min", MIN(Instances!HB34:Instances!HB34),"max", MAX(Instances!HB34:Instances!HB34),"diff", MAX(Instances!HB34:Instances!HB34)-MIN(Instances!HB34:Instances!HB34))</f>
        <v>0</v>
      </c>
      <c r="HC34" s="1" cm="1">
        <f t="array" ref="HC34">_xlfn.SWITCH($A$2,"average", AVERAGE(Instances!HC34:Instances!HC34),"median", MEDIAN(Instances!HC34:Instances!HC34),"min", MIN(Instances!HC34:Instances!HC34),"max", MAX(Instances!HC34:Instances!HC34),"diff", MAX(Instances!HC34:Instances!HC34)-MIN(Instances!HC34:Instances!HC34))</f>
        <v>0</v>
      </c>
      <c r="HD34" s="1" cm="1">
        <f t="array" ref="HD34">_xlfn.SWITCH($A$2,"average", AVERAGE(Instances!HD34:Instances!HD34),"median", MEDIAN(Instances!HD34:Instances!HD34),"min", MIN(Instances!HD34:Instances!HD34),"max", MAX(Instances!HD34:Instances!HD34),"diff", MAX(Instances!HD34:Instances!HD34)-MIN(Instances!HD34:Instances!HD34))</f>
        <v>0</v>
      </c>
      <c r="HE34" s="1" cm="1">
        <f t="array" ref="HE34">_xlfn.SWITCH($A$2,"average", AVERAGE(Instances!HE34:Instances!HE34),"median", MEDIAN(Instances!HE34:Instances!HE34),"min", MIN(Instances!HE34:Instances!HE34),"max", MAX(Instances!HE34:Instances!HE34),"diff", MAX(Instances!HE34:Instances!HE34)-MIN(Instances!HE34:Instances!HE34))</f>
        <v>0</v>
      </c>
      <c r="HF34" s="1"/>
      <c r="HG34" s="1" cm="1">
        <f t="array" ref="HG34">_xlfn.SWITCH($A$2,"average", AVERAGE(Instances!HG34:Instances!HG34),"median", MEDIAN(Instances!HG34:Instances!HG34),"min", MIN(Instances!HG34:Instances!HG34),"max", MAX(Instances!HG34:Instances!HG34),"diff", MAX(Instances!HG34:Instances!HG34)-MIN(Instances!HG34:Instances!HG34))</f>
        <v>0</v>
      </c>
      <c r="HH34" s="1" cm="1">
        <f t="array" ref="HH34">_xlfn.SWITCH($A$2,"average", AVERAGE(Instances!HH34:Instances!HH34),"median", MEDIAN(Instances!HH34:Instances!HH34),"min", MIN(Instances!HH34:Instances!HH34),"max", MAX(Instances!HH34:Instances!HH34),"diff", MAX(Instances!HH34:Instances!HH34)-MIN(Instances!HH34:Instances!HH34))</f>
        <v>0</v>
      </c>
      <c r="HI34" s="1" cm="1">
        <f t="array" ref="HI34">_xlfn.SWITCH($A$2,"average", AVERAGE(Instances!HI34:Instances!HI34),"median", MEDIAN(Instances!HI34:Instances!HI34),"min", MIN(Instances!HI34:Instances!HI34),"max", MAX(Instances!HI34:Instances!HI34),"diff", MAX(Instances!HI34:Instances!HI34)-MIN(Instances!HI34:Instances!HI34))</f>
        <v>0</v>
      </c>
      <c r="HJ34" s="1" cm="1">
        <f t="array" ref="HJ34">_xlfn.SWITCH($A$2,"average", AVERAGE(Instances!HJ34:Instances!HJ34),"median", MEDIAN(Instances!HJ34:Instances!HJ34),"min", MIN(Instances!HJ34:Instances!HJ34),"max", MAX(Instances!HJ34:Instances!HJ34),"diff", MAX(Instances!HJ34:Instances!HJ34)-MIN(Instances!HJ34:Instances!HJ34))</f>
        <v>0</v>
      </c>
      <c r="HK34" s="1" cm="1">
        <f t="array" ref="HK34">_xlfn.SWITCH($A$2,"average", AVERAGE(Instances!HK34:Instances!HK34),"median", MEDIAN(Instances!HK34:Instances!HK34),"min", MIN(Instances!HK34:Instances!HK34),"max", MAX(Instances!HK34:Instances!HK34),"diff", MAX(Instances!HK34:Instances!HK34)-MIN(Instances!HK34:Instances!HK34))</f>
        <v>0</v>
      </c>
      <c r="HL34" s="1" cm="1">
        <f t="array" ref="HL34">_xlfn.SWITCH($A$2,"average", AVERAGE(Instances!HL34:Instances!HL34),"median", MEDIAN(Instances!HL34:Instances!HL34),"min", MIN(Instances!HL34:Instances!HL34),"max", MAX(Instances!HL34:Instances!HL34),"diff", MAX(Instances!HL34:Instances!HL34)-MIN(Instances!HL34:Instances!HL34))</f>
        <v>0</v>
      </c>
      <c r="HM34" s="1" cm="1">
        <f t="array" ref="HM34">_xlfn.SWITCH($A$2,"average", AVERAGE(Instances!HM34:Instances!HM34),"median", MEDIAN(Instances!HM34:Instances!HM34),"min", MIN(Instances!HM34:Instances!HM34),"max", MAX(Instances!HM34:Instances!HM34),"diff", MAX(Instances!HM34:Instances!HM34)-MIN(Instances!HM34:Instances!HM34))</f>
        <v>0</v>
      </c>
      <c r="HN34" s="1" cm="1">
        <f t="array" ref="HN34">_xlfn.SWITCH($A$2,"average", AVERAGE(Instances!HN34:Instances!HN34),"median", MEDIAN(Instances!HN34:Instances!HN34),"min", MIN(Instances!HN34:Instances!HN34),"max", MAX(Instances!HN34:Instances!HN34),"diff", MAX(Instances!HN34:Instances!HN34)-MIN(Instances!HN34:Instances!HN34))</f>
        <v>0</v>
      </c>
      <c r="HO34" s="1" cm="1">
        <f t="array" ref="HO34">_xlfn.SWITCH($A$2,"average", AVERAGE(Instances!HO34:Instances!HO34),"median", MEDIAN(Instances!HO34:Instances!HO34),"min", MIN(Instances!HO34:Instances!HO34),"max", MAX(Instances!HO34:Instances!HO34),"diff", MAX(Instances!HO34:Instances!HO34)-MIN(Instances!HO34:Instances!HO34))</f>
        <v>0</v>
      </c>
      <c r="HP34" s="1" cm="1">
        <f t="array" ref="HP34">_xlfn.SWITCH($A$2,"average", AVERAGE(Instances!HP34:Instances!HP34),"median", MEDIAN(Instances!HP34:Instances!HP34),"min", MIN(Instances!HP34:Instances!HP34),"max", MAX(Instances!HP34:Instances!HP34),"diff", MAX(Instances!HP34:Instances!HP34)-MIN(Instances!HP34:Instances!HP34))</f>
        <v>0</v>
      </c>
      <c r="HQ34" s="1" cm="1">
        <f t="array" ref="HQ34">_xlfn.SWITCH($A$2,"average", AVERAGE(Instances!HQ34:Instances!HQ34),"median", MEDIAN(Instances!HQ34:Instances!HQ34),"min", MIN(Instances!HQ34:Instances!HQ34),"max", MAX(Instances!HQ34:Instances!HQ34),"diff", MAX(Instances!HQ34:Instances!HQ34)-MIN(Instances!HQ34:Instances!HQ34))</f>
        <v>0</v>
      </c>
      <c r="HR34" s="1" cm="1">
        <f t="array" ref="HR34">_xlfn.SWITCH($A$2,"average", AVERAGE(Instances!HR34:Instances!HR34),"median", MEDIAN(Instances!HR34:Instances!HR34),"min", MIN(Instances!HR34:Instances!HR34),"max", MAX(Instances!HR34:Instances!HR34),"diff", MAX(Instances!HR34:Instances!HR34)-MIN(Instances!HR34:Instances!HR34))</f>
        <v>0</v>
      </c>
      <c r="HS34" s="1" cm="1">
        <f t="array" ref="HS34">_xlfn.SWITCH($A$2,"average", AVERAGE(Instances!HS34:Instances!HS34),"median", MEDIAN(Instances!HS34:Instances!HS34),"min", MIN(Instances!HS34:Instances!HS34),"max", MAX(Instances!HS34:Instances!HS34),"diff", MAX(Instances!HS34:Instances!HS34)-MIN(Instances!HS34:Instances!HS34))</f>
        <v>0</v>
      </c>
      <c r="HT34" s="1" cm="1">
        <f t="array" ref="HT34">_xlfn.SWITCH($A$2,"average", AVERAGE(Instances!HT34:Instances!HT34),"median", MEDIAN(Instances!HT34:Instances!HT34),"min", MIN(Instances!HT34:Instances!HT34),"max", MAX(Instances!HT34:Instances!HT34),"diff", MAX(Instances!HT34:Instances!HT34)-MIN(Instances!HT34:Instances!HT34))</f>
        <v>0</v>
      </c>
      <c r="HU34" s="1" cm="1">
        <f t="array" ref="HU34">_xlfn.SWITCH($A$2,"average", AVERAGE(Instances!HU34:Instances!HU34),"median", MEDIAN(Instances!HU34:Instances!HU34),"min", MIN(Instances!HU34:Instances!HU34),"max", MAX(Instances!HU34:Instances!HU34),"diff", MAX(Instances!HU34:Instances!HU34)-MIN(Instances!HU34:Instances!HU34))</f>
        <v>0</v>
      </c>
      <c r="HV34" s="1" cm="1">
        <f t="array" ref="HV34">_xlfn.SWITCH($A$2,"average", AVERAGE(Instances!HV34:Instances!HV34),"median", MEDIAN(Instances!HV34:Instances!HV34),"min", MIN(Instances!HV34:Instances!HV34),"max", MAX(Instances!HV34:Instances!HV34),"diff", MAX(Instances!HV34:Instances!HV34)-MIN(Instances!HV34:Instances!HV34))</f>
        <v>0</v>
      </c>
      <c r="HW34" s="1" cm="1">
        <f t="array" ref="HW34">_xlfn.SWITCH($A$2,"average", AVERAGE(Instances!HW34:Instances!HW34),"median", MEDIAN(Instances!HW34:Instances!HW34),"min", MIN(Instances!HW34:Instances!HW34),"max", MAX(Instances!HW34:Instances!HW34),"diff", MAX(Instances!HW34:Instances!HW34)-MIN(Instances!HW34:Instances!HW34))</f>
        <v>0</v>
      </c>
      <c r="HX34" s="1"/>
      <c r="HY34" s="1" cm="1">
        <f t="array" ref="HY34">_xlfn.SWITCH($A$2,"average", AVERAGE(Instances!HY34:Instances!HY34),"median", MEDIAN(Instances!HY34:Instances!HY34),"min", MIN(Instances!HY34:Instances!HY34),"max", MAX(Instances!HY34:Instances!HY34),"diff", MAX(Instances!HY34:Instances!HY34)-MIN(Instances!HY34:Instances!HY34))</f>
        <v>0</v>
      </c>
      <c r="HZ34" s="1" cm="1">
        <f t="array" ref="HZ34">_xlfn.SWITCH($A$2,"average", AVERAGE(Instances!HZ34:Instances!HZ34),"median", MEDIAN(Instances!HZ34:Instances!HZ34),"min", MIN(Instances!HZ34:Instances!HZ34),"max", MAX(Instances!HZ34:Instances!HZ34),"diff", MAX(Instances!HZ34:Instances!HZ34)-MIN(Instances!HZ34:Instances!HZ34))</f>
        <v>0</v>
      </c>
      <c r="IA34" s="1" cm="1">
        <f t="array" ref="IA34">_xlfn.SWITCH($A$2,"average", AVERAGE(Instances!IA34:Instances!IA34),"median", MEDIAN(Instances!IA34:Instances!IA34),"min", MIN(Instances!IA34:Instances!IA34),"max", MAX(Instances!IA34:Instances!IA34),"diff", MAX(Instances!IA34:Instances!IA34)-MIN(Instances!IA34:Instances!IA34))</f>
        <v>0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 cm="1">
        <f t="array" ref="JL34">_xlfn.SWITCH($A$2,"average", AVERAGE(Instances!JL34:Instances!JL34),"median", MEDIAN(Instances!JL34:Instances!JL34),"min", MIN(Instances!JL34:Instances!JL34),"max", MAX(Instances!JL34:Instances!JL34),"diff", MAX(Instances!JL34:Instances!JL34)-MIN(Instances!JL34:Instances!JL34))</f>
        <v>0</v>
      </c>
      <c r="JM34" s="1" cm="1">
        <f t="array" ref="JM34">_xlfn.SWITCH($A$2,"average", AVERAGE(Instances!JM34:Instances!JM34),"median", MEDIAN(Instances!JM34:Instances!JM34),"min", MIN(Instances!JM34:Instances!JM34),"max", MAX(Instances!JM34:Instances!JM34),"diff", MAX(Instances!JM34:Instances!JM34)-MIN(Instances!JM34:Instances!JM34))</f>
        <v>0</v>
      </c>
      <c r="JN34" s="1" cm="1">
        <f t="array" ref="JN34">_xlfn.SWITCH($A$2,"average", AVERAGE(Instances!JN34:Instances!JN34),"median", MEDIAN(Instances!JN34:Instances!JN34),"min", MIN(Instances!JN34:Instances!JN34),"max", MAX(Instances!JN34:Instances!JN34),"diff", MAX(Instances!JN34:Instances!JN34)-MIN(Instances!JN34:Instances!JN34))</f>
        <v>0</v>
      </c>
      <c r="JO34" s="1" cm="1">
        <f t="array" ref="JO34">_xlfn.SWITCH($A$2,"average", AVERAGE(Instances!JO34:Instances!JO34),"median", MEDIAN(Instances!JO34:Instances!JO34),"min", MIN(Instances!JO34:Instances!JO34),"max", MAX(Instances!JO34:Instances!JO34),"diff", MAX(Instances!JO34:Instances!JO34)-MIN(Instances!JO34:Instances!JO34))</f>
        <v>0</v>
      </c>
      <c r="JP34" s="1" cm="1">
        <f t="array" ref="JP34">_xlfn.SWITCH($A$2,"average", AVERAGE(Instances!JP34:Instances!JP34),"median", MEDIAN(Instances!JP34:Instances!JP34),"min", MIN(Instances!JP34:Instances!JP34),"max", MAX(Instances!JP34:Instances!JP34),"diff", MAX(Instances!JP34:Instances!JP34)-MIN(Instances!JP34:Instances!JP34))</f>
        <v>0</v>
      </c>
      <c r="JQ34" s="1" cm="1">
        <f t="array" ref="JQ34">_xlfn.SWITCH($A$2,"average", AVERAGE(Instances!JQ34:Instances!JQ34),"median", MEDIAN(Instances!JQ34:Instances!JQ34),"min", MIN(Instances!JQ34:Instances!JQ34),"max", MAX(Instances!JQ34:Instances!JQ34),"diff", MAX(Instances!JQ34:Instances!JQ34)-MIN(Instances!JQ34:Instances!JQ34))</f>
        <v>0</v>
      </c>
      <c r="JR34" s="1" cm="1">
        <f t="array" ref="JR34">_xlfn.SWITCH($A$2,"average", AVERAGE(Instances!JR34:Instances!JR34),"median", MEDIAN(Instances!JR34:Instances!JR34),"min", MIN(Instances!JR34:Instances!JR34),"max", MAX(Instances!JR34:Instances!JR34),"diff", MAX(Instances!JR34:Instances!JR34)-MIN(Instances!JR34:Instances!JR34))</f>
        <v>0</v>
      </c>
      <c r="JS34" s="1" cm="1">
        <f t="array" ref="JS34">_xlfn.SWITCH($A$2,"average", AVERAGE(Instances!JS34:Instances!JS34),"median", MEDIAN(Instances!JS34:Instances!JS34),"min", MIN(Instances!JS34:Instances!JS34),"max", MAX(Instances!JS34:Instances!JS34),"diff", MAX(Instances!JS34:Instances!JS34)-MIN(Instances!JS34:Instances!JS34))</f>
        <v>0</v>
      </c>
      <c r="JT34" s="1" cm="1">
        <f t="array" ref="JT34">_xlfn.SWITCH($A$2,"average", AVERAGE(Instances!JT34:Instances!JT34),"median", MEDIAN(Instances!JT34:Instances!JT34),"min", MIN(Instances!JT34:Instances!JT34),"max", MAX(Instances!JT34:Instances!JT34),"diff", MAX(Instances!JT34:Instances!JT34)-MIN(Instances!JT34:Instances!JT34))</f>
        <v>0</v>
      </c>
      <c r="JU34" s="1" cm="1">
        <f t="array" ref="JU34">_xlfn.SWITCH($A$2,"average", AVERAGE(Instances!JU34:Instances!JU34),"median", MEDIAN(Instances!JU34:Instances!JU34),"min", MIN(Instances!JU34:Instances!JU34),"max", MAX(Instances!JU34:Instances!JU34),"diff", MAX(Instances!JU34:Instances!JU34)-MIN(Instances!JU34:Instances!JU34))</f>
        <v>0</v>
      </c>
      <c r="JV34" s="1" cm="1">
        <f t="array" ref="JV34">_xlfn.SWITCH($A$2,"average", AVERAGE(Instances!JV34:Instances!JV34),"median", MEDIAN(Instances!JV34:Instances!JV34),"min", MIN(Instances!JV34:Instances!JV34),"max", MAX(Instances!JV34:Instances!JV34),"diff", MAX(Instances!JV34:Instances!JV34)-MIN(Instances!JV34:Instances!JV34))</f>
        <v>0</v>
      </c>
      <c r="JW34" s="1" cm="1">
        <f t="array" ref="JW34">_xlfn.SWITCH($A$2,"average", AVERAGE(Instances!JW34:Instances!JW34),"median", MEDIAN(Instances!JW34:Instances!JW34),"min", MIN(Instances!JW34:Instances!JW34),"max", MAX(Instances!JW34:Instances!JW34),"diff", MAX(Instances!JW34:Instances!JW34)-MIN(Instances!JW34:Instances!JW34))</f>
        <v>0</v>
      </c>
      <c r="JX34" s="1" cm="1">
        <f t="array" ref="JX34">_xlfn.SWITCH($A$2,"average", AVERAGE(Instances!JX34:Instances!JX34),"median", MEDIAN(Instances!JX34:Instances!JX34),"min", MIN(Instances!JX34:Instances!JX34),"max", MAX(Instances!JX34:Instances!JX34),"diff", MAX(Instances!JX34:Instances!JX34)-MIN(Instances!JX34:Instances!JX34))</f>
        <v>0</v>
      </c>
      <c r="JY34" s="1" cm="1">
        <f t="array" ref="JY34">_xlfn.SWITCH($A$2,"average", AVERAGE(Instances!JY34:Instances!JY34),"median", MEDIAN(Instances!JY34:Instances!JY34),"min", MIN(Instances!JY34:Instances!JY34),"max", MAX(Instances!JY34:Instances!JY34),"diff", MAX(Instances!JY34:Instances!JY34)-MIN(Instances!JY34:Instances!JY34))</f>
        <v>0</v>
      </c>
      <c r="JZ34" s="1"/>
      <c r="KA34" s="1" cm="1">
        <f t="array" ref="KA34">_xlfn.SWITCH($A$2,"average", AVERAGE(Instances!KA34:Instances!KA34),"median", MEDIAN(Instances!KA34:Instances!KA34),"min", MIN(Instances!KA34:Instances!KA34),"max", MAX(Instances!KA34:Instances!KA34),"diff", MAX(Instances!KA34:Instances!KA34)-MIN(Instances!KA34:Instances!KA34))</f>
        <v>0</v>
      </c>
      <c r="KB34" s="1" cm="1">
        <f t="array" ref="KB34">_xlfn.SWITCH($A$2,"average", AVERAGE(Instances!KB34:Instances!KB34),"median", MEDIAN(Instances!KB34:Instances!KB34),"min", MIN(Instances!KB34:Instances!KB34),"max", MAX(Instances!KB34:Instances!KB34),"diff", MAX(Instances!KB34:Instances!KB34)-MIN(Instances!KB34:Instances!KB34))</f>
        <v>0</v>
      </c>
      <c r="KC34" s="1" cm="1">
        <f t="array" ref="KC34">_xlfn.SWITCH($A$2,"average", AVERAGE(Instances!KC34:Instances!KC34),"median", MEDIAN(Instances!KC34:Instances!KC34),"min", MIN(Instances!KC34:Instances!KC34),"max", MAX(Instances!KC34:Instances!KC34),"diff", MAX(Instances!KC34:Instances!KC34)-MIN(Instances!KC34:Instances!KC34))</f>
        <v>0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</row>
    <row r="36" spans="1:340">
      <c r="A36" s="1" t="s">
        <v>32</v>
      </c>
      <c r="B36" s="1">
        <f>SUM(B$3:B$34)</f>
        <v>0</v>
      </c>
      <c r="C36" s="1">
        <f>SUM(C$3:C$34)</f>
        <v>0</v>
      </c>
      <c r="D36" s="1">
        <f>SUM(D$3:D$34)</f>
        <v>0</v>
      </c>
      <c r="E36" s="1">
        <f>SUM(E$3:E$34)</f>
        <v>0</v>
      </c>
      <c r="F36" s="1">
        <f>SUM(F$3:F$34)</f>
        <v>0</v>
      </c>
      <c r="G36" s="1">
        <f>SUM(G$3:G$34)</f>
        <v>0</v>
      </c>
      <c r="H36" s="1">
        <f>SUM(H$3:H$34)</f>
        <v>0</v>
      </c>
      <c r="I36" s="1">
        <f>SUM(I$3:I$34)</f>
        <v>0</v>
      </c>
      <c r="J36" s="1">
        <f>SUM(J$3:J$34)</f>
        <v>0</v>
      </c>
      <c r="K36" s="1">
        <f>SUM(K$3:K$34)</f>
        <v>0</v>
      </c>
      <c r="L36" s="1">
        <f>SUM(L$3:L$34)</f>
        <v>0</v>
      </c>
      <c r="M36" s="1">
        <f>SUM(M$3:M$34)</f>
        <v>0</v>
      </c>
      <c r="N36" s="1">
        <f>SUM(N$3:N$34)</f>
        <v>0</v>
      </c>
      <c r="O36" s="1">
        <f>SUM(O$3:O$34)</f>
        <v>0</v>
      </c>
      <c r="P36" s="1"/>
      <c r="Q36" s="1">
        <f>SUM(Q$3:Q$34)</f>
        <v>0</v>
      </c>
      <c r="R36" s="1">
        <f>SUM(R$3:R$34)</f>
        <v>0</v>
      </c>
      <c r="S36" s="1">
        <f>SUM(S$3:S$34)</f>
        <v>0</v>
      </c>
      <c r="T36" s="1">
        <f>SUM(T$3:T$34)</f>
        <v>0</v>
      </c>
      <c r="U36" s="1">
        <f>SUM(U$3:U$34)</f>
        <v>0</v>
      </c>
      <c r="V36" s="1">
        <f>SUM(V$3:V$34)</f>
        <v>0</v>
      </c>
      <c r="W36" s="1">
        <f>SUM(W$3:W$34)</f>
        <v>0</v>
      </c>
      <c r="X36" s="1">
        <f>SUM(X$3:X$34)</f>
        <v>0</v>
      </c>
      <c r="Y36" s="1">
        <f>SUM(Y$3:Y$34)</f>
        <v>0</v>
      </c>
      <c r="Z36" s="1">
        <f>SUM(Z$3:Z$34)</f>
        <v>0</v>
      </c>
      <c r="AA36" s="1">
        <f>SUM(AA$3:AA$34)</f>
        <v>0</v>
      </c>
      <c r="AB36" s="1">
        <f>SUM(AB$3:AB$34)</f>
        <v>0</v>
      </c>
      <c r="AC36" s="1">
        <f>SUM(AC$3:AC$34)</f>
        <v>0</v>
      </c>
      <c r="AD36" s="1">
        <f>SUM(AD$3:AD$34)</f>
        <v>0</v>
      </c>
      <c r="AE36" s="1">
        <f>SUM(AE$3:AE$34)</f>
        <v>0</v>
      </c>
      <c r="AF36" s="1">
        <f>SUM(AF$3:AF$34)</f>
        <v>0</v>
      </c>
      <c r="AG36" s="1">
        <f>SUM(AG$3:AG$34)</f>
        <v>0</v>
      </c>
      <c r="AH36" s="1"/>
      <c r="AI36" s="1">
        <f>SUM(AI$3:AI$34)</f>
        <v>0</v>
      </c>
      <c r="AJ36" s="1">
        <f>SUM(AJ$3:AJ$34)</f>
        <v>0</v>
      </c>
      <c r="AK36" s="1">
        <f>SUM(AK$3:AK$34)</f>
        <v>0</v>
      </c>
      <c r="AL36" s="1">
        <f>SUM(AL$3:AL$34)</f>
        <v>0</v>
      </c>
      <c r="AM36" s="1">
        <f>SUM(AM$3:AM$34)</f>
        <v>0</v>
      </c>
      <c r="AN36" s="1">
        <f>SUM(AN$3:AN$34)</f>
        <v>0</v>
      </c>
      <c r="AO36" s="1">
        <f>SUM(AO$3:AO$34)</f>
        <v>0</v>
      </c>
      <c r="AP36" s="1">
        <f>SUM(AP$3:AP$34)</f>
        <v>0</v>
      </c>
      <c r="AQ36" s="1">
        <f>SUM(AQ$3:AQ$34)</f>
        <v>0</v>
      </c>
      <c r="AR36" s="1">
        <f>SUM(AR$3:AR$34)</f>
        <v>0</v>
      </c>
      <c r="AS36" s="1">
        <f>SUM(AS$3:AS$34)</f>
        <v>0</v>
      </c>
      <c r="AT36" s="1">
        <f>SUM(AT$3:AT$34)</f>
        <v>0</v>
      </c>
      <c r="AU36" s="1">
        <f>SUM(AU$3:AU$34)</f>
        <v>0</v>
      </c>
      <c r="AV36" s="1">
        <f>SUM(AV$3:AV$34)</f>
        <v>0</v>
      </c>
      <c r="AW36" s="1">
        <f>SUM(AW$3:AW$34)</f>
        <v>0</v>
      </c>
      <c r="AX36" s="1">
        <f>SUM(AX$3:AX$34)</f>
        <v>0</v>
      </c>
      <c r="AY36" s="1">
        <f>SUM(AY$3:AY$34)</f>
        <v>0</v>
      </c>
      <c r="AZ36" s="1"/>
      <c r="BA36" s="1">
        <f>SUM(BA$3:BA$34)</f>
        <v>0</v>
      </c>
      <c r="BB36" s="1">
        <f>SUM(BB$3:BB$34)</f>
        <v>0</v>
      </c>
      <c r="BC36" s="1">
        <f>SUM(BC$3:BC$34)</f>
        <v>0</v>
      </c>
      <c r="BD36" s="1">
        <f>SUM(BD$3:BD$34)</f>
        <v>0</v>
      </c>
      <c r="BE36" s="1">
        <f>SUM(BE$3:BE$34)</f>
        <v>0</v>
      </c>
      <c r="BF36" s="1">
        <f>SUM(BF$3:BF$34)</f>
        <v>0</v>
      </c>
      <c r="BG36" s="1">
        <f>SUM(BG$3:BG$34)</f>
        <v>0</v>
      </c>
      <c r="BH36" s="1">
        <f>SUM(BH$3:BH$34)</f>
        <v>0</v>
      </c>
      <c r="BI36" s="1">
        <f>SUM(BI$3:BI$34)</f>
        <v>0</v>
      </c>
      <c r="BJ36" s="1">
        <f>SUM(BJ$3:BJ$34)</f>
        <v>0</v>
      </c>
      <c r="BK36" s="1">
        <f>SUM(BK$3:BK$34)</f>
        <v>0</v>
      </c>
      <c r="BL36" s="1">
        <f>SUM(BL$3:BL$34)</f>
        <v>0</v>
      </c>
      <c r="BM36" s="1">
        <f>SUM(BM$3:BM$34)</f>
        <v>0</v>
      </c>
      <c r="BN36" s="1">
        <f>SUM(BN$3:BN$34)</f>
        <v>0</v>
      </c>
      <c r="BO36" s="1">
        <f>SUM(BO$3:BO$34)</f>
        <v>0</v>
      </c>
      <c r="BP36" s="1">
        <f>SUM(BP$3:BP$34)</f>
        <v>0</v>
      </c>
      <c r="BQ36" s="1">
        <f>SUM(BQ$3:BQ$34)</f>
        <v>0</v>
      </c>
      <c r="BR36" s="1"/>
      <c r="BS36" s="1">
        <f>SUM(BS$3:BS$34)</f>
        <v>0</v>
      </c>
      <c r="BT36" s="1">
        <f>SUM(BT$3:BT$34)</f>
        <v>0</v>
      </c>
      <c r="BU36" s="1">
        <f>SUM(BU$3:BU$34)</f>
        <v>0</v>
      </c>
      <c r="BV36" s="1">
        <f>SUM(BV$3:BV$34)</f>
        <v>0</v>
      </c>
      <c r="BW36" s="1">
        <f>SUM(BW$3:BW$34)</f>
        <v>0</v>
      </c>
      <c r="BX36" s="1">
        <f>SUM(BX$3:BX$34)</f>
        <v>0</v>
      </c>
      <c r="BY36" s="1">
        <f>SUM(BY$3:BY$34)</f>
        <v>0</v>
      </c>
      <c r="BZ36" s="1">
        <f>SUM(BZ$3:BZ$34)</f>
        <v>0</v>
      </c>
      <c r="CA36" s="1">
        <f>SUM(CA$3:CA$34)</f>
        <v>0</v>
      </c>
      <c r="CB36" s="1">
        <f>SUM(CB$3:CB$34)</f>
        <v>0</v>
      </c>
      <c r="CC36" s="1">
        <f>SUM(CC$3:CC$34)</f>
        <v>0</v>
      </c>
      <c r="CD36" s="1">
        <f>SUM(CD$3:CD$34)</f>
        <v>0</v>
      </c>
      <c r="CE36" s="1">
        <f>SUM(CE$3:CE$34)</f>
        <v>0</v>
      </c>
      <c r="CF36" s="1">
        <f>SUM(CF$3:CF$34)</f>
        <v>0</v>
      </c>
      <c r="CG36" s="1">
        <f>SUM(CG$3:CG$34)</f>
        <v>0</v>
      </c>
      <c r="CH36" s="1">
        <f>SUM(CH$3:CH$34)</f>
        <v>0</v>
      </c>
      <c r="CI36" s="1">
        <f>SUM(CI$3:CI$34)</f>
        <v>0</v>
      </c>
      <c r="CJ36" s="1"/>
      <c r="CK36" s="1">
        <f>SUM(CK$3:CK$34)</f>
        <v>0</v>
      </c>
      <c r="CL36" s="1">
        <f>SUM(CL$3:CL$34)</f>
        <v>0</v>
      </c>
      <c r="CM36" s="1">
        <f>SUM(CM$3:CM$34)</f>
        <v>0</v>
      </c>
      <c r="CN36" s="1">
        <f>SUM(CN$3:CN$34)</f>
        <v>0</v>
      </c>
      <c r="CO36" s="1">
        <f>SUM(CO$3:CO$34)</f>
        <v>0</v>
      </c>
      <c r="CP36" s="1">
        <f>SUM(CP$3:CP$34)</f>
        <v>0</v>
      </c>
      <c r="CQ36" s="1">
        <f>SUM(CQ$3:CQ$34)</f>
        <v>0</v>
      </c>
      <c r="CR36" s="1">
        <f>SUM(CR$3:CR$34)</f>
        <v>0</v>
      </c>
      <c r="CS36" s="1">
        <f>SUM(CS$3:CS$34)</f>
        <v>0</v>
      </c>
      <c r="CT36" s="1">
        <f>SUM(CT$3:CT$34)</f>
        <v>0</v>
      </c>
      <c r="CU36" s="1">
        <f>SUM(CU$3:CU$34)</f>
        <v>0</v>
      </c>
      <c r="CV36" s="1">
        <f>SUM(CV$3:CV$34)</f>
        <v>0</v>
      </c>
      <c r="CW36" s="1">
        <f>SUM(CW$3:CW$34)</f>
        <v>0</v>
      </c>
      <c r="CX36" s="1">
        <f>SUM(CX$3:CX$34)</f>
        <v>0</v>
      </c>
      <c r="CY36" s="1">
        <f>SUM(CY$3:CY$34)</f>
        <v>0</v>
      </c>
      <c r="CZ36" s="1">
        <f>SUM(CZ$3:CZ$34)</f>
        <v>0</v>
      </c>
      <c r="DA36" s="1">
        <f>SUM(DA$3:DA$34)</f>
        <v>0</v>
      </c>
      <c r="DB36" s="1"/>
      <c r="DC36" s="1">
        <f>SUM(DC$3:DC$34)</f>
        <v>0</v>
      </c>
      <c r="DD36" s="1">
        <f>SUM(DD$3:DD$34)</f>
        <v>0</v>
      </c>
      <c r="DE36" s="1">
        <f>SUM(DE$3:DE$34)</f>
        <v>0</v>
      </c>
      <c r="DF36" s="1">
        <f>SUM(DF$3:DF$34)</f>
        <v>0</v>
      </c>
      <c r="DG36" s="1">
        <f>SUM(DG$3:DG$34)</f>
        <v>0</v>
      </c>
      <c r="DH36" s="1">
        <f>SUM(DH$3:DH$34)</f>
        <v>0</v>
      </c>
      <c r="DI36" s="1">
        <f>SUM(DI$3:DI$34)</f>
        <v>0</v>
      </c>
      <c r="DJ36" s="1">
        <f>SUM(DJ$3:DJ$34)</f>
        <v>0</v>
      </c>
      <c r="DK36" s="1">
        <f>SUM(DK$3:DK$34)</f>
        <v>0</v>
      </c>
      <c r="DL36" s="1">
        <f>SUM(DL$3:DL$34)</f>
        <v>0</v>
      </c>
      <c r="DM36" s="1">
        <f>SUM(DM$3:DM$34)</f>
        <v>0</v>
      </c>
      <c r="DN36" s="1">
        <f>SUM(DN$3:DN$34)</f>
        <v>0</v>
      </c>
      <c r="DO36" s="1">
        <f>SUM(DO$3:DO$34)</f>
        <v>0</v>
      </c>
      <c r="DP36" s="1">
        <f>SUM(DP$3:DP$34)</f>
        <v>0</v>
      </c>
      <c r="DQ36" s="1">
        <f>SUM(DQ$3:DQ$34)</f>
        <v>0</v>
      </c>
      <c r="DR36" s="1">
        <f>SUM(DR$3:DR$34)</f>
        <v>0</v>
      </c>
      <c r="DS36" s="1">
        <f>SUM(DS$3:DS$34)</f>
        <v>0</v>
      </c>
      <c r="DT36" s="1"/>
      <c r="DU36" s="1">
        <f>SUM(DU$3:DU$34)</f>
        <v>0</v>
      </c>
      <c r="DV36" s="1">
        <f>SUM(DV$3:DV$34)</f>
        <v>0</v>
      </c>
      <c r="DW36" s="1">
        <f>SUM(DW$3:DW$34)</f>
        <v>0</v>
      </c>
      <c r="DX36" s="1">
        <f>SUM(DX$3:DX$34)</f>
        <v>0</v>
      </c>
      <c r="DY36" s="1">
        <f>SUM(DY$3:DY$34)</f>
        <v>0</v>
      </c>
      <c r="DZ36" s="1">
        <f>SUM(DZ$3:DZ$34)</f>
        <v>0</v>
      </c>
      <c r="EA36" s="1">
        <f>SUM(EA$3:EA$34)</f>
        <v>0</v>
      </c>
      <c r="EB36" s="1">
        <f>SUM(EB$3:EB$34)</f>
        <v>0</v>
      </c>
      <c r="EC36" s="1">
        <f>SUM(EC$3:EC$34)</f>
        <v>0</v>
      </c>
      <c r="ED36" s="1">
        <f>SUM(ED$3:ED$34)</f>
        <v>0</v>
      </c>
      <c r="EE36" s="1">
        <f>SUM(EE$3:EE$34)</f>
        <v>0</v>
      </c>
      <c r="EF36" s="1">
        <f>SUM(EF$3:EF$34)</f>
        <v>0</v>
      </c>
      <c r="EG36" s="1">
        <f>SUM(EG$3:EG$34)</f>
        <v>0</v>
      </c>
      <c r="EH36" s="1">
        <f>SUM(EH$3:EH$34)</f>
        <v>0</v>
      </c>
      <c r="EI36" s="1">
        <f>SUM(EI$3:EI$34)</f>
        <v>0</v>
      </c>
      <c r="EJ36" s="1">
        <f>SUM(EJ$3:EJ$34)</f>
        <v>0</v>
      </c>
      <c r="EK36" s="1">
        <f>SUM(EK$3:EK$34)</f>
        <v>0</v>
      </c>
      <c r="EL36" s="1"/>
      <c r="EM36" s="1">
        <f>SUM(EM$3:EM$34)</f>
        <v>0</v>
      </c>
      <c r="EN36" s="1">
        <f>SUM(EN$3:EN$34)</f>
        <v>0</v>
      </c>
      <c r="EO36" s="1">
        <f>SUM(EO$3:EO$34)</f>
        <v>0</v>
      </c>
      <c r="EP36" s="1">
        <f>SUM(EP$3:EP$34)</f>
        <v>0</v>
      </c>
      <c r="EQ36" s="1">
        <f>SUM(EQ$3:EQ$34)</f>
        <v>0</v>
      </c>
      <c r="ER36" s="1">
        <f>SUM(ER$3:ER$34)</f>
        <v>0</v>
      </c>
      <c r="ES36" s="1">
        <f>SUM(ES$3:ES$34)</f>
        <v>0</v>
      </c>
      <c r="ET36" s="1">
        <f>SUM(ET$3:ET$34)</f>
        <v>0</v>
      </c>
      <c r="EU36" s="1">
        <f>SUM(EU$3:EU$34)</f>
        <v>0</v>
      </c>
      <c r="EV36" s="1">
        <f>SUM(EV$3:EV$34)</f>
        <v>0</v>
      </c>
      <c r="EW36" s="1">
        <f>SUM(EW$3:EW$34)</f>
        <v>0</v>
      </c>
      <c r="EX36" s="1">
        <f>SUM(EX$3:EX$34)</f>
        <v>0</v>
      </c>
      <c r="EY36" s="1">
        <f>SUM(EY$3:EY$34)</f>
        <v>0</v>
      </c>
      <c r="EZ36" s="1">
        <f>SUM(EZ$3:EZ$34)</f>
        <v>0</v>
      </c>
      <c r="FA36" s="1">
        <f>SUM(FA$3:FA$34)</f>
        <v>0</v>
      </c>
      <c r="FB36" s="1">
        <f>SUM(FB$3:FB$34)</f>
        <v>0</v>
      </c>
      <c r="FC36" s="1">
        <f>SUM(FC$3:FC$34)</f>
        <v>0</v>
      </c>
      <c r="FD36" s="1"/>
      <c r="FE36" s="1">
        <f>SUM(FE$3:FE$34)</f>
        <v>0</v>
      </c>
      <c r="FF36" s="1">
        <f>SUM(FF$3:FF$34)</f>
        <v>0</v>
      </c>
      <c r="FG36" s="1">
        <f>SUM(FG$3:FG$34)</f>
        <v>0</v>
      </c>
      <c r="FH36" s="1">
        <f>SUM(FH$3:FH$34)</f>
        <v>0</v>
      </c>
      <c r="FI36" s="1">
        <f>SUM(FI$3:FI$34)</f>
        <v>0</v>
      </c>
      <c r="FJ36" s="1">
        <f>SUM(FJ$3:FJ$34)</f>
        <v>0</v>
      </c>
      <c r="FK36" s="1">
        <f>SUM(FK$3:FK$34)</f>
        <v>0</v>
      </c>
      <c r="FL36" s="1">
        <f>SUM(FL$3:FL$34)</f>
        <v>0</v>
      </c>
      <c r="FM36" s="1">
        <f>SUM(FM$3:FM$34)</f>
        <v>0</v>
      </c>
      <c r="FN36" s="1">
        <f>SUM(FN$3:FN$34)</f>
        <v>0</v>
      </c>
      <c r="FO36" s="1">
        <f>SUM(FO$3:FO$34)</f>
        <v>0</v>
      </c>
      <c r="FP36" s="1">
        <f>SUM(FP$3:FP$34)</f>
        <v>0</v>
      </c>
      <c r="FQ36" s="1">
        <f>SUM(FQ$3:FQ$34)</f>
        <v>0</v>
      </c>
      <c r="FR36" s="1">
        <f>SUM(FR$3:FR$34)</f>
        <v>0</v>
      </c>
      <c r="FS36" s="1">
        <f>SUM(FS$3:FS$34)</f>
        <v>0</v>
      </c>
      <c r="FT36" s="1">
        <f>SUM(FT$3:FT$34)</f>
        <v>0</v>
      </c>
      <c r="FU36" s="1">
        <f>SUM(FU$3:FU$34)</f>
        <v>0</v>
      </c>
      <c r="FV36" s="1"/>
      <c r="FW36" s="1">
        <f>SUM(FW$3:FW$34)</f>
        <v>0</v>
      </c>
      <c r="FX36" s="1">
        <f>SUM(FX$3:FX$34)</f>
        <v>0</v>
      </c>
      <c r="FY36" s="1">
        <f>SUM(FY$3:FY$34)</f>
        <v>0</v>
      </c>
      <c r="FZ36" s="1">
        <f>SUM(FZ$3:FZ$34)</f>
        <v>0</v>
      </c>
      <c r="GA36" s="1">
        <f>SUM(GA$3:GA$34)</f>
        <v>0</v>
      </c>
      <c r="GB36" s="1">
        <f>SUM(GB$3:GB$34)</f>
        <v>0</v>
      </c>
      <c r="GC36" s="1">
        <f>SUM(GC$3:GC$34)</f>
        <v>0</v>
      </c>
      <c r="GD36" s="1">
        <f>SUM(GD$3:GD$34)</f>
        <v>0</v>
      </c>
      <c r="GE36" s="1">
        <f>SUM(GE$3:GE$34)</f>
        <v>0</v>
      </c>
      <c r="GF36" s="1">
        <f>SUM(GF$3:GF$34)</f>
        <v>0</v>
      </c>
      <c r="GG36" s="1">
        <f>SUM(GG$3:GG$34)</f>
        <v>0</v>
      </c>
      <c r="GH36" s="1">
        <f>SUM(GH$3:GH$34)</f>
        <v>0</v>
      </c>
      <c r="GI36" s="1">
        <f>SUM(GI$3:GI$34)</f>
        <v>0</v>
      </c>
      <c r="GJ36" s="1">
        <f>SUM(GJ$3:GJ$34)</f>
        <v>0</v>
      </c>
      <c r="GK36" s="1">
        <f>SUM(GK$3:GK$34)</f>
        <v>0</v>
      </c>
      <c r="GL36" s="1">
        <f>SUM(GL$3:GL$34)</f>
        <v>0</v>
      </c>
      <c r="GM36" s="1">
        <f>SUM(GM$3:GM$34)</f>
        <v>0</v>
      </c>
      <c r="GN36" s="1"/>
      <c r="GO36" s="1">
        <f>SUM(GO$3:GO$34)</f>
        <v>0</v>
      </c>
      <c r="GP36" s="1">
        <f>SUM(GP$3:GP$34)</f>
        <v>0</v>
      </c>
      <c r="GQ36" s="1">
        <f>SUM(GQ$3:GQ$34)</f>
        <v>0</v>
      </c>
      <c r="GR36" s="1">
        <f>SUM(GR$3:GR$34)</f>
        <v>0</v>
      </c>
      <c r="GS36" s="1">
        <f>SUM(GS$3:GS$34)</f>
        <v>0</v>
      </c>
      <c r="GT36" s="1">
        <f>SUM(GT$3:GT$34)</f>
        <v>0</v>
      </c>
      <c r="GU36" s="1">
        <f>SUM(GU$3:GU$34)</f>
        <v>0</v>
      </c>
      <c r="GV36" s="1">
        <f>SUM(GV$3:GV$34)</f>
        <v>0</v>
      </c>
      <c r="GW36" s="1">
        <f>SUM(GW$3:GW$34)</f>
        <v>0</v>
      </c>
      <c r="GX36" s="1">
        <f>SUM(GX$3:GX$34)</f>
        <v>0</v>
      </c>
      <c r="GY36" s="1">
        <f>SUM(GY$3:GY$34)</f>
        <v>0</v>
      </c>
      <c r="GZ36" s="1">
        <f>SUM(GZ$3:GZ$34)</f>
        <v>0</v>
      </c>
      <c r="HA36" s="1">
        <f>SUM(HA$3:HA$34)</f>
        <v>0</v>
      </c>
      <c r="HB36" s="1">
        <f>SUM(HB$3:HB$34)</f>
        <v>0</v>
      </c>
      <c r="HC36" s="1">
        <f>SUM(HC$3:HC$34)</f>
        <v>0</v>
      </c>
      <c r="HD36" s="1">
        <f>SUM(HD$3:HD$34)</f>
        <v>0</v>
      </c>
      <c r="HE36" s="1">
        <f>SUM(HE$3:HE$34)</f>
        <v>0</v>
      </c>
      <c r="HF36" s="1"/>
      <c r="HG36" s="1">
        <f>SUM(HG$3:HG$34)</f>
        <v>0</v>
      </c>
      <c r="HH36" s="1">
        <f>SUM(HH$3:HH$34)</f>
        <v>0</v>
      </c>
      <c r="HI36" s="1">
        <f>SUM(HI$3:HI$34)</f>
        <v>0</v>
      </c>
      <c r="HJ36" s="1">
        <f>SUM(HJ$3:HJ$34)</f>
        <v>0</v>
      </c>
      <c r="HK36" s="1">
        <f>SUM(HK$3:HK$34)</f>
        <v>0</v>
      </c>
      <c r="HL36" s="1">
        <f>SUM(HL$3:HL$34)</f>
        <v>0</v>
      </c>
      <c r="HM36" s="1">
        <f>SUM(HM$3:HM$34)</f>
        <v>0</v>
      </c>
      <c r="HN36" s="1">
        <f>SUM(HN$3:HN$34)</f>
        <v>0</v>
      </c>
      <c r="HO36" s="1">
        <f>SUM(HO$3:HO$34)</f>
        <v>0</v>
      </c>
      <c r="HP36" s="1">
        <f>SUM(HP$3:HP$34)</f>
        <v>0</v>
      </c>
      <c r="HQ36" s="1">
        <f>SUM(HQ$3:HQ$34)</f>
        <v>0</v>
      </c>
      <c r="HR36" s="1">
        <f>SUM(HR$3:HR$34)</f>
        <v>0</v>
      </c>
      <c r="HS36" s="1">
        <f>SUM(HS$3:HS$34)</f>
        <v>0</v>
      </c>
      <c r="HT36" s="1">
        <f>SUM(HT$3:HT$34)</f>
        <v>0</v>
      </c>
      <c r="HU36" s="1">
        <f>SUM(HU$3:HU$34)</f>
        <v>0</v>
      </c>
      <c r="HV36" s="1">
        <f>SUM(HV$3:HV$34)</f>
        <v>0</v>
      </c>
      <c r="HW36" s="1">
        <f>SUM(HW$3:HW$34)</f>
        <v>0</v>
      </c>
      <c r="HX36" s="1"/>
      <c r="HY36" s="1">
        <f>SUM(HY$3:HY$34)</f>
        <v>0</v>
      </c>
      <c r="HZ36" s="1">
        <f>SUM(HZ$3:HZ$34)</f>
        <v>0</v>
      </c>
      <c r="IA36" s="1">
        <f>SUM(IA$3:IA$34)</f>
        <v>0</v>
      </c>
      <c r="IB36" s="1">
        <f>SUM(IB$3:IB$34)</f>
        <v>0</v>
      </c>
      <c r="IC36" s="1">
        <f>SUM(IC$3:IC$34)</f>
        <v>0</v>
      </c>
      <c r="ID36" s="1">
        <f>SUM(ID$3:ID$34)</f>
        <v>0</v>
      </c>
      <c r="IE36" s="1">
        <f>SUM(IE$3:IE$34)</f>
        <v>0</v>
      </c>
      <c r="IF36" s="1">
        <f>SUM(IF$3:IF$34)</f>
        <v>0</v>
      </c>
      <c r="IG36" s="1">
        <f>SUM(IG$3:IG$34)</f>
        <v>0</v>
      </c>
      <c r="IH36" s="1">
        <f>SUM(IH$3:IH$34)</f>
        <v>0</v>
      </c>
      <c r="II36" s="1">
        <f>SUM(II$3:II$34)</f>
        <v>0</v>
      </c>
      <c r="IJ36" s="1">
        <f>SUM(IJ$3:IJ$34)</f>
        <v>0</v>
      </c>
      <c r="IK36" s="1">
        <f>SUM(IK$3:IK$34)</f>
        <v>0</v>
      </c>
      <c r="IL36" s="1">
        <f>SUM(IL$3:IL$34)</f>
        <v>0</v>
      </c>
      <c r="IM36" s="1">
        <f>SUM(IM$3:IM$34)</f>
        <v>0</v>
      </c>
      <c r="IN36" s="1">
        <f>SUM(IN$3:IN$34)</f>
        <v>0</v>
      </c>
      <c r="IO36" s="1">
        <f>SUM(IO$3:IO$34)</f>
        <v>0</v>
      </c>
      <c r="IP36" s="1"/>
      <c r="IQ36" s="1">
        <f>SUM(IQ$3:IQ$34)</f>
        <v>0</v>
      </c>
      <c r="IR36" s="1">
        <f>SUM(IR$3:IR$34)</f>
        <v>0</v>
      </c>
      <c r="IS36" s="1">
        <f>SUM(IS$3:IS$34)</f>
        <v>0</v>
      </c>
      <c r="IT36" s="1">
        <f>SUM(IT$3:IT$34)</f>
        <v>0</v>
      </c>
      <c r="IU36" s="1">
        <f>SUM(IU$3:IU$34)</f>
        <v>0</v>
      </c>
      <c r="IV36" s="1">
        <f>SUM(IV$3:IV$34)</f>
        <v>0</v>
      </c>
      <c r="IW36" s="1">
        <f>SUM(IW$3:IW$34)</f>
        <v>0</v>
      </c>
      <c r="IX36" s="1">
        <f>SUM(IX$3:IX$34)</f>
        <v>0</v>
      </c>
      <c r="IY36" s="1">
        <f>SUM(IY$3:IY$34)</f>
        <v>0</v>
      </c>
      <c r="IZ36" s="1">
        <f>SUM(IZ$3:IZ$34)</f>
        <v>0</v>
      </c>
      <c r="JA36" s="1">
        <f>SUM(JA$3:JA$34)</f>
        <v>0</v>
      </c>
      <c r="JB36" s="1">
        <f>SUM(JB$3:JB$34)</f>
        <v>0</v>
      </c>
      <c r="JC36" s="1">
        <f>SUM(JC$3:JC$34)</f>
        <v>0</v>
      </c>
      <c r="JD36" s="1">
        <f>SUM(JD$3:JD$34)</f>
        <v>0</v>
      </c>
      <c r="JE36" s="1">
        <f>SUM(JE$3:JE$34)</f>
        <v>0</v>
      </c>
      <c r="JF36" s="1">
        <f>SUM(JF$3:JF$34)</f>
        <v>0</v>
      </c>
      <c r="JG36" s="1">
        <f>SUM(JG$3:JG$34)</f>
        <v>0</v>
      </c>
      <c r="JH36" s="1"/>
      <c r="JI36" s="1">
        <f>SUM(JI$3:JI$34)</f>
        <v>0</v>
      </c>
      <c r="JJ36" s="1">
        <f>SUM(JJ$3:JJ$34)</f>
        <v>0</v>
      </c>
      <c r="JK36" s="1">
        <f>SUM(JK$3:JK$34)</f>
        <v>0</v>
      </c>
      <c r="JL36" s="1">
        <f>SUM(JL$3:JL$34)</f>
        <v>0</v>
      </c>
      <c r="JM36" s="1">
        <f>SUM(JM$3:JM$34)</f>
        <v>0</v>
      </c>
      <c r="JN36" s="1">
        <f>SUM(JN$3:JN$34)</f>
        <v>0</v>
      </c>
      <c r="JO36" s="1">
        <f>SUM(JO$3:JO$34)</f>
        <v>0</v>
      </c>
      <c r="JP36" s="1">
        <f>SUM(JP$3:JP$34)</f>
        <v>0</v>
      </c>
      <c r="JQ36" s="1">
        <f>SUM(JQ$3:JQ$34)</f>
        <v>0</v>
      </c>
      <c r="JR36" s="1">
        <f>SUM(JR$3:JR$34)</f>
        <v>0</v>
      </c>
      <c r="JS36" s="1">
        <f>SUM(JS$3:JS$34)</f>
        <v>0</v>
      </c>
      <c r="JT36" s="1">
        <f>SUM(JT$3:JT$34)</f>
        <v>0</v>
      </c>
      <c r="JU36" s="1">
        <f>SUM(JU$3:JU$34)</f>
        <v>0</v>
      </c>
      <c r="JV36" s="1">
        <f>SUM(JV$3:JV$34)</f>
        <v>0</v>
      </c>
      <c r="JW36" s="1">
        <f>SUM(JW$3:JW$34)</f>
        <v>0</v>
      </c>
      <c r="JX36" s="1">
        <f>SUM(JX$3:JX$34)</f>
        <v>0</v>
      </c>
      <c r="JY36" s="1">
        <f>SUM(JY$3:JY$34)</f>
        <v>0</v>
      </c>
      <c r="JZ36" s="1"/>
      <c r="KA36" s="1">
        <f>SUM(KA$3:KA$34)</f>
        <v>0</v>
      </c>
      <c r="KB36" s="1">
        <f>SUM(KB$3:KB$34)</f>
        <v>0</v>
      </c>
      <c r="KC36" s="1">
        <f>SUM(KC$3:KC$34)</f>
        <v>0</v>
      </c>
      <c r="KD36" s="1">
        <f>SUM(KD$3:KD$34)</f>
        <v>0</v>
      </c>
      <c r="KE36" s="1">
        <f>SUM(KE$3:KE$34)</f>
        <v>0</v>
      </c>
      <c r="KF36" s="1">
        <f>SUM(KF$3:KF$34)</f>
        <v>0</v>
      </c>
      <c r="KG36" s="1">
        <f>SUM(KG$3:KG$34)</f>
        <v>0</v>
      </c>
      <c r="KH36" s="1">
        <f>SUM(KH$3:KH$34)</f>
        <v>0</v>
      </c>
      <c r="KI36" s="1">
        <f>SUM(KI$3:KI$34)</f>
        <v>0</v>
      </c>
      <c r="KJ36" s="1">
        <f>SUM(KJ$3:KJ$34)</f>
        <v>0</v>
      </c>
      <c r="KK36" s="1">
        <f>SUM(KK$3:KK$34)</f>
        <v>0</v>
      </c>
      <c r="KL36" s="1">
        <f>SUM(KL$3:KL$34)</f>
        <v>0</v>
      </c>
      <c r="KM36" s="1">
        <f>SUM(KM$3:KM$34)</f>
        <v>0</v>
      </c>
      <c r="KN36" s="1">
        <f>SUM(KN$3:KN$34)</f>
        <v>0</v>
      </c>
      <c r="KO36" s="1">
        <f>SUM(KO$3:KO$34)</f>
        <v>0</v>
      </c>
      <c r="KP36" s="1">
        <f>SUM(KP$3:KP$34)</f>
        <v>0</v>
      </c>
      <c r="KQ36" s="1">
        <f>SUM(KQ$3:KQ$34)</f>
        <v>0</v>
      </c>
      <c r="KR36" s="1">
        <f>SUM(KR$3:KR$34)</f>
        <v>0</v>
      </c>
      <c r="KS36" s="1">
        <f>SUM(KS$3:KS$34)</f>
        <v>0</v>
      </c>
      <c r="KT36" s="1">
        <f>SUM(KT$3:KT$34)</f>
        <v>0</v>
      </c>
      <c r="KU36" s="1">
        <f>SUM(KU$3:KU$34)</f>
        <v>0</v>
      </c>
      <c r="KV36" s="1">
        <f>SUM(KV$3:KV$34)</f>
        <v>0</v>
      </c>
      <c r="KW36" s="1">
        <f>SUM(KW$3:KW$34)</f>
        <v>0</v>
      </c>
      <c r="KX36" s="1">
        <f>SUM(KX$3:KX$34)</f>
        <v>0</v>
      </c>
      <c r="KY36" s="1">
        <f>SUM(KY$3:KY$34)</f>
        <v>0</v>
      </c>
      <c r="KZ36" s="1">
        <f>SUM(KZ$3:KZ$34)</f>
        <v>0</v>
      </c>
      <c r="LA36" s="1">
        <f>SUM(LA$3:LA$34)</f>
        <v>0</v>
      </c>
      <c r="LB36" s="1">
        <f>SUM(LB$3:LB$34)</f>
        <v>0</v>
      </c>
      <c r="LC36" s="1">
        <f>SUM(LC$3:LC$34)</f>
        <v>0</v>
      </c>
      <c r="LD36" s="1">
        <f>SUM(LD$3:LD$34)</f>
        <v>0</v>
      </c>
      <c r="LE36" s="1">
        <f>SUM(LE$3:LE$34)</f>
        <v>0</v>
      </c>
      <c r="LF36" s="1">
        <f>SUM(LF$3:LF$34)</f>
        <v>0</v>
      </c>
      <c r="LG36" s="1">
        <f>SUM(LG$3:LG$34)</f>
        <v>0</v>
      </c>
      <c r="LH36" s="1">
        <f>SUM(LH$3:LH$34)</f>
        <v>0</v>
      </c>
      <c r="LI36" s="1">
        <f>SUM(LI$3:LI$34)</f>
        <v>0</v>
      </c>
      <c r="LJ36" s="1">
        <f>SUM(LJ$3:LJ$34)</f>
        <v>0</v>
      </c>
      <c r="LK36" s="1">
        <f>SUM(LK$3:LK$34)</f>
        <v>0</v>
      </c>
      <c r="LL36" s="1">
        <f>SUM(LL$3:LL$34)</f>
        <v>0</v>
      </c>
      <c r="LM36" s="1">
        <f>SUM(LM$3:LM$34)</f>
        <v>0</v>
      </c>
      <c r="LN36" s="1">
        <f>SUM(LN$3:LN$34)</f>
        <v>0</v>
      </c>
      <c r="LO36" s="1">
        <f>SUM(LO$3:LO$34)</f>
        <v>0</v>
      </c>
      <c r="LP36" s="1">
        <f>SUM(LP$3:LP$34)</f>
        <v>0</v>
      </c>
      <c r="LQ36" s="1">
        <f>SUM(LQ$3:LQ$34)</f>
        <v>0</v>
      </c>
      <c r="LR36" s="1">
        <f>SUM(LR$3:LR$34)</f>
        <v>0</v>
      </c>
      <c r="LS36" s="1">
        <f>SUM(LS$3:LS$34)</f>
        <v>0</v>
      </c>
      <c r="LT36" s="1">
        <f>SUM(LT$3:LT$34)</f>
        <v>0</v>
      </c>
      <c r="LU36" s="1">
        <f>SUM(LU$3:LU$34)</f>
        <v>0</v>
      </c>
      <c r="LV36" s="1">
        <f>SUM(LV$3:LV$34)</f>
        <v>0</v>
      </c>
      <c r="LW36" s="1">
        <f>SUM(LW$3:LW$34)</f>
        <v>0</v>
      </c>
      <c r="LX36" s="1">
        <f>SUM(LX$3:LX$34)</f>
        <v>0</v>
      </c>
      <c r="LY36" s="1">
        <f>SUM(LY$3:LY$34)</f>
        <v>0</v>
      </c>
      <c r="LZ36" s="1">
        <f>SUM(LZ$3:LZ$34)</f>
        <v>0</v>
      </c>
      <c r="MA36" s="1">
        <f>SUM(MA$3:MA$34)</f>
        <v>0</v>
      </c>
      <c r="MB36" s="1">
        <f>SUM(MB$3:MB$34)</f>
        <v>0</v>
      </c>
    </row>
    <row r="37" spans="1:340">
      <c r="A37" s="1" t="s">
        <v>33</v>
      </c>
      <c r="B37" s="1">
        <f>AVERAGE(B$3:B$34)</f>
        <v>0</v>
      </c>
      <c r="C37" s="1">
        <f>AVERAGE(C$3:C$34)</f>
        <v>0</v>
      </c>
      <c r="D37" s="1">
        <f>AVERAGE(D$3:D$34)</f>
        <v>0</v>
      </c>
      <c r="E37" s="1">
        <f>AVERAGE(E$3:E$34)</f>
        <v>0</v>
      </c>
      <c r="F37" s="1">
        <f>AVERAGE(F$3:F$34)</f>
        <v>0</v>
      </c>
      <c r="G37" s="1">
        <f>AVERAGE(G$3:G$34)</f>
        <v>0</v>
      </c>
      <c r="H37" s="1">
        <f>AVERAGE(H$3:H$34)</f>
        <v>0</v>
      </c>
      <c r="I37" s="1">
        <f>AVERAGE(I$3:I$34)</f>
        <v>0</v>
      </c>
      <c r="J37" s="1">
        <f>AVERAGE(J$3:J$34)</f>
        <v>0</v>
      </c>
      <c r="K37" s="1">
        <f>AVERAGE(K$3:K$34)</f>
        <v>0</v>
      </c>
      <c r="L37" s="1">
        <f>AVERAGE(L$3:L$34)</f>
        <v>0</v>
      </c>
      <c r="M37" s="1">
        <f>AVERAGE(M$3:M$34)</f>
        <v>0</v>
      </c>
      <c r="N37" s="1">
        <f>AVERAGE(N$3:N$34)</f>
        <v>0</v>
      </c>
      <c r="O37" s="1">
        <f>AVERAGE(O$3:O$34)</f>
        <v>0</v>
      </c>
      <c r="P37" s="1"/>
      <c r="Q37" s="1">
        <f>AVERAGE(Q$3:Q$34)</f>
        <v>0</v>
      </c>
      <c r="R37" s="1">
        <f>AVERAGE(R$3:R$34)</f>
        <v>0</v>
      </c>
      <c r="S37" s="1">
        <f>AVERAGE(S$3:S$34)</f>
        <v>0</v>
      </c>
      <c r="T37" s="1">
        <f>AVERAGE(T$3:T$34)</f>
        <v>0</v>
      </c>
      <c r="U37" s="1">
        <f>AVERAGE(U$3:U$34)</f>
        <v>0</v>
      </c>
      <c r="V37" s="1">
        <f>AVERAGE(V$3:V$34)</f>
        <v>0</v>
      </c>
      <c r="W37" s="1">
        <f>AVERAGE(W$3:W$34)</f>
        <v>0</v>
      </c>
      <c r="X37" s="1">
        <f>AVERAGE(X$3:X$34)</f>
        <v>0</v>
      </c>
      <c r="Y37" s="1">
        <f>AVERAGE(Y$3:Y$34)</f>
        <v>0</v>
      </c>
      <c r="Z37" s="1">
        <f>AVERAGE(Z$3:Z$34)</f>
        <v>0</v>
      </c>
      <c r="AA37" s="1">
        <f>AVERAGE(AA$3:AA$34)</f>
        <v>0</v>
      </c>
      <c r="AB37" s="1">
        <f>AVERAGE(AB$3:AB$34)</f>
        <v>0</v>
      </c>
      <c r="AC37" s="1">
        <f>AVERAGE(AC$3:AC$34)</f>
        <v>0</v>
      </c>
      <c r="AD37" s="1">
        <f>AVERAGE(AD$3:AD$34)</f>
        <v>0</v>
      </c>
      <c r="AE37" s="1">
        <f>AVERAGE(AE$3:AE$34)</f>
        <v>0</v>
      </c>
      <c r="AF37" s="1">
        <f>AVERAGE(AF$3:AF$34)</f>
        <v>0</v>
      </c>
      <c r="AG37" s="1">
        <f>AVERAGE(AG$3:AG$34)</f>
        <v>0</v>
      </c>
      <c r="AH37" s="1"/>
      <c r="AI37" s="1">
        <f>AVERAGE(AI$3:AI$34)</f>
        <v>0</v>
      </c>
      <c r="AJ37" s="1">
        <f>AVERAGE(AJ$3:AJ$34)</f>
        <v>0</v>
      </c>
      <c r="AK37" s="1">
        <f>AVERAGE(AK$3:AK$34)</f>
        <v>0</v>
      </c>
      <c r="AL37" s="1">
        <f>AVERAGE(AL$3:AL$34)</f>
        <v>0</v>
      </c>
      <c r="AM37" s="1">
        <f>AVERAGE(AM$3:AM$34)</f>
        <v>0</v>
      </c>
      <c r="AN37" s="1">
        <f>AVERAGE(AN$3:AN$34)</f>
        <v>0</v>
      </c>
      <c r="AO37" s="1">
        <f>AVERAGE(AO$3:AO$34)</f>
        <v>0</v>
      </c>
      <c r="AP37" s="1">
        <f>AVERAGE(AP$3:AP$34)</f>
        <v>0</v>
      </c>
      <c r="AQ37" s="1">
        <f>AVERAGE(AQ$3:AQ$34)</f>
        <v>0</v>
      </c>
      <c r="AR37" s="1">
        <f>AVERAGE(AR$3:AR$34)</f>
        <v>0</v>
      </c>
      <c r="AS37" s="1">
        <f>AVERAGE(AS$3:AS$34)</f>
        <v>0</v>
      </c>
      <c r="AT37" s="1">
        <f>AVERAGE(AT$3:AT$34)</f>
        <v>0</v>
      </c>
      <c r="AU37" s="1">
        <f>AVERAGE(AU$3:AU$34)</f>
        <v>0</v>
      </c>
      <c r="AV37" s="1">
        <f>AVERAGE(AV$3:AV$34)</f>
        <v>0</v>
      </c>
      <c r="AW37" s="1">
        <f>AVERAGE(AW$3:AW$34)</f>
        <v>0</v>
      </c>
      <c r="AX37" s="1">
        <f>AVERAGE(AX$3:AX$34)</f>
        <v>0</v>
      </c>
      <c r="AY37" s="1">
        <f>AVERAGE(AY$3:AY$34)</f>
        <v>0</v>
      </c>
      <c r="AZ37" s="1"/>
      <c r="BA37" s="1">
        <f>AVERAGE(BA$3:BA$34)</f>
        <v>0</v>
      </c>
      <c r="BB37" s="1">
        <f>AVERAGE(BB$3:BB$34)</f>
        <v>0</v>
      </c>
      <c r="BC37" s="1">
        <f>AVERAGE(BC$3:BC$34)</f>
        <v>0</v>
      </c>
      <c r="BD37" s="1">
        <f>AVERAGE(BD$3:BD$34)</f>
        <v>0</v>
      </c>
      <c r="BE37" s="1">
        <f>AVERAGE(BE$3:BE$34)</f>
        <v>0</v>
      </c>
      <c r="BF37" s="1">
        <f>AVERAGE(BF$3:BF$34)</f>
        <v>0</v>
      </c>
      <c r="BG37" s="1">
        <f>AVERAGE(BG$3:BG$34)</f>
        <v>0</v>
      </c>
      <c r="BH37" s="1">
        <f>AVERAGE(BH$3:BH$34)</f>
        <v>0</v>
      </c>
      <c r="BI37" s="1">
        <f>AVERAGE(BI$3:BI$34)</f>
        <v>0</v>
      </c>
      <c r="BJ37" s="1">
        <f>AVERAGE(BJ$3:BJ$34)</f>
        <v>0</v>
      </c>
      <c r="BK37" s="1">
        <f>AVERAGE(BK$3:BK$34)</f>
        <v>0</v>
      </c>
      <c r="BL37" s="1">
        <f>AVERAGE(BL$3:BL$34)</f>
        <v>0</v>
      </c>
      <c r="BM37" s="1">
        <f>AVERAGE(BM$3:BM$34)</f>
        <v>0</v>
      </c>
      <c r="BN37" s="1">
        <f>AVERAGE(BN$3:BN$34)</f>
        <v>0</v>
      </c>
      <c r="BO37" s="1">
        <f>AVERAGE(BO$3:BO$34)</f>
        <v>0</v>
      </c>
      <c r="BP37" s="1">
        <f>AVERAGE(BP$3:BP$34)</f>
        <v>0</v>
      </c>
      <c r="BQ37" s="1">
        <f>AVERAGE(BQ$3:BQ$34)</f>
        <v>0</v>
      </c>
      <c r="BR37" s="1"/>
      <c r="BS37" s="1">
        <f>AVERAGE(BS$3:BS$34)</f>
        <v>0</v>
      </c>
      <c r="BT37" s="1">
        <f>AVERAGE(BT$3:BT$34)</f>
        <v>0</v>
      </c>
      <c r="BU37" s="1">
        <f>AVERAGE(BU$3:BU$34)</f>
        <v>0</v>
      </c>
      <c r="BV37" s="1">
        <f>AVERAGE(BV$3:BV$34)</f>
        <v>0</v>
      </c>
      <c r="BW37" s="1">
        <f>AVERAGE(BW$3:BW$34)</f>
        <v>0</v>
      </c>
      <c r="BX37" s="1">
        <f>AVERAGE(BX$3:BX$34)</f>
        <v>0</v>
      </c>
      <c r="BY37" s="1">
        <f>AVERAGE(BY$3:BY$34)</f>
        <v>0</v>
      </c>
      <c r="BZ37" s="1">
        <f>AVERAGE(BZ$3:BZ$34)</f>
        <v>0</v>
      </c>
      <c r="CA37" s="1">
        <f>AVERAGE(CA$3:CA$34)</f>
        <v>0</v>
      </c>
      <c r="CB37" s="1">
        <f>AVERAGE(CB$3:CB$34)</f>
        <v>0</v>
      </c>
      <c r="CC37" s="1">
        <f>AVERAGE(CC$3:CC$34)</f>
        <v>0</v>
      </c>
      <c r="CD37" s="1">
        <f>AVERAGE(CD$3:CD$34)</f>
        <v>0</v>
      </c>
      <c r="CE37" s="1">
        <f>AVERAGE(CE$3:CE$34)</f>
        <v>0</v>
      </c>
      <c r="CF37" s="1">
        <f>AVERAGE(CF$3:CF$34)</f>
        <v>0</v>
      </c>
      <c r="CG37" s="1">
        <f>AVERAGE(CG$3:CG$34)</f>
        <v>0</v>
      </c>
      <c r="CH37" s="1">
        <f>AVERAGE(CH$3:CH$34)</f>
        <v>0</v>
      </c>
      <c r="CI37" s="1">
        <f>AVERAGE(CI$3:CI$34)</f>
        <v>0</v>
      </c>
      <c r="CJ37" s="1"/>
      <c r="CK37" s="1">
        <f>AVERAGE(CK$3:CK$34)</f>
        <v>0</v>
      </c>
      <c r="CL37" s="1">
        <f>AVERAGE(CL$3:CL$34)</f>
        <v>0</v>
      </c>
      <c r="CM37" s="1">
        <f>AVERAGE(CM$3:CM$34)</f>
        <v>0</v>
      </c>
      <c r="CN37" s="1">
        <f>AVERAGE(CN$3:CN$34)</f>
        <v>0</v>
      </c>
      <c r="CO37" s="1">
        <f>AVERAGE(CO$3:CO$34)</f>
        <v>0</v>
      </c>
      <c r="CP37" s="1">
        <f>AVERAGE(CP$3:CP$34)</f>
        <v>0</v>
      </c>
      <c r="CQ37" s="1">
        <f>AVERAGE(CQ$3:CQ$34)</f>
        <v>0</v>
      </c>
      <c r="CR37" s="1">
        <f>AVERAGE(CR$3:CR$34)</f>
        <v>0</v>
      </c>
      <c r="CS37" s="1">
        <f>AVERAGE(CS$3:CS$34)</f>
        <v>0</v>
      </c>
      <c r="CT37" s="1">
        <f>AVERAGE(CT$3:CT$34)</f>
        <v>0</v>
      </c>
      <c r="CU37" s="1">
        <f>AVERAGE(CU$3:CU$34)</f>
        <v>0</v>
      </c>
      <c r="CV37" s="1">
        <f>AVERAGE(CV$3:CV$34)</f>
        <v>0</v>
      </c>
      <c r="CW37" s="1">
        <f>AVERAGE(CW$3:CW$34)</f>
        <v>0</v>
      </c>
      <c r="CX37" s="1">
        <f>AVERAGE(CX$3:CX$34)</f>
        <v>0</v>
      </c>
      <c r="CY37" s="1">
        <f>AVERAGE(CY$3:CY$34)</f>
        <v>0</v>
      </c>
      <c r="CZ37" s="1">
        <f>AVERAGE(CZ$3:CZ$34)</f>
        <v>0</v>
      </c>
      <c r="DA37" s="1">
        <f>AVERAGE(DA$3:DA$34)</f>
        <v>0</v>
      </c>
      <c r="DB37" s="1"/>
      <c r="DC37" s="1">
        <f>AVERAGE(DC$3:DC$34)</f>
        <v>0</v>
      </c>
      <c r="DD37" s="1">
        <f>AVERAGE(DD$3:DD$34)</f>
        <v>0</v>
      </c>
      <c r="DE37" s="1">
        <f>AVERAGE(DE$3:DE$34)</f>
        <v>0</v>
      </c>
      <c r="DF37" s="1">
        <f>AVERAGE(DF$3:DF$34)</f>
        <v>0</v>
      </c>
      <c r="DG37" s="1">
        <f>AVERAGE(DG$3:DG$34)</f>
        <v>0</v>
      </c>
      <c r="DH37" s="1">
        <f>AVERAGE(DH$3:DH$34)</f>
        <v>0</v>
      </c>
      <c r="DI37" s="1">
        <f>AVERAGE(DI$3:DI$34)</f>
        <v>0</v>
      </c>
      <c r="DJ37" s="1">
        <f>AVERAGE(DJ$3:DJ$34)</f>
        <v>0</v>
      </c>
      <c r="DK37" s="1">
        <f>AVERAGE(DK$3:DK$34)</f>
        <v>0</v>
      </c>
      <c r="DL37" s="1">
        <f>AVERAGE(DL$3:DL$34)</f>
        <v>0</v>
      </c>
      <c r="DM37" s="1">
        <f>AVERAGE(DM$3:DM$34)</f>
        <v>0</v>
      </c>
      <c r="DN37" s="1">
        <f>AVERAGE(DN$3:DN$34)</f>
        <v>0</v>
      </c>
      <c r="DO37" s="1">
        <f>AVERAGE(DO$3:DO$34)</f>
        <v>0</v>
      </c>
      <c r="DP37" s="1">
        <f>AVERAGE(DP$3:DP$34)</f>
        <v>0</v>
      </c>
      <c r="DQ37" s="1">
        <f>AVERAGE(DQ$3:DQ$34)</f>
        <v>0</v>
      </c>
      <c r="DR37" s="1">
        <f>AVERAGE(DR$3:DR$34)</f>
        <v>0</v>
      </c>
      <c r="DS37" s="1">
        <f>AVERAGE(DS$3:DS$34)</f>
        <v>0</v>
      </c>
      <c r="DT37" s="1"/>
      <c r="DU37" s="1">
        <f>AVERAGE(DU$3:DU$34)</f>
        <v>0</v>
      </c>
      <c r="DV37" s="1">
        <f>AVERAGE(DV$3:DV$34)</f>
        <v>0</v>
      </c>
      <c r="DW37" s="1">
        <f>AVERAGE(DW$3:DW$34)</f>
        <v>0</v>
      </c>
      <c r="DX37" s="1">
        <f>AVERAGE(DX$3:DX$34)</f>
        <v>0</v>
      </c>
      <c r="DY37" s="1">
        <f>AVERAGE(DY$3:DY$34)</f>
        <v>0</v>
      </c>
      <c r="DZ37" s="1">
        <f>AVERAGE(DZ$3:DZ$34)</f>
        <v>0</v>
      </c>
      <c r="EA37" s="1">
        <f>AVERAGE(EA$3:EA$34)</f>
        <v>0</v>
      </c>
      <c r="EB37" s="1">
        <f>AVERAGE(EB$3:EB$34)</f>
        <v>0</v>
      </c>
      <c r="EC37" s="1">
        <f>AVERAGE(EC$3:EC$34)</f>
        <v>0</v>
      </c>
      <c r="ED37" s="1">
        <f>AVERAGE(ED$3:ED$34)</f>
        <v>0</v>
      </c>
      <c r="EE37" s="1">
        <f>AVERAGE(EE$3:EE$34)</f>
        <v>0</v>
      </c>
      <c r="EF37" s="1">
        <f>AVERAGE(EF$3:EF$34)</f>
        <v>0</v>
      </c>
      <c r="EG37" s="1">
        <f>AVERAGE(EG$3:EG$34)</f>
        <v>0</v>
      </c>
      <c r="EH37" s="1">
        <f>AVERAGE(EH$3:EH$34)</f>
        <v>0</v>
      </c>
      <c r="EI37" s="1">
        <f>AVERAGE(EI$3:EI$34)</f>
        <v>0</v>
      </c>
      <c r="EJ37" s="1">
        <f>AVERAGE(EJ$3:EJ$34)</f>
        <v>0</v>
      </c>
      <c r="EK37" s="1">
        <f>AVERAGE(EK$3:EK$34)</f>
        <v>0</v>
      </c>
      <c r="EL37" s="1"/>
      <c r="EM37" s="1">
        <f>AVERAGE(EM$3:EM$34)</f>
        <v>0</v>
      </c>
      <c r="EN37" s="1">
        <f>AVERAGE(EN$3:EN$34)</f>
        <v>0</v>
      </c>
      <c r="EO37" s="1">
        <f>AVERAGE(EO$3:EO$34)</f>
        <v>0</v>
      </c>
      <c r="EP37" s="1">
        <f>AVERAGE(EP$3:EP$34)</f>
        <v>0</v>
      </c>
      <c r="EQ37" s="1">
        <f>AVERAGE(EQ$3:EQ$34)</f>
        <v>0</v>
      </c>
      <c r="ER37" s="1">
        <f>AVERAGE(ER$3:ER$34)</f>
        <v>0</v>
      </c>
      <c r="ES37" s="1">
        <f>AVERAGE(ES$3:ES$34)</f>
        <v>0</v>
      </c>
      <c r="ET37" s="1">
        <f>AVERAGE(ET$3:ET$34)</f>
        <v>0</v>
      </c>
      <c r="EU37" s="1">
        <f>AVERAGE(EU$3:EU$34)</f>
        <v>0</v>
      </c>
      <c r="EV37" s="1">
        <f>AVERAGE(EV$3:EV$34)</f>
        <v>0</v>
      </c>
      <c r="EW37" s="1">
        <f>AVERAGE(EW$3:EW$34)</f>
        <v>0</v>
      </c>
      <c r="EX37" s="1">
        <f>AVERAGE(EX$3:EX$34)</f>
        <v>0</v>
      </c>
      <c r="EY37" s="1">
        <f>AVERAGE(EY$3:EY$34)</f>
        <v>0</v>
      </c>
      <c r="EZ37" s="1">
        <f>AVERAGE(EZ$3:EZ$34)</f>
        <v>0</v>
      </c>
      <c r="FA37" s="1">
        <f>AVERAGE(FA$3:FA$34)</f>
        <v>0</v>
      </c>
      <c r="FB37" s="1">
        <f>AVERAGE(FB$3:FB$34)</f>
        <v>0</v>
      </c>
      <c r="FC37" s="1">
        <f>AVERAGE(FC$3:FC$34)</f>
        <v>0</v>
      </c>
      <c r="FD37" s="1"/>
      <c r="FE37" s="1">
        <f>AVERAGE(FE$3:FE$34)</f>
        <v>0</v>
      </c>
      <c r="FF37" s="1">
        <f>AVERAGE(FF$3:FF$34)</f>
        <v>0</v>
      </c>
      <c r="FG37" s="1">
        <f>AVERAGE(FG$3:FG$34)</f>
        <v>0</v>
      </c>
      <c r="FH37" s="1">
        <f>AVERAGE(FH$3:FH$34)</f>
        <v>0</v>
      </c>
      <c r="FI37" s="1">
        <f>AVERAGE(FI$3:FI$34)</f>
        <v>0</v>
      </c>
      <c r="FJ37" s="1">
        <f>AVERAGE(FJ$3:FJ$34)</f>
        <v>0</v>
      </c>
      <c r="FK37" s="1">
        <f>AVERAGE(FK$3:FK$34)</f>
        <v>0</v>
      </c>
      <c r="FL37" s="1">
        <f>AVERAGE(FL$3:FL$34)</f>
        <v>0</v>
      </c>
      <c r="FM37" s="1">
        <f>AVERAGE(FM$3:FM$34)</f>
        <v>0</v>
      </c>
      <c r="FN37" s="1">
        <f>AVERAGE(FN$3:FN$34)</f>
        <v>0</v>
      </c>
      <c r="FO37" s="1">
        <f>AVERAGE(FO$3:FO$34)</f>
        <v>0</v>
      </c>
      <c r="FP37" s="1">
        <f>AVERAGE(FP$3:FP$34)</f>
        <v>0</v>
      </c>
      <c r="FQ37" s="1">
        <f>AVERAGE(FQ$3:FQ$34)</f>
        <v>0</v>
      </c>
      <c r="FR37" s="1">
        <f>AVERAGE(FR$3:FR$34)</f>
        <v>0</v>
      </c>
      <c r="FS37" s="1">
        <f>AVERAGE(FS$3:FS$34)</f>
        <v>0</v>
      </c>
      <c r="FT37" s="1">
        <f>AVERAGE(FT$3:FT$34)</f>
        <v>0</v>
      </c>
      <c r="FU37" s="1">
        <f>AVERAGE(FU$3:FU$34)</f>
        <v>0</v>
      </c>
      <c r="FV37" s="1"/>
      <c r="FW37" s="1">
        <f>AVERAGE(FW$3:FW$34)</f>
        <v>0</v>
      </c>
      <c r="FX37" s="1">
        <f>AVERAGE(FX$3:FX$34)</f>
        <v>0</v>
      </c>
      <c r="FY37" s="1">
        <f>AVERAGE(FY$3:FY$34)</f>
        <v>0</v>
      </c>
      <c r="FZ37" s="1">
        <f>AVERAGE(FZ$3:FZ$34)</f>
        <v>0</v>
      </c>
      <c r="GA37" s="1">
        <f>AVERAGE(GA$3:GA$34)</f>
        <v>0</v>
      </c>
      <c r="GB37" s="1">
        <f>AVERAGE(GB$3:GB$34)</f>
        <v>0</v>
      </c>
      <c r="GC37" s="1">
        <f>AVERAGE(GC$3:GC$34)</f>
        <v>0</v>
      </c>
      <c r="GD37" s="1">
        <f>AVERAGE(GD$3:GD$34)</f>
        <v>0</v>
      </c>
      <c r="GE37" s="1">
        <f>AVERAGE(GE$3:GE$34)</f>
        <v>0</v>
      </c>
      <c r="GF37" s="1">
        <f>AVERAGE(GF$3:GF$34)</f>
        <v>0</v>
      </c>
      <c r="GG37" s="1">
        <f>AVERAGE(GG$3:GG$34)</f>
        <v>0</v>
      </c>
      <c r="GH37" s="1">
        <f>AVERAGE(GH$3:GH$34)</f>
        <v>0</v>
      </c>
      <c r="GI37" s="1">
        <f>AVERAGE(GI$3:GI$34)</f>
        <v>0</v>
      </c>
      <c r="GJ37" s="1">
        <f>AVERAGE(GJ$3:GJ$34)</f>
        <v>0</v>
      </c>
      <c r="GK37" s="1">
        <f>AVERAGE(GK$3:GK$34)</f>
        <v>0</v>
      </c>
      <c r="GL37" s="1">
        <f>AVERAGE(GL$3:GL$34)</f>
        <v>0</v>
      </c>
      <c r="GM37" s="1">
        <f>AVERAGE(GM$3:GM$34)</f>
        <v>0</v>
      </c>
      <c r="GN37" s="1"/>
      <c r="GO37" s="1">
        <f>AVERAGE(GO$3:GO$34)</f>
        <v>0</v>
      </c>
      <c r="GP37" s="1">
        <f>AVERAGE(GP$3:GP$34)</f>
        <v>0</v>
      </c>
      <c r="GQ37" s="1">
        <f>AVERAGE(GQ$3:GQ$34)</f>
        <v>0</v>
      </c>
      <c r="GR37" s="1">
        <f>AVERAGE(GR$3:GR$34)</f>
        <v>0</v>
      </c>
      <c r="GS37" s="1">
        <f>AVERAGE(GS$3:GS$34)</f>
        <v>0</v>
      </c>
      <c r="GT37" s="1">
        <f>AVERAGE(GT$3:GT$34)</f>
        <v>0</v>
      </c>
      <c r="GU37" s="1">
        <f>AVERAGE(GU$3:GU$34)</f>
        <v>0</v>
      </c>
      <c r="GV37" s="1">
        <f>AVERAGE(GV$3:GV$34)</f>
        <v>0</v>
      </c>
      <c r="GW37" s="1">
        <f>AVERAGE(GW$3:GW$34)</f>
        <v>0</v>
      </c>
      <c r="GX37" s="1">
        <f>AVERAGE(GX$3:GX$34)</f>
        <v>0</v>
      </c>
      <c r="GY37" s="1">
        <f>AVERAGE(GY$3:GY$34)</f>
        <v>0</v>
      </c>
      <c r="GZ37" s="1">
        <f>AVERAGE(GZ$3:GZ$34)</f>
        <v>0</v>
      </c>
      <c r="HA37" s="1">
        <f>AVERAGE(HA$3:HA$34)</f>
        <v>0</v>
      </c>
      <c r="HB37" s="1">
        <f>AVERAGE(HB$3:HB$34)</f>
        <v>0</v>
      </c>
      <c r="HC37" s="1">
        <f>AVERAGE(HC$3:HC$34)</f>
        <v>0</v>
      </c>
      <c r="HD37" s="1">
        <f>AVERAGE(HD$3:HD$34)</f>
        <v>0</v>
      </c>
      <c r="HE37" s="1">
        <f>AVERAGE(HE$3:HE$34)</f>
        <v>0</v>
      </c>
      <c r="HF37" s="1"/>
      <c r="HG37" s="1">
        <f>AVERAGE(HG$3:HG$34)</f>
        <v>0</v>
      </c>
      <c r="HH37" s="1">
        <f>AVERAGE(HH$3:HH$34)</f>
        <v>0</v>
      </c>
      <c r="HI37" s="1">
        <f>AVERAGE(HI$3:HI$34)</f>
        <v>0</v>
      </c>
      <c r="HJ37" s="1">
        <f>AVERAGE(HJ$3:HJ$34)</f>
        <v>0</v>
      </c>
      <c r="HK37" s="1">
        <f>AVERAGE(HK$3:HK$34)</f>
        <v>0</v>
      </c>
      <c r="HL37" s="1">
        <f>AVERAGE(HL$3:HL$34)</f>
        <v>0</v>
      </c>
      <c r="HM37" s="1">
        <f>AVERAGE(HM$3:HM$34)</f>
        <v>0</v>
      </c>
      <c r="HN37" s="1">
        <f>AVERAGE(HN$3:HN$34)</f>
        <v>0</v>
      </c>
      <c r="HO37" s="1">
        <f>AVERAGE(HO$3:HO$34)</f>
        <v>0</v>
      </c>
      <c r="HP37" s="1">
        <f>AVERAGE(HP$3:HP$34)</f>
        <v>0</v>
      </c>
      <c r="HQ37" s="1">
        <f>AVERAGE(HQ$3:HQ$34)</f>
        <v>0</v>
      </c>
      <c r="HR37" s="1">
        <f>AVERAGE(HR$3:HR$34)</f>
        <v>0</v>
      </c>
      <c r="HS37" s="1">
        <f>AVERAGE(HS$3:HS$34)</f>
        <v>0</v>
      </c>
      <c r="HT37" s="1">
        <f>AVERAGE(HT$3:HT$34)</f>
        <v>0</v>
      </c>
      <c r="HU37" s="1">
        <f>AVERAGE(HU$3:HU$34)</f>
        <v>0</v>
      </c>
      <c r="HV37" s="1">
        <f>AVERAGE(HV$3:HV$34)</f>
        <v>0</v>
      </c>
      <c r="HW37" s="1">
        <f>AVERAGE(HW$3:HW$34)</f>
        <v>0</v>
      </c>
      <c r="HX37" s="1"/>
      <c r="HY37" s="1">
        <f>AVERAGE(HY$3:HY$34)</f>
        <v>0</v>
      </c>
      <c r="HZ37" s="1">
        <f>AVERAGE(HZ$3:HZ$34)</f>
        <v>0</v>
      </c>
      <c r="IA37" s="1">
        <f>AVERAGE(IA$3:IA$34)</f>
        <v>0</v>
      </c>
      <c r="IB37" s="1">
        <f>AVERAGE(IB$3:IB$34)</f>
        <v>0</v>
      </c>
      <c r="IC37" s="1">
        <f>AVERAGE(IC$3:IC$34)</f>
        <v>0</v>
      </c>
      <c r="ID37" s="1">
        <f>AVERAGE(ID$3:ID$34)</f>
        <v>0</v>
      </c>
      <c r="IE37" s="1">
        <f>AVERAGE(IE$3:IE$34)</f>
        <v>0</v>
      </c>
      <c r="IF37" s="1">
        <f>AVERAGE(IF$3:IF$34)</f>
        <v>0</v>
      </c>
      <c r="IG37" s="1">
        <f>AVERAGE(IG$3:IG$34)</f>
        <v>0</v>
      </c>
      <c r="IH37" s="1">
        <f>AVERAGE(IH$3:IH$34)</f>
        <v>0</v>
      </c>
      <c r="II37" s="1">
        <f>AVERAGE(II$3:II$34)</f>
        <v>0</v>
      </c>
      <c r="IJ37" s="1">
        <f>AVERAGE(IJ$3:IJ$34)</f>
        <v>0</v>
      </c>
      <c r="IK37" s="1">
        <f>AVERAGE(IK$3:IK$34)</f>
        <v>0</v>
      </c>
      <c r="IL37" s="1">
        <f>AVERAGE(IL$3:IL$34)</f>
        <v>0</v>
      </c>
      <c r="IM37" s="1">
        <f>AVERAGE(IM$3:IM$34)</f>
        <v>0</v>
      </c>
      <c r="IN37" s="1">
        <f>AVERAGE(IN$3:IN$34)</f>
        <v>0</v>
      </c>
      <c r="IO37" s="1">
        <f>AVERAGE(IO$3:IO$34)</f>
        <v>0</v>
      </c>
      <c r="IP37" s="1"/>
      <c r="IQ37" s="1">
        <f>AVERAGE(IQ$3:IQ$34)</f>
        <v>0</v>
      </c>
      <c r="IR37" s="1">
        <f>AVERAGE(IR$3:IR$34)</f>
        <v>0</v>
      </c>
      <c r="IS37" s="1">
        <f>AVERAGE(IS$3:IS$34)</f>
        <v>0</v>
      </c>
      <c r="IT37" s="1">
        <f>AVERAGE(IT$3:IT$34)</f>
        <v>0</v>
      </c>
      <c r="IU37" s="1">
        <f>AVERAGE(IU$3:IU$34)</f>
        <v>0</v>
      </c>
      <c r="IV37" s="1">
        <f>AVERAGE(IV$3:IV$34)</f>
        <v>0</v>
      </c>
      <c r="IW37" s="1">
        <f>AVERAGE(IW$3:IW$34)</f>
        <v>0</v>
      </c>
      <c r="IX37" s="1">
        <f>AVERAGE(IX$3:IX$34)</f>
        <v>0</v>
      </c>
      <c r="IY37" s="1">
        <f>AVERAGE(IY$3:IY$34)</f>
        <v>0</v>
      </c>
      <c r="IZ37" s="1">
        <f>AVERAGE(IZ$3:IZ$34)</f>
        <v>0</v>
      </c>
      <c r="JA37" s="1">
        <f>AVERAGE(JA$3:JA$34)</f>
        <v>0</v>
      </c>
      <c r="JB37" s="1">
        <f>AVERAGE(JB$3:JB$34)</f>
        <v>0</v>
      </c>
      <c r="JC37" s="1">
        <f>AVERAGE(JC$3:JC$34)</f>
        <v>0</v>
      </c>
      <c r="JD37" s="1">
        <f>AVERAGE(JD$3:JD$34)</f>
        <v>0</v>
      </c>
      <c r="JE37" s="1">
        <f>AVERAGE(JE$3:JE$34)</f>
        <v>0</v>
      </c>
      <c r="JF37" s="1">
        <f>AVERAGE(JF$3:JF$34)</f>
        <v>0</v>
      </c>
      <c r="JG37" s="1">
        <f>AVERAGE(JG$3:JG$34)</f>
        <v>0</v>
      </c>
      <c r="JH37" s="1"/>
      <c r="JI37" s="1">
        <f>AVERAGE(JI$3:JI$34)</f>
        <v>0</v>
      </c>
      <c r="JJ37" s="1">
        <f>AVERAGE(JJ$3:JJ$34)</f>
        <v>0</v>
      </c>
      <c r="JK37" s="1">
        <f>AVERAGE(JK$3:JK$34)</f>
        <v>0</v>
      </c>
      <c r="JL37" s="1">
        <f>AVERAGE(JL$3:JL$34)</f>
        <v>0</v>
      </c>
      <c r="JM37" s="1">
        <f>AVERAGE(JM$3:JM$34)</f>
        <v>0</v>
      </c>
      <c r="JN37" s="1">
        <f>AVERAGE(JN$3:JN$34)</f>
        <v>0</v>
      </c>
      <c r="JO37" s="1">
        <f>AVERAGE(JO$3:JO$34)</f>
        <v>0</v>
      </c>
      <c r="JP37" s="1">
        <f>AVERAGE(JP$3:JP$34)</f>
        <v>0</v>
      </c>
      <c r="JQ37" s="1">
        <f>AVERAGE(JQ$3:JQ$34)</f>
        <v>0</v>
      </c>
      <c r="JR37" s="1">
        <f>AVERAGE(JR$3:JR$34)</f>
        <v>0</v>
      </c>
      <c r="JS37" s="1">
        <f>AVERAGE(JS$3:JS$34)</f>
        <v>0</v>
      </c>
      <c r="JT37" s="1">
        <f>AVERAGE(JT$3:JT$34)</f>
        <v>0</v>
      </c>
      <c r="JU37" s="1">
        <f>AVERAGE(JU$3:JU$34)</f>
        <v>0</v>
      </c>
      <c r="JV37" s="1">
        <f>AVERAGE(JV$3:JV$34)</f>
        <v>0</v>
      </c>
      <c r="JW37" s="1">
        <f>AVERAGE(JW$3:JW$34)</f>
        <v>0</v>
      </c>
      <c r="JX37" s="1">
        <f>AVERAGE(JX$3:JX$34)</f>
        <v>0</v>
      </c>
      <c r="JY37" s="1">
        <f>AVERAGE(JY$3:JY$34)</f>
        <v>0</v>
      </c>
      <c r="JZ37" s="1"/>
      <c r="KA37" s="1">
        <f>AVERAGE(KA$3:KA$34)</f>
        <v>0</v>
      </c>
      <c r="KB37" s="1">
        <f>AVERAGE(KB$3:KB$34)</f>
        <v>0</v>
      </c>
      <c r="KC37" s="1">
        <f>AVERAGE(KC$3:KC$34)</f>
        <v>0</v>
      </c>
      <c r="KD37" s="1">
        <f>AVERAGE(KD$3:KD$34)</f>
        <v>0</v>
      </c>
      <c r="KE37" s="1">
        <f>AVERAGE(KE$3:KE$34)</f>
        <v>0</v>
      </c>
      <c r="KF37" s="1">
        <f>AVERAGE(KF$3:KF$34)</f>
        <v>0</v>
      </c>
      <c r="KG37" s="1">
        <f>AVERAGE(KG$3:KG$34)</f>
        <v>0</v>
      </c>
      <c r="KH37" s="1">
        <f>AVERAGE(KH$3:KH$34)</f>
        <v>0</v>
      </c>
      <c r="KI37" s="1">
        <f>AVERAGE(KI$3:KI$34)</f>
        <v>0</v>
      </c>
      <c r="KJ37" s="1">
        <f>AVERAGE(KJ$3:KJ$34)</f>
        <v>0</v>
      </c>
      <c r="KK37" s="1">
        <f>AVERAGE(KK$3:KK$34)</f>
        <v>0</v>
      </c>
      <c r="KL37" s="1">
        <f>AVERAGE(KL$3:KL$34)</f>
        <v>0</v>
      </c>
      <c r="KM37" s="1">
        <f>AVERAGE(KM$3:KM$34)</f>
        <v>0</v>
      </c>
      <c r="KN37" s="1">
        <f>AVERAGE(KN$3:KN$34)</f>
        <v>0</v>
      </c>
      <c r="KO37" s="1">
        <f>AVERAGE(KO$3:KO$34)</f>
        <v>0</v>
      </c>
      <c r="KP37" s="1">
        <f>AVERAGE(KP$3:KP$34)</f>
        <v>0</v>
      </c>
      <c r="KQ37" s="1">
        <f>AVERAGE(KQ$3:KQ$34)</f>
        <v>0</v>
      </c>
      <c r="KR37" s="1">
        <f>AVERAGE(KR$3:KR$34)</f>
        <v>0</v>
      </c>
      <c r="KS37" s="1">
        <f>AVERAGE(KS$3:KS$34)</f>
        <v>0</v>
      </c>
      <c r="KT37" s="1">
        <f>AVERAGE(KT$3:KT$34)</f>
        <v>0</v>
      </c>
      <c r="KU37" s="1">
        <f>AVERAGE(KU$3:KU$34)</f>
        <v>0</v>
      </c>
      <c r="KV37" s="1">
        <f>AVERAGE(KV$3:KV$34)</f>
        <v>0</v>
      </c>
      <c r="KW37" s="1">
        <f>AVERAGE(KW$3:KW$34)</f>
        <v>0</v>
      </c>
      <c r="KX37" s="1">
        <f>AVERAGE(KX$3:KX$34)</f>
        <v>0</v>
      </c>
      <c r="KY37" s="1">
        <f>AVERAGE(KY$3:KY$34)</f>
        <v>0</v>
      </c>
      <c r="KZ37" s="1">
        <f>AVERAGE(KZ$3:KZ$34)</f>
        <v>0</v>
      </c>
      <c r="LA37" s="1">
        <f>AVERAGE(LA$3:LA$34)</f>
        <v>0</v>
      </c>
      <c r="LB37" s="1">
        <f>AVERAGE(LB$3:LB$34)</f>
        <v>0</v>
      </c>
      <c r="LC37" s="1">
        <f>AVERAGE(LC$3:LC$34)</f>
        <v>0</v>
      </c>
      <c r="LD37" s="1">
        <f>AVERAGE(LD$3:LD$34)</f>
        <v>0</v>
      </c>
      <c r="LE37" s="1">
        <f>AVERAGE(LE$3:LE$34)</f>
        <v>0</v>
      </c>
      <c r="LF37" s="1">
        <f>AVERAGE(LF$3:LF$34)</f>
        <v>0</v>
      </c>
      <c r="LG37" s="1">
        <f>AVERAGE(LG$3:LG$34)</f>
        <v>0</v>
      </c>
      <c r="LH37" s="1">
        <f>AVERAGE(LH$3:LH$34)</f>
        <v>0</v>
      </c>
      <c r="LI37" s="1">
        <f>AVERAGE(LI$3:LI$34)</f>
        <v>0</v>
      </c>
      <c r="LJ37" s="1">
        <f>AVERAGE(LJ$3:LJ$34)</f>
        <v>0</v>
      </c>
      <c r="LK37" s="1">
        <f>AVERAGE(LK$3:LK$34)</f>
        <v>0</v>
      </c>
      <c r="LL37" s="1">
        <f>AVERAGE(LL$3:LL$34)</f>
        <v>0</v>
      </c>
      <c r="LM37" s="1">
        <f>AVERAGE(LM$3:LM$34)</f>
        <v>0</v>
      </c>
      <c r="LN37" s="1">
        <f>AVERAGE(LN$3:LN$34)</f>
        <v>0</v>
      </c>
      <c r="LO37" s="1">
        <f>AVERAGE(LO$3:LO$34)</f>
        <v>0</v>
      </c>
      <c r="LP37" s="1">
        <f>AVERAGE(LP$3:LP$34)</f>
        <v>0</v>
      </c>
      <c r="LQ37" s="1">
        <f>AVERAGE(LQ$3:LQ$34)</f>
        <v>0</v>
      </c>
      <c r="LR37" s="1">
        <f>AVERAGE(LR$3:LR$34)</f>
        <v>0</v>
      </c>
      <c r="LS37" s="1">
        <f>AVERAGE(LS$3:LS$34)</f>
        <v>0</v>
      </c>
      <c r="LT37" s="1">
        <f>AVERAGE(LT$3:LT$34)</f>
        <v>0</v>
      </c>
      <c r="LU37" s="1">
        <f>AVERAGE(LU$3:LU$34)</f>
        <v>0</v>
      </c>
      <c r="LV37" s="1">
        <f>AVERAGE(LV$3:LV$34)</f>
        <v>0</v>
      </c>
      <c r="LW37" s="1">
        <f>AVERAGE(LW$3:LW$34)</f>
        <v>0</v>
      </c>
      <c r="LX37" s="1">
        <f>AVERAGE(LX$3:LX$34)</f>
        <v>0</v>
      </c>
      <c r="LY37" s="1">
        <f>AVERAGE(LY$3:LY$34)</f>
        <v>0</v>
      </c>
      <c r="LZ37" s="1">
        <f>AVERAGE(LZ$3:LZ$34)</f>
        <v>0</v>
      </c>
      <c r="MA37" s="1">
        <f>AVERAGE(MA$3:MA$34)</f>
        <v>0</v>
      </c>
      <c r="MB37" s="1">
        <f>AVERAGE(MB$3:MB$34)</f>
        <v>0</v>
      </c>
    </row>
    <row r="38" spans="1:340">
      <c r="A38" s="1" t="s">
        <v>34</v>
      </c>
      <c r="B38" s="1">
        <f>STDEV(B$3:B$34)</f>
        <v>0</v>
      </c>
      <c r="C38" s="1">
        <f>STDEV(C$3:C$34)</f>
        <v>0</v>
      </c>
      <c r="D38" s="1">
        <f>STDEV(D$3:D$34)</f>
        <v>0</v>
      </c>
      <c r="E38" s="1">
        <f>STDEV(E$3:E$34)</f>
        <v>0</v>
      </c>
      <c r="F38" s="1">
        <f>STDEV(F$3:F$34)</f>
        <v>0</v>
      </c>
      <c r="G38" s="1">
        <f>STDEV(G$3:G$34)</f>
        <v>0</v>
      </c>
      <c r="H38" s="1">
        <f>STDEV(H$3:H$34)</f>
        <v>0</v>
      </c>
      <c r="I38" s="1">
        <f>STDEV(I$3:I$34)</f>
        <v>0</v>
      </c>
      <c r="J38" s="1">
        <f>STDEV(J$3:J$34)</f>
        <v>0</v>
      </c>
      <c r="K38" s="1">
        <f>STDEV(K$3:K$34)</f>
        <v>0</v>
      </c>
      <c r="L38" s="1">
        <f>STDEV(L$3:L$34)</f>
        <v>0</v>
      </c>
      <c r="M38" s="1">
        <f>STDEV(M$3:M$34)</f>
        <v>0</v>
      </c>
      <c r="N38" s="1">
        <f>STDEV(N$3:N$34)</f>
        <v>0</v>
      </c>
      <c r="O38" s="1">
        <f>STDEV(O$3:O$34)</f>
        <v>0</v>
      </c>
      <c r="P38" s="1"/>
      <c r="Q38" s="1">
        <f>STDEV(Q$3:Q$34)</f>
        <v>0</v>
      </c>
      <c r="R38" s="1">
        <f>STDEV(R$3:R$34)</f>
        <v>0</v>
      </c>
      <c r="S38" s="1">
        <f>STDEV(S$3:S$34)</f>
        <v>0</v>
      </c>
      <c r="T38" s="1">
        <f>STDEV(T$3:T$34)</f>
        <v>0</v>
      </c>
      <c r="U38" s="1">
        <f>STDEV(U$3:U$34)</f>
        <v>0</v>
      </c>
      <c r="V38" s="1">
        <f>STDEV(V$3:V$34)</f>
        <v>0</v>
      </c>
      <c r="W38" s="1">
        <f>STDEV(W$3:W$34)</f>
        <v>0</v>
      </c>
      <c r="X38" s="1">
        <f>STDEV(X$3:X$34)</f>
        <v>0</v>
      </c>
      <c r="Y38" s="1">
        <f>STDEV(Y$3:Y$34)</f>
        <v>0</v>
      </c>
      <c r="Z38" s="1">
        <f>STDEV(Z$3:Z$34)</f>
        <v>0</v>
      </c>
      <c r="AA38" s="1">
        <f>STDEV(AA$3:AA$34)</f>
        <v>0</v>
      </c>
      <c r="AB38" s="1">
        <f>STDEV(AB$3:AB$34)</f>
        <v>0</v>
      </c>
      <c r="AC38" s="1">
        <f>STDEV(AC$3:AC$34)</f>
        <v>0</v>
      </c>
      <c r="AD38" s="1">
        <f>STDEV(AD$3:AD$34)</f>
        <v>0</v>
      </c>
      <c r="AE38" s="1">
        <f>STDEV(AE$3:AE$34)</f>
        <v>0</v>
      </c>
      <c r="AF38" s="1">
        <f>STDEV(AF$3:AF$34)</f>
        <v>0</v>
      </c>
      <c r="AG38" s="1">
        <f>STDEV(AG$3:AG$34)</f>
        <v>0</v>
      </c>
      <c r="AH38" s="1"/>
      <c r="AI38" s="1">
        <f>STDEV(AI$3:AI$34)</f>
        <v>0</v>
      </c>
      <c r="AJ38" s="1">
        <f>STDEV(AJ$3:AJ$34)</f>
        <v>0</v>
      </c>
      <c r="AK38" s="1">
        <f>STDEV(AK$3:AK$34)</f>
        <v>0</v>
      </c>
      <c r="AL38" s="1">
        <f>STDEV(AL$3:AL$34)</f>
        <v>0</v>
      </c>
      <c r="AM38" s="1">
        <f>STDEV(AM$3:AM$34)</f>
        <v>0</v>
      </c>
      <c r="AN38" s="1">
        <f>STDEV(AN$3:AN$34)</f>
        <v>0</v>
      </c>
      <c r="AO38" s="1">
        <f>STDEV(AO$3:AO$34)</f>
        <v>0</v>
      </c>
      <c r="AP38" s="1">
        <f>STDEV(AP$3:AP$34)</f>
        <v>0</v>
      </c>
      <c r="AQ38" s="1">
        <f>STDEV(AQ$3:AQ$34)</f>
        <v>0</v>
      </c>
      <c r="AR38" s="1">
        <f>STDEV(AR$3:AR$34)</f>
        <v>0</v>
      </c>
      <c r="AS38" s="1">
        <f>STDEV(AS$3:AS$34)</f>
        <v>0</v>
      </c>
      <c r="AT38" s="1">
        <f>STDEV(AT$3:AT$34)</f>
        <v>0</v>
      </c>
      <c r="AU38" s="1">
        <f>STDEV(AU$3:AU$34)</f>
        <v>0</v>
      </c>
      <c r="AV38" s="1">
        <f>STDEV(AV$3:AV$34)</f>
        <v>0</v>
      </c>
      <c r="AW38" s="1">
        <f>STDEV(AW$3:AW$34)</f>
        <v>0</v>
      </c>
      <c r="AX38" s="1">
        <f>STDEV(AX$3:AX$34)</f>
        <v>0</v>
      </c>
      <c r="AY38" s="1">
        <f>STDEV(AY$3:AY$34)</f>
        <v>0</v>
      </c>
      <c r="AZ38" s="1"/>
      <c r="BA38" s="1">
        <f>STDEV(BA$3:BA$34)</f>
        <v>0</v>
      </c>
      <c r="BB38" s="1">
        <f>STDEV(BB$3:BB$34)</f>
        <v>0</v>
      </c>
      <c r="BC38" s="1">
        <f>STDEV(BC$3:BC$34)</f>
        <v>0</v>
      </c>
      <c r="BD38" s="1">
        <f>STDEV(BD$3:BD$34)</f>
        <v>0</v>
      </c>
      <c r="BE38" s="1">
        <f>STDEV(BE$3:BE$34)</f>
        <v>0</v>
      </c>
      <c r="BF38" s="1">
        <f>STDEV(BF$3:BF$34)</f>
        <v>0</v>
      </c>
      <c r="BG38" s="1">
        <f>STDEV(BG$3:BG$34)</f>
        <v>0</v>
      </c>
      <c r="BH38" s="1">
        <f>STDEV(BH$3:BH$34)</f>
        <v>0</v>
      </c>
      <c r="BI38" s="1">
        <f>STDEV(BI$3:BI$34)</f>
        <v>0</v>
      </c>
      <c r="BJ38" s="1">
        <f>STDEV(BJ$3:BJ$34)</f>
        <v>0</v>
      </c>
      <c r="BK38" s="1">
        <f>STDEV(BK$3:BK$34)</f>
        <v>0</v>
      </c>
      <c r="BL38" s="1">
        <f>STDEV(BL$3:BL$34)</f>
        <v>0</v>
      </c>
      <c r="BM38" s="1">
        <f>STDEV(BM$3:BM$34)</f>
        <v>0</v>
      </c>
      <c r="BN38" s="1">
        <f>STDEV(BN$3:BN$34)</f>
        <v>0</v>
      </c>
      <c r="BO38" s="1">
        <f>STDEV(BO$3:BO$34)</f>
        <v>0</v>
      </c>
      <c r="BP38" s="1">
        <f>STDEV(BP$3:BP$34)</f>
        <v>0</v>
      </c>
      <c r="BQ38" s="1">
        <f>STDEV(BQ$3:BQ$34)</f>
        <v>0</v>
      </c>
      <c r="BR38" s="1"/>
      <c r="BS38" s="1">
        <f>STDEV(BS$3:BS$34)</f>
        <v>0</v>
      </c>
      <c r="BT38" s="1">
        <f>STDEV(BT$3:BT$34)</f>
        <v>0</v>
      </c>
      <c r="BU38" s="1">
        <f>STDEV(BU$3:BU$34)</f>
        <v>0</v>
      </c>
      <c r="BV38" s="1">
        <f>STDEV(BV$3:BV$34)</f>
        <v>0</v>
      </c>
      <c r="BW38" s="1">
        <f>STDEV(BW$3:BW$34)</f>
        <v>0</v>
      </c>
      <c r="BX38" s="1">
        <f>STDEV(BX$3:BX$34)</f>
        <v>0</v>
      </c>
      <c r="BY38" s="1">
        <f>STDEV(BY$3:BY$34)</f>
        <v>0</v>
      </c>
      <c r="BZ38" s="1">
        <f>STDEV(BZ$3:BZ$34)</f>
        <v>0</v>
      </c>
      <c r="CA38" s="1">
        <f>STDEV(CA$3:CA$34)</f>
        <v>0</v>
      </c>
      <c r="CB38" s="1">
        <f>STDEV(CB$3:CB$34)</f>
        <v>0</v>
      </c>
      <c r="CC38" s="1">
        <f>STDEV(CC$3:CC$34)</f>
        <v>0</v>
      </c>
      <c r="CD38" s="1">
        <f>STDEV(CD$3:CD$34)</f>
        <v>0</v>
      </c>
      <c r="CE38" s="1">
        <f>STDEV(CE$3:CE$34)</f>
        <v>0</v>
      </c>
      <c r="CF38" s="1">
        <f>STDEV(CF$3:CF$34)</f>
        <v>0</v>
      </c>
      <c r="CG38" s="1">
        <f>STDEV(CG$3:CG$34)</f>
        <v>0</v>
      </c>
      <c r="CH38" s="1">
        <f>STDEV(CH$3:CH$34)</f>
        <v>0</v>
      </c>
      <c r="CI38" s="1">
        <f>STDEV(CI$3:CI$34)</f>
        <v>0</v>
      </c>
      <c r="CJ38" s="1"/>
      <c r="CK38" s="1">
        <f>STDEV(CK$3:CK$34)</f>
        <v>0</v>
      </c>
      <c r="CL38" s="1">
        <f>STDEV(CL$3:CL$34)</f>
        <v>0</v>
      </c>
      <c r="CM38" s="1">
        <f>STDEV(CM$3:CM$34)</f>
        <v>0</v>
      </c>
      <c r="CN38" s="1">
        <f>STDEV(CN$3:CN$34)</f>
        <v>0</v>
      </c>
      <c r="CO38" s="1">
        <f>STDEV(CO$3:CO$34)</f>
        <v>0</v>
      </c>
      <c r="CP38" s="1">
        <f>STDEV(CP$3:CP$34)</f>
        <v>0</v>
      </c>
      <c r="CQ38" s="1">
        <f>STDEV(CQ$3:CQ$34)</f>
        <v>0</v>
      </c>
      <c r="CR38" s="1">
        <f>STDEV(CR$3:CR$34)</f>
        <v>0</v>
      </c>
      <c r="CS38" s="1">
        <f>STDEV(CS$3:CS$34)</f>
        <v>0</v>
      </c>
      <c r="CT38" s="1">
        <f>STDEV(CT$3:CT$34)</f>
        <v>0</v>
      </c>
      <c r="CU38" s="1">
        <f>STDEV(CU$3:CU$34)</f>
        <v>0</v>
      </c>
      <c r="CV38" s="1">
        <f>STDEV(CV$3:CV$34)</f>
        <v>0</v>
      </c>
      <c r="CW38" s="1">
        <f>STDEV(CW$3:CW$34)</f>
        <v>0</v>
      </c>
      <c r="CX38" s="1">
        <f>STDEV(CX$3:CX$34)</f>
        <v>0</v>
      </c>
      <c r="CY38" s="1">
        <f>STDEV(CY$3:CY$34)</f>
        <v>0</v>
      </c>
      <c r="CZ38" s="1">
        <f>STDEV(CZ$3:CZ$34)</f>
        <v>0</v>
      </c>
      <c r="DA38" s="1">
        <f>STDEV(DA$3:DA$34)</f>
        <v>0</v>
      </c>
      <c r="DB38" s="1"/>
      <c r="DC38" s="1">
        <f>STDEV(DC$3:DC$34)</f>
        <v>0</v>
      </c>
      <c r="DD38" s="1">
        <f>STDEV(DD$3:DD$34)</f>
        <v>0</v>
      </c>
      <c r="DE38" s="1">
        <f>STDEV(DE$3:DE$34)</f>
        <v>0</v>
      </c>
      <c r="DF38" s="1">
        <f>STDEV(DF$3:DF$34)</f>
        <v>0</v>
      </c>
      <c r="DG38" s="1">
        <f>STDEV(DG$3:DG$34)</f>
        <v>0</v>
      </c>
      <c r="DH38" s="1">
        <f>STDEV(DH$3:DH$34)</f>
        <v>0</v>
      </c>
      <c r="DI38" s="1">
        <f>STDEV(DI$3:DI$34)</f>
        <v>0</v>
      </c>
      <c r="DJ38" s="1">
        <f>STDEV(DJ$3:DJ$34)</f>
        <v>0</v>
      </c>
      <c r="DK38" s="1">
        <f>STDEV(DK$3:DK$34)</f>
        <v>0</v>
      </c>
      <c r="DL38" s="1">
        <f>STDEV(DL$3:DL$34)</f>
        <v>0</v>
      </c>
      <c r="DM38" s="1">
        <f>STDEV(DM$3:DM$34)</f>
        <v>0</v>
      </c>
      <c r="DN38" s="1">
        <f>STDEV(DN$3:DN$34)</f>
        <v>0</v>
      </c>
      <c r="DO38" s="1">
        <f>STDEV(DO$3:DO$34)</f>
        <v>0</v>
      </c>
      <c r="DP38" s="1">
        <f>STDEV(DP$3:DP$34)</f>
        <v>0</v>
      </c>
      <c r="DQ38" s="1">
        <f>STDEV(DQ$3:DQ$34)</f>
        <v>0</v>
      </c>
      <c r="DR38" s="1">
        <f>STDEV(DR$3:DR$34)</f>
        <v>0</v>
      </c>
      <c r="DS38" s="1">
        <f>STDEV(DS$3:DS$34)</f>
        <v>0</v>
      </c>
      <c r="DT38" s="1"/>
      <c r="DU38" s="1">
        <f>STDEV(DU$3:DU$34)</f>
        <v>0</v>
      </c>
      <c r="DV38" s="1">
        <f>STDEV(DV$3:DV$34)</f>
        <v>0</v>
      </c>
      <c r="DW38" s="1">
        <f>STDEV(DW$3:DW$34)</f>
        <v>0</v>
      </c>
      <c r="DX38" s="1">
        <f>STDEV(DX$3:DX$34)</f>
        <v>0</v>
      </c>
      <c r="DY38" s="1">
        <f>STDEV(DY$3:DY$34)</f>
        <v>0</v>
      </c>
      <c r="DZ38" s="1">
        <f>STDEV(DZ$3:DZ$34)</f>
        <v>0</v>
      </c>
      <c r="EA38" s="1">
        <f>STDEV(EA$3:EA$34)</f>
        <v>0</v>
      </c>
      <c r="EB38" s="1">
        <f>STDEV(EB$3:EB$34)</f>
        <v>0</v>
      </c>
      <c r="EC38" s="1">
        <f>STDEV(EC$3:EC$34)</f>
        <v>0</v>
      </c>
      <c r="ED38" s="1">
        <f>STDEV(ED$3:ED$34)</f>
        <v>0</v>
      </c>
      <c r="EE38" s="1">
        <f>STDEV(EE$3:EE$34)</f>
        <v>0</v>
      </c>
      <c r="EF38" s="1">
        <f>STDEV(EF$3:EF$34)</f>
        <v>0</v>
      </c>
      <c r="EG38" s="1">
        <f>STDEV(EG$3:EG$34)</f>
        <v>0</v>
      </c>
      <c r="EH38" s="1">
        <f>STDEV(EH$3:EH$34)</f>
        <v>0</v>
      </c>
      <c r="EI38" s="1">
        <f>STDEV(EI$3:EI$34)</f>
        <v>0</v>
      </c>
      <c r="EJ38" s="1">
        <f>STDEV(EJ$3:EJ$34)</f>
        <v>0</v>
      </c>
      <c r="EK38" s="1">
        <f>STDEV(EK$3:EK$34)</f>
        <v>0</v>
      </c>
      <c r="EL38" s="1"/>
      <c r="EM38" s="1">
        <f>STDEV(EM$3:EM$34)</f>
        <v>0</v>
      </c>
      <c r="EN38" s="1">
        <f>STDEV(EN$3:EN$34)</f>
        <v>0</v>
      </c>
      <c r="EO38" s="1">
        <f>STDEV(EO$3:EO$34)</f>
        <v>0</v>
      </c>
      <c r="EP38" s="1">
        <f>STDEV(EP$3:EP$34)</f>
        <v>0</v>
      </c>
      <c r="EQ38" s="1">
        <f>STDEV(EQ$3:EQ$34)</f>
        <v>0</v>
      </c>
      <c r="ER38" s="1">
        <f>STDEV(ER$3:ER$34)</f>
        <v>0</v>
      </c>
      <c r="ES38" s="1">
        <f>STDEV(ES$3:ES$34)</f>
        <v>0</v>
      </c>
      <c r="ET38" s="1">
        <f>STDEV(ET$3:ET$34)</f>
        <v>0</v>
      </c>
      <c r="EU38" s="1">
        <f>STDEV(EU$3:EU$34)</f>
        <v>0</v>
      </c>
      <c r="EV38" s="1">
        <f>STDEV(EV$3:EV$34)</f>
        <v>0</v>
      </c>
      <c r="EW38" s="1">
        <f>STDEV(EW$3:EW$34)</f>
        <v>0</v>
      </c>
      <c r="EX38" s="1">
        <f>STDEV(EX$3:EX$34)</f>
        <v>0</v>
      </c>
      <c r="EY38" s="1">
        <f>STDEV(EY$3:EY$34)</f>
        <v>0</v>
      </c>
      <c r="EZ38" s="1">
        <f>STDEV(EZ$3:EZ$34)</f>
        <v>0</v>
      </c>
      <c r="FA38" s="1">
        <f>STDEV(FA$3:FA$34)</f>
        <v>0</v>
      </c>
      <c r="FB38" s="1">
        <f>STDEV(FB$3:FB$34)</f>
        <v>0</v>
      </c>
      <c r="FC38" s="1">
        <f>STDEV(FC$3:FC$34)</f>
        <v>0</v>
      </c>
      <c r="FD38" s="1"/>
      <c r="FE38" s="1">
        <f>STDEV(FE$3:FE$34)</f>
        <v>0</v>
      </c>
      <c r="FF38" s="1">
        <f>STDEV(FF$3:FF$34)</f>
        <v>0</v>
      </c>
      <c r="FG38" s="1">
        <f>STDEV(FG$3:FG$34)</f>
        <v>0</v>
      </c>
      <c r="FH38" s="1">
        <f>STDEV(FH$3:FH$34)</f>
        <v>0</v>
      </c>
      <c r="FI38" s="1">
        <f>STDEV(FI$3:FI$34)</f>
        <v>0</v>
      </c>
      <c r="FJ38" s="1">
        <f>STDEV(FJ$3:FJ$34)</f>
        <v>0</v>
      </c>
      <c r="FK38" s="1">
        <f>STDEV(FK$3:FK$34)</f>
        <v>0</v>
      </c>
      <c r="FL38" s="1">
        <f>STDEV(FL$3:FL$34)</f>
        <v>0</v>
      </c>
      <c r="FM38" s="1">
        <f>STDEV(FM$3:FM$34)</f>
        <v>0</v>
      </c>
      <c r="FN38" s="1">
        <f>STDEV(FN$3:FN$34)</f>
        <v>0</v>
      </c>
      <c r="FO38" s="1">
        <f>STDEV(FO$3:FO$34)</f>
        <v>0</v>
      </c>
      <c r="FP38" s="1">
        <f>STDEV(FP$3:FP$34)</f>
        <v>0</v>
      </c>
      <c r="FQ38" s="1">
        <f>STDEV(FQ$3:FQ$34)</f>
        <v>0</v>
      </c>
      <c r="FR38" s="1">
        <f>STDEV(FR$3:FR$34)</f>
        <v>0</v>
      </c>
      <c r="FS38" s="1">
        <f>STDEV(FS$3:FS$34)</f>
        <v>0</v>
      </c>
      <c r="FT38" s="1">
        <f>STDEV(FT$3:FT$34)</f>
        <v>0</v>
      </c>
      <c r="FU38" s="1">
        <f>STDEV(FU$3:FU$34)</f>
        <v>0</v>
      </c>
      <c r="FV38" s="1"/>
      <c r="FW38" s="1">
        <f>STDEV(FW$3:FW$34)</f>
        <v>0</v>
      </c>
      <c r="FX38" s="1">
        <f>STDEV(FX$3:FX$34)</f>
        <v>0</v>
      </c>
      <c r="FY38" s="1">
        <f>STDEV(FY$3:FY$34)</f>
        <v>0</v>
      </c>
      <c r="FZ38" s="1">
        <f>STDEV(FZ$3:FZ$34)</f>
        <v>0</v>
      </c>
      <c r="GA38" s="1">
        <f>STDEV(GA$3:GA$34)</f>
        <v>0</v>
      </c>
      <c r="GB38" s="1">
        <f>STDEV(GB$3:GB$34)</f>
        <v>0</v>
      </c>
      <c r="GC38" s="1">
        <f>STDEV(GC$3:GC$34)</f>
        <v>0</v>
      </c>
      <c r="GD38" s="1">
        <f>STDEV(GD$3:GD$34)</f>
        <v>0</v>
      </c>
      <c r="GE38" s="1">
        <f>STDEV(GE$3:GE$34)</f>
        <v>0</v>
      </c>
      <c r="GF38" s="1">
        <f>STDEV(GF$3:GF$34)</f>
        <v>0</v>
      </c>
      <c r="GG38" s="1">
        <f>STDEV(GG$3:GG$34)</f>
        <v>0</v>
      </c>
      <c r="GH38" s="1">
        <f>STDEV(GH$3:GH$34)</f>
        <v>0</v>
      </c>
      <c r="GI38" s="1">
        <f>STDEV(GI$3:GI$34)</f>
        <v>0</v>
      </c>
      <c r="GJ38" s="1">
        <f>STDEV(GJ$3:GJ$34)</f>
        <v>0</v>
      </c>
      <c r="GK38" s="1">
        <f>STDEV(GK$3:GK$34)</f>
        <v>0</v>
      </c>
      <c r="GL38" s="1">
        <f>STDEV(GL$3:GL$34)</f>
        <v>0</v>
      </c>
      <c r="GM38" s="1">
        <f>STDEV(GM$3:GM$34)</f>
        <v>0</v>
      </c>
      <c r="GN38" s="1"/>
      <c r="GO38" s="1">
        <f>STDEV(GO$3:GO$34)</f>
        <v>0</v>
      </c>
      <c r="GP38" s="1">
        <f>STDEV(GP$3:GP$34)</f>
        <v>0</v>
      </c>
      <c r="GQ38" s="1">
        <f>STDEV(GQ$3:GQ$34)</f>
        <v>0</v>
      </c>
      <c r="GR38" s="1">
        <f>STDEV(GR$3:GR$34)</f>
        <v>0</v>
      </c>
      <c r="GS38" s="1">
        <f>STDEV(GS$3:GS$34)</f>
        <v>0</v>
      </c>
      <c r="GT38" s="1">
        <f>STDEV(GT$3:GT$34)</f>
        <v>0</v>
      </c>
      <c r="GU38" s="1">
        <f>STDEV(GU$3:GU$34)</f>
        <v>0</v>
      </c>
      <c r="GV38" s="1">
        <f>STDEV(GV$3:GV$34)</f>
        <v>0</v>
      </c>
      <c r="GW38" s="1">
        <f>STDEV(GW$3:GW$34)</f>
        <v>0</v>
      </c>
      <c r="GX38" s="1">
        <f>STDEV(GX$3:GX$34)</f>
        <v>0</v>
      </c>
      <c r="GY38" s="1">
        <f>STDEV(GY$3:GY$34)</f>
        <v>0</v>
      </c>
      <c r="GZ38" s="1">
        <f>STDEV(GZ$3:GZ$34)</f>
        <v>0</v>
      </c>
      <c r="HA38" s="1">
        <f>STDEV(HA$3:HA$34)</f>
        <v>0</v>
      </c>
      <c r="HB38" s="1">
        <f>STDEV(HB$3:HB$34)</f>
        <v>0</v>
      </c>
      <c r="HC38" s="1">
        <f>STDEV(HC$3:HC$34)</f>
        <v>0</v>
      </c>
      <c r="HD38" s="1">
        <f>STDEV(HD$3:HD$34)</f>
        <v>0</v>
      </c>
      <c r="HE38" s="1">
        <f>STDEV(HE$3:HE$34)</f>
        <v>0</v>
      </c>
      <c r="HF38" s="1"/>
      <c r="HG38" s="1">
        <f>STDEV(HG$3:HG$34)</f>
        <v>0</v>
      </c>
      <c r="HH38" s="1">
        <f>STDEV(HH$3:HH$34)</f>
        <v>0</v>
      </c>
      <c r="HI38" s="1">
        <f>STDEV(HI$3:HI$34)</f>
        <v>0</v>
      </c>
      <c r="HJ38" s="1">
        <f>STDEV(HJ$3:HJ$34)</f>
        <v>0</v>
      </c>
      <c r="HK38" s="1">
        <f>STDEV(HK$3:HK$34)</f>
        <v>0</v>
      </c>
      <c r="HL38" s="1">
        <f>STDEV(HL$3:HL$34)</f>
        <v>0</v>
      </c>
      <c r="HM38" s="1">
        <f>STDEV(HM$3:HM$34)</f>
        <v>0</v>
      </c>
      <c r="HN38" s="1">
        <f>STDEV(HN$3:HN$34)</f>
        <v>0</v>
      </c>
      <c r="HO38" s="1">
        <f>STDEV(HO$3:HO$34)</f>
        <v>0</v>
      </c>
      <c r="HP38" s="1">
        <f>STDEV(HP$3:HP$34)</f>
        <v>0</v>
      </c>
      <c r="HQ38" s="1">
        <f>STDEV(HQ$3:HQ$34)</f>
        <v>0</v>
      </c>
      <c r="HR38" s="1">
        <f>STDEV(HR$3:HR$34)</f>
        <v>0</v>
      </c>
      <c r="HS38" s="1">
        <f>STDEV(HS$3:HS$34)</f>
        <v>0</v>
      </c>
      <c r="HT38" s="1">
        <f>STDEV(HT$3:HT$34)</f>
        <v>0</v>
      </c>
      <c r="HU38" s="1">
        <f>STDEV(HU$3:HU$34)</f>
        <v>0</v>
      </c>
      <c r="HV38" s="1">
        <f>STDEV(HV$3:HV$34)</f>
        <v>0</v>
      </c>
      <c r="HW38" s="1">
        <f>STDEV(HW$3:HW$34)</f>
        <v>0</v>
      </c>
      <c r="HX38" s="1"/>
      <c r="HY38" s="1">
        <f>STDEV(HY$3:HY$34)</f>
        <v>0</v>
      </c>
      <c r="HZ38" s="1">
        <f>STDEV(HZ$3:HZ$34)</f>
        <v>0</v>
      </c>
      <c r="IA38" s="1">
        <f>STDEV(IA$3:IA$34)</f>
        <v>0</v>
      </c>
      <c r="IB38" s="1">
        <f>STDEV(IB$3:IB$34)</f>
        <v>0</v>
      </c>
      <c r="IC38" s="1">
        <f>STDEV(IC$3:IC$34)</f>
        <v>0</v>
      </c>
      <c r="ID38" s="1">
        <f>STDEV(ID$3:ID$34)</f>
        <v>0</v>
      </c>
      <c r="IE38" s="1">
        <f>STDEV(IE$3:IE$34)</f>
        <v>0</v>
      </c>
      <c r="IF38" s="1">
        <f>STDEV(IF$3:IF$34)</f>
        <v>0</v>
      </c>
      <c r="IG38" s="1">
        <f>STDEV(IG$3:IG$34)</f>
        <v>0</v>
      </c>
      <c r="IH38" s="1">
        <f>STDEV(IH$3:IH$34)</f>
        <v>0</v>
      </c>
      <c r="II38" s="1">
        <f>STDEV(II$3:II$34)</f>
        <v>0</v>
      </c>
      <c r="IJ38" s="1">
        <f>STDEV(IJ$3:IJ$34)</f>
        <v>0</v>
      </c>
      <c r="IK38" s="1">
        <f>STDEV(IK$3:IK$34)</f>
        <v>0</v>
      </c>
      <c r="IL38" s="1">
        <f>STDEV(IL$3:IL$34)</f>
        <v>0</v>
      </c>
      <c r="IM38" s="1">
        <f>STDEV(IM$3:IM$34)</f>
        <v>0</v>
      </c>
      <c r="IN38" s="1">
        <f>STDEV(IN$3:IN$34)</f>
        <v>0</v>
      </c>
      <c r="IO38" s="1">
        <f>STDEV(IO$3:IO$34)</f>
        <v>0</v>
      </c>
      <c r="IP38" s="1"/>
      <c r="IQ38" s="1">
        <f>STDEV(IQ$3:IQ$34)</f>
        <v>0</v>
      </c>
      <c r="IR38" s="1">
        <f>STDEV(IR$3:IR$34)</f>
        <v>0</v>
      </c>
      <c r="IS38" s="1">
        <f>STDEV(IS$3:IS$34)</f>
        <v>0</v>
      </c>
      <c r="IT38" s="1">
        <f>STDEV(IT$3:IT$34)</f>
        <v>0</v>
      </c>
      <c r="IU38" s="1">
        <f>STDEV(IU$3:IU$34)</f>
        <v>0</v>
      </c>
      <c r="IV38" s="1">
        <f>STDEV(IV$3:IV$34)</f>
        <v>0</v>
      </c>
      <c r="IW38" s="1">
        <f>STDEV(IW$3:IW$34)</f>
        <v>0</v>
      </c>
      <c r="IX38" s="1">
        <f>STDEV(IX$3:IX$34)</f>
        <v>0</v>
      </c>
      <c r="IY38" s="1">
        <f>STDEV(IY$3:IY$34)</f>
        <v>0</v>
      </c>
      <c r="IZ38" s="1">
        <f>STDEV(IZ$3:IZ$34)</f>
        <v>0</v>
      </c>
      <c r="JA38" s="1">
        <f>STDEV(JA$3:JA$34)</f>
        <v>0</v>
      </c>
      <c r="JB38" s="1">
        <f>STDEV(JB$3:JB$34)</f>
        <v>0</v>
      </c>
      <c r="JC38" s="1">
        <f>STDEV(JC$3:JC$34)</f>
        <v>0</v>
      </c>
      <c r="JD38" s="1">
        <f>STDEV(JD$3:JD$34)</f>
        <v>0</v>
      </c>
      <c r="JE38" s="1">
        <f>STDEV(JE$3:JE$34)</f>
        <v>0</v>
      </c>
      <c r="JF38" s="1">
        <f>STDEV(JF$3:JF$34)</f>
        <v>0</v>
      </c>
      <c r="JG38" s="1">
        <f>STDEV(JG$3:JG$34)</f>
        <v>0</v>
      </c>
      <c r="JH38" s="1"/>
      <c r="JI38" s="1">
        <f>STDEV(JI$3:JI$34)</f>
        <v>0</v>
      </c>
      <c r="JJ38" s="1">
        <f>STDEV(JJ$3:JJ$34)</f>
        <v>0</v>
      </c>
      <c r="JK38" s="1">
        <f>STDEV(JK$3:JK$34)</f>
        <v>0</v>
      </c>
      <c r="JL38" s="1">
        <f>STDEV(JL$3:JL$34)</f>
        <v>0</v>
      </c>
      <c r="JM38" s="1">
        <f>STDEV(JM$3:JM$34)</f>
        <v>0</v>
      </c>
      <c r="JN38" s="1">
        <f>STDEV(JN$3:JN$34)</f>
        <v>0</v>
      </c>
      <c r="JO38" s="1">
        <f>STDEV(JO$3:JO$34)</f>
        <v>0</v>
      </c>
      <c r="JP38" s="1">
        <f>STDEV(JP$3:JP$34)</f>
        <v>0</v>
      </c>
      <c r="JQ38" s="1">
        <f>STDEV(JQ$3:JQ$34)</f>
        <v>0</v>
      </c>
      <c r="JR38" s="1">
        <f>STDEV(JR$3:JR$34)</f>
        <v>0</v>
      </c>
      <c r="JS38" s="1">
        <f>STDEV(JS$3:JS$34)</f>
        <v>0</v>
      </c>
      <c r="JT38" s="1">
        <f>STDEV(JT$3:JT$34)</f>
        <v>0</v>
      </c>
      <c r="JU38" s="1">
        <f>STDEV(JU$3:JU$34)</f>
        <v>0</v>
      </c>
      <c r="JV38" s="1">
        <f>STDEV(JV$3:JV$34)</f>
        <v>0</v>
      </c>
      <c r="JW38" s="1">
        <f>STDEV(JW$3:JW$34)</f>
        <v>0</v>
      </c>
      <c r="JX38" s="1">
        <f>STDEV(JX$3:JX$34)</f>
        <v>0</v>
      </c>
      <c r="JY38" s="1">
        <f>STDEV(JY$3:JY$34)</f>
        <v>0</v>
      </c>
      <c r="JZ38" s="1"/>
      <c r="KA38" s="1">
        <f>STDEV(KA$3:KA$34)</f>
        <v>0</v>
      </c>
      <c r="KB38" s="1">
        <f>STDEV(KB$3:KB$34)</f>
        <v>0</v>
      </c>
      <c r="KC38" s="1">
        <f>STDEV(KC$3:KC$34)</f>
        <v>0</v>
      </c>
      <c r="KD38" s="1">
        <f>STDEV(KD$3:KD$34)</f>
        <v>0</v>
      </c>
      <c r="KE38" s="1">
        <f>STDEV(KE$3:KE$34)</f>
        <v>0</v>
      </c>
      <c r="KF38" s="1">
        <f>STDEV(KF$3:KF$34)</f>
        <v>0</v>
      </c>
      <c r="KG38" s="1">
        <f>STDEV(KG$3:KG$34)</f>
        <v>0</v>
      </c>
      <c r="KH38" s="1">
        <f>STDEV(KH$3:KH$34)</f>
        <v>0</v>
      </c>
      <c r="KI38" s="1">
        <f>STDEV(KI$3:KI$34)</f>
        <v>0</v>
      </c>
      <c r="KJ38" s="1">
        <f>STDEV(KJ$3:KJ$34)</f>
        <v>0</v>
      </c>
      <c r="KK38" s="1">
        <f>STDEV(KK$3:KK$34)</f>
        <v>0</v>
      </c>
      <c r="KL38" s="1">
        <f>STDEV(KL$3:KL$34)</f>
        <v>0</v>
      </c>
      <c r="KM38" s="1">
        <f>STDEV(KM$3:KM$34)</f>
        <v>0</v>
      </c>
      <c r="KN38" s="1">
        <f>STDEV(KN$3:KN$34)</f>
        <v>0</v>
      </c>
      <c r="KO38" s="1">
        <f>STDEV(KO$3:KO$34)</f>
        <v>0</v>
      </c>
      <c r="KP38" s="1">
        <f>STDEV(KP$3:KP$34)</f>
        <v>0</v>
      </c>
      <c r="KQ38" s="1">
        <f>STDEV(KQ$3:KQ$34)</f>
        <v>0</v>
      </c>
      <c r="KR38" s="1">
        <f>STDEV(KR$3:KR$34)</f>
        <v>0</v>
      </c>
      <c r="KS38" s="1">
        <f>STDEV(KS$3:KS$34)</f>
        <v>0</v>
      </c>
      <c r="KT38" s="1">
        <f>STDEV(KT$3:KT$34)</f>
        <v>0</v>
      </c>
      <c r="KU38" s="1">
        <f>STDEV(KU$3:KU$34)</f>
        <v>0</v>
      </c>
      <c r="KV38" s="1">
        <f>STDEV(KV$3:KV$34)</f>
        <v>0</v>
      </c>
      <c r="KW38" s="1">
        <f>STDEV(KW$3:KW$34)</f>
        <v>0</v>
      </c>
      <c r="KX38" s="1">
        <f>STDEV(KX$3:KX$34)</f>
        <v>0</v>
      </c>
      <c r="KY38" s="1">
        <f>STDEV(KY$3:KY$34)</f>
        <v>0</v>
      </c>
      <c r="KZ38" s="1">
        <f>STDEV(KZ$3:KZ$34)</f>
        <v>0</v>
      </c>
      <c r="LA38" s="1">
        <f>STDEV(LA$3:LA$34)</f>
        <v>0</v>
      </c>
      <c r="LB38" s="1">
        <f>STDEV(LB$3:LB$34)</f>
        <v>0</v>
      </c>
      <c r="LC38" s="1">
        <f>STDEV(LC$3:LC$34)</f>
        <v>0</v>
      </c>
      <c r="LD38" s="1">
        <f>STDEV(LD$3:LD$34)</f>
        <v>0</v>
      </c>
      <c r="LE38" s="1">
        <f>STDEV(LE$3:LE$34)</f>
        <v>0</v>
      </c>
      <c r="LF38" s="1">
        <f>STDEV(LF$3:LF$34)</f>
        <v>0</v>
      </c>
      <c r="LG38" s="1">
        <f>STDEV(LG$3:LG$34)</f>
        <v>0</v>
      </c>
      <c r="LH38" s="1">
        <f>STDEV(LH$3:LH$34)</f>
        <v>0</v>
      </c>
      <c r="LI38" s="1">
        <f>STDEV(LI$3:LI$34)</f>
        <v>0</v>
      </c>
      <c r="LJ38" s="1">
        <f>STDEV(LJ$3:LJ$34)</f>
        <v>0</v>
      </c>
      <c r="LK38" s="1">
        <f>STDEV(LK$3:LK$34)</f>
        <v>0</v>
      </c>
      <c r="LL38" s="1">
        <f>STDEV(LL$3:LL$34)</f>
        <v>0</v>
      </c>
      <c r="LM38" s="1">
        <f>STDEV(LM$3:LM$34)</f>
        <v>0</v>
      </c>
      <c r="LN38" s="1">
        <f>STDEV(LN$3:LN$34)</f>
        <v>0</v>
      </c>
      <c r="LO38" s="1">
        <f>STDEV(LO$3:LO$34)</f>
        <v>0</v>
      </c>
      <c r="LP38" s="1">
        <f>STDEV(LP$3:LP$34)</f>
        <v>0</v>
      </c>
      <c r="LQ38" s="1">
        <f>STDEV(LQ$3:LQ$34)</f>
        <v>0</v>
      </c>
      <c r="LR38" s="1">
        <f>STDEV(LR$3:LR$34)</f>
        <v>0</v>
      </c>
      <c r="LS38" s="1">
        <f>STDEV(LS$3:LS$34)</f>
        <v>0</v>
      </c>
      <c r="LT38" s="1">
        <f>STDEV(LT$3:LT$34)</f>
        <v>0</v>
      </c>
      <c r="LU38" s="1">
        <f>STDEV(LU$3:LU$34)</f>
        <v>0</v>
      </c>
      <c r="LV38" s="1">
        <f>STDEV(LV$3:LV$34)</f>
        <v>0</v>
      </c>
      <c r="LW38" s="1">
        <f>STDEV(LW$3:LW$34)</f>
        <v>0</v>
      </c>
      <c r="LX38" s="1">
        <f>STDEV(LX$3:LX$34)</f>
        <v>0</v>
      </c>
      <c r="LY38" s="1">
        <f>STDEV(LY$3:LY$34)</f>
        <v>0</v>
      </c>
      <c r="LZ38" s="1">
        <f>STDEV(LZ$3:LZ$34)</f>
        <v>0</v>
      </c>
      <c r="MA38" s="1">
        <f>STDEV(MA$3:MA$34)</f>
        <v>0</v>
      </c>
      <c r="MB38" s="1">
        <f>STDEV(MB$3:MB$34)</f>
        <v>0</v>
      </c>
    </row>
    <row r="39" spans="1:340">
      <c r="A39" s="1" t="s">
        <v>35</v>
      </c>
      <c r="B39" s="1">
        <f>SUMPRODUCT(--(B$3:B$34-$KD$3:$KD$34)^2)^0.5</f>
        <v>0</v>
      </c>
      <c r="C39" s="1">
        <f>SUMPRODUCT(--(C$3:C$34-$KE$3:$KE$34)^2)^0.5</f>
        <v>0</v>
      </c>
      <c r="D39" s="1">
        <f>SUMPRODUCT(--(D$3:D$34-$KF$3:$KF$34)^2)^0.5</f>
        <v>0</v>
      </c>
      <c r="E39" s="1">
        <f>SUMPRODUCT(--(E$3:E$34-$KG$3:$KG$34)^2)^0.5</f>
        <v>0</v>
      </c>
      <c r="F39" s="1">
        <f>SUMPRODUCT(--(F$3:F$34-$KH$3:$KH$34)^2)^0.5</f>
        <v>0</v>
      </c>
      <c r="G39" s="1">
        <f>SUMPRODUCT(--(G$3:G$34-$KI$3:$KI$34)^2)^0.5</f>
        <v>0</v>
      </c>
      <c r="H39" s="1">
        <f>SUMPRODUCT(--(H$3:H$34-$KJ$3:$KJ$34)^2)^0.5</f>
        <v>0</v>
      </c>
      <c r="I39" s="1">
        <f>SUMPRODUCT(--(I$3:I$34-$KK$3:$KK$34)^2)^0.5</f>
        <v>0</v>
      </c>
      <c r="J39" s="1">
        <f>SUMPRODUCT(--(J$3:J$34-$KL$3:$KL$34)^2)^0.5</f>
        <v>0</v>
      </c>
      <c r="K39" s="1">
        <f>SUMPRODUCT(--(K$3:K$34-$KM$3:$KM$34)^2)^0.5</f>
        <v>0</v>
      </c>
      <c r="L39" s="1">
        <f>SUMPRODUCT(--(L$3:L$34-$KN$3:$KN$34)^2)^0.5</f>
        <v>0</v>
      </c>
      <c r="M39" s="1">
        <f>SUMPRODUCT(--(M$3:M$34-$KO$3:$KO$34)^2)^0.5</f>
        <v>0</v>
      </c>
      <c r="N39" s="1">
        <f>SUMPRODUCT(--(N$3:N$34-$KP$3:$KP$34)^2)^0.5</f>
        <v>0</v>
      </c>
      <c r="O39" s="1">
        <f>SUMPRODUCT(--(O$3:O$34-$KQ$3:$KQ$34)^2)^0.5</f>
        <v>0</v>
      </c>
      <c r="P39" s="1"/>
      <c r="Q39" s="1">
        <f>SUMPRODUCT(--(Q$3:Q$34-$KR$3:$KR$34)^2)^0.5</f>
        <v>0</v>
      </c>
      <c r="R39" s="1">
        <f>SUMPRODUCT(--(R$3:R$34-$KS$3:$KS$34)^2)^0.5</f>
        <v>0</v>
      </c>
      <c r="S39" s="1">
        <f>SUMPRODUCT(--(S$3:S$34-$KT$3:$KT$34)^2)^0.5</f>
        <v>0</v>
      </c>
      <c r="T39" s="1">
        <f>SUMPRODUCT(--(T$3:T$34-$KD$3:$KD$34)^2)^0.5</f>
        <v>0</v>
      </c>
      <c r="U39" s="1">
        <f>SUMPRODUCT(--(U$3:U$34-$KE$3:$KE$34)^2)^0.5</f>
        <v>0</v>
      </c>
      <c r="V39" s="1">
        <f>SUMPRODUCT(--(V$3:V$34-$KF$3:$KF$34)^2)^0.5</f>
        <v>0</v>
      </c>
      <c r="W39" s="1">
        <f>SUMPRODUCT(--(W$3:W$34-$KG$3:$KG$34)^2)^0.5</f>
        <v>0</v>
      </c>
      <c r="X39" s="1">
        <f>SUMPRODUCT(--(X$3:X$34-$KH$3:$KH$34)^2)^0.5</f>
        <v>0</v>
      </c>
      <c r="Y39" s="1">
        <f>SUMPRODUCT(--(Y$3:Y$34-$KI$3:$KI$34)^2)^0.5</f>
        <v>0</v>
      </c>
      <c r="Z39" s="1">
        <f>SUMPRODUCT(--(Z$3:Z$34-$KJ$3:$KJ$34)^2)^0.5</f>
        <v>0</v>
      </c>
      <c r="AA39" s="1">
        <f>SUMPRODUCT(--(AA$3:AA$34-$KK$3:$KK$34)^2)^0.5</f>
        <v>0</v>
      </c>
      <c r="AB39" s="1">
        <f>SUMPRODUCT(--(AB$3:AB$34-$KL$3:$KL$34)^2)^0.5</f>
        <v>0</v>
      </c>
      <c r="AC39" s="1">
        <f>SUMPRODUCT(--(AC$3:AC$34-$KM$3:$KM$34)^2)^0.5</f>
        <v>0</v>
      </c>
      <c r="AD39" s="1">
        <f>SUMPRODUCT(--(AD$3:AD$34-$KN$3:$KN$34)^2)^0.5</f>
        <v>0</v>
      </c>
      <c r="AE39" s="1">
        <f>SUMPRODUCT(--(AE$3:AE$34-$KO$3:$KO$34)^2)^0.5</f>
        <v>0</v>
      </c>
      <c r="AF39" s="1">
        <f>SUMPRODUCT(--(AF$3:AF$34-$KP$3:$KP$34)^2)^0.5</f>
        <v>0</v>
      </c>
      <c r="AG39" s="1">
        <f>SUMPRODUCT(--(AG$3:AG$34-$KQ$3:$KQ$34)^2)^0.5</f>
        <v>0</v>
      </c>
      <c r="AH39" s="1"/>
      <c r="AI39" s="1">
        <f>SUMPRODUCT(--(AI$3:AI$34-$KR$3:$KR$34)^2)^0.5</f>
        <v>0</v>
      </c>
      <c r="AJ39" s="1">
        <f>SUMPRODUCT(--(AJ$3:AJ$34-$KS$3:$KS$34)^2)^0.5</f>
        <v>0</v>
      </c>
      <c r="AK39" s="1">
        <f>SUMPRODUCT(--(AK$3:AK$34-$KT$3:$KT$34)^2)^0.5</f>
        <v>0</v>
      </c>
      <c r="AL39" s="1">
        <f>SUMPRODUCT(--(AL$3:AL$34-$KD$3:$KD$34)^2)^0.5</f>
        <v>0</v>
      </c>
      <c r="AM39" s="1">
        <f>SUMPRODUCT(--(AM$3:AM$34-$KE$3:$KE$34)^2)^0.5</f>
        <v>0</v>
      </c>
      <c r="AN39" s="1">
        <f>SUMPRODUCT(--(AN$3:AN$34-$KF$3:$KF$34)^2)^0.5</f>
        <v>0</v>
      </c>
      <c r="AO39" s="1">
        <f>SUMPRODUCT(--(AO$3:AO$34-$KG$3:$KG$34)^2)^0.5</f>
        <v>0</v>
      </c>
      <c r="AP39" s="1">
        <f>SUMPRODUCT(--(AP$3:AP$34-$KH$3:$KH$34)^2)^0.5</f>
        <v>0</v>
      </c>
      <c r="AQ39" s="1">
        <f>SUMPRODUCT(--(AQ$3:AQ$34-$KI$3:$KI$34)^2)^0.5</f>
        <v>0</v>
      </c>
      <c r="AR39" s="1">
        <f>SUMPRODUCT(--(AR$3:AR$34-$KJ$3:$KJ$34)^2)^0.5</f>
        <v>0</v>
      </c>
      <c r="AS39" s="1">
        <f>SUMPRODUCT(--(AS$3:AS$34-$KK$3:$KK$34)^2)^0.5</f>
        <v>0</v>
      </c>
      <c r="AT39" s="1">
        <f>SUMPRODUCT(--(AT$3:AT$34-$KL$3:$KL$34)^2)^0.5</f>
        <v>0</v>
      </c>
      <c r="AU39" s="1">
        <f>SUMPRODUCT(--(AU$3:AU$34-$KM$3:$KM$34)^2)^0.5</f>
        <v>0</v>
      </c>
      <c r="AV39" s="1">
        <f>SUMPRODUCT(--(AV$3:AV$34-$KN$3:$KN$34)^2)^0.5</f>
        <v>0</v>
      </c>
      <c r="AW39" s="1">
        <f>SUMPRODUCT(--(AW$3:AW$34-$KO$3:$KO$34)^2)^0.5</f>
        <v>0</v>
      </c>
      <c r="AX39" s="1">
        <f>SUMPRODUCT(--(AX$3:AX$34-$KP$3:$KP$34)^2)^0.5</f>
        <v>0</v>
      </c>
      <c r="AY39" s="1">
        <f>SUMPRODUCT(--(AY$3:AY$34-$KQ$3:$KQ$34)^2)^0.5</f>
        <v>0</v>
      </c>
      <c r="AZ39" s="1"/>
      <c r="BA39" s="1">
        <f>SUMPRODUCT(--(BA$3:BA$34-$KR$3:$KR$34)^2)^0.5</f>
        <v>0</v>
      </c>
      <c r="BB39" s="1">
        <f>SUMPRODUCT(--(BB$3:BB$34-$KS$3:$KS$34)^2)^0.5</f>
        <v>0</v>
      </c>
      <c r="BC39" s="1">
        <f>SUMPRODUCT(--(BC$3:BC$34-$KT$3:$KT$34)^2)^0.5</f>
        <v>0</v>
      </c>
      <c r="BD39" s="1">
        <f>SUMPRODUCT(--(BD$3:BD$34-$KD$3:$KD$34)^2)^0.5</f>
        <v>0</v>
      </c>
      <c r="BE39" s="1">
        <f>SUMPRODUCT(--(BE$3:BE$34-$KE$3:$KE$34)^2)^0.5</f>
        <v>0</v>
      </c>
      <c r="BF39" s="1">
        <f>SUMPRODUCT(--(BF$3:BF$34-$KF$3:$KF$34)^2)^0.5</f>
        <v>0</v>
      </c>
      <c r="BG39" s="1">
        <f>SUMPRODUCT(--(BG$3:BG$34-$KG$3:$KG$34)^2)^0.5</f>
        <v>0</v>
      </c>
      <c r="BH39" s="1">
        <f>SUMPRODUCT(--(BH$3:BH$34-$KH$3:$KH$34)^2)^0.5</f>
        <v>0</v>
      </c>
      <c r="BI39" s="1">
        <f>SUMPRODUCT(--(BI$3:BI$34-$KI$3:$KI$34)^2)^0.5</f>
        <v>0</v>
      </c>
      <c r="BJ39" s="1">
        <f>SUMPRODUCT(--(BJ$3:BJ$34-$KJ$3:$KJ$34)^2)^0.5</f>
        <v>0</v>
      </c>
      <c r="BK39" s="1">
        <f>SUMPRODUCT(--(BK$3:BK$34-$KK$3:$KK$34)^2)^0.5</f>
        <v>0</v>
      </c>
      <c r="BL39" s="1">
        <f>SUMPRODUCT(--(BL$3:BL$34-$KL$3:$KL$34)^2)^0.5</f>
        <v>0</v>
      </c>
      <c r="BM39" s="1">
        <f>SUMPRODUCT(--(BM$3:BM$34-$KM$3:$KM$34)^2)^0.5</f>
        <v>0</v>
      </c>
      <c r="BN39" s="1">
        <f>SUMPRODUCT(--(BN$3:BN$34-$KN$3:$KN$34)^2)^0.5</f>
        <v>0</v>
      </c>
      <c r="BO39" s="1">
        <f>SUMPRODUCT(--(BO$3:BO$34-$KO$3:$KO$34)^2)^0.5</f>
        <v>0</v>
      </c>
      <c r="BP39" s="1">
        <f>SUMPRODUCT(--(BP$3:BP$34-$KP$3:$KP$34)^2)^0.5</f>
        <v>0</v>
      </c>
      <c r="BQ39" s="1">
        <f>SUMPRODUCT(--(BQ$3:BQ$34-$KQ$3:$KQ$34)^2)^0.5</f>
        <v>0</v>
      </c>
      <c r="BR39" s="1"/>
      <c r="BS39" s="1">
        <f>SUMPRODUCT(--(BS$3:BS$34-$KR$3:$KR$34)^2)^0.5</f>
        <v>0</v>
      </c>
      <c r="BT39" s="1">
        <f>SUMPRODUCT(--(BT$3:BT$34-$KS$3:$KS$34)^2)^0.5</f>
        <v>0</v>
      </c>
      <c r="BU39" s="1">
        <f>SUMPRODUCT(--(BU$3:BU$34-$KT$3:$KT$34)^2)^0.5</f>
        <v>0</v>
      </c>
      <c r="BV39" s="1">
        <f>SUMPRODUCT(--(BV$3:BV$34-$KD$3:$KD$34)^2)^0.5</f>
        <v>0</v>
      </c>
      <c r="BW39" s="1">
        <f>SUMPRODUCT(--(BW$3:BW$34-$KE$3:$KE$34)^2)^0.5</f>
        <v>0</v>
      </c>
      <c r="BX39" s="1">
        <f>SUMPRODUCT(--(BX$3:BX$34-$KF$3:$KF$34)^2)^0.5</f>
        <v>0</v>
      </c>
      <c r="BY39" s="1">
        <f>SUMPRODUCT(--(BY$3:BY$34-$KG$3:$KG$34)^2)^0.5</f>
        <v>0</v>
      </c>
      <c r="BZ39" s="1">
        <f>SUMPRODUCT(--(BZ$3:BZ$34-$KH$3:$KH$34)^2)^0.5</f>
        <v>0</v>
      </c>
      <c r="CA39" s="1">
        <f>SUMPRODUCT(--(CA$3:CA$34-$KI$3:$KI$34)^2)^0.5</f>
        <v>0</v>
      </c>
      <c r="CB39" s="1">
        <f>SUMPRODUCT(--(CB$3:CB$34-$KJ$3:$KJ$34)^2)^0.5</f>
        <v>0</v>
      </c>
      <c r="CC39" s="1">
        <f>SUMPRODUCT(--(CC$3:CC$34-$KK$3:$KK$34)^2)^0.5</f>
        <v>0</v>
      </c>
      <c r="CD39" s="1">
        <f>SUMPRODUCT(--(CD$3:CD$34-$KL$3:$KL$34)^2)^0.5</f>
        <v>0</v>
      </c>
      <c r="CE39" s="1">
        <f>SUMPRODUCT(--(CE$3:CE$34-$KM$3:$KM$34)^2)^0.5</f>
        <v>0</v>
      </c>
      <c r="CF39" s="1">
        <f>SUMPRODUCT(--(CF$3:CF$34-$KN$3:$KN$34)^2)^0.5</f>
        <v>0</v>
      </c>
      <c r="CG39" s="1">
        <f>SUMPRODUCT(--(CG$3:CG$34-$KO$3:$KO$34)^2)^0.5</f>
        <v>0</v>
      </c>
      <c r="CH39" s="1">
        <f>SUMPRODUCT(--(CH$3:CH$34-$KP$3:$KP$34)^2)^0.5</f>
        <v>0</v>
      </c>
      <c r="CI39" s="1">
        <f>SUMPRODUCT(--(CI$3:CI$34-$KQ$3:$KQ$34)^2)^0.5</f>
        <v>0</v>
      </c>
      <c r="CJ39" s="1"/>
      <c r="CK39" s="1">
        <f>SUMPRODUCT(--(CK$3:CK$34-$KR$3:$KR$34)^2)^0.5</f>
        <v>0</v>
      </c>
      <c r="CL39" s="1">
        <f>SUMPRODUCT(--(CL$3:CL$34-$KS$3:$KS$34)^2)^0.5</f>
        <v>0</v>
      </c>
      <c r="CM39" s="1">
        <f>SUMPRODUCT(--(CM$3:CM$34-$KT$3:$KT$34)^2)^0.5</f>
        <v>0</v>
      </c>
      <c r="CN39" s="1">
        <f>SUMPRODUCT(--(CN$3:CN$34-$KD$3:$KD$34)^2)^0.5</f>
        <v>0</v>
      </c>
      <c r="CO39" s="1">
        <f>SUMPRODUCT(--(CO$3:CO$34-$KE$3:$KE$34)^2)^0.5</f>
        <v>0</v>
      </c>
      <c r="CP39" s="1">
        <f>SUMPRODUCT(--(CP$3:CP$34-$KF$3:$KF$34)^2)^0.5</f>
        <v>0</v>
      </c>
      <c r="CQ39" s="1">
        <f>SUMPRODUCT(--(CQ$3:CQ$34-$KG$3:$KG$34)^2)^0.5</f>
        <v>0</v>
      </c>
      <c r="CR39" s="1">
        <f>SUMPRODUCT(--(CR$3:CR$34-$KH$3:$KH$34)^2)^0.5</f>
        <v>0</v>
      </c>
      <c r="CS39" s="1">
        <f>SUMPRODUCT(--(CS$3:CS$34-$KI$3:$KI$34)^2)^0.5</f>
        <v>0</v>
      </c>
      <c r="CT39" s="1">
        <f>SUMPRODUCT(--(CT$3:CT$34-$KJ$3:$KJ$34)^2)^0.5</f>
        <v>0</v>
      </c>
      <c r="CU39" s="1">
        <f>SUMPRODUCT(--(CU$3:CU$34-$KK$3:$KK$34)^2)^0.5</f>
        <v>0</v>
      </c>
      <c r="CV39" s="1">
        <f>SUMPRODUCT(--(CV$3:CV$34-$KL$3:$KL$34)^2)^0.5</f>
        <v>0</v>
      </c>
      <c r="CW39" s="1">
        <f>SUMPRODUCT(--(CW$3:CW$34-$KM$3:$KM$34)^2)^0.5</f>
        <v>0</v>
      </c>
      <c r="CX39" s="1">
        <f>SUMPRODUCT(--(CX$3:CX$34-$KN$3:$KN$34)^2)^0.5</f>
        <v>0</v>
      </c>
      <c r="CY39" s="1">
        <f>SUMPRODUCT(--(CY$3:CY$34-$KO$3:$KO$34)^2)^0.5</f>
        <v>0</v>
      </c>
      <c r="CZ39" s="1">
        <f>SUMPRODUCT(--(CZ$3:CZ$34-$KP$3:$KP$34)^2)^0.5</f>
        <v>0</v>
      </c>
      <c r="DA39" s="1">
        <f>SUMPRODUCT(--(DA$3:DA$34-$KQ$3:$KQ$34)^2)^0.5</f>
        <v>0</v>
      </c>
      <c r="DB39" s="1"/>
      <c r="DC39" s="1">
        <f>SUMPRODUCT(--(DC$3:DC$34-$KR$3:$KR$34)^2)^0.5</f>
        <v>0</v>
      </c>
      <c r="DD39" s="1">
        <f>SUMPRODUCT(--(DD$3:DD$34-$KS$3:$KS$34)^2)^0.5</f>
        <v>0</v>
      </c>
      <c r="DE39" s="1">
        <f>SUMPRODUCT(--(DE$3:DE$34-$KT$3:$KT$34)^2)^0.5</f>
        <v>0</v>
      </c>
      <c r="DF39" s="1">
        <f>SUMPRODUCT(--(DF$3:DF$34-$KD$3:$KD$34)^2)^0.5</f>
        <v>0</v>
      </c>
      <c r="DG39" s="1">
        <f>SUMPRODUCT(--(DG$3:DG$34-$KE$3:$KE$34)^2)^0.5</f>
        <v>0</v>
      </c>
      <c r="DH39" s="1">
        <f>SUMPRODUCT(--(DH$3:DH$34-$KF$3:$KF$34)^2)^0.5</f>
        <v>0</v>
      </c>
      <c r="DI39" s="1">
        <f>SUMPRODUCT(--(DI$3:DI$34-$KG$3:$KG$34)^2)^0.5</f>
        <v>0</v>
      </c>
      <c r="DJ39" s="1">
        <f>SUMPRODUCT(--(DJ$3:DJ$34-$KH$3:$KH$34)^2)^0.5</f>
        <v>0</v>
      </c>
      <c r="DK39" s="1">
        <f>SUMPRODUCT(--(DK$3:DK$34-$KI$3:$KI$34)^2)^0.5</f>
        <v>0</v>
      </c>
      <c r="DL39" s="1">
        <f>SUMPRODUCT(--(DL$3:DL$34-$KJ$3:$KJ$34)^2)^0.5</f>
        <v>0</v>
      </c>
      <c r="DM39" s="1">
        <f>SUMPRODUCT(--(DM$3:DM$34-$KK$3:$KK$34)^2)^0.5</f>
        <v>0</v>
      </c>
      <c r="DN39" s="1">
        <f>SUMPRODUCT(--(DN$3:DN$34-$KL$3:$KL$34)^2)^0.5</f>
        <v>0</v>
      </c>
      <c r="DO39" s="1">
        <f>SUMPRODUCT(--(DO$3:DO$34-$KM$3:$KM$34)^2)^0.5</f>
        <v>0</v>
      </c>
      <c r="DP39" s="1">
        <f>SUMPRODUCT(--(DP$3:DP$34-$KN$3:$KN$34)^2)^0.5</f>
        <v>0</v>
      </c>
      <c r="DQ39" s="1">
        <f>SUMPRODUCT(--(DQ$3:DQ$34-$KO$3:$KO$34)^2)^0.5</f>
        <v>0</v>
      </c>
      <c r="DR39" s="1">
        <f>SUMPRODUCT(--(DR$3:DR$34-$KP$3:$KP$34)^2)^0.5</f>
        <v>0</v>
      </c>
      <c r="DS39" s="1">
        <f>SUMPRODUCT(--(DS$3:DS$34-$KQ$3:$KQ$34)^2)^0.5</f>
        <v>0</v>
      </c>
      <c r="DT39" s="1"/>
      <c r="DU39" s="1">
        <f>SUMPRODUCT(--(DU$3:DU$34-$KR$3:$KR$34)^2)^0.5</f>
        <v>0</v>
      </c>
      <c r="DV39" s="1">
        <f>SUMPRODUCT(--(DV$3:DV$34-$KS$3:$KS$34)^2)^0.5</f>
        <v>0</v>
      </c>
      <c r="DW39" s="1">
        <f>SUMPRODUCT(--(DW$3:DW$34-$KT$3:$KT$34)^2)^0.5</f>
        <v>0</v>
      </c>
      <c r="DX39" s="1">
        <f>SUMPRODUCT(--(DX$3:DX$34-$KD$3:$KD$34)^2)^0.5</f>
        <v>0</v>
      </c>
      <c r="DY39" s="1">
        <f>SUMPRODUCT(--(DY$3:DY$34-$KE$3:$KE$34)^2)^0.5</f>
        <v>0</v>
      </c>
      <c r="DZ39" s="1">
        <f>SUMPRODUCT(--(DZ$3:DZ$34-$KF$3:$KF$34)^2)^0.5</f>
        <v>0</v>
      </c>
      <c r="EA39" s="1">
        <f>SUMPRODUCT(--(EA$3:EA$34-$KG$3:$KG$34)^2)^0.5</f>
        <v>0</v>
      </c>
      <c r="EB39" s="1">
        <f>SUMPRODUCT(--(EB$3:EB$34-$KH$3:$KH$34)^2)^0.5</f>
        <v>0</v>
      </c>
      <c r="EC39" s="1">
        <f>SUMPRODUCT(--(EC$3:EC$34-$KI$3:$KI$34)^2)^0.5</f>
        <v>0</v>
      </c>
      <c r="ED39" s="1">
        <f>SUMPRODUCT(--(ED$3:ED$34-$KJ$3:$KJ$34)^2)^0.5</f>
        <v>0</v>
      </c>
      <c r="EE39" s="1">
        <f>SUMPRODUCT(--(EE$3:EE$34-$KK$3:$KK$34)^2)^0.5</f>
        <v>0</v>
      </c>
      <c r="EF39" s="1">
        <f>SUMPRODUCT(--(EF$3:EF$34-$KL$3:$KL$34)^2)^0.5</f>
        <v>0</v>
      </c>
      <c r="EG39" s="1">
        <f>SUMPRODUCT(--(EG$3:EG$34-$KM$3:$KM$34)^2)^0.5</f>
        <v>0</v>
      </c>
      <c r="EH39" s="1">
        <f>SUMPRODUCT(--(EH$3:EH$34-$KN$3:$KN$34)^2)^0.5</f>
        <v>0</v>
      </c>
      <c r="EI39" s="1">
        <f>SUMPRODUCT(--(EI$3:EI$34-$KO$3:$KO$34)^2)^0.5</f>
        <v>0</v>
      </c>
      <c r="EJ39" s="1">
        <f>SUMPRODUCT(--(EJ$3:EJ$34-$KP$3:$KP$34)^2)^0.5</f>
        <v>0</v>
      </c>
      <c r="EK39" s="1">
        <f>SUMPRODUCT(--(EK$3:EK$34-$KQ$3:$KQ$34)^2)^0.5</f>
        <v>0</v>
      </c>
      <c r="EL39" s="1"/>
      <c r="EM39" s="1">
        <f>SUMPRODUCT(--(EM$3:EM$34-$KR$3:$KR$34)^2)^0.5</f>
        <v>0</v>
      </c>
      <c r="EN39" s="1">
        <f>SUMPRODUCT(--(EN$3:EN$34-$KS$3:$KS$34)^2)^0.5</f>
        <v>0</v>
      </c>
      <c r="EO39" s="1">
        <f>SUMPRODUCT(--(EO$3:EO$34-$KT$3:$KT$34)^2)^0.5</f>
        <v>0</v>
      </c>
      <c r="EP39" s="1">
        <f>SUMPRODUCT(--(EP$3:EP$34-$KD$3:$KD$34)^2)^0.5</f>
        <v>0</v>
      </c>
      <c r="EQ39" s="1">
        <f>SUMPRODUCT(--(EQ$3:EQ$34-$KE$3:$KE$34)^2)^0.5</f>
        <v>0</v>
      </c>
      <c r="ER39" s="1">
        <f>SUMPRODUCT(--(ER$3:ER$34-$KF$3:$KF$34)^2)^0.5</f>
        <v>0</v>
      </c>
      <c r="ES39" s="1">
        <f>SUMPRODUCT(--(ES$3:ES$34-$KG$3:$KG$34)^2)^0.5</f>
        <v>0</v>
      </c>
      <c r="ET39" s="1">
        <f>SUMPRODUCT(--(ET$3:ET$34-$KH$3:$KH$34)^2)^0.5</f>
        <v>0</v>
      </c>
      <c r="EU39" s="1">
        <f>SUMPRODUCT(--(EU$3:EU$34-$KI$3:$KI$34)^2)^0.5</f>
        <v>0</v>
      </c>
      <c r="EV39" s="1">
        <f>SUMPRODUCT(--(EV$3:EV$34-$KJ$3:$KJ$34)^2)^0.5</f>
        <v>0</v>
      </c>
      <c r="EW39" s="1">
        <f>SUMPRODUCT(--(EW$3:EW$34-$KK$3:$KK$34)^2)^0.5</f>
        <v>0</v>
      </c>
      <c r="EX39" s="1">
        <f>SUMPRODUCT(--(EX$3:EX$34-$KL$3:$KL$34)^2)^0.5</f>
        <v>0</v>
      </c>
      <c r="EY39" s="1">
        <f>SUMPRODUCT(--(EY$3:EY$34-$KM$3:$KM$34)^2)^0.5</f>
        <v>0</v>
      </c>
      <c r="EZ39" s="1">
        <f>SUMPRODUCT(--(EZ$3:EZ$34-$KN$3:$KN$34)^2)^0.5</f>
        <v>0</v>
      </c>
      <c r="FA39" s="1">
        <f>SUMPRODUCT(--(FA$3:FA$34-$KO$3:$KO$34)^2)^0.5</f>
        <v>0</v>
      </c>
      <c r="FB39" s="1">
        <f>SUMPRODUCT(--(FB$3:FB$34-$KP$3:$KP$34)^2)^0.5</f>
        <v>0</v>
      </c>
      <c r="FC39" s="1">
        <f>SUMPRODUCT(--(FC$3:FC$34-$KQ$3:$KQ$34)^2)^0.5</f>
        <v>0</v>
      </c>
      <c r="FD39" s="1"/>
      <c r="FE39" s="1">
        <f>SUMPRODUCT(--(FE$3:FE$34-$KR$3:$KR$34)^2)^0.5</f>
        <v>0</v>
      </c>
      <c r="FF39" s="1">
        <f>SUMPRODUCT(--(FF$3:FF$34-$KS$3:$KS$34)^2)^0.5</f>
        <v>0</v>
      </c>
      <c r="FG39" s="1">
        <f>SUMPRODUCT(--(FG$3:FG$34-$KT$3:$KT$34)^2)^0.5</f>
        <v>0</v>
      </c>
      <c r="FH39" s="1">
        <f>SUMPRODUCT(--(FH$3:FH$34-$KD$3:$KD$34)^2)^0.5</f>
        <v>0</v>
      </c>
      <c r="FI39" s="1">
        <f>SUMPRODUCT(--(FI$3:FI$34-$KE$3:$KE$34)^2)^0.5</f>
        <v>0</v>
      </c>
      <c r="FJ39" s="1">
        <f>SUMPRODUCT(--(FJ$3:FJ$34-$KF$3:$KF$34)^2)^0.5</f>
        <v>0</v>
      </c>
      <c r="FK39" s="1">
        <f>SUMPRODUCT(--(FK$3:FK$34-$KG$3:$KG$34)^2)^0.5</f>
        <v>0</v>
      </c>
      <c r="FL39" s="1">
        <f>SUMPRODUCT(--(FL$3:FL$34-$KH$3:$KH$34)^2)^0.5</f>
        <v>0</v>
      </c>
      <c r="FM39" s="1">
        <f>SUMPRODUCT(--(FM$3:FM$34-$KI$3:$KI$34)^2)^0.5</f>
        <v>0</v>
      </c>
      <c r="FN39" s="1">
        <f>SUMPRODUCT(--(FN$3:FN$34-$KJ$3:$KJ$34)^2)^0.5</f>
        <v>0</v>
      </c>
      <c r="FO39" s="1">
        <f>SUMPRODUCT(--(FO$3:FO$34-$KK$3:$KK$34)^2)^0.5</f>
        <v>0</v>
      </c>
      <c r="FP39" s="1">
        <f>SUMPRODUCT(--(FP$3:FP$34-$KL$3:$KL$34)^2)^0.5</f>
        <v>0</v>
      </c>
      <c r="FQ39" s="1">
        <f>SUMPRODUCT(--(FQ$3:FQ$34-$KM$3:$KM$34)^2)^0.5</f>
        <v>0</v>
      </c>
      <c r="FR39" s="1">
        <f>SUMPRODUCT(--(FR$3:FR$34-$KN$3:$KN$34)^2)^0.5</f>
        <v>0</v>
      </c>
      <c r="FS39" s="1">
        <f>SUMPRODUCT(--(FS$3:FS$34-$KO$3:$KO$34)^2)^0.5</f>
        <v>0</v>
      </c>
      <c r="FT39" s="1">
        <f>SUMPRODUCT(--(FT$3:FT$34-$KP$3:$KP$34)^2)^0.5</f>
        <v>0</v>
      </c>
      <c r="FU39" s="1">
        <f>SUMPRODUCT(--(FU$3:FU$34-$KQ$3:$KQ$34)^2)^0.5</f>
        <v>0</v>
      </c>
      <c r="FV39" s="1"/>
      <c r="FW39" s="1">
        <f>SUMPRODUCT(--(FW$3:FW$34-$KR$3:$KR$34)^2)^0.5</f>
        <v>0</v>
      </c>
      <c r="FX39" s="1">
        <f>SUMPRODUCT(--(FX$3:FX$34-$KS$3:$KS$34)^2)^0.5</f>
        <v>0</v>
      </c>
      <c r="FY39" s="1">
        <f>SUMPRODUCT(--(FY$3:FY$34-$KT$3:$KT$34)^2)^0.5</f>
        <v>0</v>
      </c>
      <c r="FZ39" s="1">
        <f>SUMPRODUCT(--(FZ$3:FZ$34-$KD$3:$KD$34)^2)^0.5</f>
        <v>0</v>
      </c>
      <c r="GA39" s="1">
        <f>SUMPRODUCT(--(GA$3:GA$34-$KE$3:$KE$34)^2)^0.5</f>
        <v>0</v>
      </c>
      <c r="GB39" s="1">
        <f>SUMPRODUCT(--(GB$3:GB$34-$KF$3:$KF$34)^2)^0.5</f>
        <v>0</v>
      </c>
      <c r="GC39" s="1">
        <f>SUMPRODUCT(--(GC$3:GC$34-$KG$3:$KG$34)^2)^0.5</f>
        <v>0</v>
      </c>
      <c r="GD39" s="1">
        <f>SUMPRODUCT(--(GD$3:GD$34-$KH$3:$KH$34)^2)^0.5</f>
        <v>0</v>
      </c>
      <c r="GE39" s="1">
        <f>SUMPRODUCT(--(GE$3:GE$34-$KI$3:$KI$34)^2)^0.5</f>
        <v>0</v>
      </c>
      <c r="GF39" s="1">
        <f>SUMPRODUCT(--(GF$3:GF$34-$KJ$3:$KJ$34)^2)^0.5</f>
        <v>0</v>
      </c>
      <c r="GG39" s="1">
        <f>SUMPRODUCT(--(GG$3:GG$34-$KK$3:$KK$34)^2)^0.5</f>
        <v>0</v>
      </c>
      <c r="GH39" s="1">
        <f>SUMPRODUCT(--(GH$3:GH$34-$KL$3:$KL$34)^2)^0.5</f>
        <v>0</v>
      </c>
      <c r="GI39" s="1">
        <f>SUMPRODUCT(--(GI$3:GI$34-$KM$3:$KM$34)^2)^0.5</f>
        <v>0</v>
      </c>
      <c r="GJ39" s="1">
        <f>SUMPRODUCT(--(GJ$3:GJ$34-$KN$3:$KN$34)^2)^0.5</f>
        <v>0</v>
      </c>
      <c r="GK39" s="1">
        <f>SUMPRODUCT(--(GK$3:GK$34-$KO$3:$KO$34)^2)^0.5</f>
        <v>0</v>
      </c>
      <c r="GL39" s="1">
        <f>SUMPRODUCT(--(GL$3:GL$34-$KP$3:$KP$34)^2)^0.5</f>
        <v>0</v>
      </c>
      <c r="GM39" s="1">
        <f>SUMPRODUCT(--(GM$3:GM$34-$KQ$3:$KQ$34)^2)^0.5</f>
        <v>0</v>
      </c>
      <c r="GN39" s="1"/>
      <c r="GO39" s="1">
        <f>SUMPRODUCT(--(GO$3:GO$34-$KR$3:$KR$34)^2)^0.5</f>
        <v>0</v>
      </c>
      <c r="GP39" s="1">
        <f>SUMPRODUCT(--(GP$3:GP$34-$KS$3:$KS$34)^2)^0.5</f>
        <v>0</v>
      </c>
      <c r="GQ39" s="1">
        <f>SUMPRODUCT(--(GQ$3:GQ$34-$KT$3:$KT$34)^2)^0.5</f>
        <v>0</v>
      </c>
      <c r="GR39" s="1">
        <f>SUMPRODUCT(--(GR$3:GR$34-$KD$3:$KD$34)^2)^0.5</f>
        <v>0</v>
      </c>
      <c r="GS39" s="1">
        <f>SUMPRODUCT(--(GS$3:GS$34-$KE$3:$KE$34)^2)^0.5</f>
        <v>0</v>
      </c>
      <c r="GT39" s="1">
        <f>SUMPRODUCT(--(GT$3:GT$34-$KF$3:$KF$34)^2)^0.5</f>
        <v>0</v>
      </c>
      <c r="GU39" s="1">
        <f>SUMPRODUCT(--(GU$3:GU$34-$KG$3:$KG$34)^2)^0.5</f>
        <v>0</v>
      </c>
      <c r="GV39" s="1">
        <f>SUMPRODUCT(--(GV$3:GV$34-$KH$3:$KH$34)^2)^0.5</f>
        <v>0</v>
      </c>
      <c r="GW39" s="1">
        <f>SUMPRODUCT(--(GW$3:GW$34-$KI$3:$KI$34)^2)^0.5</f>
        <v>0</v>
      </c>
      <c r="GX39" s="1">
        <f>SUMPRODUCT(--(GX$3:GX$34-$KJ$3:$KJ$34)^2)^0.5</f>
        <v>0</v>
      </c>
      <c r="GY39" s="1">
        <f>SUMPRODUCT(--(GY$3:GY$34-$KK$3:$KK$34)^2)^0.5</f>
        <v>0</v>
      </c>
      <c r="GZ39" s="1">
        <f>SUMPRODUCT(--(GZ$3:GZ$34-$KL$3:$KL$34)^2)^0.5</f>
        <v>0</v>
      </c>
      <c r="HA39" s="1">
        <f>SUMPRODUCT(--(HA$3:HA$34-$KM$3:$KM$34)^2)^0.5</f>
        <v>0</v>
      </c>
      <c r="HB39" s="1">
        <f>SUMPRODUCT(--(HB$3:HB$34-$KN$3:$KN$34)^2)^0.5</f>
        <v>0</v>
      </c>
      <c r="HC39" s="1">
        <f>SUMPRODUCT(--(HC$3:HC$34-$KO$3:$KO$34)^2)^0.5</f>
        <v>0</v>
      </c>
      <c r="HD39" s="1">
        <f>SUMPRODUCT(--(HD$3:HD$34-$KP$3:$KP$34)^2)^0.5</f>
        <v>0</v>
      </c>
      <c r="HE39" s="1">
        <f>SUMPRODUCT(--(HE$3:HE$34-$KQ$3:$KQ$34)^2)^0.5</f>
        <v>0</v>
      </c>
      <c r="HF39" s="1"/>
      <c r="HG39" s="1">
        <f>SUMPRODUCT(--(HG$3:HG$34-$KR$3:$KR$34)^2)^0.5</f>
        <v>0</v>
      </c>
      <c r="HH39" s="1">
        <f>SUMPRODUCT(--(HH$3:HH$34-$KS$3:$KS$34)^2)^0.5</f>
        <v>0</v>
      </c>
      <c r="HI39" s="1">
        <f>SUMPRODUCT(--(HI$3:HI$34-$KT$3:$KT$34)^2)^0.5</f>
        <v>0</v>
      </c>
      <c r="HJ39" s="1">
        <f>SUMPRODUCT(--(HJ$3:HJ$34-$KD$3:$KD$34)^2)^0.5</f>
        <v>0</v>
      </c>
      <c r="HK39" s="1">
        <f>SUMPRODUCT(--(HK$3:HK$34-$KE$3:$KE$34)^2)^0.5</f>
        <v>0</v>
      </c>
      <c r="HL39" s="1">
        <f>SUMPRODUCT(--(HL$3:HL$34-$KF$3:$KF$34)^2)^0.5</f>
        <v>0</v>
      </c>
      <c r="HM39" s="1">
        <f>SUMPRODUCT(--(HM$3:HM$34-$KG$3:$KG$34)^2)^0.5</f>
        <v>0</v>
      </c>
      <c r="HN39" s="1">
        <f>SUMPRODUCT(--(HN$3:HN$34-$KH$3:$KH$34)^2)^0.5</f>
        <v>0</v>
      </c>
      <c r="HO39" s="1">
        <f>SUMPRODUCT(--(HO$3:HO$34-$KI$3:$KI$34)^2)^0.5</f>
        <v>0</v>
      </c>
      <c r="HP39" s="1">
        <f>SUMPRODUCT(--(HP$3:HP$34-$KJ$3:$KJ$34)^2)^0.5</f>
        <v>0</v>
      </c>
      <c r="HQ39" s="1">
        <f>SUMPRODUCT(--(HQ$3:HQ$34-$KK$3:$KK$34)^2)^0.5</f>
        <v>0</v>
      </c>
      <c r="HR39" s="1">
        <f>SUMPRODUCT(--(HR$3:HR$34-$KL$3:$KL$34)^2)^0.5</f>
        <v>0</v>
      </c>
      <c r="HS39" s="1">
        <f>SUMPRODUCT(--(HS$3:HS$34-$KM$3:$KM$34)^2)^0.5</f>
        <v>0</v>
      </c>
      <c r="HT39" s="1">
        <f>SUMPRODUCT(--(HT$3:HT$34-$KN$3:$KN$34)^2)^0.5</f>
        <v>0</v>
      </c>
      <c r="HU39" s="1">
        <f>SUMPRODUCT(--(HU$3:HU$34-$KO$3:$KO$34)^2)^0.5</f>
        <v>0</v>
      </c>
      <c r="HV39" s="1">
        <f>SUMPRODUCT(--(HV$3:HV$34-$KP$3:$KP$34)^2)^0.5</f>
        <v>0</v>
      </c>
      <c r="HW39" s="1">
        <f>SUMPRODUCT(--(HW$3:HW$34-$KQ$3:$KQ$34)^2)^0.5</f>
        <v>0</v>
      </c>
      <c r="HX39" s="1"/>
      <c r="HY39" s="1">
        <f>SUMPRODUCT(--(HY$3:HY$34-$KR$3:$KR$34)^2)^0.5</f>
        <v>0</v>
      </c>
      <c r="HZ39" s="1">
        <f>SUMPRODUCT(--(HZ$3:HZ$34-$KS$3:$KS$34)^2)^0.5</f>
        <v>0</v>
      </c>
      <c r="IA39" s="1">
        <f>SUMPRODUCT(--(IA$3:IA$34-$KT$3:$KT$34)^2)^0.5</f>
        <v>0</v>
      </c>
      <c r="IB39" s="1">
        <f>SUMPRODUCT(--(IB$3:IB$34-$KD$3:$KD$34)^2)^0.5</f>
        <v>0</v>
      </c>
      <c r="IC39" s="1">
        <f>SUMPRODUCT(--(IC$3:IC$34-$KE$3:$KE$34)^2)^0.5</f>
        <v>0</v>
      </c>
      <c r="ID39" s="1">
        <f>SUMPRODUCT(--(ID$3:ID$34-$KF$3:$KF$34)^2)^0.5</f>
        <v>0</v>
      </c>
      <c r="IE39" s="1">
        <f>SUMPRODUCT(--(IE$3:IE$34-$KG$3:$KG$34)^2)^0.5</f>
        <v>0</v>
      </c>
      <c r="IF39" s="1">
        <f>SUMPRODUCT(--(IF$3:IF$34-$KH$3:$KH$34)^2)^0.5</f>
        <v>0</v>
      </c>
      <c r="IG39" s="1">
        <f>SUMPRODUCT(--(IG$3:IG$34-$KI$3:$KI$34)^2)^0.5</f>
        <v>0</v>
      </c>
      <c r="IH39" s="1">
        <f>SUMPRODUCT(--(IH$3:IH$34-$KJ$3:$KJ$34)^2)^0.5</f>
        <v>0</v>
      </c>
      <c r="II39" s="1">
        <f>SUMPRODUCT(--(II$3:II$34-$KK$3:$KK$34)^2)^0.5</f>
        <v>0</v>
      </c>
      <c r="IJ39" s="1">
        <f>SUMPRODUCT(--(IJ$3:IJ$34-$KL$3:$KL$34)^2)^0.5</f>
        <v>0</v>
      </c>
      <c r="IK39" s="1">
        <f>SUMPRODUCT(--(IK$3:IK$34-$KM$3:$KM$34)^2)^0.5</f>
        <v>0</v>
      </c>
      <c r="IL39" s="1">
        <f>SUMPRODUCT(--(IL$3:IL$34-$KN$3:$KN$34)^2)^0.5</f>
        <v>0</v>
      </c>
      <c r="IM39" s="1">
        <f>SUMPRODUCT(--(IM$3:IM$34-$KO$3:$KO$34)^2)^0.5</f>
        <v>0</v>
      </c>
      <c r="IN39" s="1">
        <f>SUMPRODUCT(--(IN$3:IN$34-$KP$3:$KP$34)^2)^0.5</f>
        <v>0</v>
      </c>
      <c r="IO39" s="1">
        <f>SUMPRODUCT(--(IO$3:IO$34-$KQ$3:$KQ$34)^2)^0.5</f>
        <v>0</v>
      </c>
      <c r="IP39" s="1"/>
      <c r="IQ39" s="1">
        <f>SUMPRODUCT(--(IQ$3:IQ$34-$KR$3:$KR$34)^2)^0.5</f>
        <v>0</v>
      </c>
      <c r="IR39" s="1">
        <f>SUMPRODUCT(--(IR$3:IR$34-$KS$3:$KS$34)^2)^0.5</f>
        <v>0</v>
      </c>
      <c r="IS39" s="1">
        <f>SUMPRODUCT(--(IS$3:IS$34-$KT$3:$KT$34)^2)^0.5</f>
        <v>0</v>
      </c>
      <c r="IT39" s="1">
        <f>SUMPRODUCT(--(IT$3:IT$34-$KD$3:$KD$34)^2)^0.5</f>
        <v>0</v>
      </c>
      <c r="IU39" s="1">
        <f>SUMPRODUCT(--(IU$3:IU$34-$KE$3:$KE$34)^2)^0.5</f>
        <v>0</v>
      </c>
      <c r="IV39" s="1">
        <f>SUMPRODUCT(--(IV$3:IV$34-$KF$3:$KF$34)^2)^0.5</f>
        <v>0</v>
      </c>
      <c r="IW39" s="1">
        <f>SUMPRODUCT(--(IW$3:IW$34-$KG$3:$KG$34)^2)^0.5</f>
        <v>0</v>
      </c>
      <c r="IX39" s="1">
        <f>SUMPRODUCT(--(IX$3:IX$34-$KH$3:$KH$34)^2)^0.5</f>
        <v>0</v>
      </c>
      <c r="IY39" s="1">
        <f>SUMPRODUCT(--(IY$3:IY$34-$KI$3:$KI$34)^2)^0.5</f>
        <v>0</v>
      </c>
      <c r="IZ39" s="1">
        <f>SUMPRODUCT(--(IZ$3:IZ$34-$KJ$3:$KJ$34)^2)^0.5</f>
        <v>0</v>
      </c>
      <c r="JA39" s="1">
        <f>SUMPRODUCT(--(JA$3:JA$34-$KK$3:$KK$34)^2)^0.5</f>
        <v>0</v>
      </c>
      <c r="JB39" s="1">
        <f>SUMPRODUCT(--(JB$3:JB$34-$KL$3:$KL$34)^2)^0.5</f>
        <v>0</v>
      </c>
      <c r="JC39" s="1">
        <f>SUMPRODUCT(--(JC$3:JC$34-$KM$3:$KM$34)^2)^0.5</f>
        <v>0</v>
      </c>
      <c r="JD39" s="1">
        <f>SUMPRODUCT(--(JD$3:JD$34-$KN$3:$KN$34)^2)^0.5</f>
        <v>0</v>
      </c>
      <c r="JE39" s="1">
        <f>SUMPRODUCT(--(JE$3:JE$34-$KO$3:$KO$34)^2)^0.5</f>
        <v>0</v>
      </c>
      <c r="JF39" s="1">
        <f>SUMPRODUCT(--(JF$3:JF$34-$KP$3:$KP$34)^2)^0.5</f>
        <v>0</v>
      </c>
      <c r="JG39" s="1">
        <f>SUMPRODUCT(--(JG$3:JG$34-$KQ$3:$KQ$34)^2)^0.5</f>
        <v>0</v>
      </c>
      <c r="JH39" s="1"/>
      <c r="JI39" s="1">
        <f>SUMPRODUCT(--(JI$3:JI$34-$KR$3:$KR$34)^2)^0.5</f>
        <v>0</v>
      </c>
      <c r="JJ39" s="1">
        <f>SUMPRODUCT(--(JJ$3:JJ$34-$KS$3:$KS$34)^2)^0.5</f>
        <v>0</v>
      </c>
      <c r="JK39" s="1">
        <f>SUMPRODUCT(--(JK$3:JK$34-$KT$3:$KT$34)^2)^0.5</f>
        <v>0</v>
      </c>
      <c r="JL39" s="1">
        <f>SUMPRODUCT(--(JL$3:JL$34-$KD$3:$KD$34)^2)^0.5</f>
        <v>0</v>
      </c>
      <c r="JM39" s="1">
        <f>SUMPRODUCT(--(JM$3:JM$34-$KE$3:$KE$34)^2)^0.5</f>
        <v>0</v>
      </c>
      <c r="JN39" s="1">
        <f>SUMPRODUCT(--(JN$3:JN$34-$KF$3:$KF$34)^2)^0.5</f>
        <v>0</v>
      </c>
      <c r="JO39" s="1">
        <f>SUMPRODUCT(--(JO$3:JO$34-$KG$3:$KG$34)^2)^0.5</f>
        <v>0</v>
      </c>
      <c r="JP39" s="1">
        <f>SUMPRODUCT(--(JP$3:JP$34-$KH$3:$KH$34)^2)^0.5</f>
        <v>0</v>
      </c>
      <c r="JQ39" s="1">
        <f>SUMPRODUCT(--(JQ$3:JQ$34-$KI$3:$KI$34)^2)^0.5</f>
        <v>0</v>
      </c>
      <c r="JR39" s="1">
        <f>SUMPRODUCT(--(JR$3:JR$34-$KJ$3:$KJ$34)^2)^0.5</f>
        <v>0</v>
      </c>
      <c r="JS39" s="1">
        <f>SUMPRODUCT(--(JS$3:JS$34-$KK$3:$KK$34)^2)^0.5</f>
        <v>0</v>
      </c>
      <c r="JT39" s="1">
        <f>SUMPRODUCT(--(JT$3:JT$34-$KL$3:$KL$34)^2)^0.5</f>
        <v>0</v>
      </c>
      <c r="JU39" s="1">
        <f>SUMPRODUCT(--(JU$3:JU$34-$KM$3:$KM$34)^2)^0.5</f>
        <v>0</v>
      </c>
      <c r="JV39" s="1">
        <f>SUMPRODUCT(--(JV$3:JV$34-$KN$3:$KN$34)^2)^0.5</f>
        <v>0</v>
      </c>
      <c r="JW39" s="1">
        <f>SUMPRODUCT(--(JW$3:JW$34-$KO$3:$KO$34)^2)^0.5</f>
        <v>0</v>
      </c>
      <c r="JX39" s="1">
        <f>SUMPRODUCT(--(JX$3:JX$34-$KP$3:$KP$34)^2)^0.5</f>
        <v>0</v>
      </c>
      <c r="JY39" s="1">
        <f>SUMPRODUCT(--(JY$3:JY$34-$KQ$3:$KQ$34)^2)^0.5</f>
        <v>0</v>
      </c>
      <c r="JZ39" s="1"/>
      <c r="KA39" s="1">
        <f>SUMPRODUCT(--(KA$3:KA$34-$KR$3:$KR$34)^2)^0.5</f>
        <v>0</v>
      </c>
      <c r="KB39" s="1">
        <f>SUMPRODUCT(--(KB$3:KB$34-$KS$3:$KS$34)^2)^0.5</f>
        <v>0</v>
      </c>
      <c r="KC39" s="1">
        <f>SUMPRODUCT(--(KC$3:KC$34-$KT$3:$KT$34)^2)^0.5</f>
        <v>0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</row>
    <row r="40" spans="1:340">
      <c r="A40" s="1" t="s">
        <v>36</v>
      </c>
      <c r="B40" s="1">
        <f>SUMPRODUCT(NOT(ISBLANK(B$3:B$34))*(B$3:B$34=$KD$3:$KD$34))</f>
        <v>0</v>
      </c>
      <c r="C40" s="1">
        <f>SUMPRODUCT(NOT(ISBLANK(C$3:C$34))*(C$3:C$34=$KE$3:$KE$34))</f>
        <v>0</v>
      </c>
      <c r="D40" s="1">
        <f>SUMPRODUCT(NOT(ISBLANK(D$3:D$34))*(D$3:D$34=$KF$3:$KF$34))</f>
        <v>0</v>
      </c>
      <c r="E40" s="1">
        <f>SUMPRODUCT(NOT(ISBLANK(E$3:E$34))*(E$3:E$34=$KG$3:$KG$34))</f>
        <v>0</v>
      </c>
      <c r="F40" s="1">
        <f>SUMPRODUCT(NOT(ISBLANK(F$3:F$34))*(F$3:F$34=$KH$3:$KH$34))</f>
        <v>0</v>
      </c>
      <c r="G40" s="1">
        <f>SUMPRODUCT(NOT(ISBLANK(G$3:G$34))*(G$3:G$34=$KI$3:$KI$34))</f>
        <v>0</v>
      </c>
      <c r="H40" s="1">
        <f>SUMPRODUCT(NOT(ISBLANK(H$3:H$34))*(H$3:H$34=$KJ$3:$KJ$34))</f>
        <v>0</v>
      </c>
      <c r="I40" s="1">
        <f>SUMPRODUCT(NOT(ISBLANK(I$3:I$34))*(I$3:I$34=$KK$3:$KK$34))</f>
        <v>0</v>
      </c>
      <c r="J40" s="1">
        <f>SUMPRODUCT(NOT(ISBLANK(J$3:J$34))*(J$3:J$34=$KL$3:$KL$34))</f>
        <v>0</v>
      </c>
      <c r="K40" s="1">
        <f>SUMPRODUCT(NOT(ISBLANK(K$3:K$34))*(K$3:K$34=$KM$3:$KM$34))</f>
        <v>0</v>
      </c>
      <c r="L40" s="1">
        <f>SUMPRODUCT(NOT(ISBLANK(L$3:L$34))*(L$3:L$34=$KN$3:$KN$34))</f>
        <v>0</v>
      </c>
      <c r="M40" s="1">
        <f>SUMPRODUCT(NOT(ISBLANK(M$3:M$34))*(M$3:M$34=$KO$3:$KO$34))</f>
        <v>0</v>
      </c>
      <c r="N40" s="1">
        <f>SUMPRODUCT(NOT(ISBLANK(N$3:N$34))*(N$3:N$34=$KP$3:$KP$34))</f>
        <v>0</v>
      </c>
      <c r="O40" s="1">
        <f>SUMPRODUCT(NOT(ISBLANK(O$3:O$34))*(O$3:O$34=$KQ$3:$KQ$34))</f>
        <v>0</v>
      </c>
      <c r="P40" s="1"/>
      <c r="Q40" s="1">
        <f>SUMPRODUCT(NOT(ISBLANK(Q$3:Q$34))*(Q$3:Q$34=$KR$3:$KR$34))</f>
        <v>0</v>
      </c>
      <c r="R40" s="1">
        <f>SUMPRODUCT(NOT(ISBLANK(R$3:R$34))*(R$3:R$34=$KS$3:$KS$34))</f>
        <v>0</v>
      </c>
      <c r="S40" s="1">
        <f>SUMPRODUCT(NOT(ISBLANK(S$3:S$34))*(S$3:S$34=$KT$3:$KT$34))</f>
        <v>0</v>
      </c>
      <c r="T40" s="1">
        <f>SUMPRODUCT(NOT(ISBLANK(T$3:T$34))*(T$3:T$34=$KD$3:$KD$34))</f>
        <v>0</v>
      </c>
      <c r="U40" s="1">
        <f>SUMPRODUCT(NOT(ISBLANK(U$3:U$34))*(U$3:U$34=$KE$3:$KE$34))</f>
        <v>0</v>
      </c>
      <c r="V40" s="1">
        <f>SUMPRODUCT(NOT(ISBLANK(V$3:V$34))*(V$3:V$34=$KF$3:$KF$34))</f>
        <v>0</v>
      </c>
      <c r="W40" s="1">
        <f>SUMPRODUCT(NOT(ISBLANK(W$3:W$34))*(W$3:W$34=$KG$3:$KG$34))</f>
        <v>0</v>
      </c>
      <c r="X40" s="1">
        <f>SUMPRODUCT(NOT(ISBLANK(X$3:X$34))*(X$3:X$34=$KH$3:$KH$34))</f>
        <v>0</v>
      </c>
      <c r="Y40" s="1">
        <f>SUMPRODUCT(NOT(ISBLANK(Y$3:Y$34))*(Y$3:Y$34=$KI$3:$KI$34))</f>
        <v>0</v>
      </c>
      <c r="Z40" s="1">
        <f>SUMPRODUCT(NOT(ISBLANK(Z$3:Z$34))*(Z$3:Z$34=$KJ$3:$KJ$34))</f>
        <v>0</v>
      </c>
      <c r="AA40" s="1">
        <f>SUMPRODUCT(NOT(ISBLANK(AA$3:AA$34))*(AA$3:AA$34=$KK$3:$KK$34))</f>
        <v>0</v>
      </c>
      <c r="AB40" s="1">
        <f>SUMPRODUCT(NOT(ISBLANK(AB$3:AB$34))*(AB$3:AB$34=$KL$3:$KL$34))</f>
        <v>0</v>
      </c>
      <c r="AC40" s="1">
        <f>SUMPRODUCT(NOT(ISBLANK(AC$3:AC$34))*(AC$3:AC$34=$KM$3:$KM$34))</f>
        <v>0</v>
      </c>
      <c r="AD40" s="1">
        <f>SUMPRODUCT(NOT(ISBLANK(AD$3:AD$34))*(AD$3:AD$34=$KN$3:$KN$34))</f>
        <v>0</v>
      </c>
      <c r="AE40" s="1">
        <f>SUMPRODUCT(NOT(ISBLANK(AE$3:AE$34))*(AE$3:AE$34=$KO$3:$KO$34))</f>
        <v>0</v>
      </c>
      <c r="AF40" s="1">
        <f>SUMPRODUCT(NOT(ISBLANK(AF$3:AF$34))*(AF$3:AF$34=$KP$3:$KP$34))</f>
        <v>0</v>
      </c>
      <c r="AG40" s="1">
        <f>SUMPRODUCT(NOT(ISBLANK(AG$3:AG$34))*(AG$3:AG$34=$KQ$3:$KQ$34))</f>
        <v>0</v>
      </c>
      <c r="AH40" s="1"/>
      <c r="AI40" s="1">
        <f>SUMPRODUCT(NOT(ISBLANK(AI$3:AI$34))*(AI$3:AI$34=$KR$3:$KR$34))</f>
        <v>0</v>
      </c>
      <c r="AJ40" s="1">
        <f>SUMPRODUCT(NOT(ISBLANK(AJ$3:AJ$34))*(AJ$3:AJ$34=$KS$3:$KS$34))</f>
        <v>0</v>
      </c>
      <c r="AK40" s="1">
        <f>SUMPRODUCT(NOT(ISBLANK(AK$3:AK$34))*(AK$3:AK$34=$KT$3:$KT$34))</f>
        <v>0</v>
      </c>
      <c r="AL40" s="1">
        <f>SUMPRODUCT(NOT(ISBLANK(AL$3:AL$34))*(AL$3:AL$34=$KD$3:$KD$34))</f>
        <v>0</v>
      </c>
      <c r="AM40" s="1">
        <f>SUMPRODUCT(NOT(ISBLANK(AM$3:AM$34))*(AM$3:AM$34=$KE$3:$KE$34))</f>
        <v>0</v>
      </c>
      <c r="AN40" s="1">
        <f>SUMPRODUCT(NOT(ISBLANK(AN$3:AN$34))*(AN$3:AN$34=$KF$3:$KF$34))</f>
        <v>0</v>
      </c>
      <c r="AO40" s="1">
        <f>SUMPRODUCT(NOT(ISBLANK(AO$3:AO$34))*(AO$3:AO$34=$KG$3:$KG$34))</f>
        <v>0</v>
      </c>
      <c r="AP40" s="1">
        <f>SUMPRODUCT(NOT(ISBLANK(AP$3:AP$34))*(AP$3:AP$34=$KH$3:$KH$34))</f>
        <v>0</v>
      </c>
      <c r="AQ40" s="1">
        <f>SUMPRODUCT(NOT(ISBLANK(AQ$3:AQ$34))*(AQ$3:AQ$34=$KI$3:$KI$34))</f>
        <v>0</v>
      </c>
      <c r="AR40" s="1">
        <f>SUMPRODUCT(NOT(ISBLANK(AR$3:AR$34))*(AR$3:AR$34=$KJ$3:$KJ$34))</f>
        <v>0</v>
      </c>
      <c r="AS40" s="1">
        <f>SUMPRODUCT(NOT(ISBLANK(AS$3:AS$34))*(AS$3:AS$34=$KK$3:$KK$34))</f>
        <v>0</v>
      </c>
      <c r="AT40" s="1">
        <f>SUMPRODUCT(NOT(ISBLANK(AT$3:AT$34))*(AT$3:AT$34=$KL$3:$KL$34))</f>
        <v>0</v>
      </c>
      <c r="AU40" s="1">
        <f>SUMPRODUCT(NOT(ISBLANK(AU$3:AU$34))*(AU$3:AU$34=$KM$3:$KM$34))</f>
        <v>0</v>
      </c>
      <c r="AV40" s="1">
        <f>SUMPRODUCT(NOT(ISBLANK(AV$3:AV$34))*(AV$3:AV$34=$KN$3:$KN$34))</f>
        <v>0</v>
      </c>
      <c r="AW40" s="1">
        <f>SUMPRODUCT(NOT(ISBLANK(AW$3:AW$34))*(AW$3:AW$34=$KO$3:$KO$34))</f>
        <v>0</v>
      </c>
      <c r="AX40" s="1">
        <f>SUMPRODUCT(NOT(ISBLANK(AX$3:AX$34))*(AX$3:AX$34=$KP$3:$KP$34))</f>
        <v>0</v>
      </c>
      <c r="AY40" s="1">
        <f>SUMPRODUCT(NOT(ISBLANK(AY$3:AY$34))*(AY$3:AY$34=$KQ$3:$KQ$34))</f>
        <v>0</v>
      </c>
      <c r="AZ40" s="1"/>
      <c r="BA40" s="1">
        <f>SUMPRODUCT(NOT(ISBLANK(BA$3:BA$34))*(BA$3:BA$34=$KR$3:$KR$34))</f>
        <v>0</v>
      </c>
      <c r="BB40" s="1">
        <f>SUMPRODUCT(NOT(ISBLANK(BB$3:BB$34))*(BB$3:BB$34=$KS$3:$KS$34))</f>
        <v>0</v>
      </c>
      <c r="BC40" s="1">
        <f>SUMPRODUCT(NOT(ISBLANK(BC$3:BC$34))*(BC$3:BC$34=$KT$3:$KT$34))</f>
        <v>0</v>
      </c>
      <c r="BD40" s="1">
        <f>SUMPRODUCT(NOT(ISBLANK(BD$3:BD$34))*(BD$3:BD$34=$KD$3:$KD$34))</f>
        <v>0</v>
      </c>
      <c r="BE40" s="1">
        <f>SUMPRODUCT(NOT(ISBLANK(BE$3:BE$34))*(BE$3:BE$34=$KE$3:$KE$34))</f>
        <v>0</v>
      </c>
      <c r="BF40" s="1">
        <f>SUMPRODUCT(NOT(ISBLANK(BF$3:BF$34))*(BF$3:BF$34=$KF$3:$KF$34))</f>
        <v>0</v>
      </c>
      <c r="BG40" s="1">
        <f>SUMPRODUCT(NOT(ISBLANK(BG$3:BG$34))*(BG$3:BG$34=$KG$3:$KG$34))</f>
        <v>0</v>
      </c>
      <c r="BH40" s="1">
        <f>SUMPRODUCT(NOT(ISBLANK(BH$3:BH$34))*(BH$3:BH$34=$KH$3:$KH$34))</f>
        <v>0</v>
      </c>
      <c r="BI40" s="1">
        <f>SUMPRODUCT(NOT(ISBLANK(BI$3:BI$34))*(BI$3:BI$34=$KI$3:$KI$34))</f>
        <v>0</v>
      </c>
      <c r="BJ40" s="1">
        <f>SUMPRODUCT(NOT(ISBLANK(BJ$3:BJ$34))*(BJ$3:BJ$34=$KJ$3:$KJ$34))</f>
        <v>0</v>
      </c>
      <c r="BK40" s="1">
        <f>SUMPRODUCT(NOT(ISBLANK(BK$3:BK$34))*(BK$3:BK$34=$KK$3:$KK$34))</f>
        <v>0</v>
      </c>
      <c r="BL40" s="1">
        <f>SUMPRODUCT(NOT(ISBLANK(BL$3:BL$34))*(BL$3:BL$34=$KL$3:$KL$34))</f>
        <v>0</v>
      </c>
      <c r="BM40" s="1">
        <f>SUMPRODUCT(NOT(ISBLANK(BM$3:BM$34))*(BM$3:BM$34=$KM$3:$KM$34))</f>
        <v>0</v>
      </c>
      <c r="BN40" s="1">
        <f>SUMPRODUCT(NOT(ISBLANK(BN$3:BN$34))*(BN$3:BN$34=$KN$3:$KN$34))</f>
        <v>0</v>
      </c>
      <c r="BO40" s="1">
        <f>SUMPRODUCT(NOT(ISBLANK(BO$3:BO$34))*(BO$3:BO$34=$KO$3:$KO$34))</f>
        <v>0</v>
      </c>
      <c r="BP40" s="1">
        <f>SUMPRODUCT(NOT(ISBLANK(BP$3:BP$34))*(BP$3:BP$34=$KP$3:$KP$34))</f>
        <v>0</v>
      </c>
      <c r="BQ40" s="1">
        <f>SUMPRODUCT(NOT(ISBLANK(BQ$3:BQ$34))*(BQ$3:BQ$34=$KQ$3:$KQ$34))</f>
        <v>0</v>
      </c>
      <c r="BR40" s="1"/>
      <c r="BS40" s="1">
        <f>SUMPRODUCT(NOT(ISBLANK(BS$3:BS$34))*(BS$3:BS$34=$KR$3:$KR$34))</f>
        <v>0</v>
      </c>
      <c r="BT40" s="1">
        <f>SUMPRODUCT(NOT(ISBLANK(BT$3:BT$34))*(BT$3:BT$34=$KS$3:$KS$34))</f>
        <v>0</v>
      </c>
      <c r="BU40" s="1">
        <f>SUMPRODUCT(NOT(ISBLANK(BU$3:BU$34))*(BU$3:BU$34=$KT$3:$KT$34))</f>
        <v>0</v>
      </c>
      <c r="BV40" s="1">
        <f>SUMPRODUCT(NOT(ISBLANK(BV$3:BV$34))*(BV$3:BV$34=$KD$3:$KD$34))</f>
        <v>0</v>
      </c>
      <c r="BW40" s="1">
        <f>SUMPRODUCT(NOT(ISBLANK(BW$3:BW$34))*(BW$3:BW$34=$KE$3:$KE$34))</f>
        <v>0</v>
      </c>
      <c r="BX40" s="1">
        <f>SUMPRODUCT(NOT(ISBLANK(BX$3:BX$34))*(BX$3:BX$34=$KF$3:$KF$34))</f>
        <v>0</v>
      </c>
      <c r="BY40" s="1">
        <f>SUMPRODUCT(NOT(ISBLANK(BY$3:BY$34))*(BY$3:BY$34=$KG$3:$KG$34))</f>
        <v>0</v>
      </c>
      <c r="BZ40" s="1">
        <f>SUMPRODUCT(NOT(ISBLANK(BZ$3:BZ$34))*(BZ$3:BZ$34=$KH$3:$KH$34))</f>
        <v>0</v>
      </c>
      <c r="CA40" s="1">
        <f>SUMPRODUCT(NOT(ISBLANK(CA$3:CA$34))*(CA$3:CA$34=$KI$3:$KI$34))</f>
        <v>0</v>
      </c>
      <c r="CB40" s="1">
        <f>SUMPRODUCT(NOT(ISBLANK(CB$3:CB$34))*(CB$3:CB$34=$KJ$3:$KJ$34))</f>
        <v>0</v>
      </c>
      <c r="CC40" s="1">
        <f>SUMPRODUCT(NOT(ISBLANK(CC$3:CC$34))*(CC$3:CC$34=$KK$3:$KK$34))</f>
        <v>0</v>
      </c>
      <c r="CD40" s="1">
        <f>SUMPRODUCT(NOT(ISBLANK(CD$3:CD$34))*(CD$3:CD$34=$KL$3:$KL$34))</f>
        <v>0</v>
      </c>
      <c r="CE40" s="1">
        <f>SUMPRODUCT(NOT(ISBLANK(CE$3:CE$34))*(CE$3:CE$34=$KM$3:$KM$34))</f>
        <v>0</v>
      </c>
      <c r="CF40" s="1">
        <f>SUMPRODUCT(NOT(ISBLANK(CF$3:CF$34))*(CF$3:CF$34=$KN$3:$KN$34))</f>
        <v>0</v>
      </c>
      <c r="CG40" s="1">
        <f>SUMPRODUCT(NOT(ISBLANK(CG$3:CG$34))*(CG$3:CG$34=$KO$3:$KO$34))</f>
        <v>0</v>
      </c>
      <c r="CH40" s="1">
        <f>SUMPRODUCT(NOT(ISBLANK(CH$3:CH$34))*(CH$3:CH$34=$KP$3:$KP$34))</f>
        <v>0</v>
      </c>
      <c r="CI40" s="1">
        <f>SUMPRODUCT(NOT(ISBLANK(CI$3:CI$34))*(CI$3:CI$34=$KQ$3:$KQ$34))</f>
        <v>0</v>
      </c>
      <c r="CJ40" s="1"/>
      <c r="CK40" s="1">
        <f>SUMPRODUCT(NOT(ISBLANK(CK$3:CK$34))*(CK$3:CK$34=$KR$3:$KR$34))</f>
        <v>0</v>
      </c>
      <c r="CL40" s="1">
        <f>SUMPRODUCT(NOT(ISBLANK(CL$3:CL$34))*(CL$3:CL$34=$KS$3:$KS$34))</f>
        <v>0</v>
      </c>
      <c r="CM40" s="1">
        <f>SUMPRODUCT(NOT(ISBLANK(CM$3:CM$34))*(CM$3:CM$34=$KT$3:$KT$34))</f>
        <v>0</v>
      </c>
      <c r="CN40" s="1">
        <f>SUMPRODUCT(NOT(ISBLANK(CN$3:CN$34))*(CN$3:CN$34=$KD$3:$KD$34))</f>
        <v>0</v>
      </c>
      <c r="CO40" s="1">
        <f>SUMPRODUCT(NOT(ISBLANK(CO$3:CO$34))*(CO$3:CO$34=$KE$3:$KE$34))</f>
        <v>0</v>
      </c>
      <c r="CP40" s="1">
        <f>SUMPRODUCT(NOT(ISBLANK(CP$3:CP$34))*(CP$3:CP$34=$KF$3:$KF$34))</f>
        <v>0</v>
      </c>
      <c r="CQ40" s="1">
        <f>SUMPRODUCT(NOT(ISBLANK(CQ$3:CQ$34))*(CQ$3:CQ$34=$KG$3:$KG$34))</f>
        <v>0</v>
      </c>
      <c r="CR40" s="1">
        <f>SUMPRODUCT(NOT(ISBLANK(CR$3:CR$34))*(CR$3:CR$34=$KH$3:$KH$34))</f>
        <v>0</v>
      </c>
      <c r="CS40" s="1">
        <f>SUMPRODUCT(NOT(ISBLANK(CS$3:CS$34))*(CS$3:CS$34=$KI$3:$KI$34))</f>
        <v>0</v>
      </c>
      <c r="CT40" s="1">
        <f>SUMPRODUCT(NOT(ISBLANK(CT$3:CT$34))*(CT$3:CT$34=$KJ$3:$KJ$34))</f>
        <v>0</v>
      </c>
      <c r="CU40" s="1">
        <f>SUMPRODUCT(NOT(ISBLANK(CU$3:CU$34))*(CU$3:CU$34=$KK$3:$KK$34))</f>
        <v>0</v>
      </c>
      <c r="CV40" s="1">
        <f>SUMPRODUCT(NOT(ISBLANK(CV$3:CV$34))*(CV$3:CV$34=$KL$3:$KL$34))</f>
        <v>0</v>
      </c>
      <c r="CW40" s="1">
        <f>SUMPRODUCT(NOT(ISBLANK(CW$3:CW$34))*(CW$3:CW$34=$KM$3:$KM$34))</f>
        <v>0</v>
      </c>
      <c r="CX40" s="1">
        <f>SUMPRODUCT(NOT(ISBLANK(CX$3:CX$34))*(CX$3:CX$34=$KN$3:$KN$34))</f>
        <v>0</v>
      </c>
      <c r="CY40" s="1">
        <f>SUMPRODUCT(NOT(ISBLANK(CY$3:CY$34))*(CY$3:CY$34=$KO$3:$KO$34))</f>
        <v>0</v>
      </c>
      <c r="CZ40" s="1">
        <f>SUMPRODUCT(NOT(ISBLANK(CZ$3:CZ$34))*(CZ$3:CZ$34=$KP$3:$KP$34))</f>
        <v>0</v>
      </c>
      <c r="DA40" s="1">
        <f>SUMPRODUCT(NOT(ISBLANK(DA$3:DA$34))*(DA$3:DA$34=$KQ$3:$KQ$34))</f>
        <v>0</v>
      </c>
      <c r="DB40" s="1"/>
      <c r="DC40" s="1">
        <f>SUMPRODUCT(NOT(ISBLANK(DC$3:DC$34))*(DC$3:DC$34=$KR$3:$KR$34))</f>
        <v>0</v>
      </c>
      <c r="DD40" s="1">
        <f>SUMPRODUCT(NOT(ISBLANK(DD$3:DD$34))*(DD$3:DD$34=$KS$3:$KS$34))</f>
        <v>0</v>
      </c>
      <c r="DE40" s="1">
        <f>SUMPRODUCT(NOT(ISBLANK(DE$3:DE$34))*(DE$3:DE$34=$KT$3:$KT$34))</f>
        <v>0</v>
      </c>
      <c r="DF40" s="1">
        <f>SUMPRODUCT(NOT(ISBLANK(DF$3:DF$34))*(DF$3:DF$34=$KD$3:$KD$34))</f>
        <v>0</v>
      </c>
      <c r="DG40" s="1">
        <f>SUMPRODUCT(NOT(ISBLANK(DG$3:DG$34))*(DG$3:DG$34=$KE$3:$KE$34))</f>
        <v>0</v>
      </c>
      <c r="DH40" s="1">
        <f>SUMPRODUCT(NOT(ISBLANK(DH$3:DH$34))*(DH$3:DH$34=$KF$3:$KF$34))</f>
        <v>0</v>
      </c>
      <c r="DI40" s="1">
        <f>SUMPRODUCT(NOT(ISBLANK(DI$3:DI$34))*(DI$3:DI$34=$KG$3:$KG$34))</f>
        <v>0</v>
      </c>
      <c r="DJ40" s="1">
        <f>SUMPRODUCT(NOT(ISBLANK(DJ$3:DJ$34))*(DJ$3:DJ$34=$KH$3:$KH$34))</f>
        <v>0</v>
      </c>
      <c r="DK40" s="1">
        <f>SUMPRODUCT(NOT(ISBLANK(DK$3:DK$34))*(DK$3:DK$34=$KI$3:$KI$34))</f>
        <v>0</v>
      </c>
      <c r="DL40" s="1">
        <f>SUMPRODUCT(NOT(ISBLANK(DL$3:DL$34))*(DL$3:DL$34=$KJ$3:$KJ$34))</f>
        <v>0</v>
      </c>
      <c r="DM40" s="1">
        <f>SUMPRODUCT(NOT(ISBLANK(DM$3:DM$34))*(DM$3:DM$34=$KK$3:$KK$34))</f>
        <v>0</v>
      </c>
      <c r="DN40" s="1">
        <f>SUMPRODUCT(NOT(ISBLANK(DN$3:DN$34))*(DN$3:DN$34=$KL$3:$KL$34))</f>
        <v>0</v>
      </c>
      <c r="DO40" s="1">
        <f>SUMPRODUCT(NOT(ISBLANK(DO$3:DO$34))*(DO$3:DO$34=$KM$3:$KM$34))</f>
        <v>0</v>
      </c>
      <c r="DP40" s="1">
        <f>SUMPRODUCT(NOT(ISBLANK(DP$3:DP$34))*(DP$3:DP$34=$KN$3:$KN$34))</f>
        <v>0</v>
      </c>
      <c r="DQ40" s="1">
        <f>SUMPRODUCT(NOT(ISBLANK(DQ$3:DQ$34))*(DQ$3:DQ$34=$KO$3:$KO$34))</f>
        <v>0</v>
      </c>
      <c r="DR40" s="1">
        <f>SUMPRODUCT(NOT(ISBLANK(DR$3:DR$34))*(DR$3:DR$34=$KP$3:$KP$34))</f>
        <v>0</v>
      </c>
      <c r="DS40" s="1">
        <f>SUMPRODUCT(NOT(ISBLANK(DS$3:DS$34))*(DS$3:DS$34=$KQ$3:$KQ$34))</f>
        <v>0</v>
      </c>
      <c r="DT40" s="1"/>
      <c r="DU40" s="1">
        <f>SUMPRODUCT(NOT(ISBLANK(DU$3:DU$34))*(DU$3:DU$34=$KR$3:$KR$34))</f>
        <v>0</v>
      </c>
      <c r="DV40" s="1">
        <f>SUMPRODUCT(NOT(ISBLANK(DV$3:DV$34))*(DV$3:DV$34=$KS$3:$KS$34))</f>
        <v>0</v>
      </c>
      <c r="DW40" s="1">
        <f>SUMPRODUCT(NOT(ISBLANK(DW$3:DW$34))*(DW$3:DW$34=$KT$3:$KT$34))</f>
        <v>0</v>
      </c>
      <c r="DX40" s="1">
        <f>SUMPRODUCT(NOT(ISBLANK(DX$3:DX$34))*(DX$3:DX$34=$KD$3:$KD$34))</f>
        <v>0</v>
      </c>
      <c r="DY40" s="1">
        <f>SUMPRODUCT(NOT(ISBLANK(DY$3:DY$34))*(DY$3:DY$34=$KE$3:$KE$34))</f>
        <v>0</v>
      </c>
      <c r="DZ40" s="1">
        <f>SUMPRODUCT(NOT(ISBLANK(DZ$3:DZ$34))*(DZ$3:DZ$34=$KF$3:$KF$34))</f>
        <v>0</v>
      </c>
      <c r="EA40" s="1">
        <f>SUMPRODUCT(NOT(ISBLANK(EA$3:EA$34))*(EA$3:EA$34=$KG$3:$KG$34))</f>
        <v>0</v>
      </c>
      <c r="EB40" s="1">
        <f>SUMPRODUCT(NOT(ISBLANK(EB$3:EB$34))*(EB$3:EB$34=$KH$3:$KH$34))</f>
        <v>0</v>
      </c>
      <c r="EC40" s="1">
        <f>SUMPRODUCT(NOT(ISBLANK(EC$3:EC$34))*(EC$3:EC$34=$KI$3:$KI$34))</f>
        <v>0</v>
      </c>
      <c r="ED40" s="1">
        <f>SUMPRODUCT(NOT(ISBLANK(ED$3:ED$34))*(ED$3:ED$34=$KJ$3:$KJ$34))</f>
        <v>0</v>
      </c>
      <c r="EE40" s="1">
        <f>SUMPRODUCT(NOT(ISBLANK(EE$3:EE$34))*(EE$3:EE$34=$KK$3:$KK$34))</f>
        <v>0</v>
      </c>
      <c r="EF40" s="1">
        <f>SUMPRODUCT(NOT(ISBLANK(EF$3:EF$34))*(EF$3:EF$34=$KL$3:$KL$34))</f>
        <v>0</v>
      </c>
      <c r="EG40" s="1">
        <f>SUMPRODUCT(NOT(ISBLANK(EG$3:EG$34))*(EG$3:EG$34=$KM$3:$KM$34))</f>
        <v>0</v>
      </c>
      <c r="EH40" s="1">
        <f>SUMPRODUCT(NOT(ISBLANK(EH$3:EH$34))*(EH$3:EH$34=$KN$3:$KN$34))</f>
        <v>0</v>
      </c>
      <c r="EI40" s="1">
        <f>SUMPRODUCT(NOT(ISBLANK(EI$3:EI$34))*(EI$3:EI$34=$KO$3:$KO$34))</f>
        <v>0</v>
      </c>
      <c r="EJ40" s="1">
        <f>SUMPRODUCT(NOT(ISBLANK(EJ$3:EJ$34))*(EJ$3:EJ$34=$KP$3:$KP$34))</f>
        <v>0</v>
      </c>
      <c r="EK40" s="1">
        <f>SUMPRODUCT(NOT(ISBLANK(EK$3:EK$34))*(EK$3:EK$34=$KQ$3:$KQ$34))</f>
        <v>0</v>
      </c>
      <c r="EL40" s="1"/>
      <c r="EM40" s="1">
        <f>SUMPRODUCT(NOT(ISBLANK(EM$3:EM$34))*(EM$3:EM$34=$KR$3:$KR$34))</f>
        <v>0</v>
      </c>
      <c r="EN40" s="1">
        <f>SUMPRODUCT(NOT(ISBLANK(EN$3:EN$34))*(EN$3:EN$34=$KS$3:$KS$34))</f>
        <v>0</v>
      </c>
      <c r="EO40" s="1">
        <f>SUMPRODUCT(NOT(ISBLANK(EO$3:EO$34))*(EO$3:EO$34=$KT$3:$KT$34))</f>
        <v>0</v>
      </c>
      <c r="EP40" s="1">
        <f>SUMPRODUCT(NOT(ISBLANK(EP$3:EP$34))*(EP$3:EP$34=$KD$3:$KD$34))</f>
        <v>0</v>
      </c>
      <c r="EQ40" s="1">
        <f>SUMPRODUCT(NOT(ISBLANK(EQ$3:EQ$34))*(EQ$3:EQ$34=$KE$3:$KE$34))</f>
        <v>0</v>
      </c>
      <c r="ER40" s="1">
        <f>SUMPRODUCT(NOT(ISBLANK(ER$3:ER$34))*(ER$3:ER$34=$KF$3:$KF$34))</f>
        <v>0</v>
      </c>
      <c r="ES40" s="1">
        <f>SUMPRODUCT(NOT(ISBLANK(ES$3:ES$34))*(ES$3:ES$34=$KG$3:$KG$34))</f>
        <v>0</v>
      </c>
      <c r="ET40" s="1">
        <f>SUMPRODUCT(NOT(ISBLANK(ET$3:ET$34))*(ET$3:ET$34=$KH$3:$KH$34))</f>
        <v>0</v>
      </c>
      <c r="EU40" s="1">
        <f>SUMPRODUCT(NOT(ISBLANK(EU$3:EU$34))*(EU$3:EU$34=$KI$3:$KI$34))</f>
        <v>0</v>
      </c>
      <c r="EV40" s="1">
        <f>SUMPRODUCT(NOT(ISBLANK(EV$3:EV$34))*(EV$3:EV$34=$KJ$3:$KJ$34))</f>
        <v>0</v>
      </c>
      <c r="EW40" s="1">
        <f>SUMPRODUCT(NOT(ISBLANK(EW$3:EW$34))*(EW$3:EW$34=$KK$3:$KK$34))</f>
        <v>0</v>
      </c>
      <c r="EX40" s="1">
        <f>SUMPRODUCT(NOT(ISBLANK(EX$3:EX$34))*(EX$3:EX$34=$KL$3:$KL$34))</f>
        <v>0</v>
      </c>
      <c r="EY40" s="1">
        <f>SUMPRODUCT(NOT(ISBLANK(EY$3:EY$34))*(EY$3:EY$34=$KM$3:$KM$34))</f>
        <v>0</v>
      </c>
      <c r="EZ40" s="1">
        <f>SUMPRODUCT(NOT(ISBLANK(EZ$3:EZ$34))*(EZ$3:EZ$34=$KN$3:$KN$34))</f>
        <v>0</v>
      </c>
      <c r="FA40" s="1">
        <f>SUMPRODUCT(NOT(ISBLANK(FA$3:FA$34))*(FA$3:FA$34=$KO$3:$KO$34))</f>
        <v>0</v>
      </c>
      <c r="FB40" s="1">
        <f>SUMPRODUCT(NOT(ISBLANK(FB$3:FB$34))*(FB$3:FB$34=$KP$3:$KP$34))</f>
        <v>0</v>
      </c>
      <c r="FC40" s="1">
        <f>SUMPRODUCT(NOT(ISBLANK(FC$3:FC$34))*(FC$3:FC$34=$KQ$3:$KQ$34))</f>
        <v>0</v>
      </c>
      <c r="FD40" s="1"/>
      <c r="FE40" s="1">
        <f>SUMPRODUCT(NOT(ISBLANK(FE$3:FE$34))*(FE$3:FE$34=$KR$3:$KR$34))</f>
        <v>0</v>
      </c>
      <c r="FF40" s="1">
        <f>SUMPRODUCT(NOT(ISBLANK(FF$3:FF$34))*(FF$3:FF$34=$KS$3:$KS$34))</f>
        <v>0</v>
      </c>
      <c r="FG40" s="1">
        <f>SUMPRODUCT(NOT(ISBLANK(FG$3:FG$34))*(FG$3:FG$34=$KT$3:$KT$34))</f>
        <v>0</v>
      </c>
      <c r="FH40" s="1">
        <f>SUMPRODUCT(NOT(ISBLANK(FH$3:FH$34))*(FH$3:FH$34=$KD$3:$KD$34))</f>
        <v>0</v>
      </c>
      <c r="FI40" s="1">
        <f>SUMPRODUCT(NOT(ISBLANK(FI$3:FI$34))*(FI$3:FI$34=$KE$3:$KE$34))</f>
        <v>0</v>
      </c>
      <c r="FJ40" s="1">
        <f>SUMPRODUCT(NOT(ISBLANK(FJ$3:FJ$34))*(FJ$3:FJ$34=$KF$3:$KF$34))</f>
        <v>0</v>
      </c>
      <c r="FK40" s="1">
        <f>SUMPRODUCT(NOT(ISBLANK(FK$3:FK$34))*(FK$3:FK$34=$KG$3:$KG$34))</f>
        <v>0</v>
      </c>
      <c r="FL40" s="1">
        <f>SUMPRODUCT(NOT(ISBLANK(FL$3:FL$34))*(FL$3:FL$34=$KH$3:$KH$34))</f>
        <v>0</v>
      </c>
      <c r="FM40" s="1">
        <f>SUMPRODUCT(NOT(ISBLANK(FM$3:FM$34))*(FM$3:FM$34=$KI$3:$KI$34))</f>
        <v>0</v>
      </c>
      <c r="FN40" s="1">
        <f>SUMPRODUCT(NOT(ISBLANK(FN$3:FN$34))*(FN$3:FN$34=$KJ$3:$KJ$34))</f>
        <v>0</v>
      </c>
      <c r="FO40" s="1">
        <f>SUMPRODUCT(NOT(ISBLANK(FO$3:FO$34))*(FO$3:FO$34=$KK$3:$KK$34))</f>
        <v>0</v>
      </c>
      <c r="FP40" s="1">
        <f>SUMPRODUCT(NOT(ISBLANK(FP$3:FP$34))*(FP$3:FP$34=$KL$3:$KL$34))</f>
        <v>0</v>
      </c>
      <c r="FQ40" s="1">
        <f>SUMPRODUCT(NOT(ISBLANK(FQ$3:FQ$34))*(FQ$3:FQ$34=$KM$3:$KM$34))</f>
        <v>0</v>
      </c>
      <c r="FR40" s="1">
        <f>SUMPRODUCT(NOT(ISBLANK(FR$3:FR$34))*(FR$3:FR$34=$KN$3:$KN$34))</f>
        <v>0</v>
      </c>
      <c r="FS40" s="1">
        <f>SUMPRODUCT(NOT(ISBLANK(FS$3:FS$34))*(FS$3:FS$34=$KO$3:$KO$34))</f>
        <v>0</v>
      </c>
      <c r="FT40" s="1">
        <f>SUMPRODUCT(NOT(ISBLANK(FT$3:FT$34))*(FT$3:FT$34=$KP$3:$KP$34))</f>
        <v>0</v>
      </c>
      <c r="FU40" s="1">
        <f>SUMPRODUCT(NOT(ISBLANK(FU$3:FU$34))*(FU$3:FU$34=$KQ$3:$KQ$34))</f>
        <v>0</v>
      </c>
      <c r="FV40" s="1"/>
      <c r="FW40" s="1">
        <f>SUMPRODUCT(NOT(ISBLANK(FW$3:FW$34))*(FW$3:FW$34=$KR$3:$KR$34))</f>
        <v>0</v>
      </c>
      <c r="FX40" s="1">
        <f>SUMPRODUCT(NOT(ISBLANK(FX$3:FX$34))*(FX$3:FX$34=$KS$3:$KS$34))</f>
        <v>0</v>
      </c>
      <c r="FY40" s="1">
        <f>SUMPRODUCT(NOT(ISBLANK(FY$3:FY$34))*(FY$3:FY$34=$KT$3:$KT$34))</f>
        <v>0</v>
      </c>
      <c r="FZ40" s="1">
        <f>SUMPRODUCT(NOT(ISBLANK(FZ$3:FZ$34))*(FZ$3:FZ$34=$KD$3:$KD$34))</f>
        <v>0</v>
      </c>
      <c r="GA40" s="1">
        <f>SUMPRODUCT(NOT(ISBLANK(GA$3:GA$34))*(GA$3:GA$34=$KE$3:$KE$34))</f>
        <v>0</v>
      </c>
      <c r="GB40" s="1">
        <f>SUMPRODUCT(NOT(ISBLANK(GB$3:GB$34))*(GB$3:GB$34=$KF$3:$KF$34))</f>
        <v>0</v>
      </c>
      <c r="GC40" s="1">
        <f>SUMPRODUCT(NOT(ISBLANK(GC$3:GC$34))*(GC$3:GC$34=$KG$3:$KG$34))</f>
        <v>0</v>
      </c>
      <c r="GD40" s="1">
        <f>SUMPRODUCT(NOT(ISBLANK(GD$3:GD$34))*(GD$3:GD$34=$KH$3:$KH$34))</f>
        <v>0</v>
      </c>
      <c r="GE40" s="1">
        <f>SUMPRODUCT(NOT(ISBLANK(GE$3:GE$34))*(GE$3:GE$34=$KI$3:$KI$34))</f>
        <v>0</v>
      </c>
      <c r="GF40" s="1">
        <f>SUMPRODUCT(NOT(ISBLANK(GF$3:GF$34))*(GF$3:GF$34=$KJ$3:$KJ$34))</f>
        <v>0</v>
      </c>
      <c r="GG40" s="1">
        <f>SUMPRODUCT(NOT(ISBLANK(GG$3:GG$34))*(GG$3:GG$34=$KK$3:$KK$34))</f>
        <v>0</v>
      </c>
      <c r="GH40" s="1">
        <f>SUMPRODUCT(NOT(ISBLANK(GH$3:GH$34))*(GH$3:GH$34=$KL$3:$KL$34))</f>
        <v>0</v>
      </c>
      <c r="GI40" s="1">
        <f>SUMPRODUCT(NOT(ISBLANK(GI$3:GI$34))*(GI$3:GI$34=$KM$3:$KM$34))</f>
        <v>0</v>
      </c>
      <c r="GJ40" s="1">
        <f>SUMPRODUCT(NOT(ISBLANK(GJ$3:GJ$34))*(GJ$3:GJ$34=$KN$3:$KN$34))</f>
        <v>0</v>
      </c>
      <c r="GK40" s="1">
        <f>SUMPRODUCT(NOT(ISBLANK(GK$3:GK$34))*(GK$3:GK$34=$KO$3:$KO$34))</f>
        <v>0</v>
      </c>
      <c r="GL40" s="1">
        <f>SUMPRODUCT(NOT(ISBLANK(GL$3:GL$34))*(GL$3:GL$34=$KP$3:$KP$34))</f>
        <v>0</v>
      </c>
      <c r="GM40" s="1">
        <f>SUMPRODUCT(NOT(ISBLANK(GM$3:GM$34))*(GM$3:GM$34=$KQ$3:$KQ$34))</f>
        <v>0</v>
      </c>
      <c r="GN40" s="1"/>
      <c r="GO40" s="1">
        <f>SUMPRODUCT(NOT(ISBLANK(GO$3:GO$34))*(GO$3:GO$34=$KR$3:$KR$34))</f>
        <v>0</v>
      </c>
      <c r="GP40" s="1">
        <f>SUMPRODUCT(NOT(ISBLANK(GP$3:GP$34))*(GP$3:GP$34=$KS$3:$KS$34))</f>
        <v>0</v>
      </c>
      <c r="GQ40" s="1">
        <f>SUMPRODUCT(NOT(ISBLANK(GQ$3:GQ$34))*(GQ$3:GQ$34=$KT$3:$KT$34))</f>
        <v>0</v>
      </c>
      <c r="GR40" s="1">
        <f>SUMPRODUCT(NOT(ISBLANK(GR$3:GR$34))*(GR$3:GR$34=$KD$3:$KD$34))</f>
        <v>0</v>
      </c>
      <c r="GS40" s="1">
        <f>SUMPRODUCT(NOT(ISBLANK(GS$3:GS$34))*(GS$3:GS$34=$KE$3:$KE$34))</f>
        <v>0</v>
      </c>
      <c r="GT40" s="1">
        <f>SUMPRODUCT(NOT(ISBLANK(GT$3:GT$34))*(GT$3:GT$34=$KF$3:$KF$34))</f>
        <v>0</v>
      </c>
      <c r="GU40" s="1">
        <f>SUMPRODUCT(NOT(ISBLANK(GU$3:GU$34))*(GU$3:GU$34=$KG$3:$KG$34))</f>
        <v>0</v>
      </c>
      <c r="GV40" s="1">
        <f>SUMPRODUCT(NOT(ISBLANK(GV$3:GV$34))*(GV$3:GV$34=$KH$3:$KH$34))</f>
        <v>0</v>
      </c>
      <c r="GW40" s="1">
        <f>SUMPRODUCT(NOT(ISBLANK(GW$3:GW$34))*(GW$3:GW$34=$KI$3:$KI$34))</f>
        <v>0</v>
      </c>
      <c r="GX40" s="1">
        <f>SUMPRODUCT(NOT(ISBLANK(GX$3:GX$34))*(GX$3:GX$34=$KJ$3:$KJ$34))</f>
        <v>0</v>
      </c>
      <c r="GY40" s="1">
        <f>SUMPRODUCT(NOT(ISBLANK(GY$3:GY$34))*(GY$3:GY$34=$KK$3:$KK$34))</f>
        <v>0</v>
      </c>
      <c r="GZ40" s="1">
        <f>SUMPRODUCT(NOT(ISBLANK(GZ$3:GZ$34))*(GZ$3:GZ$34=$KL$3:$KL$34))</f>
        <v>0</v>
      </c>
      <c r="HA40" s="1">
        <f>SUMPRODUCT(NOT(ISBLANK(HA$3:HA$34))*(HA$3:HA$34=$KM$3:$KM$34))</f>
        <v>0</v>
      </c>
      <c r="HB40" s="1">
        <f>SUMPRODUCT(NOT(ISBLANK(HB$3:HB$34))*(HB$3:HB$34=$KN$3:$KN$34))</f>
        <v>0</v>
      </c>
      <c r="HC40" s="1">
        <f>SUMPRODUCT(NOT(ISBLANK(HC$3:HC$34))*(HC$3:HC$34=$KO$3:$KO$34))</f>
        <v>0</v>
      </c>
      <c r="HD40" s="1">
        <f>SUMPRODUCT(NOT(ISBLANK(HD$3:HD$34))*(HD$3:HD$34=$KP$3:$KP$34))</f>
        <v>0</v>
      </c>
      <c r="HE40" s="1">
        <f>SUMPRODUCT(NOT(ISBLANK(HE$3:HE$34))*(HE$3:HE$34=$KQ$3:$KQ$34))</f>
        <v>0</v>
      </c>
      <c r="HF40" s="1"/>
      <c r="HG40" s="1">
        <f>SUMPRODUCT(NOT(ISBLANK(HG$3:HG$34))*(HG$3:HG$34=$KR$3:$KR$34))</f>
        <v>0</v>
      </c>
      <c r="HH40" s="1">
        <f>SUMPRODUCT(NOT(ISBLANK(HH$3:HH$34))*(HH$3:HH$34=$KS$3:$KS$34))</f>
        <v>0</v>
      </c>
      <c r="HI40" s="1">
        <f>SUMPRODUCT(NOT(ISBLANK(HI$3:HI$34))*(HI$3:HI$34=$KT$3:$KT$34))</f>
        <v>0</v>
      </c>
      <c r="HJ40" s="1">
        <f>SUMPRODUCT(NOT(ISBLANK(HJ$3:HJ$34))*(HJ$3:HJ$34=$KD$3:$KD$34))</f>
        <v>0</v>
      </c>
      <c r="HK40" s="1">
        <f>SUMPRODUCT(NOT(ISBLANK(HK$3:HK$34))*(HK$3:HK$34=$KE$3:$KE$34))</f>
        <v>0</v>
      </c>
      <c r="HL40" s="1">
        <f>SUMPRODUCT(NOT(ISBLANK(HL$3:HL$34))*(HL$3:HL$34=$KF$3:$KF$34))</f>
        <v>0</v>
      </c>
      <c r="HM40" s="1">
        <f>SUMPRODUCT(NOT(ISBLANK(HM$3:HM$34))*(HM$3:HM$34=$KG$3:$KG$34))</f>
        <v>0</v>
      </c>
      <c r="HN40" s="1">
        <f>SUMPRODUCT(NOT(ISBLANK(HN$3:HN$34))*(HN$3:HN$34=$KH$3:$KH$34))</f>
        <v>0</v>
      </c>
      <c r="HO40" s="1">
        <f>SUMPRODUCT(NOT(ISBLANK(HO$3:HO$34))*(HO$3:HO$34=$KI$3:$KI$34))</f>
        <v>0</v>
      </c>
      <c r="HP40" s="1">
        <f>SUMPRODUCT(NOT(ISBLANK(HP$3:HP$34))*(HP$3:HP$34=$KJ$3:$KJ$34))</f>
        <v>0</v>
      </c>
      <c r="HQ40" s="1">
        <f>SUMPRODUCT(NOT(ISBLANK(HQ$3:HQ$34))*(HQ$3:HQ$34=$KK$3:$KK$34))</f>
        <v>0</v>
      </c>
      <c r="HR40" s="1">
        <f>SUMPRODUCT(NOT(ISBLANK(HR$3:HR$34))*(HR$3:HR$34=$KL$3:$KL$34))</f>
        <v>0</v>
      </c>
      <c r="HS40" s="1">
        <f>SUMPRODUCT(NOT(ISBLANK(HS$3:HS$34))*(HS$3:HS$34=$KM$3:$KM$34))</f>
        <v>0</v>
      </c>
      <c r="HT40" s="1">
        <f>SUMPRODUCT(NOT(ISBLANK(HT$3:HT$34))*(HT$3:HT$34=$KN$3:$KN$34))</f>
        <v>0</v>
      </c>
      <c r="HU40" s="1">
        <f>SUMPRODUCT(NOT(ISBLANK(HU$3:HU$34))*(HU$3:HU$34=$KO$3:$KO$34))</f>
        <v>0</v>
      </c>
      <c r="HV40" s="1">
        <f>SUMPRODUCT(NOT(ISBLANK(HV$3:HV$34))*(HV$3:HV$34=$KP$3:$KP$34))</f>
        <v>0</v>
      </c>
      <c r="HW40" s="1">
        <f>SUMPRODUCT(NOT(ISBLANK(HW$3:HW$34))*(HW$3:HW$34=$KQ$3:$KQ$34))</f>
        <v>0</v>
      </c>
      <c r="HX40" s="1"/>
      <c r="HY40" s="1">
        <f>SUMPRODUCT(NOT(ISBLANK(HY$3:HY$34))*(HY$3:HY$34=$KR$3:$KR$34))</f>
        <v>0</v>
      </c>
      <c r="HZ40" s="1">
        <f>SUMPRODUCT(NOT(ISBLANK(HZ$3:HZ$34))*(HZ$3:HZ$34=$KS$3:$KS$34))</f>
        <v>0</v>
      </c>
      <c r="IA40" s="1">
        <f>SUMPRODUCT(NOT(ISBLANK(IA$3:IA$34))*(IA$3:IA$34=$KT$3:$KT$34))</f>
        <v>0</v>
      </c>
      <c r="IB40" s="1">
        <f>SUMPRODUCT(NOT(ISBLANK(IB$3:IB$34))*(IB$3:IB$34=$KD$3:$KD$34))</f>
        <v>0</v>
      </c>
      <c r="IC40" s="1">
        <f>SUMPRODUCT(NOT(ISBLANK(IC$3:IC$34))*(IC$3:IC$34=$KE$3:$KE$34))</f>
        <v>0</v>
      </c>
      <c r="ID40" s="1">
        <f>SUMPRODUCT(NOT(ISBLANK(ID$3:ID$34))*(ID$3:ID$34=$KF$3:$KF$34))</f>
        <v>0</v>
      </c>
      <c r="IE40" s="1">
        <f>SUMPRODUCT(NOT(ISBLANK(IE$3:IE$34))*(IE$3:IE$34=$KG$3:$KG$34))</f>
        <v>0</v>
      </c>
      <c r="IF40" s="1">
        <f>SUMPRODUCT(NOT(ISBLANK(IF$3:IF$34))*(IF$3:IF$34=$KH$3:$KH$34))</f>
        <v>0</v>
      </c>
      <c r="IG40" s="1">
        <f>SUMPRODUCT(NOT(ISBLANK(IG$3:IG$34))*(IG$3:IG$34=$KI$3:$KI$34))</f>
        <v>0</v>
      </c>
      <c r="IH40" s="1">
        <f>SUMPRODUCT(NOT(ISBLANK(IH$3:IH$34))*(IH$3:IH$34=$KJ$3:$KJ$34))</f>
        <v>0</v>
      </c>
      <c r="II40" s="1">
        <f>SUMPRODUCT(NOT(ISBLANK(II$3:II$34))*(II$3:II$34=$KK$3:$KK$34))</f>
        <v>0</v>
      </c>
      <c r="IJ40" s="1">
        <f>SUMPRODUCT(NOT(ISBLANK(IJ$3:IJ$34))*(IJ$3:IJ$34=$KL$3:$KL$34))</f>
        <v>0</v>
      </c>
      <c r="IK40" s="1">
        <f>SUMPRODUCT(NOT(ISBLANK(IK$3:IK$34))*(IK$3:IK$34=$KM$3:$KM$34))</f>
        <v>0</v>
      </c>
      <c r="IL40" s="1">
        <f>SUMPRODUCT(NOT(ISBLANK(IL$3:IL$34))*(IL$3:IL$34=$KN$3:$KN$34))</f>
        <v>0</v>
      </c>
      <c r="IM40" s="1">
        <f>SUMPRODUCT(NOT(ISBLANK(IM$3:IM$34))*(IM$3:IM$34=$KO$3:$KO$34))</f>
        <v>0</v>
      </c>
      <c r="IN40" s="1">
        <f>SUMPRODUCT(NOT(ISBLANK(IN$3:IN$34))*(IN$3:IN$34=$KP$3:$KP$34))</f>
        <v>0</v>
      </c>
      <c r="IO40" s="1">
        <f>SUMPRODUCT(NOT(ISBLANK(IO$3:IO$34))*(IO$3:IO$34=$KQ$3:$KQ$34))</f>
        <v>0</v>
      </c>
      <c r="IP40" s="1"/>
      <c r="IQ40" s="1">
        <f>SUMPRODUCT(NOT(ISBLANK(IQ$3:IQ$34))*(IQ$3:IQ$34=$KR$3:$KR$34))</f>
        <v>0</v>
      </c>
      <c r="IR40" s="1">
        <f>SUMPRODUCT(NOT(ISBLANK(IR$3:IR$34))*(IR$3:IR$34=$KS$3:$KS$34))</f>
        <v>0</v>
      </c>
      <c r="IS40" s="1">
        <f>SUMPRODUCT(NOT(ISBLANK(IS$3:IS$34))*(IS$3:IS$34=$KT$3:$KT$34))</f>
        <v>0</v>
      </c>
      <c r="IT40" s="1">
        <f>SUMPRODUCT(NOT(ISBLANK(IT$3:IT$34))*(IT$3:IT$34=$KD$3:$KD$34))</f>
        <v>0</v>
      </c>
      <c r="IU40" s="1">
        <f>SUMPRODUCT(NOT(ISBLANK(IU$3:IU$34))*(IU$3:IU$34=$KE$3:$KE$34))</f>
        <v>0</v>
      </c>
      <c r="IV40" s="1">
        <f>SUMPRODUCT(NOT(ISBLANK(IV$3:IV$34))*(IV$3:IV$34=$KF$3:$KF$34))</f>
        <v>0</v>
      </c>
      <c r="IW40" s="1">
        <f>SUMPRODUCT(NOT(ISBLANK(IW$3:IW$34))*(IW$3:IW$34=$KG$3:$KG$34))</f>
        <v>0</v>
      </c>
      <c r="IX40" s="1">
        <f>SUMPRODUCT(NOT(ISBLANK(IX$3:IX$34))*(IX$3:IX$34=$KH$3:$KH$34))</f>
        <v>0</v>
      </c>
      <c r="IY40" s="1">
        <f>SUMPRODUCT(NOT(ISBLANK(IY$3:IY$34))*(IY$3:IY$34=$KI$3:$KI$34))</f>
        <v>0</v>
      </c>
      <c r="IZ40" s="1">
        <f>SUMPRODUCT(NOT(ISBLANK(IZ$3:IZ$34))*(IZ$3:IZ$34=$KJ$3:$KJ$34))</f>
        <v>0</v>
      </c>
      <c r="JA40" s="1">
        <f>SUMPRODUCT(NOT(ISBLANK(JA$3:JA$34))*(JA$3:JA$34=$KK$3:$KK$34))</f>
        <v>0</v>
      </c>
      <c r="JB40" s="1">
        <f>SUMPRODUCT(NOT(ISBLANK(JB$3:JB$34))*(JB$3:JB$34=$KL$3:$KL$34))</f>
        <v>0</v>
      </c>
      <c r="JC40" s="1">
        <f>SUMPRODUCT(NOT(ISBLANK(JC$3:JC$34))*(JC$3:JC$34=$KM$3:$KM$34))</f>
        <v>0</v>
      </c>
      <c r="JD40" s="1">
        <f>SUMPRODUCT(NOT(ISBLANK(JD$3:JD$34))*(JD$3:JD$34=$KN$3:$KN$34))</f>
        <v>0</v>
      </c>
      <c r="JE40" s="1">
        <f>SUMPRODUCT(NOT(ISBLANK(JE$3:JE$34))*(JE$3:JE$34=$KO$3:$KO$34))</f>
        <v>0</v>
      </c>
      <c r="JF40" s="1">
        <f>SUMPRODUCT(NOT(ISBLANK(JF$3:JF$34))*(JF$3:JF$34=$KP$3:$KP$34))</f>
        <v>0</v>
      </c>
      <c r="JG40" s="1">
        <f>SUMPRODUCT(NOT(ISBLANK(JG$3:JG$34))*(JG$3:JG$34=$KQ$3:$KQ$34))</f>
        <v>0</v>
      </c>
      <c r="JH40" s="1"/>
      <c r="JI40" s="1">
        <f>SUMPRODUCT(NOT(ISBLANK(JI$3:JI$34))*(JI$3:JI$34=$KR$3:$KR$34))</f>
        <v>0</v>
      </c>
      <c r="JJ40" s="1">
        <f>SUMPRODUCT(NOT(ISBLANK(JJ$3:JJ$34))*(JJ$3:JJ$34=$KS$3:$KS$34))</f>
        <v>0</v>
      </c>
      <c r="JK40" s="1">
        <f>SUMPRODUCT(NOT(ISBLANK(JK$3:JK$34))*(JK$3:JK$34=$KT$3:$KT$34))</f>
        <v>0</v>
      </c>
      <c r="JL40" s="1">
        <f>SUMPRODUCT(NOT(ISBLANK(JL$3:JL$34))*(JL$3:JL$34=$KD$3:$KD$34))</f>
        <v>0</v>
      </c>
      <c r="JM40" s="1">
        <f>SUMPRODUCT(NOT(ISBLANK(JM$3:JM$34))*(JM$3:JM$34=$KE$3:$KE$34))</f>
        <v>0</v>
      </c>
      <c r="JN40" s="1">
        <f>SUMPRODUCT(NOT(ISBLANK(JN$3:JN$34))*(JN$3:JN$34=$KF$3:$KF$34))</f>
        <v>0</v>
      </c>
      <c r="JO40" s="1">
        <f>SUMPRODUCT(NOT(ISBLANK(JO$3:JO$34))*(JO$3:JO$34=$KG$3:$KG$34))</f>
        <v>0</v>
      </c>
      <c r="JP40" s="1">
        <f>SUMPRODUCT(NOT(ISBLANK(JP$3:JP$34))*(JP$3:JP$34=$KH$3:$KH$34))</f>
        <v>0</v>
      </c>
      <c r="JQ40" s="1">
        <f>SUMPRODUCT(NOT(ISBLANK(JQ$3:JQ$34))*(JQ$3:JQ$34=$KI$3:$KI$34))</f>
        <v>0</v>
      </c>
      <c r="JR40" s="1">
        <f>SUMPRODUCT(NOT(ISBLANK(JR$3:JR$34))*(JR$3:JR$34=$KJ$3:$KJ$34))</f>
        <v>0</v>
      </c>
      <c r="JS40" s="1">
        <f>SUMPRODUCT(NOT(ISBLANK(JS$3:JS$34))*(JS$3:JS$34=$KK$3:$KK$34))</f>
        <v>0</v>
      </c>
      <c r="JT40" s="1">
        <f>SUMPRODUCT(NOT(ISBLANK(JT$3:JT$34))*(JT$3:JT$34=$KL$3:$KL$34))</f>
        <v>0</v>
      </c>
      <c r="JU40" s="1">
        <f>SUMPRODUCT(NOT(ISBLANK(JU$3:JU$34))*(JU$3:JU$34=$KM$3:$KM$34))</f>
        <v>0</v>
      </c>
      <c r="JV40" s="1">
        <f>SUMPRODUCT(NOT(ISBLANK(JV$3:JV$34))*(JV$3:JV$34=$KN$3:$KN$34))</f>
        <v>0</v>
      </c>
      <c r="JW40" s="1">
        <f>SUMPRODUCT(NOT(ISBLANK(JW$3:JW$34))*(JW$3:JW$34=$KO$3:$KO$34))</f>
        <v>0</v>
      </c>
      <c r="JX40" s="1">
        <f>SUMPRODUCT(NOT(ISBLANK(JX$3:JX$34))*(JX$3:JX$34=$KP$3:$KP$34))</f>
        <v>0</v>
      </c>
      <c r="JY40" s="1">
        <f>SUMPRODUCT(NOT(ISBLANK(JY$3:JY$34))*(JY$3:JY$34=$KQ$3:$KQ$34))</f>
        <v>0</v>
      </c>
      <c r="JZ40" s="1"/>
      <c r="KA40" s="1">
        <f>SUMPRODUCT(NOT(ISBLANK(KA$3:KA$34))*(KA$3:KA$34=$KR$3:$KR$34))</f>
        <v>0</v>
      </c>
      <c r="KB40" s="1">
        <f>SUMPRODUCT(NOT(ISBLANK(KB$3:KB$34))*(KB$3:KB$34=$KS$3:$KS$34))</f>
        <v>0</v>
      </c>
      <c r="KC40" s="1">
        <f>SUMPRODUCT(NOT(ISBLANK(KC$3:KC$34))*(KC$3:KC$34=$KT$3:$KT$34))</f>
        <v>0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</row>
    <row r="41" spans="1:340">
      <c r="A41" s="1" t="s">
        <v>37</v>
      </c>
      <c r="B41" s="1">
        <f>SUMPRODUCT(NOT(ISBLANK(B$3:B$34))*(B$3:B$34&lt;$KU$3:$KU$34))</f>
        <v>0</v>
      </c>
      <c r="C41" s="1">
        <f>SUMPRODUCT(NOT(ISBLANK(C$3:C$34))*(C$3:C$34&lt;$KV$3:$KV$34))</f>
        <v>0</v>
      </c>
      <c r="D41" s="1">
        <f>SUMPRODUCT(NOT(ISBLANK(D$3:D$34))*(D$3:D$34&lt;$KW$3:$KW$34))</f>
        <v>0</v>
      </c>
      <c r="E41" s="1">
        <f>SUMPRODUCT(NOT(ISBLANK(E$3:E$34))*(E$3:E$34&lt;$KX$3:$KX$34))</f>
        <v>0</v>
      </c>
      <c r="F41" s="1">
        <f>SUMPRODUCT(NOT(ISBLANK(F$3:F$34))*(F$3:F$34&lt;$KY$3:$KY$34))</f>
        <v>0</v>
      </c>
      <c r="G41" s="1">
        <f>SUMPRODUCT(NOT(ISBLANK(G$3:G$34))*(G$3:G$34&lt;$KZ$3:$KZ$34))</f>
        <v>0</v>
      </c>
      <c r="H41" s="1">
        <f>SUMPRODUCT(NOT(ISBLANK(H$3:H$34))*(H$3:H$34&lt;$LA$3:$LA$34))</f>
        <v>0</v>
      </c>
      <c r="I41" s="1">
        <f>SUMPRODUCT(NOT(ISBLANK(I$3:I$34))*(I$3:I$34&lt;$LB$3:$LB$34))</f>
        <v>0</v>
      </c>
      <c r="J41" s="1">
        <f>SUMPRODUCT(NOT(ISBLANK(J$3:J$34))*(J$3:J$34&lt;$LC$3:$LC$34))</f>
        <v>0</v>
      </c>
      <c r="K41" s="1">
        <f>SUMPRODUCT(NOT(ISBLANK(K$3:K$34))*(K$3:K$34&lt;$LD$3:$LD$34))</f>
        <v>0</v>
      </c>
      <c r="L41" s="1">
        <f>SUMPRODUCT(NOT(ISBLANK(L$3:L$34))*(L$3:L$34&lt;$LE$3:$LE$34))</f>
        <v>0</v>
      </c>
      <c r="M41" s="1">
        <f>SUMPRODUCT(NOT(ISBLANK(M$3:M$34))*(M$3:M$34&lt;$LF$3:$LF$34))</f>
        <v>0</v>
      </c>
      <c r="N41" s="1">
        <f>SUMPRODUCT(NOT(ISBLANK(N$3:N$34))*(N$3:N$34&lt;$LG$3:$LG$34))</f>
        <v>0</v>
      </c>
      <c r="O41" s="1">
        <f>SUMPRODUCT(NOT(ISBLANK(O$3:O$34))*(O$3:O$34&lt;$LH$3:$LH$34))</f>
        <v>0</v>
      </c>
      <c r="P41" s="1"/>
      <c r="Q41" s="1">
        <f>SUMPRODUCT(NOT(ISBLANK(Q$3:Q$34))*(Q$3:Q$34&lt;$LI$3:$LI$34))</f>
        <v>0</v>
      </c>
      <c r="R41" s="1">
        <f>SUMPRODUCT(NOT(ISBLANK(R$3:R$34))*(R$3:R$34&lt;$LJ$3:$LJ$34))</f>
        <v>0</v>
      </c>
      <c r="S41" s="1">
        <f>SUMPRODUCT(NOT(ISBLANK(S$3:S$34))*(S$3:S$34&lt;$LK$3:$LK$34))</f>
        <v>0</v>
      </c>
      <c r="T41" s="1">
        <f>SUMPRODUCT(NOT(ISBLANK(T$3:T$34))*(T$3:T$34&lt;$KU$3:$KU$34))</f>
        <v>0</v>
      </c>
      <c r="U41" s="1">
        <f>SUMPRODUCT(NOT(ISBLANK(U$3:U$34))*(U$3:U$34&lt;$KV$3:$KV$34))</f>
        <v>0</v>
      </c>
      <c r="V41" s="1">
        <f>SUMPRODUCT(NOT(ISBLANK(V$3:V$34))*(V$3:V$34&lt;$KW$3:$KW$34))</f>
        <v>0</v>
      </c>
      <c r="W41" s="1">
        <f>SUMPRODUCT(NOT(ISBLANK(W$3:W$34))*(W$3:W$34&lt;$KX$3:$KX$34))</f>
        <v>0</v>
      </c>
      <c r="X41" s="1">
        <f>SUMPRODUCT(NOT(ISBLANK(X$3:X$34))*(X$3:X$34&lt;$KY$3:$KY$34))</f>
        <v>0</v>
      </c>
      <c r="Y41" s="1">
        <f>SUMPRODUCT(NOT(ISBLANK(Y$3:Y$34))*(Y$3:Y$34&lt;$KZ$3:$KZ$34))</f>
        <v>0</v>
      </c>
      <c r="Z41" s="1">
        <f>SUMPRODUCT(NOT(ISBLANK(Z$3:Z$34))*(Z$3:Z$34&lt;$LA$3:$LA$34))</f>
        <v>0</v>
      </c>
      <c r="AA41" s="1">
        <f>SUMPRODUCT(NOT(ISBLANK(AA$3:AA$34))*(AA$3:AA$34&lt;$LB$3:$LB$34))</f>
        <v>0</v>
      </c>
      <c r="AB41" s="1">
        <f>SUMPRODUCT(NOT(ISBLANK(AB$3:AB$34))*(AB$3:AB$34&lt;$LC$3:$LC$34))</f>
        <v>0</v>
      </c>
      <c r="AC41" s="1">
        <f>SUMPRODUCT(NOT(ISBLANK(AC$3:AC$34))*(AC$3:AC$34&lt;$LD$3:$LD$34))</f>
        <v>0</v>
      </c>
      <c r="AD41" s="1">
        <f>SUMPRODUCT(NOT(ISBLANK(AD$3:AD$34))*(AD$3:AD$34&lt;$LE$3:$LE$34))</f>
        <v>0</v>
      </c>
      <c r="AE41" s="1">
        <f>SUMPRODUCT(NOT(ISBLANK(AE$3:AE$34))*(AE$3:AE$34&lt;$LF$3:$LF$34))</f>
        <v>0</v>
      </c>
      <c r="AF41" s="1">
        <f>SUMPRODUCT(NOT(ISBLANK(AF$3:AF$34))*(AF$3:AF$34&lt;$LG$3:$LG$34))</f>
        <v>0</v>
      </c>
      <c r="AG41" s="1">
        <f>SUMPRODUCT(NOT(ISBLANK(AG$3:AG$34))*(AG$3:AG$34&lt;$LH$3:$LH$34))</f>
        <v>0</v>
      </c>
      <c r="AH41" s="1"/>
      <c r="AI41" s="1">
        <f>SUMPRODUCT(NOT(ISBLANK(AI$3:AI$34))*(AI$3:AI$34&lt;$LI$3:$LI$34))</f>
        <v>0</v>
      </c>
      <c r="AJ41" s="1">
        <f>SUMPRODUCT(NOT(ISBLANK(AJ$3:AJ$34))*(AJ$3:AJ$34&lt;$LJ$3:$LJ$34))</f>
        <v>0</v>
      </c>
      <c r="AK41" s="1">
        <f>SUMPRODUCT(NOT(ISBLANK(AK$3:AK$34))*(AK$3:AK$34&lt;$LK$3:$LK$34))</f>
        <v>0</v>
      </c>
      <c r="AL41" s="1">
        <f>SUMPRODUCT(NOT(ISBLANK(AL$3:AL$34))*(AL$3:AL$34&lt;$KU$3:$KU$34))</f>
        <v>0</v>
      </c>
      <c r="AM41" s="1">
        <f>SUMPRODUCT(NOT(ISBLANK(AM$3:AM$34))*(AM$3:AM$34&lt;$KV$3:$KV$34))</f>
        <v>0</v>
      </c>
      <c r="AN41" s="1">
        <f>SUMPRODUCT(NOT(ISBLANK(AN$3:AN$34))*(AN$3:AN$34&lt;$KW$3:$KW$34))</f>
        <v>0</v>
      </c>
      <c r="AO41" s="1">
        <f>SUMPRODUCT(NOT(ISBLANK(AO$3:AO$34))*(AO$3:AO$34&lt;$KX$3:$KX$34))</f>
        <v>0</v>
      </c>
      <c r="AP41" s="1">
        <f>SUMPRODUCT(NOT(ISBLANK(AP$3:AP$34))*(AP$3:AP$34&lt;$KY$3:$KY$34))</f>
        <v>0</v>
      </c>
      <c r="AQ41" s="1">
        <f>SUMPRODUCT(NOT(ISBLANK(AQ$3:AQ$34))*(AQ$3:AQ$34&lt;$KZ$3:$KZ$34))</f>
        <v>0</v>
      </c>
      <c r="AR41" s="1">
        <f>SUMPRODUCT(NOT(ISBLANK(AR$3:AR$34))*(AR$3:AR$34&lt;$LA$3:$LA$34))</f>
        <v>0</v>
      </c>
      <c r="AS41" s="1">
        <f>SUMPRODUCT(NOT(ISBLANK(AS$3:AS$34))*(AS$3:AS$34&lt;$LB$3:$LB$34))</f>
        <v>0</v>
      </c>
      <c r="AT41" s="1">
        <f>SUMPRODUCT(NOT(ISBLANK(AT$3:AT$34))*(AT$3:AT$34&lt;$LC$3:$LC$34))</f>
        <v>0</v>
      </c>
      <c r="AU41" s="1">
        <f>SUMPRODUCT(NOT(ISBLANK(AU$3:AU$34))*(AU$3:AU$34&lt;$LD$3:$LD$34))</f>
        <v>0</v>
      </c>
      <c r="AV41" s="1">
        <f>SUMPRODUCT(NOT(ISBLANK(AV$3:AV$34))*(AV$3:AV$34&lt;$LE$3:$LE$34))</f>
        <v>0</v>
      </c>
      <c r="AW41" s="1">
        <f>SUMPRODUCT(NOT(ISBLANK(AW$3:AW$34))*(AW$3:AW$34&lt;$LF$3:$LF$34))</f>
        <v>0</v>
      </c>
      <c r="AX41" s="1">
        <f>SUMPRODUCT(NOT(ISBLANK(AX$3:AX$34))*(AX$3:AX$34&lt;$LG$3:$LG$34))</f>
        <v>0</v>
      </c>
      <c r="AY41" s="1">
        <f>SUMPRODUCT(NOT(ISBLANK(AY$3:AY$34))*(AY$3:AY$34&lt;$LH$3:$LH$34))</f>
        <v>0</v>
      </c>
      <c r="AZ41" s="1"/>
      <c r="BA41" s="1">
        <f>SUMPRODUCT(NOT(ISBLANK(BA$3:BA$34))*(BA$3:BA$34&lt;$LI$3:$LI$34))</f>
        <v>0</v>
      </c>
      <c r="BB41" s="1">
        <f>SUMPRODUCT(NOT(ISBLANK(BB$3:BB$34))*(BB$3:BB$34&lt;$LJ$3:$LJ$34))</f>
        <v>0</v>
      </c>
      <c r="BC41" s="1">
        <f>SUMPRODUCT(NOT(ISBLANK(BC$3:BC$34))*(BC$3:BC$34&lt;$LK$3:$LK$34))</f>
        <v>0</v>
      </c>
      <c r="BD41" s="1">
        <f>SUMPRODUCT(NOT(ISBLANK(BD$3:BD$34))*(BD$3:BD$34&lt;$KU$3:$KU$34))</f>
        <v>0</v>
      </c>
      <c r="BE41" s="1">
        <f>SUMPRODUCT(NOT(ISBLANK(BE$3:BE$34))*(BE$3:BE$34&lt;$KV$3:$KV$34))</f>
        <v>0</v>
      </c>
      <c r="BF41" s="1">
        <f>SUMPRODUCT(NOT(ISBLANK(BF$3:BF$34))*(BF$3:BF$34&lt;$KW$3:$KW$34))</f>
        <v>0</v>
      </c>
      <c r="BG41" s="1">
        <f>SUMPRODUCT(NOT(ISBLANK(BG$3:BG$34))*(BG$3:BG$34&lt;$KX$3:$KX$34))</f>
        <v>0</v>
      </c>
      <c r="BH41" s="1">
        <f>SUMPRODUCT(NOT(ISBLANK(BH$3:BH$34))*(BH$3:BH$34&lt;$KY$3:$KY$34))</f>
        <v>0</v>
      </c>
      <c r="BI41" s="1">
        <f>SUMPRODUCT(NOT(ISBLANK(BI$3:BI$34))*(BI$3:BI$34&lt;$KZ$3:$KZ$34))</f>
        <v>0</v>
      </c>
      <c r="BJ41" s="1">
        <f>SUMPRODUCT(NOT(ISBLANK(BJ$3:BJ$34))*(BJ$3:BJ$34&lt;$LA$3:$LA$34))</f>
        <v>0</v>
      </c>
      <c r="BK41" s="1">
        <f>SUMPRODUCT(NOT(ISBLANK(BK$3:BK$34))*(BK$3:BK$34&lt;$LB$3:$LB$34))</f>
        <v>0</v>
      </c>
      <c r="BL41" s="1">
        <f>SUMPRODUCT(NOT(ISBLANK(BL$3:BL$34))*(BL$3:BL$34&lt;$LC$3:$LC$34))</f>
        <v>0</v>
      </c>
      <c r="BM41" s="1">
        <f>SUMPRODUCT(NOT(ISBLANK(BM$3:BM$34))*(BM$3:BM$34&lt;$LD$3:$LD$34))</f>
        <v>0</v>
      </c>
      <c r="BN41" s="1">
        <f>SUMPRODUCT(NOT(ISBLANK(BN$3:BN$34))*(BN$3:BN$34&lt;$LE$3:$LE$34))</f>
        <v>0</v>
      </c>
      <c r="BO41" s="1">
        <f>SUMPRODUCT(NOT(ISBLANK(BO$3:BO$34))*(BO$3:BO$34&lt;$LF$3:$LF$34))</f>
        <v>0</v>
      </c>
      <c r="BP41" s="1">
        <f>SUMPRODUCT(NOT(ISBLANK(BP$3:BP$34))*(BP$3:BP$34&lt;$LG$3:$LG$34))</f>
        <v>0</v>
      </c>
      <c r="BQ41" s="1">
        <f>SUMPRODUCT(NOT(ISBLANK(BQ$3:BQ$34))*(BQ$3:BQ$34&lt;$LH$3:$LH$34))</f>
        <v>0</v>
      </c>
      <c r="BR41" s="1"/>
      <c r="BS41" s="1">
        <f>SUMPRODUCT(NOT(ISBLANK(BS$3:BS$34))*(BS$3:BS$34&lt;$LI$3:$LI$34))</f>
        <v>0</v>
      </c>
      <c r="BT41" s="1">
        <f>SUMPRODUCT(NOT(ISBLANK(BT$3:BT$34))*(BT$3:BT$34&lt;$LJ$3:$LJ$34))</f>
        <v>0</v>
      </c>
      <c r="BU41" s="1">
        <f>SUMPRODUCT(NOT(ISBLANK(BU$3:BU$34))*(BU$3:BU$34&lt;$LK$3:$LK$34))</f>
        <v>0</v>
      </c>
      <c r="BV41" s="1">
        <f>SUMPRODUCT(NOT(ISBLANK(BV$3:BV$34))*(BV$3:BV$34&lt;$KU$3:$KU$34))</f>
        <v>0</v>
      </c>
      <c r="BW41" s="1">
        <f>SUMPRODUCT(NOT(ISBLANK(BW$3:BW$34))*(BW$3:BW$34&lt;$KV$3:$KV$34))</f>
        <v>0</v>
      </c>
      <c r="BX41" s="1">
        <f>SUMPRODUCT(NOT(ISBLANK(BX$3:BX$34))*(BX$3:BX$34&lt;$KW$3:$KW$34))</f>
        <v>0</v>
      </c>
      <c r="BY41" s="1">
        <f>SUMPRODUCT(NOT(ISBLANK(BY$3:BY$34))*(BY$3:BY$34&lt;$KX$3:$KX$34))</f>
        <v>0</v>
      </c>
      <c r="BZ41" s="1">
        <f>SUMPRODUCT(NOT(ISBLANK(BZ$3:BZ$34))*(BZ$3:BZ$34&lt;$KY$3:$KY$34))</f>
        <v>0</v>
      </c>
      <c r="CA41" s="1">
        <f>SUMPRODUCT(NOT(ISBLANK(CA$3:CA$34))*(CA$3:CA$34&lt;$KZ$3:$KZ$34))</f>
        <v>0</v>
      </c>
      <c r="CB41" s="1">
        <f>SUMPRODUCT(NOT(ISBLANK(CB$3:CB$34))*(CB$3:CB$34&lt;$LA$3:$LA$34))</f>
        <v>0</v>
      </c>
      <c r="CC41" s="1">
        <f>SUMPRODUCT(NOT(ISBLANK(CC$3:CC$34))*(CC$3:CC$34&lt;$LB$3:$LB$34))</f>
        <v>0</v>
      </c>
      <c r="CD41" s="1">
        <f>SUMPRODUCT(NOT(ISBLANK(CD$3:CD$34))*(CD$3:CD$34&lt;$LC$3:$LC$34))</f>
        <v>0</v>
      </c>
      <c r="CE41" s="1">
        <f>SUMPRODUCT(NOT(ISBLANK(CE$3:CE$34))*(CE$3:CE$34&lt;$LD$3:$LD$34))</f>
        <v>0</v>
      </c>
      <c r="CF41" s="1">
        <f>SUMPRODUCT(NOT(ISBLANK(CF$3:CF$34))*(CF$3:CF$34&lt;$LE$3:$LE$34))</f>
        <v>0</v>
      </c>
      <c r="CG41" s="1">
        <f>SUMPRODUCT(NOT(ISBLANK(CG$3:CG$34))*(CG$3:CG$34&lt;$LF$3:$LF$34))</f>
        <v>0</v>
      </c>
      <c r="CH41" s="1">
        <f>SUMPRODUCT(NOT(ISBLANK(CH$3:CH$34))*(CH$3:CH$34&lt;$LG$3:$LG$34))</f>
        <v>0</v>
      </c>
      <c r="CI41" s="1">
        <f>SUMPRODUCT(NOT(ISBLANK(CI$3:CI$34))*(CI$3:CI$34&lt;$LH$3:$LH$34))</f>
        <v>0</v>
      </c>
      <c r="CJ41" s="1"/>
      <c r="CK41" s="1">
        <f>SUMPRODUCT(NOT(ISBLANK(CK$3:CK$34))*(CK$3:CK$34&lt;$LI$3:$LI$34))</f>
        <v>0</v>
      </c>
      <c r="CL41" s="1">
        <f>SUMPRODUCT(NOT(ISBLANK(CL$3:CL$34))*(CL$3:CL$34&lt;$LJ$3:$LJ$34))</f>
        <v>0</v>
      </c>
      <c r="CM41" s="1">
        <f>SUMPRODUCT(NOT(ISBLANK(CM$3:CM$34))*(CM$3:CM$34&lt;$LK$3:$LK$34))</f>
        <v>0</v>
      </c>
      <c r="CN41" s="1">
        <f>SUMPRODUCT(NOT(ISBLANK(CN$3:CN$34))*(CN$3:CN$34&lt;$KU$3:$KU$34))</f>
        <v>0</v>
      </c>
      <c r="CO41" s="1">
        <f>SUMPRODUCT(NOT(ISBLANK(CO$3:CO$34))*(CO$3:CO$34&lt;$KV$3:$KV$34))</f>
        <v>0</v>
      </c>
      <c r="CP41" s="1">
        <f>SUMPRODUCT(NOT(ISBLANK(CP$3:CP$34))*(CP$3:CP$34&lt;$KW$3:$KW$34))</f>
        <v>0</v>
      </c>
      <c r="CQ41" s="1">
        <f>SUMPRODUCT(NOT(ISBLANK(CQ$3:CQ$34))*(CQ$3:CQ$34&lt;$KX$3:$KX$34))</f>
        <v>0</v>
      </c>
      <c r="CR41" s="1">
        <f>SUMPRODUCT(NOT(ISBLANK(CR$3:CR$34))*(CR$3:CR$34&lt;$KY$3:$KY$34))</f>
        <v>0</v>
      </c>
      <c r="CS41" s="1">
        <f>SUMPRODUCT(NOT(ISBLANK(CS$3:CS$34))*(CS$3:CS$34&lt;$KZ$3:$KZ$34))</f>
        <v>0</v>
      </c>
      <c r="CT41" s="1">
        <f>SUMPRODUCT(NOT(ISBLANK(CT$3:CT$34))*(CT$3:CT$34&lt;$LA$3:$LA$34))</f>
        <v>0</v>
      </c>
      <c r="CU41" s="1">
        <f>SUMPRODUCT(NOT(ISBLANK(CU$3:CU$34))*(CU$3:CU$34&lt;$LB$3:$LB$34))</f>
        <v>0</v>
      </c>
      <c r="CV41" s="1">
        <f>SUMPRODUCT(NOT(ISBLANK(CV$3:CV$34))*(CV$3:CV$34&lt;$LC$3:$LC$34))</f>
        <v>0</v>
      </c>
      <c r="CW41" s="1">
        <f>SUMPRODUCT(NOT(ISBLANK(CW$3:CW$34))*(CW$3:CW$34&lt;$LD$3:$LD$34))</f>
        <v>0</v>
      </c>
      <c r="CX41" s="1">
        <f>SUMPRODUCT(NOT(ISBLANK(CX$3:CX$34))*(CX$3:CX$34&lt;$LE$3:$LE$34))</f>
        <v>0</v>
      </c>
      <c r="CY41" s="1">
        <f>SUMPRODUCT(NOT(ISBLANK(CY$3:CY$34))*(CY$3:CY$34&lt;$LF$3:$LF$34))</f>
        <v>0</v>
      </c>
      <c r="CZ41" s="1">
        <f>SUMPRODUCT(NOT(ISBLANK(CZ$3:CZ$34))*(CZ$3:CZ$34&lt;$LG$3:$LG$34))</f>
        <v>0</v>
      </c>
      <c r="DA41" s="1">
        <f>SUMPRODUCT(NOT(ISBLANK(DA$3:DA$34))*(DA$3:DA$34&lt;$LH$3:$LH$34))</f>
        <v>0</v>
      </c>
      <c r="DB41" s="1"/>
      <c r="DC41" s="1">
        <f>SUMPRODUCT(NOT(ISBLANK(DC$3:DC$34))*(DC$3:DC$34&lt;$LI$3:$LI$34))</f>
        <v>0</v>
      </c>
      <c r="DD41" s="1">
        <f>SUMPRODUCT(NOT(ISBLANK(DD$3:DD$34))*(DD$3:DD$34&lt;$LJ$3:$LJ$34))</f>
        <v>0</v>
      </c>
      <c r="DE41" s="1">
        <f>SUMPRODUCT(NOT(ISBLANK(DE$3:DE$34))*(DE$3:DE$34&lt;$LK$3:$LK$34))</f>
        <v>0</v>
      </c>
      <c r="DF41" s="1">
        <f>SUMPRODUCT(NOT(ISBLANK(DF$3:DF$34))*(DF$3:DF$34&lt;$KU$3:$KU$34))</f>
        <v>0</v>
      </c>
      <c r="DG41" s="1">
        <f>SUMPRODUCT(NOT(ISBLANK(DG$3:DG$34))*(DG$3:DG$34&lt;$KV$3:$KV$34))</f>
        <v>0</v>
      </c>
      <c r="DH41" s="1">
        <f>SUMPRODUCT(NOT(ISBLANK(DH$3:DH$34))*(DH$3:DH$34&lt;$KW$3:$KW$34))</f>
        <v>0</v>
      </c>
      <c r="DI41" s="1">
        <f>SUMPRODUCT(NOT(ISBLANK(DI$3:DI$34))*(DI$3:DI$34&lt;$KX$3:$KX$34))</f>
        <v>0</v>
      </c>
      <c r="DJ41" s="1">
        <f>SUMPRODUCT(NOT(ISBLANK(DJ$3:DJ$34))*(DJ$3:DJ$34&lt;$KY$3:$KY$34))</f>
        <v>0</v>
      </c>
      <c r="DK41" s="1">
        <f>SUMPRODUCT(NOT(ISBLANK(DK$3:DK$34))*(DK$3:DK$34&lt;$KZ$3:$KZ$34))</f>
        <v>0</v>
      </c>
      <c r="DL41" s="1">
        <f>SUMPRODUCT(NOT(ISBLANK(DL$3:DL$34))*(DL$3:DL$34&lt;$LA$3:$LA$34))</f>
        <v>0</v>
      </c>
      <c r="DM41" s="1">
        <f>SUMPRODUCT(NOT(ISBLANK(DM$3:DM$34))*(DM$3:DM$34&lt;$LB$3:$LB$34))</f>
        <v>0</v>
      </c>
      <c r="DN41" s="1">
        <f>SUMPRODUCT(NOT(ISBLANK(DN$3:DN$34))*(DN$3:DN$34&lt;$LC$3:$LC$34))</f>
        <v>0</v>
      </c>
      <c r="DO41" s="1">
        <f>SUMPRODUCT(NOT(ISBLANK(DO$3:DO$34))*(DO$3:DO$34&lt;$LD$3:$LD$34))</f>
        <v>0</v>
      </c>
      <c r="DP41" s="1">
        <f>SUMPRODUCT(NOT(ISBLANK(DP$3:DP$34))*(DP$3:DP$34&lt;$LE$3:$LE$34))</f>
        <v>0</v>
      </c>
      <c r="DQ41" s="1">
        <f>SUMPRODUCT(NOT(ISBLANK(DQ$3:DQ$34))*(DQ$3:DQ$34&lt;$LF$3:$LF$34))</f>
        <v>0</v>
      </c>
      <c r="DR41" s="1">
        <f>SUMPRODUCT(NOT(ISBLANK(DR$3:DR$34))*(DR$3:DR$34&lt;$LG$3:$LG$34))</f>
        <v>0</v>
      </c>
      <c r="DS41" s="1">
        <f>SUMPRODUCT(NOT(ISBLANK(DS$3:DS$34))*(DS$3:DS$34&lt;$LH$3:$LH$34))</f>
        <v>0</v>
      </c>
      <c r="DT41" s="1"/>
      <c r="DU41" s="1">
        <f>SUMPRODUCT(NOT(ISBLANK(DU$3:DU$34))*(DU$3:DU$34&lt;$LI$3:$LI$34))</f>
        <v>0</v>
      </c>
      <c r="DV41" s="1">
        <f>SUMPRODUCT(NOT(ISBLANK(DV$3:DV$34))*(DV$3:DV$34&lt;$LJ$3:$LJ$34))</f>
        <v>0</v>
      </c>
      <c r="DW41" s="1">
        <f>SUMPRODUCT(NOT(ISBLANK(DW$3:DW$34))*(DW$3:DW$34&lt;$LK$3:$LK$34))</f>
        <v>0</v>
      </c>
      <c r="DX41" s="1">
        <f>SUMPRODUCT(NOT(ISBLANK(DX$3:DX$34))*(DX$3:DX$34&lt;$KU$3:$KU$34))</f>
        <v>0</v>
      </c>
      <c r="DY41" s="1">
        <f>SUMPRODUCT(NOT(ISBLANK(DY$3:DY$34))*(DY$3:DY$34&lt;$KV$3:$KV$34))</f>
        <v>0</v>
      </c>
      <c r="DZ41" s="1">
        <f>SUMPRODUCT(NOT(ISBLANK(DZ$3:DZ$34))*(DZ$3:DZ$34&lt;$KW$3:$KW$34))</f>
        <v>0</v>
      </c>
      <c r="EA41" s="1">
        <f>SUMPRODUCT(NOT(ISBLANK(EA$3:EA$34))*(EA$3:EA$34&lt;$KX$3:$KX$34))</f>
        <v>0</v>
      </c>
      <c r="EB41" s="1">
        <f>SUMPRODUCT(NOT(ISBLANK(EB$3:EB$34))*(EB$3:EB$34&lt;$KY$3:$KY$34))</f>
        <v>0</v>
      </c>
      <c r="EC41" s="1">
        <f>SUMPRODUCT(NOT(ISBLANK(EC$3:EC$34))*(EC$3:EC$34&lt;$KZ$3:$KZ$34))</f>
        <v>0</v>
      </c>
      <c r="ED41" s="1">
        <f>SUMPRODUCT(NOT(ISBLANK(ED$3:ED$34))*(ED$3:ED$34&lt;$LA$3:$LA$34))</f>
        <v>0</v>
      </c>
      <c r="EE41" s="1">
        <f>SUMPRODUCT(NOT(ISBLANK(EE$3:EE$34))*(EE$3:EE$34&lt;$LB$3:$LB$34))</f>
        <v>0</v>
      </c>
      <c r="EF41" s="1">
        <f>SUMPRODUCT(NOT(ISBLANK(EF$3:EF$34))*(EF$3:EF$34&lt;$LC$3:$LC$34))</f>
        <v>0</v>
      </c>
      <c r="EG41" s="1">
        <f>SUMPRODUCT(NOT(ISBLANK(EG$3:EG$34))*(EG$3:EG$34&lt;$LD$3:$LD$34))</f>
        <v>0</v>
      </c>
      <c r="EH41" s="1">
        <f>SUMPRODUCT(NOT(ISBLANK(EH$3:EH$34))*(EH$3:EH$34&lt;$LE$3:$LE$34))</f>
        <v>0</v>
      </c>
      <c r="EI41" s="1">
        <f>SUMPRODUCT(NOT(ISBLANK(EI$3:EI$34))*(EI$3:EI$34&lt;$LF$3:$LF$34))</f>
        <v>0</v>
      </c>
      <c r="EJ41" s="1">
        <f>SUMPRODUCT(NOT(ISBLANK(EJ$3:EJ$34))*(EJ$3:EJ$34&lt;$LG$3:$LG$34))</f>
        <v>0</v>
      </c>
      <c r="EK41" s="1">
        <f>SUMPRODUCT(NOT(ISBLANK(EK$3:EK$34))*(EK$3:EK$34&lt;$LH$3:$LH$34))</f>
        <v>0</v>
      </c>
      <c r="EL41" s="1"/>
      <c r="EM41" s="1">
        <f>SUMPRODUCT(NOT(ISBLANK(EM$3:EM$34))*(EM$3:EM$34&lt;$LI$3:$LI$34))</f>
        <v>0</v>
      </c>
      <c r="EN41" s="1">
        <f>SUMPRODUCT(NOT(ISBLANK(EN$3:EN$34))*(EN$3:EN$34&lt;$LJ$3:$LJ$34))</f>
        <v>0</v>
      </c>
      <c r="EO41" s="1">
        <f>SUMPRODUCT(NOT(ISBLANK(EO$3:EO$34))*(EO$3:EO$34&lt;$LK$3:$LK$34))</f>
        <v>0</v>
      </c>
      <c r="EP41" s="1">
        <f>SUMPRODUCT(NOT(ISBLANK(EP$3:EP$34))*(EP$3:EP$34&lt;$KU$3:$KU$34))</f>
        <v>0</v>
      </c>
      <c r="EQ41" s="1">
        <f>SUMPRODUCT(NOT(ISBLANK(EQ$3:EQ$34))*(EQ$3:EQ$34&lt;$KV$3:$KV$34))</f>
        <v>0</v>
      </c>
      <c r="ER41" s="1">
        <f>SUMPRODUCT(NOT(ISBLANK(ER$3:ER$34))*(ER$3:ER$34&lt;$KW$3:$KW$34))</f>
        <v>0</v>
      </c>
      <c r="ES41" s="1">
        <f>SUMPRODUCT(NOT(ISBLANK(ES$3:ES$34))*(ES$3:ES$34&lt;$KX$3:$KX$34))</f>
        <v>0</v>
      </c>
      <c r="ET41" s="1">
        <f>SUMPRODUCT(NOT(ISBLANK(ET$3:ET$34))*(ET$3:ET$34&lt;$KY$3:$KY$34))</f>
        <v>0</v>
      </c>
      <c r="EU41" s="1">
        <f>SUMPRODUCT(NOT(ISBLANK(EU$3:EU$34))*(EU$3:EU$34&lt;$KZ$3:$KZ$34))</f>
        <v>0</v>
      </c>
      <c r="EV41" s="1">
        <f>SUMPRODUCT(NOT(ISBLANK(EV$3:EV$34))*(EV$3:EV$34&lt;$LA$3:$LA$34))</f>
        <v>0</v>
      </c>
      <c r="EW41" s="1">
        <f>SUMPRODUCT(NOT(ISBLANK(EW$3:EW$34))*(EW$3:EW$34&lt;$LB$3:$LB$34))</f>
        <v>0</v>
      </c>
      <c r="EX41" s="1">
        <f>SUMPRODUCT(NOT(ISBLANK(EX$3:EX$34))*(EX$3:EX$34&lt;$LC$3:$LC$34))</f>
        <v>0</v>
      </c>
      <c r="EY41" s="1">
        <f>SUMPRODUCT(NOT(ISBLANK(EY$3:EY$34))*(EY$3:EY$34&lt;$LD$3:$LD$34))</f>
        <v>0</v>
      </c>
      <c r="EZ41" s="1">
        <f>SUMPRODUCT(NOT(ISBLANK(EZ$3:EZ$34))*(EZ$3:EZ$34&lt;$LE$3:$LE$34))</f>
        <v>0</v>
      </c>
      <c r="FA41" s="1">
        <f>SUMPRODUCT(NOT(ISBLANK(FA$3:FA$34))*(FA$3:FA$34&lt;$LF$3:$LF$34))</f>
        <v>0</v>
      </c>
      <c r="FB41" s="1">
        <f>SUMPRODUCT(NOT(ISBLANK(FB$3:FB$34))*(FB$3:FB$34&lt;$LG$3:$LG$34))</f>
        <v>0</v>
      </c>
      <c r="FC41" s="1">
        <f>SUMPRODUCT(NOT(ISBLANK(FC$3:FC$34))*(FC$3:FC$34&lt;$LH$3:$LH$34))</f>
        <v>0</v>
      </c>
      <c r="FD41" s="1"/>
      <c r="FE41" s="1">
        <f>SUMPRODUCT(NOT(ISBLANK(FE$3:FE$34))*(FE$3:FE$34&lt;$LI$3:$LI$34))</f>
        <v>0</v>
      </c>
      <c r="FF41" s="1">
        <f>SUMPRODUCT(NOT(ISBLANK(FF$3:FF$34))*(FF$3:FF$34&lt;$LJ$3:$LJ$34))</f>
        <v>0</v>
      </c>
      <c r="FG41" s="1">
        <f>SUMPRODUCT(NOT(ISBLANK(FG$3:FG$34))*(FG$3:FG$34&lt;$LK$3:$LK$34))</f>
        <v>0</v>
      </c>
      <c r="FH41" s="1">
        <f>SUMPRODUCT(NOT(ISBLANK(FH$3:FH$34))*(FH$3:FH$34&lt;$KU$3:$KU$34))</f>
        <v>0</v>
      </c>
      <c r="FI41" s="1">
        <f>SUMPRODUCT(NOT(ISBLANK(FI$3:FI$34))*(FI$3:FI$34&lt;$KV$3:$KV$34))</f>
        <v>0</v>
      </c>
      <c r="FJ41" s="1">
        <f>SUMPRODUCT(NOT(ISBLANK(FJ$3:FJ$34))*(FJ$3:FJ$34&lt;$KW$3:$KW$34))</f>
        <v>0</v>
      </c>
      <c r="FK41" s="1">
        <f>SUMPRODUCT(NOT(ISBLANK(FK$3:FK$34))*(FK$3:FK$34&lt;$KX$3:$KX$34))</f>
        <v>0</v>
      </c>
      <c r="FL41" s="1">
        <f>SUMPRODUCT(NOT(ISBLANK(FL$3:FL$34))*(FL$3:FL$34&lt;$KY$3:$KY$34))</f>
        <v>0</v>
      </c>
      <c r="FM41" s="1">
        <f>SUMPRODUCT(NOT(ISBLANK(FM$3:FM$34))*(FM$3:FM$34&lt;$KZ$3:$KZ$34))</f>
        <v>0</v>
      </c>
      <c r="FN41" s="1">
        <f>SUMPRODUCT(NOT(ISBLANK(FN$3:FN$34))*(FN$3:FN$34&lt;$LA$3:$LA$34))</f>
        <v>0</v>
      </c>
      <c r="FO41" s="1">
        <f>SUMPRODUCT(NOT(ISBLANK(FO$3:FO$34))*(FO$3:FO$34&lt;$LB$3:$LB$34))</f>
        <v>0</v>
      </c>
      <c r="FP41" s="1">
        <f>SUMPRODUCT(NOT(ISBLANK(FP$3:FP$34))*(FP$3:FP$34&lt;$LC$3:$LC$34))</f>
        <v>0</v>
      </c>
      <c r="FQ41" s="1">
        <f>SUMPRODUCT(NOT(ISBLANK(FQ$3:FQ$34))*(FQ$3:FQ$34&lt;$LD$3:$LD$34))</f>
        <v>0</v>
      </c>
      <c r="FR41" s="1">
        <f>SUMPRODUCT(NOT(ISBLANK(FR$3:FR$34))*(FR$3:FR$34&lt;$LE$3:$LE$34))</f>
        <v>0</v>
      </c>
      <c r="FS41" s="1">
        <f>SUMPRODUCT(NOT(ISBLANK(FS$3:FS$34))*(FS$3:FS$34&lt;$LF$3:$LF$34))</f>
        <v>0</v>
      </c>
      <c r="FT41" s="1">
        <f>SUMPRODUCT(NOT(ISBLANK(FT$3:FT$34))*(FT$3:FT$34&lt;$LG$3:$LG$34))</f>
        <v>0</v>
      </c>
      <c r="FU41" s="1">
        <f>SUMPRODUCT(NOT(ISBLANK(FU$3:FU$34))*(FU$3:FU$34&lt;$LH$3:$LH$34))</f>
        <v>0</v>
      </c>
      <c r="FV41" s="1"/>
      <c r="FW41" s="1">
        <f>SUMPRODUCT(NOT(ISBLANK(FW$3:FW$34))*(FW$3:FW$34&lt;$LI$3:$LI$34))</f>
        <v>0</v>
      </c>
      <c r="FX41" s="1">
        <f>SUMPRODUCT(NOT(ISBLANK(FX$3:FX$34))*(FX$3:FX$34&lt;$LJ$3:$LJ$34))</f>
        <v>0</v>
      </c>
      <c r="FY41" s="1">
        <f>SUMPRODUCT(NOT(ISBLANK(FY$3:FY$34))*(FY$3:FY$34&lt;$LK$3:$LK$34))</f>
        <v>0</v>
      </c>
      <c r="FZ41" s="1">
        <f>SUMPRODUCT(NOT(ISBLANK(FZ$3:FZ$34))*(FZ$3:FZ$34&lt;$KU$3:$KU$34))</f>
        <v>0</v>
      </c>
      <c r="GA41" s="1">
        <f>SUMPRODUCT(NOT(ISBLANK(GA$3:GA$34))*(GA$3:GA$34&lt;$KV$3:$KV$34))</f>
        <v>0</v>
      </c>
      <c r="GB41" s="1">
        <f>SUMPRODUCT(NOT(ISBLANK(GB$3:GB$34))*(GB$3:GB$34&lt;$KW$3:$KW$34))</f>
        <v>0</v>
      </c>
      <c r="GC41" s="1">
        <f>SUMPRODUCT(NOT(ISBLANK(GC$3:GC$34))*(GC$3:GC$34&lt;$KX$3:$KX$34))</f>
        <v>0</v>
      </c>
      <c r="GD41" s="1">
        <f>SUMPRODUCT(NOT(ISBLANK(GD$3:GD$34))*(GD$3:GD$34&lt;$KY$3:$KY$34))</f>
        <v>0</v>
      </c>
      <c r="GE41" s="1">
        <f>SUMPRODUCT(NOT(ISBLANK(GE$3:GE$34))*(GE$3:GE$34&lt;$KZ$3:$KZ$34))</f>
        <v>0</v>
      </c>
      <c r="GF41" s="1">
        <f>SUMPRODUCT(NOT(ISBLANK(GF$3:GF$34))*(GF$3:GF$34&lt;$LA$3:$LA$34))</f>
        <v>0</v>
      </c>
      <c r="GG41" s="1">
        <f>SUMPRODUCT(NOT(ISBLANK(GG$3:GG$34))*(GG$3:GG$34&lt;$LB$3:$LB$34))</f>
        <v>0</v>
      </c>
      <c r="GH41" s="1">
        <f>SUMPRODUCT(NOT(ISBLANK(GH$3:GH$34))*(GH$3:GH$34&lt;$LC$3:$LC$34))</f>
        <v>0</v>
      </c>
      <c r="GI41" s="1">
        <f>SUMPRODUCT(NOT(ISBLANK(GI$3:GI$34))*(GI$3:GI$34&lt;$LD$3:$LD$34))</f>
        <v>0</v>
      </c>
      <c r="GJ41" s="1">
        <f>SUMPRODUCT(NOT(ISBLANK(GJ$3:GJ$34))*(GJ$3:GJ$34&lt;$LE$3:$LE$34))</f>
        <v>0</v>
      </c>
      <c r="GK41" s="1">
        <f>SUMPRODUCT(NOT(ISBLANK(GK$3:GK$34))*(GK$3:GK$34&lt;$LF$3:$LF$34))</f>
        <v>0</v>
      </c>
      <c r="GL41" s="1">
        <f>SUMPRODUCT(NOT(ISBLANK(GL$3:GL$34))*(GL$3:GL$34&lt;$LG$3:$LG$34))</f>
        <v>0</v>
      </c>
      <c r="GM41" s="1">
        <f>SUMPRODUCT(NOT(ISBLANK(GM$3:GM$34))*(GM$3:GM$34&lt;$LH$3:$LH$34))</f>
        <v>0</v>
      </c>
      <c r="GN41" s="1"/>
      <c r="GO41" s="1">
        <f>SUMPRODUCT(NOT(ISBLANK(GO$3:GO$34))*(GO$3:GO$34&lt;$LI$3:$LI$34))</f>
        <v>0</v>
      </c>
      <c r="GP41" s="1">
        <f>SUMPRODUCT(NOT(ISBLANK(GP$3:GP$34))*(GP$3:GP$34&lt;$LJ$3:$LJ$34))</f>
        <v>0</v>
      </c>
      <c r="GQ41" s="1">
        <f>SUMPRODUCT(NOT(ISBLANK(GQ$3:GQ$34))*(GQ$3:GQ$34&lt;$LK$3:$LK$34))</f>
        <v>0</v>
      </c>
      <c r="GR41" s="1">
        <f>SUMPRODUCT(NOT(ISBLANK(GR$3:GR$34))*(GR$3:GR$34&lt;$KU$3:$KU$34))</f>
        <v>0</v>
      </c>
      <c r="GS41" s="1">
        <f>SUMPRODUCT(NOT(ISBLANK(GS$3:GS$34))*(GS$3:GS$34&lt;$KV$3:$KV$34))</f>
        <v>0</v>
      </c>
      <c r="GT41" s="1">
        <f>SUMPRODUCT(NOT(ISBLANK(GT$3:GT$34))*(GT$3:GT$34&lt;$KW$3:$KW$34))</f>
        <v>0</v>
      </c>
      <c r="GU41" s="1">
        <f>SUMPRODUCT(NOT(ISBLANK(GU$3:GU$34))*(GU$3:GU$34&lt;$KX$3:$KX$34))</f>
        <v>0</v>
      </c>
      <c r="GV41" s="1">
        <f>SUMPRODUCT(NOT(ISBLANK(GV$3:GV$34))*(GV$3:GV$34&lt;$KY$3:$KY$34))</f>
        <v>0</v>
      </c>
      <c r="GW41" s="1">
        <f>SUMPRODUCT(NOT(ISBLANK(GW$3:GW$34))*(GW$3:GW$34&lt;$KZ$3:$KZ$34))</f>
        <v>0</v>
      </c>
      <c r="GX41" s="1">
        <f>SUMPRODUCT(NOT(ISBLANK(GX$3:GX$34))*(GX$3:GX$34&lt;$LA$3:$LA$34))</f>
        <v>0</v>
      </c>
      <c r="GY41" s="1">
        <f>SUMPRODUCT(NOT(ISBLANK(GY$3:GY$34))*(GY$3:GY$34&lt;$LB$3:$LB$34))</f>
        <v>0</v>
      </c>
      <c r="GZ41" s="1">
        <f>SUMPRODUCT(NOT(ISBLANK(GZ$3:GZ$34))*(GZ$3:GZ$34&lt;$LC$3:$LC$34))</f>
        <v>0</v>
      </c>
      <c r="HA41" s="1">
        <f>SUMPRODUCT(NOT(ISBLANK(HA$3:HA$34))*(HA$3:HA$34&lt;$LD$3:$LD$34))</f>
        <v>0</v>
      </c>
      <c r="HB41" s="1">
        <f>SUMPRODUCT(NOT(ISBLANK(HB$3:HB$34))*(HB$3:HB$34&lt;$LE$3:$LE$34))</f>
        <v>0</v>
      </c>
      <c r="HC41" s="1">
        <f>SUMPRODUCT(NOT(ISBLANK(HC$3:HC$34))*(HC$3:HC$34&lt;$LF$3:$LF$34))</f>
        <v>0</v>
      </c>
      <c r="HD41" s="1">
        <f>SUMPRODUCT(NOT(ISBLANK(HD$3:HD$34))*(HD$3:HD$34&lt;$LG$3:$LG$34))</f>
        <v>0</v>
      </c>
      <c r="HE41" s="1">
        <f>SUMPRODUCT(NOT(ISBLANK(HE$3:HE$34))*(HE$3:HE$34&lt;$LH$3:$LH$34))</f>
        <v>0</v>
      </c>
      <c r="HF41" s="1"/>
      <c r="HG41" s="1">
        <f>SUMPRODUCT(NOT(ISBLANK(HG$3:HG$34))*(HG$3:HG$34&lt;$LI$3:$LI$34))</f>
        <v>0</v>
      </c>
      <c r="HH41" s="1">
        <f>SUMPRODUCT(NOT(ISBLANK(HH$3:HH$34))*(HH$3:HH$34&lt;$LJ$3:$LJ$34))</f>
        <v>0</v>
      </c>
      <c r="HI41" s="1">
        <f>SUMPRODUCT(NOT(ISBLANK(HI$3:HI$34))*(HI$3:HI$34&lt;$LK$3:$LK$34))</f>
        <v>0</v>
      </c>
      <c r="HJ41" s="1">
        <f>SUMPRODUCT(NOT(ISBLANK(HJ$3:HJ$34))*(HJ$3:HJ$34&lt;$KU$3:$KU$34))</f>
        <v>0</v>
      </c>
      <c r="HK41" s="1">
        <f>SUMPRODUCT(NOT(ISBLANK(HK$3:HK$34))*(HK$3:HK$34&lt;$KV$3:$KV$34))</f>
        <v>0</v>
      </c>
      <c r="HL41" s="1">
        <f>SUMPRODUCT(NOT(ISBLANK(HL$3:HL$34))*(HL$3:HL$34&lt;$KW$3:$KW$34))</f>
        <v>0</v>
      </c>
      <c r="HM41" s="1">
        <f>SUMPRODUCT(NOT(ISBLANK(HM$3:HM$34))*(HM$3:HM$34&lt;$KX$3:$KX$34))</f>
        <v>0</v>
      </c>
      <c r="HN41" s="1">
        <f>SUMPRODUCT(NOT(ISBLANK(HN$3:HN$34))*(HN$3:HN$34&lt;$KY$3:$KY$34))</f>
        <v>0</v>
      </c>
      <c r="HO41" s="1">
        <f>SUMPRODUCT(NOT(ISBLANK(HO$3:HO$34))*(HO$3:HO$34&lt;$KZ$3:$KZ$34))</f>
        <v>0</v>
      </c>
      <c r="HP41" s="1">
        <f>SUMPRODUCT(NOT(ISBLANK(HP$3:HP$34))*(HP$3:HP$34&lt;$LA$3:$LA$34))</f>
        <v>0</v>
      </c>
      <c r="HQ41" s="1">
        <f>SUMPRODUCT(NOT(ISBLANK(HQ$3:HQ$34))*(HQ$3:HQ$34&lt;$LB$3:$LB$34))</f>
        <v>0</v>
      </c>
      <c r="HR41" s="1">
        <f>SUMPRODUCT(NOT(ISBLANK(HR$3:HR$34))*(HR$3:HR$34&lt;$LC$3:$LC$34))</f>
        <v>0</v>
      </c>
      <c r="HS41" s="1">
        <f>SUMPRODUCT(NOT(ISBLANK(HS$3:HS$34))*(HS$3:HS$34&lt;$LD$3:$LD$34))</f>
        <v>0</v>
      </c>
      <c r="HT41" s="1">
        <f>SUMPRODUCT(NOT(ISBLANK(HT$3:HT$34))*(HT$3:HT$34&lt;$LE$3:$LE$34))</f>
        <v>0</v>
      </c>
      <c r="HU41" s="1">
        <f>SUMPRODUCT(NOT(ISBLANK(HU$3:HU$34))*(HU$3:HU$34&lt;$LF$3:$LF$34))</f>
        <v>0</v>
      </c>
      <c r="HV41" s="1">
        <f>SUMPRODUCT(NOT(ISBLANK(HV$3:HV$34))*(HV$3:HV$34&lt;$LG$3:$LG$34))</f>
        <v>0</v>
      </c>
      <c r="HW41" s="1">
        <f>SUMPRODUCT(NOT(ISBLANK(HW$3:HW$34))*(HW$3:HW$34&lt;$LH$3:$LH$34))</f>
        <v>0</v>
      </c>
      <c r="HX41" s="1"/>
      <c r="HY41" s="1">
        <f>SUMPRODUCT(NOT(ISBLANK(HY$3:HY$34))*(HY$3:HY$34&lt;$LI$3:$LI$34))</f>
        <v>0</v>
      </c>
      <c r="HZ41" s="1">
        <f>SUMPRODUCT(NOT(ISBLANK(HZ$3:HZ$34))*(HZ$3:HZ$34&lt;$LJ$3:$LJ$34))</f>
        <v>0</v>
      </c>
      <c r="IA41" s="1">
        <f>SUMPRODUCT(NOT(ISBLANK(IA$3:IA$34))*(IA$3:IA$34&lt;$LK$3:$LK$34))</f>
        <v>0</v>
      </c>
      <c r="IB41" s="1">
        <f>SUMPRODUCT(NOT(ISBLANK(IB$3:IB$34))*(IB$3:IB$34&lt;$KU$3:$KU$34))</f>
        <v>0</v>
      </c>
      <c r="IC41" s="1">
        <f>SUMPRODUCT(NOT(ISBLANK(IC$3:IC$34))*(IC$3:IC$34&lt;$KV$3:$KV$34))</f>
        <v>0</v>
      </c>
      <c r="ID41" s="1">
        <f>SUMPRODUCT(NOT(ISBLANK(ID$3:ID$34))*(ID$3:ID$34&lt;$KW$3:$KW$34))</f>
        <v>0</v>
      </c>
      <c r="IE41" s="1">
        <f>SUMPRODUCT(NOT(ISBLANK(IE$3:IE$34))*(IE$3:IE$34&lt;$KX$3:$KX$34))</f>
        <v>0</v>
      </c>
      <c r="IF41" s="1">
        <f>SUMPRODUCT(NOT(ISBLANK(IF$3:IF$34))*(IF$3:IF$34&lt;$KY$3:$KY$34))</f>
        <v>0</v>
      </c>
      <c r="IG41" s="1">
        <f>SUMPRODUCT(NOT(ISBLANK(IG$3:IG$34))*(IG$3:IG$34&lt;$KZ$3:$KZ$34))</f>
        <v>0</v>
      </c>
      <c r="IH41" s="1">
        <f>SUMPRODUCT(NOT(ISBLANK(IH$3:IH$34))*(IH$3:IH$34&lt;$LA$3:$LA$34))</f>
        <v>0</v>
      </c>
      <c r="II41" s="1">
        <f>SUMPRODUCT(NOT(ISBLANK(II$3:II$34))*(II$3:II$34&lt;$LB$3:$LB$34))</f>
        <v>0</v>
      </c>
      <c r="IJ41" s="1">
        <f>SUMPRODUCT(NOT(ISBLANK(IJ$3:IJ$34))*(IJ$3:IJ$34&lt;$LC$3:$LC$34))</f>
        <v>0</v>
      </c>
      <c r="IK41" s="1">
        <f>SUMPRODUCT(NOT(ISBLANK(IK$3:IK$34))*(IK$3:IK$34&lt;$LD$3:$LD$34))</f>
        <v>0</v>
      </c>
      <c r="IL41" s="1">
        <f>SUMPRODUCT(NOT(ISBLANK(IL$3:IL$34))*(IL$3:IL$34&lt;$LE$3:$LE$34))</f>
        <v>0</v>
      </c>
      <c r="IM41" s="1">
        <f>SUMPRODUCT(NOT(ISBLANK(IM$3:IM$34))*(IM$3:IM$34&lt;$LF$3:$LF$34))</f>
        <v>0</v>
      </c>
      <c r="IN41" s="1">
        <f>SUMPRODUCT(NOT(ISBLANK(IN$3:IN$34))*(IN$3:IN$34&lt;$LG$3:$LG$34))</f>
        <v>0</v>
      </c>
      <c r="IO41" s="1">
        <f>SUMPRODUCT(NOT(ISBLANK(IO$3:IO$34))*(IO$3:IO$34&lt;$LH$3:$LH$34))</f>
        <v>0</v>
      </c>
      <c r="IP41" s="1"/>
      <c r="IQ41" s="1">
        <f>SUMPRODUCT(NOT(ISBLANK(IQ$3:IQ$34))*(IQ$3:IQ$34&lt;$LI$3:$LI$34))</f>
        <v>0</v>
      </c>
      <c r="IR41" s="1">
        <f>SUMPRODUCT(NOT(ISBLANK(IR$3:IR$34))*(IR$3:IR$34&lt;$LJ$3:$LJ$34))</f>
        <v>0</v>
      </c>
      <c r="IS41" s="1">
        <f>SUMPRODUCT(NOT(ISBLANK(IS$3:IS$34))*(IS$3:IS$34&lt;$LK$3:$LK$34))</f>
        <v>0</v>
      </c>
      <c r="IT41" s="1">
        <f>SUMPRODUCT(NOT(ISBLANK(IT$3:IT$34))*(IT$3:IT$34&lt;$KU$3:$KU$34))</f>
        <v>0</v>
      </c>
      <c r="IU41" s="1">
        <f>SUMPRODUCT(NOT(ISBLANK(IU$3:IU$34))*(IU$3:IU$34&lt;$KV$3:$KV$34))</f>
        <v>0</v>
      </c>
      <c r="IV41" s="1">
        <f>SUMPRODUCT(NOT(ISBLANK(IV$3:IV$34))*(IV$3:IV$34&lt;$KW$3:$KW$34))</f>
        <v>0</v>
      </c>
      <c r="IW41" s="1">
        <f>SUMPRODUCT(NOT(ISBLANK(IW$3:IW$34))*(IW$3:IW$34&lt;$KX$3:$KX$34))</f>
        <v>0</v>
      </c>
      <c r="IX41" s="1">
        <f>SUMPRODUCT(NOT(ISBLANK(IX$3:IX$34))*(IX$3:IX$34&lt;$KY$3:$KY$34))</f>
        <v>0</v>
      </c>
      <c r="IY41" s="1">
        <f>SUMPRODUCT(NOT(ISBLANK(IY$3:IY$34))*(IY$3:IY$34&lt;$KZ$3:$KZ$34))</f>
        <v>0</v>
      </c>
      <c r="IZ41" s="1">
        <f>SUMPRODUCT(NOT(ISBLANK(IZ$3:IZ$34))*(IZ$3:IZ$34&lt;$LA$3:$LA$34))</f>
        <v>0</v>
      </c>
      <c r="JA41" s="1">
        <f>SUMPRODUCT(NOT(ISBLANK(JA$3:JA$34))*(JA$3:JA$34&lt;$LB$3:$LB$34))</f>
        <v>0</v>
      </c>
      <c r="JB41" s="1">
        <f>SUMPRODUCT(NOT(ISBLANK(JB$3:JB$34))*(JB$3:JB$34&lt;$LC$3:$LC$34))</f>
        <v>0</v>
      </c>
      <c r="JC41" s="1">
        <f>SUMPRODUCT(NOT(ISBLANK(JC$3:JC$34))*(JC$3:JC$34&lt;$LD$3:$LD$34))</f>
        <v>0</v>
      </c>
      <c r="JD41" s="1">
        <f>SUMPRODUCT(NOT(ISBLANK(JD$3:JD$34))*(JD$3:JD$34&lt;$LE$3:$LE$34))</f>
        <v>0</v>
      </c>
      <c r="JE41" s="1">
        <f>SUMPRODUCT(NOT(ISBLANK(JE$3:JE$34))*(JE$3:JE$34&lt;$LF$3:$LF$34))</f>
        <v>0</v>
      </c>
      <c r="JF41" s="1">
        <f>SUMPRODUCT(NOT(ISBLANK(JF$3:JF$34))*(JF$3:JF$34&lt;$LG$3:$LG$34))</f>
        <v>0</v>
      </c>
      <c r="JG41" s="1">
        <f>SUMPRODUCT(NOT(ISBLANK(JG$3:JG$34))*(JG$3:JG$34&lt;$LH$3:$LH$34))</f>
        <v>0</v>
      </c>
      <c r="JH41" s="1"/>
      <c r="JI41" s="1">
        <f>SUMPRODUCT(NOT(ISBLANK(JI$3:JI$34))*(JI$3:JI$34&lt;$LI$3:$LI$34))</f>
        <v>0</v>
      </c>
      <c r="JJ41" s="1">
        <f>SUMPRODUCT(NOT(ISBLANK(JJ$3:JJ$34))*(JJ$3:JJ$34&lt;$LJ$3:$LJ$34))</f>
        <v>0</v>
      </c>
      <c r="JK41" s="1">
        <f>SUMPRODUCT(NOT(ISBLANK(JK$3:JK$34))*(JK$3:JK$34&lt;$LK$3:$LK$34))</f>
        <v>0</v>
      </c>
      <c r="JL41" s="1">
        <f>SUMPRODUCT(NOT(ISBLANK(JL$3:JL$34))*(JL$3:JL$34&lt;$KU$3:$KU$34))</f>
        <v>0</v>
      </c>
      <c r="JM41" s="1">
        <f>SUMPRODUCT(NOT(ISBLANK(JM$3:JM$34))*(JM$3:JM$34&lt;$KV$3:$KV$34))</f>
        <v>0</v>
      </c>
      <c r="JN41" s="1">
        <f>SUMPRODUCT(NOT(ISBLANK(JN$3:JN$34))*(JN$3:JN$34&lt;$KW$3:$KW$34))</f>
        <v>0</v>
      </c>
      <c r="JO41" s="1">
        <f>SUMPRODUCT(NOT(ISBLANK(JO$3:JO$34))*(JO$3:JO$34&lt;$KX$3:$KX$34))</f>
        <v>0</v>
      </c>
      <c r="JP41" s="1">
        <f>SUMPRODUCT(NOT(ISBLANK(JP$3:JP$34))*(JP$3:JP$34&lt;$KY$3:$KY$34))</f>
        <v>0</v>
      </c>
      <c r="JQ41" s="1">
        <f>SUMPRODUCT(NOT(ISBLANK(JQ$3:JQ$34))*(JQ$3:JQ$34&lt;$KZ$3:$KZ$34))</f>
        <v>0</v>
      </c>
      <c r="JR41" s="1">
        <f>SUMPRODUCT(NOT(ISBLANK(JR$3:JR$34))*(JR$3:JR$34&lt;$LA$3:$LA$34))</f>
        <v>0</v>
      </c>
      <c r="JS41" s="1">
        <f>SUMPRODUCT(NOT(ISBLANK(JS$3:JS$34))*(JS$3:JS$34&lt;$LB$3:$LB$34))</f>
        <v>0</v>
      </c>
      <c r="JT41" s="1">
        <f>SUMPRODUCT(NOT(ISBLANK(JT$3:JT$34))*(JT$3:JT$34&lt;$LC$3:$LC$34))</f>
        <v>0</v>
      </c>
      <c r="JU41" s="1">
        <f>SUMPRODUCT(NOT(ISBLANK(JU$3:JU$34))*(JU$3:JU$34&lt;$LD$3:$LD$34))</f>
        <v>0</v>
      </c>
      <c r="JV41" s="1">
        <f>SUMPRODUCT(NOT(ISBLANK(JV$3:JV$34))*(JV$3:JV$34&lt;$LE$3:$LE$34))</f>
        <v>0</v>
      </c>
      <c r="JW41" s="1">
        <f>SUMPRODUCT(NOT(ISBLANK(JW$3:JW$34))*(JW$3:JW$34&lt;$LF$3:$LF$34))</f>
        <v>0</v>
      </c>
      <c r="JX41" s="1">
        <f>SUMPRODUCT(NOT(ISBLANK(JX$3:JX$34))*(JX$3:JX$34&lt;$LG$3:$LG$34))</f>
        <v>0</v>
      </c>
      <c r="JY41" s="1">
        <f>SUMPRODUCT(NOT(ISBLANK(JY$3:JY$34))*(JY$3:JY$34&lt;$LH$3:$LH$34))</f>
        <v>0</v>
      </c>
      <c r="JZ41" s="1"/>
      <c r="KA41" s="1">
        <f>SUMPRODUCT(NOT(ISBLANK(KA$3:KA$34))*(KA$3:KA$34&lt;$LI$3:$LI$34))</f>
        <v>0</v>
      </c>
      <c r="KB41" s="1">
        <f>SUMPRODUCT(NOT(ISBLANK(KB$3:KB$34))*(KB$3:KB$34&lt;$LJ$3:$LJ$34))</f>
        <v>0</v>
      </c>
      <c r="KC41" s="1">
        <f>SUMPRODUCT(NOT(ISBLANK(KC$3:KC$34))*(KC$3:KC$34&lt;$LK$3:$LK$34))</f>
        <v>0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</row>
    <row r="42" spans="1:340">
      <c r="A42" s="1" t="s">
        <v>38</v>
      </c>
      <c r="B42" s="1">
        <f>SUMPRODUCT((NOT(ISBLANK(B$3:B$34))*(B$3:B$34&gt;$KU$3:$KU$34))+ISBLANK(B$3:B$34))</f>
        <v>0</v>
      </c>
      <c r="C42" s="1">
        <f>SUMPRODUCT((NOT(ISBLANK(C$3:C$34))*(C$3:C$34&gt;$KV$3:$KV$34))+ISBLANK(C$3:C$34))</f>
        <v>0</v>
      </c>
      <c r="D42" s="1">
        <f>SUMPRODUCT((NOT(ISBLANK(D$3:D$34))*(D$3:D$34&gt;$KW$3:$KW$34))+ISBLANK(D$3:D$34))</f>
        <v>0</v>
      </c>
      <c r="E42" s="1">
        <f>SUMPRODUCT((NOT(ISBLANK(E$3:E$34))*(E$3:E$34&gt;$KX$3:$KX$34))+ISBLANK(E$3:E$34))</f>
        <v>0</v>
      </c>
      <c r="F42" s="1">
        <f>SUMPRODUCT((NOT(ISBLANK(F$3:F$34))*(F$3:F$34&gt;$KY$3:$KY$34))+ISBLANK(F$3:F$34))</f>
        <v>0</v>
      </c>
      <c r="G42" s="1">
        <f>SUMPRODUCT((NOT(ISBLANK(G$3:G$34))*(G$3:G$34&gt;$KZ$3:$KZ$34))+ISBLANK(G$3:G$34))</f>
        <v>0</v>
      </c>
      <c r="H42" s="1">
        <f>SUMPRODUCT((NOT(ISBLANK(H$3:H$34))*(H$3:H$34&gt;$LA$3:$LA$34))+ISBLANK(H$3:H$34))</f>
        <v>0</v>
      </c>
      <c r="I42" s="1">
        <f>SUMPRODUCT((NOT(ISBLANK(I$3:I$34))*(I$3:I$34&gt;$LB$3:$LB$34))+ISBLANK(I$3:I$34))</f>
        <v>0</v>
      </c>
      <c r="J42" s="1">
        <f>SUMPRODUCT((NOT(ISBLANK(J$3:J$34))*(J$3:J$34&gt;$LC$3:$LC$34))+ISBLANK(J$3:J$34))</f>
        <v>0</v>
      </c>
      <c r="K42" s="1">
        <f>SUMPRODUCT((NOT(ISBLANK(K$3:K$34))*(K$3:K$34&gt;$LD$3:$LD$34))+ISBLANK(K$3:K$34))</f>
        <v>0</v>
      </c>
      <c r="L42" s="1">
        <f>SUMPRODUCT((NOT(ISBLANK(L$3:L$34))*(L$3:L$34&gt;$LE$3:$LE$34))+ISBLANK(L$3:L$34))</f>
        <v>0</v>
      </c>
      <c r="M42" s="1">
        <f>SUMPRODUCT((NOT(ISBLANK(M$3:M$34))*(M$3:M$34&gt;$LF$3:$LF$34))+ISBLANK(M$3:M$34))</f>
        <v>0</v>
      </c>
      <c r="N42" s="1">
        <f>SUMPRODUCT((NOT(ISBLANK(N$3:N$34))*(N$3:N$34&gt;$LG$3:$LG$34))+ISBLANK(N$3:N$34))</f>
        <v>0</v>
      </c>
      <c r="O42" s="1">
        <f>SUMPRODUCT((NOT(ISBLANK(O$3:O$34))*(O$3:O$34&gt;$LH$3:$LH$34))+ISBLANK(O$3:O$34))</f>
        <v>0</v>
      </c>
      <c r="P42" s="1"/>
      <c r="Q42" s="1">
        <f>SUMPRODUCT((NOT(ISBLANK(Q$3:Q$34))*(Q$3:Q$34&gt;$LI$3:$LI$34))+ISBLANK(Q$3:Q$34))</f>
        <v>0</v>
      </c>
      <c r="R42" s="1">
        <f>SUMPRODUCT((NOT(ISBLANK(R$3:R$34))*(R$3:R$34&gt;$LJ$3:$LJ$34))+ISBLANK(R$3:R$34))</f>
        <v>0</v>
      </c>
      <c r="S42" s="1">
        <f>SUMPRODUCT((NOT(ISBLANK(S$3:S$34))*(S$3:S$34&gt;$LK$3:$LK$34))+ISBLANK(S$3:S$34))</f>
        <v>0</v>
      </c>
      <c r="T42" s="1">
        <f>SUMPRODUCT((NOT(ISBLANK(T$3:T$34))*(T$3:T$34&gt;$KU$3:$KU$34))+ISBLANK(T$3:T$34))</f>
        <v>0</v>
      </c>
      <c r="U42" s="1">
        <f>SUMPRODUCT((NOT(ISBLANK(U$3:U$34))*(U$3:U$34&gt;$KV$3:$KV$34))+ISBLANK(U$3:U$34))</f>
        <v>0</v>
      </c>
      <c r="V42" s="1">
        <f>SUMPRODUCT((NOT(ISBLANK(V$3:V$34))*(V$3:V$34&gt;$KW$3:$KW$34))+ISBLANK(V$3:V$34))</f>
        <v>0</v>
      </c>
      <c r="W42" s="1">
        <f>SUMPRODUCT((NOT(ISBLANK(W$3:W$34))*(W$3:W$34&gt;$KX$3:$KX$34))+ISBLANK(W$3:W$34))</f>
        <v>0</v>
      </c>
      <c r="X42" s="1">
        <f>SUMPRODUCT((NOT(ISBLANK(X$3:X$34))*(X$3:X$34&gt;$KY$3:$KY$34))+ISBLANK(X$3:X$34))</f>
        <v>0</v>
      </c>
      <c r="Y42" s="1">
        <f>SUMPRODUCT((NOT(ISBLANK(Y$3:Y$34))*(Y$3:Y$34&gt;$KZ$3:$KZ$34))+ISBLANK(Y$3:Y$34))</f>
        <v>0</v>
      </c>
      <c r="Z42" s="1">
        <f>SUMPRODUCT((NOT(ISBLANK(Z$3:Z$34))*(Z$3:Z$34&gt;$LA$3:$LA$34))+ISBLANK(Z$3:Z$34))</f>
        <v>0</v>
      </c>
      <c r="AA42" s="1">
        <f>SUMPRODUCT((NOT(ISBLANK(AA$3:AA$34))*(AA$3:AA$34&gt;$LB$3:$LB$34))+ISBLANK(AA$3:AA$34))</f>
        <v>0</v>
      </c>
      <c r="AB42" s="1">
        <f>SUMPRODUCT((NOT(ISBLANK(AB$3:AB$34))*(AB$3:AB$34&gt;$LC$3:$LC$34))+ISBLANK(AB$3:AB$34))</f>
        <v>0</v>
      </c>
      <c r="AC42" s="1">
        <f>SUMPRODUCT((NOT(ISBLANK(AC$3:AC$34))*(AC$3:AC$34&gt;$LD$3:$LD$34))+ISBLANK(AC$3:AC$34))</f>
        <v>0</v>
      </c>
      <c r="AD42" s="1">
        <f>SUMPRODUCT((NOT(ISBLANK(AD$3:AD$34))*(AD$3:AD$34&gt;$LE$3:$LE$34))+ISBLANK(AD$3:AD$34))</f>
        <v>0</v>
      </c>
      <c r="AE42" s="1">
        <f>SUMPRODUCT((NOT(ISBLANK(AE$3:AE$34))*(AE$3:AE$34&gt;$LF$3:$LF$34))+ISBLANK(AE$3:AE$34))</f>
        <v>0</v>
      </c>
      <c r="AF42" s="1">
        <f>SUMPRODUCT((NOT(ISBLANK(AF$3:AF$34))*(AF$3:AF$34&gt;$LG$3:$LG$34))+ISBLANK(AF$3:AF$34))</f>
        <v>0</v>
      </c>
      <c r="AG42" s="1">
        <f>SUMPRODUCT((NOT(ISBLANK(AG$3:AG$34))*(AG$3:AG$34&gt;$LH$3:$LH$34))+ISBLANK(AG$3:AG$34))</f>
        <v>0</v>
      </c>
      <c r="AH42" s="1"/>
      <c r="AI42" s="1">
        <f>SUMPRODUCT((NOT(ISBLANK(AI$3:AI$34))*(AI$3:AI$34&gt;$LI$3:$LI$34))+ISBLANK(AI$3:AI$34))</f>
        <v>0</v>
      </c>
      <c r="AJ42" s="1">
        <f>SUMPRODUCT((NOT(ISBLANK(AJ$3:AJ$34))*(AJ$3:AJ$34&gt;$LJ$3:$LJ$34))+ISBLANK(AJ$3:AJ$34))</f>
        <v>0</v>
      </c>
      <c r="AK42" s="1">
        <f>SUMPRODUCT((NOT(ISBLANK(AK$3:AK$34))*(AK$3:AK$34&gt;$LK$3:$LK$34))+ISBLANK(AK$3:AK$34))</f>
        <v>0</v>
      </c>
      <c r="AL42" s="1">
        <f>SUMPRODUCT((NOT(ISBLANK(AL$3:AL$34))*(AL$3:AL$34&gt;$KU$3:$KU$34))+ISBLANK(AL$3:AL$34))</f>
        <v>0</v>
      </c>
      <c r="AM42" s="1">
        <f>SUMPRODUCT((NOT(ISBLANK(AM$3:AM$34))*(AM$3:AM$34&gt;$KV$3:$KV$34))+ISBLANK(AM$3:AM$34))</f>
        <v>0</v>
      </c>
      <c r="AN42" s="1">
        <f>SUMPRODUCT((NOT(ISBLANK(AN$3:AN$34))*(AN$3:AN$34&gt;$KW$3:$KW$34))+ISBLANK(AN$3:AN$34))</f>
        <v>0</v>
      </c>
      <c r="AO42" s="1">
        <f>SUMPRODUCT((NOT(ISBLANK(AO$3:AO$34))*(AO$3:AO$34&gt;$KX$3:$KX$34))+ISBLANK(AO$3:AO$34))</f>
        <v>0</v>
      </c>
      <c r="AP42" s="1">
        <f>SUMPRODUCT((NOT(ISBLANK(AP$3:AP$34))*(AP$3:AP$34&gt;$KY$3:$KY$34))+ISBLANK(AP$3:AP$34))</f>
        <v>0</v>
      </c>
      <c r="AQ42" s="1">
        <f>SUMPRODUCT((NOT(ISBLANK(AQ$3:AQ$34))*(AQ$3:AQ$34&gt;$KZ$3:$KZ$34))+ISBLANK(AQ$3:AQ$34))</f>
        <v>0</v>
      </c>
      <c r="AR42" s="1">
        <f>SUMPRODUCT((NOT(ISBLANK(AR$3:AR$34))*(AR$3:AR$34&gt;$LA$3:$LA$34))+ISBLANK(AR$3:AR$34))</f>
        <v>0</v>
      </c>
      <c r="AS42" s="1">
        <f>SUMPRODUCT((NOT(ISBLANK(AS$3:AS$34))*(AS$3:AS$34&gt;$LB$3:$LB$34))+ISBLANK(AS$3:AS$34))</f>
        <v>0</v>
      </c>
      <c r="AT42" s="1">
        <f>SUMPRODUCT((NOT(ISBLANK(AT$3:AT$34))*(AT$3:AT$34&gt;$LC$3:$LC$34))+ISBLANK(AT$3:AT$34))</f>
        <v>0</v>
      </c>
      <c r="AU42" s="1">
        <f>SUMPRODUCT((NOT(ISBLANK(AU$3:AU$34))*(AU$3:AU$34&gt;$LD$3:$LD$34))+ISBLANK(AU$3:AU$34))</f>
        <v>0</v>
      </c>
      <c r="AV42" s="1">
        <f>SUMPRODUCT((NOT(ISBLANK(AV$3:AV$34))*(AV$3:AV$34&gt;$LE$3:$LE$34))+ISBLANK(AV$3:AV$34))</f>
        <v>0</v>
      </c>
      <c r="AW42" s="1">
        <f>SUMPRODUCT((NOT(ISBLANK(AW$3:AW$34))*(AW$3:AW$34&gt;$LF$3:$LF$34))+ISBLANK(AW$3:AW$34))</f>
        <v>0</v>
      </c>
      <c r="AX42" s="1">
        <f>SUMPRODUCT((NOT(ISBLANK(AX$3:AX$34))*(AX$3:AX$34&gt;$LG$3:$LG$34))+ISBLANK(AX$3:AX$34))</f>
        <v>0</v>
      </c>
      <c r="AY42" s="1">
        <f>SUMPRODUCT((NOT(ISBLANK(AY$3:AY$34))*(AY$3:AY$34&gt;$LH$3:$LH$34))+ISBLANK(AY$3:AY$34))</f>
        <v>0</v>
      </c>
      <c r="AZ42" s="1"/>
      <c r="BA42" s="1">
        <f>SUMPRODUCT((NOT(ISBLANK(BA$3:BA$34))*(BA$3:BA$34&gt;$LI$3:$LI$34))+ISBLANK(BA$3:BA$34))</f>
        <v>0</v>
      </c>
      <c r="BB42" s="1">
        <f>SUMPRODUCT((NOT(ISBLANK(BB$3:BB$34))*(BB$3:BB$34&gt;$LJ$3:$LJ$34))+ISBLANK(BB$3:BB$34))</f>
        <v>0</v>
      </c>
      <c r="BC42" s="1">
        <f>SUMPRODUCT((NOT(ISBLANK(BC$3:BC$34))*(BC$3:BC$34&gt;$LK$3:$LK$34))+ISBLANK(BC$3:BC$34))</f>
        <v>0</v>
      </c>
      <c r="BD42" s="1">
        <f>SUMPRODUCT((NOT(ISBLANK(BD$3:BD$34))*(BD$3:BD$34&gt;$KU$3:$KU$34))+ISBLANK(BD$3:BD$34))</f>
        <v>0</v>
      </c>
      <c r="BE42" s="1">
        <f>SUMPRODUCT((NOT(ISBLANK(BE$3:BE$34))*(BE$3:BE$34&gt;$KV$3:$KV$34))+ISBLANK(BE$3:BE$34))</f>
        <v>0</v>
      </c>
      <c r="BF42" s="1">
        <f>SUMPRODUCT((NOT(ISBLANK(BF$3:BF$34))*(BF$3:BF$34&gt;$KW$3:$KW$34))+ISBLANK(BF$3:BF$34))</f>
        <v>0</v>
      </c>
      <c r="BG42" s="1">
        <f>SUMPRODUCT((NOT(ISBLANK(BG$3:BG$34))*(BG$3:BG$34&gt;$KX$3:$KX$34))+ISBLANK(BG$3:BG$34))</f>
        <v>0</v>
      </c>
      <c r="BH42" s="1">
        <f>SUMPRODUCT((NOT(ISBLANK(BH$3:BH$34))*(BH$3:BH$34&gt;$KY$3:$KY$34))+ISBLANK(BH$3:BH$34))</f>
        <v>0</v>
      </c>
      <c r="BI42" s="1">
        <f>SUMPRODUCT((NOT(ISBLANK(BI$3:BI$34))*(BI$3:BI$34&gt;$KZ$3:$KZ$34))+ISBLANK(BI$3:BI$34))</f>
        <v>0</v>
      </c>
      <c r="BJ42" s="1">
        <f>SUMPRODUCT((NOT(ISBLANK(BJ$3:BJ$34))*(BJ$3:BJ$34&gt;$LA$3:$LA$34))+ISBLANK(BJ$3:BJ$34))</f>
        <v>0</v>
      </c>
      <c r="BK42" s="1">
        <f>SUMPRODUCT((NOT(ISBLANK(BK$3:BK$34))*(BK$3:BK$34&gt;$LB$3:$LB$34))+ISBLANK(BK$3:BK$34))</f>
        <v>0</v>
      </c>
      <c r="BL42" s="1">
        <f>SUMPRODUCT((NOT(ISBLANK(BL$3:BL$34))*(BL$3:BL$34&gt;$LC$3:$LC$34))+ISBLANK(BL$3:BL$34))</f>
        <v>0</v>
      </c>
      <c r="BM42" s="1">
        <f>SUMPRODUCT((NOT(ISBLANK(BM$3:BM$34))*(BM$3:BM$34&gt;$LD$3:$LD$34))+ISBLANK(BM$3:BM$34))</f>
        <v>0</v>
      </c>
      <c r="BN42" s="1">
        <f>SUMPRODUCT((NOT(ISBLANK(BN$3:BN$34))*(BN$3:BN$34&gt;$LE$3:$LE$34))+ISBLANK(BN$3:BN$34))</f>
        <v>0</v>
      </c>
      <c r="BO42" s="1">
        <f>SUMPRODUCT((NOT(ISBLANK(BO$3:BO$34))*(BO$3:BO$34&gt;$LF$3:$LF$34))+ISBLANK(BO$3:BO$34))</f>
        <v>0</v>
      </c>
      <c r="BP42" s="1">
        <f>SUMPRODUCT((NOT(ISBLANK(BP$3:BP$34))*(BP$3:BP$34&gt;$LG$3:$LG$34))+ISBLANK(BP$3:BP$34))</f>
        <v>0</v>
      </c>
      <c r="BQ42" s="1">
        <f>SUMPRODUCT((NOT(ISBLANK(BQ$3:BQ$34))*(BQ$3:BQ$34&gt;$LH$3:$LH$34))+ISBLANK(BQ$3:BQ$34))</f>
        <v>0</v>
      </c>
      <c r="BR42" s="1"/>
      <c r="BS42" s="1">
        <f>SUMPRODUCT((NOT(ISBLANK(BS$3:BS$34))*(BS$3:BS$34&gt;$LI$3:$LI$34))+ISBLANK(BS$3:BS$34))</f>
        <v>0</v>
      </c>
      <c r="BT42" s="1">
        <f>SUMPRODUCT((NOT(ISBLANK(BT$3:BT$34))*(BT$3:BT$34&gt;$LJ$3:$LJ$34))+ISBLANK(BT$3:BT$34))</f>
        <v>0</v>
      </c>
      <c r="BU42" s="1">
        <f>SUMPRODUCT((NOT(ISBLANK(BU$3:BU$34))*(BU$3:BU$34&gt;$LK$3:$LK$34))+ISBLANK(BU$3:BU$34))</f>
        <v>0</v>
      </c>
      <c r="BV42" s="1">
        <f>SUMPRODUCT((NOT(ISBLANK(BV$3:BV$34))*(BV$3:BV$34&gt;$KU$3:$KU$34))+ISBLANK(BV$3:BV$34))</f>
        <v>0</v>
      </c>
      <c r="BW42" s="1">
        <f>SUMPRODUCT((NOT(ISBLANK(BW$3:BW$34))*(BW$3:BW$34&gt;$KV$3:$KV$34))+ISBLANK(BW$3:BW$34))</f>
        <v>0</v>
      </c>
      <c r="BX42" s="1">
        <f>SUMPRODUCT((NOT(ISBLANK(BX$3:BX$34))*(BX$3:BX$34&gt;$KW$3:$KW$34))+ISBLANK(BX$3:BX$34))</f>
        <v>0</v>
      </c>
      <c r="BY42" s="1">
        <f>SUMPRODUCT((NOT(ISBLANK(BY$3:BY$34))*(BY$3:BY$34&gt;$KX$3:$KX$34))+ISBLANK(BY$3:BY$34))</f>
        <v>0</v>
      </c>
      <c r="BZ42" s="1">
        <f>SUMPRODUCT((NOT(ISBLANK(BZ$3:BZ$34))*(BZ$3:BZ$34&gt;$KY$3:$KY$34))+ISBLANK(BZ$3:BZ$34))</f>
        <v>0</v>
      </c>
      <c r="CA42" s="1">
        <f>SUMPRODUCT((NOT(ISBLANK(CA$3:CA$34))*(CA$3:CA$34&gt;$KZ$3:$KZ$34))+ISBLANK(CA$3:CA$34))</f>
        <v>0</v>
      </c>
      <c r="CB42" s="1">
        <f>SUMPRODUCT((NOT(ISBLANK(CB$3:CB$34))*(CB$3:CB$34&gt;$LA$3:$LA$34))+ISBLANK(CB$3:CB$34))</f>
        <v>0</v>
      </c>
      <c r="CC42" s="1">
        <f>SUMPRODUCT((NOT(ISBLANK(CC$3:CC$34))*(CC$3:CC$34&gt;$LB$3:$LB$34))+ISBLANK(CC$3:CC$34))</f>
        <v>0</v>
      </c>
      <c r="CD42" s="1">
        <f>SUMPRODUCT((NOT(ISBLANK(CD$3:CD$34))*(CD$3:CD$34&gt;$LC$3:$LC$34))+ISBLANK(CD$3:CD$34))</f>
        <v>0</v>
      </c>
      <c r="CE42" s="1">
        <f>SUMPRODUCT((NOT(ISBLANK(CE$3:CE$34))*(CE$3:CE$34&gt;$LD$3:$LD$34))+ISBLANK(CE$3:CE$34))</f>
        <v>0</v>
      </c>
      <c r="CF42" s="1">
        <f>SUMPRODUCT((NOT(ISBLANK(CF$3:CF$34))*(CF$3:CF$34&gt;$LE$3:$LE$34))+ISBLANK(CF$3:CF$34))</f>
        <v>0</v>
      </c>
      <c r="CG42" s="1">
        <f>SUMPRODUCT((NOT(ISBLANK(CG$3:CG$34))*(CG$3:CG$34&gt;$LF$3:$LF$34))+ISBLANK(CG$3:CG$34))</f>
        <v>0</v>
      </c>
      <c r="CH42" s="1">
        <f>SUMPRODUCT((NOT(ISBLANK(CH$3:CH$34))*(CH$3:CH$34&gt;$LG$3:$LG$34))+ISBLANK(CH$3:CH$34))</f>
        <v>0</v>
      </c>
      <c r="CI42" s="1">
        <f>SUMPRODUCT((NOT(ISBLANK(CI$3:CI$34))*(CI$3:CI$34&gt;$LH$3:$LH$34))+ISBLANK(CI$3:CI$34))</f>
        <v>0</v>
      </c>
      <c r="CJ42" s="1"/>
      <c r="CK42" s="1">
        <f>SUMPRODUCT((NOT(ISBLANK(CK$3:CK$34))*(CK$3:CK$34&gt;$LI$3:$LI$34))+ISBLANK(CK$3:CK$34))</f>
        <v>0</v>
      </c>
      <c r="CL42" s="1">
        <f>SUMPRODUCT((NOT(ISBLANK(CL$3:CL$34))*(CL$3:CL$34&gt;$LJ$3:$LJ$34))+ISBLANK(CL$3:CL$34))</f>
        <v>0</v>
      </c>
      <c r="CM42" s="1">
        <f>SUMPRODUCT((NOT(ISBLANK(CM$3:CM$34))*(CM$3:CM$34&gt;$LK$3:$LK$34))+ISBLANK(CM$3:CM$34))</f>
        <v>0</v>
      </c>
      <c r="CN42" s="1">
        <f>SUMPRODUCT((NOT(ISBLANK(CN$3:CN$34))*(CN$3:CN$34&gt;$KU$3:$KU$34))+ISBLANK(CN$3:CN$34))</f>
        <v>0</v>
      </c>
      <c r="CO42" s="1">
        <f>SUMPRODUCT((NOT(ISBLANK(CO$3:CO$34))*(CO$3:CO$34&gt;$KV$3:$KV$34))+ISBLANK(CO$3:CO$34))</f>
        <v>0</v>
      </c>
      <c r="CP42" s="1">
        <f>SUMPRODUCT((NOT(ISBLANK(CP$3:CP$34))*(CP$3:CP$34&gt;$KW$3:$KW$34))+ISBLANK(CP$3:CP$34))</f>
        <v>0</v>
      </c>
      <c r="CQ42" s="1">
        <f>SUMPRODUCT((NOT(ISBLANK(CQ$3:CQ$34))*(CQ$3:CQ$34&gt;$KX$3:$KX$34))+ISBLANK(CQ$3:CQ$34))</f>
        <v>0</v>
      </c>
      <c r="CR42" s="1">
        <f>SUMPRODUCT((NOT(ISBLANK(CR$3:CR$34))*(CR$3:CR$34&gt;$KY$3:$KY$34))+ISBLANK(CR$3:CR$34))</f>
        <v>0</v>
      </c>
      <c r="CS42" s="1">
        <f>SUMPRODUCT((NOT(ISBLANK(CS$3:CS$34))*(CS$3:CS$34&gt;$KZ$3:$KZ$34))+ISBLANK(CS$3:CS$34))</f>
        <v>0</v>
      </c>
      <c r="CT42" s="1">
        <f>SUMPRODUCT((NOT(ISBLANK(CT$3:CT$34))*(CT$3:CT$34&gt;$LA$3:$LA$34))+ISBLANK(CT$3:CT$34))</f>
        <v>0</v>
      </c>
      <c r="CU42" s="1">
        <f>SUMPRODUCT((NOT(ISBLANK(CU$3:CU$34))*(CU$3:CU$34&gt;$LB$3:$LB$34))+ISBLANK(CU$3:CU$34))</f>
        <v>0</v>
      </c>
      <c r="CV42" s="1">
        <f>SUMPRODUCT((NOT(ISBLANK(CV$3:CV$34))*(CV$3:CV$34&gt;$LC$3:$LC$34))+ISBLANK(CV$3:CV$34))</f>
        <v>0</v>
      </c>
      <c r="CW42" s="1">
        <f>SUMPRODUCT((NOT(ISBLANK(CW$3:CW$34))*(CW$3:CW$34&gt;$LD$3:$LD$34))+ISBLANK(CW$3:CW$34))</f>
        <v>0</v>
      </c>
      <c r="CX42" s="1">
        <f>SUMPRODUCT((NOT(ISBLANK(CX$3:CX$34))*(CX$3:CX$34&gt;$LE$3:$LE$34))+ISBLANK(CX$3:CX$34))</f>
        <v>0</v>
      </c>
      <c r="CY42" s="1">
        <f>SUMPRODUCT((NOT(ISBLANK(CY$3:CY$34))*(CY$3:CY$34&gt;$LF$3:$LF$34))+ISBLANK(CY$3:CY$34))</f>
        <v>0</v>
      </c>
      <c r="CZ42" s="1">
        <f>SUMPRODUCT((NOT(ISBLANK(CZ$3:CZ$34))*(CZ$3:CZ$34&gt;$LG$3:$LG$34))+ISBLANK(CZ$3:CZ$34))</f>
        <v>0</v>
      </c>
      <c r="DA42" s="1">
        <f>SUMPRODUCT((NOT(ISBLANK(DA$3:DA$34))*(DA$3:DA$34&gt;$LH$3:$LH$34))+ISBLANK(DA$3:DA$34))</f>
        <v>0</v>
      </c>
      <c r="DB42" s="1"/>
      <c r="DC42" s="1">
        <f>SUMPRODUCT((NOT(ISBLANK(DC$3:DC$34))*(DC$3:DC$34&gt;$LI$3:$LI$34))+ISBLANK(DC$3:DC$34))</f>
        <v>0</v>
      </c>
      <c r="DD42" s="1">
        <f>SUMPRODUCT((NOT(ISBLANK(DD$3:DD$34))*(DD$3:DD$34&gt;$LJ$3:$LJ$34))+ISBLANK(DD$3:DD$34))</f>
        <v>0</v>
      </c>
      <c r="DE42" s="1">
        <f>SUMPRODUCT((NOT(ISBLANK(DE$3:DE$34))*(DE$3:DE$34&gt;$LK$3:$LK$34))+ISBLANK(DE$3:DE$34))</f>
        <v>0</v>
      </c>
      <c r="DF42" s="1">
        <f>SUMPRODUCT((NOT(ISBLANK(DF$3:DF$34))*(DF$3:DF$34&gt;$KU$3:$KU$34))+ISBLANK(DF$3:DF$34))</f>
        <v>0</v>
      </c>
      <c r="DG42" s="1">
        <f>SUMPRODUCT((NOT(ISBLANK(DG$3:DG$34))*(DG$3:DG$34&gt;$KV$3:$KV$34))+ISBLANK(DG$3:DG$34))</f>
        <v>0</v>
      </c>
      <c r="DH42" s="1">
        <f>SUMPRODUCT((NOT(ISBLANK(DH$3:DH$34))*(DH$3:DH$34&gt;$KW$3:$KW$34))+ISBLANK(DH$3:DH$34))</f>
        <v>0</v>
      </c>
      <c r="DI42" s="1">
        <f>SUMPRODUCT((NOT(ISBLANK(DI$3:DI$34))*(DI$3:DI$34&gt;$KX$3:$KX$34))+ISBLANK(DI$3:DI$34))</f>
        <v>0</v>
      </c>
      <c r="DJ42" s="1">
        <f>SUMPRODUCT((NOT(ISBLANK(DJ$3:DJ$34))*(DJ$3:DJ$34&gt;$KY$3:$KY$34))+ISBLANK(DJ$3:DJ$34))</f>
        <v>0</v>
      </c>
      <c r="DK42" s="1">
        <f>SUMPRODUCT((NOT(ISBLANK(DK$3:DK$34))*(DK$3:DK$34&gt;$KZ$3:$KZ$34))+ISBLANK(DK$3:DK$34))</f>
        <v>0</v>
      </c>
      <c r="DL42" s="1">
        <f>SUMPRODUCT((NOT(ISBLANK(DL$3:DL$34))*(DL$3:DL$34&gt;$LA$3:$LA$34))+ISBLANK(DL$3:DL$34))</f>
        <v>0</v>
      </c>
      <c r="DM42" s="1">
        <f>SUMPRODUCT((NOT(ISBLANK(DM$3:DM$34))*(DM$3:DM$34&gt;$LB$3:$LB$34))+ISBLANK(DM$3:DM$34))</f>
        <v>0</v>
      </c>
      <c r="DN42" s="1">
        <f>SUMPRODUCT((NOT(ISBLANK(DN$3:DN$34))*(DN$3:DN$34&gt;$LC$3:$LC$34))+ISBLANK(DN$3:DN$34))</f>
        <v>0</v>
      </c>
      <c r="DO42" s="1">
        <f>SUMPRODUCT((NOT(ISBLANK(DO$3:DO$34))*(DO$3:DO$34&gt;$LD$3:$LD$34))+ISBLANK(DO$3:DO$34))</f>
        <v>0</v>
      </c>
      <c r="DP42" s="1">
        <f>SUMPRODUCT((NOT(ISBLANK(DP$3:DP$34))*(DP$3:DP$34&gt;$LE$3:$LE$34))+ISBLANK(DP$3:DP$34))</f>
        <v>0</v>
      </c>
      <c r="DQ42" s="1">
        <f>SUMPRODUCT((NOT(ISBLANK(DQ$3:DQ$34))*(DQ$3:DQ$34&gt;$LF$3:$LF$34))+ISBLANK(DQ$3:DQ$34))</f>
        <v>0</v>
      </c>
      <c r="DR42" s="1">
        <f>SUMPRODUCT((NOT(ISBLANK(DR$3:DR$34))*(DR$3:DR$34&gt;$LG$3:$LG$34))+ISBLANK(DR$3:DR$34))</f>
        <v>0</v>
      </c>
      <c r="DS42" s="1">
        <f>SUMPRODUCT((NOT(ISBLANK(DS$3:DS$34))*(DS$3:DS$34&gt;$LH$3:$LH$34))+ISBLANK(DS$3:DS$34))</f>
        <v>0</v>
      </c>
      <c r="DT42" s="1"/>
      <c r="DU42" s="1">
        <f>SUMPRODUCT((NOT(ISBLANK(DU$3:DU$34))*(DU$3:DU$34&gt;$LI$3:$LI$34))+ISBLANK(DU$3:DU$34))</f>
        <v>0</v>
      </c>
      <c r="DV42" s="1">
        <f>SUMPRODUCT((NOT(ISBLANK(DV$3:DV$34))*(DV$3:DV$34&gt;$LJ$3:$LJ$34))+ISBLANK(DV$3:DV$34))</f>
        <v>0</v>
      </c>
      <c r="DW42" s="1">
        <f>SUMPRODUCT((NOT(ISBLANK(DW$3:DW$34))*(DW$3:DW$34&gt;$LK$3:$LK$34))+ISBLANK(DW$3:DW$34))</f>
        <v>0</v>
      </c>
      <c r="DX42" s="1">
        <f>SUMPRODUCT((NOT(ISBLANK(DX$3:DX$34))*(DX$3:DX$34&gt;$KU$3:$KU$34))+ISBLANK(DX$3:DX$34))</f>
        <v>0</v>
      </c>
      <c r="DY42" s="1">
        <f>SUMPRODUCT((NOT(ISBLANK(DY$3:DY$34))*(DY$3:DY$34&gt;$KV$3:$KV$34))+ISBLANK(DY$3:DY$34))</f>
        <v>0</v>
      </c>
      <c r="DZ42" s="1">
        <f>SUMPRODUCT((NOT(ISBLANK(DZ$3:DZ$34))*(DZ$3:DZ$34&gt;$KW$3:$KW$34))+ISBLANK(DZ$3:DZ$34))</f>
        <v>0</v>
      </c>
      <c r="EA42" s="1">
        <f>SUMPRODUCT((NOT(ISBLANK(EA$3:EA$34))*(EA$3:EA$34&gt;$KX$3:$KX$34))+ISBLANK(EA$3:EA$34))</f>
        <v>0</v>
      </c>
      <c r="EB42" s="1">
        <f>SUMPRODUCT((NOT(ISBLANK(EB$3:EB$34))*(EB$3:EB$34&gt;$KY$3:$KY$34))+ISBLANK(EB$3:EB$34))</f>
        <v>0</v>
      </c>
      <c r="EC42" s="1">
        <f>SUMPRODUCT((NOT(ISBLANK(EC$3:EC$34))*(EC$3:EC$34&gt;$KZ$3:$KZ$34))+ISBLANK(EC$3:EC$34))</f>
        <v>0</v>
      </c>
      <c r="ED42" s="1">
        <f>SUMPRODUCT((NOT(ISBLANK(ED$3:ED$34))*(ED$3:ED$34&gt;$LA$3:$LA$34))+ISBLANK(ED$3:ED$34))</f>
        <v>0</v>
      </c>
      <c r="EE42" s="1">
        <f>SUMPRODUCT((NOT(ISBLANK(EE$3:EE$34))*(EE$3:EE$34&gt;$LB$3:$LB$34))+ISBLANK(EE$3:EE$34))</f>
        <v>0</v>
      </c>
      <c r="EF42" s="1">
        <f>SUMPRODUCT((NOT(ISBLANK(EF$3:EF$34))*(EF$3:EF$34&gt;$LC$3:$LC$34))+ISBLANK(EF$3:EF$34))</f>
        <v>0</v>
      </c>
      <c r="EG42" s="1">
        <f>SUMPRODUCT((NOT(ISBLANK(EG$3:EG$34))*(EG$3:EG$34&gt;$LD$3:$LD$34))+ISBLANK(EG$3:EG$34))</f>
        <v>0</v>
      </c>
      <c r="EH42" s="1">
        <f>SUMPRODUCT((NOT(ISBLANK(EH$3:EH$34))*(EH$3:EH$34&gt;$LE$3:$LE$34))+ISBLANK(EH$3:EH$34))</f>
        <v>0</v>
      </c>
      <c r="EI42" s="1">
        <f>SUMPRODUCT((NOT(ISBLANK(EI$3:EI$34))*(EI$3:EI$34&gt;$LF$3:$LF$34))+ISBLANK(EI$3:EI$34))</f>
        <v>0</v>
      </c>
      <c r="EJ42" s="1">
        <f>SUMPRODUCT((NOT(ISBLANK(EJ$3:EJ$34))*(EJ$3:EJ$34&gt;$LG$3:$LG$34))+ISBLANK(EJ$3:EJ$34))</f>
        <v>0</v>
      </c>
      <c r="EK42" s="1">
        <f>SUMPRODUCT((NOT(ISBLANK(EK$3:EK$34))*(EK$3:EK$34&gt;$LH$3:$LH$34))+ISBLANK(EK$3:EK$34))</f>
        <v>0</v>
      </c>
      <c r="EL42" s="1"/>
      <c r="EM42" s="1">
        <f>SUMPRODUCT((NOT(ISBLANK(EM$3:EM$34))*(EM$3:EM$34&gt;$LI$3:$LI$34))+ISBLANK(EM$3:EM$34))</f>
        <v>0</v>
      </c>
      <c r="EN42" s="1">
        <f>SUMPRODUCT((NOT(ISBLANK(EN$3:EN$34))*(EN$3:EN$34&gt;$LJ$3:$LJ$34))+ISBLANK(EN$3:EN$34))</f>
        <v>0</v>
      </c>
      <c r="EO42" s="1">
        <f>SUMPRODUCT((NOT(ISBLANK(EO$3:EO$34))*(EO$3:EO$34&gt;$LK$3:$LK$34))+ISBLANK(EO$3:EO$34))</f>
        <v>0</v>
      </c>
      <c r="EP42" s="1">
        <f>SUMPRODUCT((NOT(ISBLANK(EP$3:EP$34))*(EP$3:EP$34&gt;$KU$3:$KU$34))+ISBLANK(EP$3:EP$34))</f>
        <v>0</v>
      </c>
      <c r="EQ42" s="1">
        <f>SUMPRODUCT((NOT(ISBLANK(EQ$3:EQ$34))*(EQ$3:EQ$34&gt;$KV$3:$KV$34))+ISBLANK(EQ$3:EQ$34))</f>
        <v>0</v>
      </c>
      <c r="ER42" s="1">
        <f>SUMPRODUCT((NOT(ISBLANK(ER$3:ER$34))*(ER$3:ER$34&gt;$KW$3:$KW$34))+ISBLANK(ER$3:ER$34))</f>
        <v>0</v>
      </c>
      <c r="ES42" s="1">
        <f>SUMPRODUCT((NOT(ISBLANK(ES$3:ES$34))*(ES$3:ES$34&gt;$KX$3:$KX$34))+ISBLANK(ES$3:ES$34))</f>
        <v>0</v>
      </c>
      <c r="ET42" s="1">
        <f>SUMPRODUCT((NOT(ISBLANK(ET$3:ET$34))*(ET$3:ET$34&gt;$KY$3:$KY$34))+ISBLANK(ET$3:ET$34))</f>
        <v>0</v>
      </c>
      <c r="EU42" s="1">
        <f>SUMPRODUCT((NOT(ISBLANK(EU$3:EU$34))*(EU$3:EU$34&gt;$KZ$3:$KZ$34))+ISBLANK(EU$3:EU$34))</f>
        <v>0</v>
      </c>
      <c r="EV42" s="1">
        <f>SUMPRODUCT((NOT(ISBLANK(EV$3:EV$34))*(EV$3:EV$34&gt;$LA$3:$LA$34))+ISBLANK(EV$3:EV$34))</f>
        <v>0</v>
      </c>
      <c r="EW42" s="1">
        <f>SUMPRODUCT((NOT(ISBLANK(EW$3:EW$34))*(EW$3:EW$34&gt;$LB$3:$LB$34))+ISBLANK(EW$3:EW$34))</f>
        <v>0</v>
      </c>
      <c r="EX42" s="1">
        <f>SUMPRODUCT((NOT(ISBLANK(EX$3:EX$34))*(EX$3:EX$34&gt;$LC$3:$LC$34))+ISBLANK(EX$3:EX$34))</f>
        <v>0</v>
      </c>
      <c r="EY42" s="1">
        <f>SUMPRODUCT((NOT(ISBLANK(EY$3:EY$34))*(EY$3:EY$34&gt;$LD$3:$LD$34))+ISBLANK(EY$3:EY$34))</f>
        <v>0</v>
      </c>
      <c r="EZ42" s="1">
        <f>SUMPRODUCT((NOT(ISBLANK(EZ$3:EZ$34))*(EZ$3:EZ$34&gt;$LE$3:$LE$34))+ISBLANK(EZ$3:EZ$34))</f>
        <v>0</v>
      </c>
      <c r="FA42" s="1">
        <f>SUMPRODUCT((NOT(ISBLANK(FA$3:FA$34))*(FA$3:FA$34&gt;$LF$3:$LF$34))+ISBLANK(FA$3:FA$34))</f>
        <v>0</v>
      </c>
      <c r="FB42" s="1">
        <f>SUMPRODUCT((NOT(ISBLANK(FB$3:FB$34))*(FB$3:FB$34&gt;$LG$3:$LG$34))+ISBLANK(FB$3:FB$34))</f>
        <v>0</v>
      </c>
      <c r="FC42" s="1">
        <f>SUMPRODUCT((NOT(ISBLANK(FC$3:FC$34))*(FC$3:FC$34&gt;$LH$3:$LH$34))+ISBLANK(FC$3:FC$34))</f>
        <v>0</v>
      </c>
      <c r="FD42" s="1"/>
      <c r="FE42" s="1">
        <f>SUMPRODUCT((NOT(ISBLANK(FE$3:FE$34))*(FE$3:FE$34&gt;$LI$3:$LI$34))+ISBLANK(FE$3:FE$34))</f>
        <v>0</v>
      </c>
      <c r="FF42" s="1">
        <f>SUMPRODUCT((NOT(ISBLANK(FF$3:FF$34))*(FF$3:FF$34&gt;$LJ$3:$LJ$34))+ISBLANK(FF$3:FF$34))</f>
        <v>0</v>
      </c>
      <c r="FG42" s="1">
        <f>SUMPRODUCT((NOT(ISBLANK(FG$3:FG$34))*(FG$3:FG$34&gt;$LK$3:$LK$34))+ISBLANK(FG$3:FG$34))</f>
        <v>0</v>
      </c>
      <c r="FH42" s="1">
        <f>SUMPRODUCT((NOT(ISBLANK(FH$3:FH$34))*(FH$3:FH$34&gt;$KU$3:$KU$34))+ISBLANK(FH$3:FH$34))</f>
        <v>0</v>
      </c>
      <c r="FI42" s="1">
        <f>SUMPRODUCT((NOT(ISBLANK(FI$3:FI$34))*(FI$3:FI$34&gt;$KV$3:$KV$34))+ISBLANK(FI$3:FI$34))</f>
        <v>0</v>
      </c>
      <c r="FJ42" s="1">
        <f>SUMPRODUCT((NOT(ISBLANK(FJ$3:FJ$34))*(FJ$3:FJ$34&gt;$KW$3:$KW$34))+ISBLANK(FJ$3:FJ$34))</f>
        <v>0</v>
      </c>
      <c r="FK42" s="1">
        <f>SUMPRODUCT((NOT(ISBLANK(FK$3:FK$34))*(FK$3:FK$34&gt;$KX$3:$KX$34))+ISBLANK(FK$3:FK$34))</f>
        <v>0</v>
      </c>
      <c r="FL42" s="1">
        <f>SUMPRODUCT((NOT(ISBLANK(FL$3:FL$34))*(FL$3:FL$34&gt;$KY$3:$KY$34))+ISBLANK(FL$3:FL$34))</f>
        <v>0</v>
      </c>
      <c r="FM42" s="1">
        <f>SUMPRODUCT((NOT(ISBLANK(FM$3:FM$34))*(FM$3:FM$34&gt;$KZ$3:$KZ$34))+ISBLANK(FM$3:FM$34))</f>
        <v>0</v>
      </c>
      <c r="FN42" s="1">
        <f>SUMPRODUCT((NOT(ISBLANK(FN$3:FN$34))*(FN$3:FN$34&gt;$LA$3:$LA$34))+ISBLANK(FN$3:FN$34))</f>
        <v>0</v>
      </c>
      <c r="FO42" s="1">
        <f>SUMPRODUCT((NOT(ISBLANK(FO$3:FO$34))*(FO$3:FO$34&gt;$LB$3:$LB$34))+ISBLANK(FO$3:FO$34))</f>
        <v>0</v>
      </c>
      <c r="FP42" s="1">
        <f>SUMPRODUCT((NOT(ISBLANK(FP$3:FP$34))*(FP$3:FP$34&gt;$LC$3:$LC$34))+ISBLANK(FP$3:FP$34))</f>
        <v>0</v>
      </c>
      <c r="FQ42" s="1">
        <f>SUMPRODUCT((NOT(ISBLANK(FQ$3:FQ$34))*(FQ$3:FQ$34&gt;$LD$3:$LD$34))+ISBLANK(FQ$3:FQ$34))</f>
        <v>0</v>
      </c>
      <c r="FR42" s="1">
        <f>SUMPRODUCT((NOT(ISBLANK(FR$3:FR$34))*(FR$3:FR$34&gt;$LE$3:$LE$34))+ISBLANK(FR$3:FR$34))</f>
        <v>0</v>
      </c>
      <c r="FS42" s="1">
        <f>SUMPRODUCT((NOT(ISBLANK(FS$3:FS$34))*(FS$3:FS$34&gt;$LF$3:$LF$34))+ISBLANK(FS$3:FS$34))</f>
        <v>0</v>
      </c>
      <c r="FT42" s="1">
        <f>SUMPRODUCT((NOT(ISBLANK(FT$3:FT$34))*(FT$3:FT$34&gt;$LG$3:$LG$34))+ISBLANK(FT$3:FT$34))</f>
        <v>0</v>
      </c>
      <c r="FU42" s="1">
        <f>SUMPRODUCT((NOT(ISBLANK(FU$3:FU$34))*(FU$3:FU$34&gt;$LH$3:$LH$34))+ISBLANK(FU$3:FU$34))</f>
        <v>0</v>
      </c>
      <c r="FV42" s="1"/>
      <c r="FW42" s="1">
        <f>SUMPRODUCT((NOT(ISBLANK(FW$3:FW$34))*(FW$3:FW$34&gt;$LI$3:$LI$34))+ISBLANK(FW$3:FW$34))</f>
        <v>0</v>
      </c>
      <c r="FX42" s="1">
        <f>SUMPRODUCT((NOT(ISBLANK(FX$3:FX$34))*(FX$3:FX$34&gt;$LJ$3:$LJ$34))+ISBLANK(FX$3:FX$34))</f>
        <v>0</v>
      </c>
      <c r="FY42" s="1">
        <f>SUMPRODUCT((NOT(ISBLANK(FY$3:FY$34))*(FY$3:FY$34&gt;$LK$3:$LK$34))+ISBLANK(FY$3:FY$34))</f>
        <v>0</v>
      </c>
      <c r="FZ42" s="1">
        <f>SUMPRODUCT((NOT(ISBLANK(FZ$3:FZ$34))*(FZ$3:FZ$34&gt;$KU$3:$KU$34))+ISBLANK(FZ$3:FZ$34))</f>
        <v>0</v>
      </c>
      <c r="GA42" s="1">
        <f>SUMPRODUCT((NOT(ISBLANK(GA$3:GA$34))*(GA$3:GA$34&gt;$KV$3:$KV$34))+ISBLANK(GA$3:GA$34))</f>
        <v>0</v>
      </c>
      <c r="GB42" s="1">
        <f>SUMPRODUCT((NOT(ISBLANK(GB$3:GB$34))*(GB$3:GB$34&gt;$KW$3:$KW$34))+ISBLANK(GB$3:GB$34))</f>
        <v>0</v>
      </c>
      <c r="GC42" s="1">
        <f>SUMPRODUCT((NOT(ISBLANK(GC$3:GC$34))*(GC$3:GC$34&gt;$KX$3:$KX$34))+ISBLANK(GC$3:GC$34))</f>
        <v>0</v>
      </c>
      <c r="GD42" s="1">
        <f>SUMPRODUCT((NOT(ISBLANK(GD$3:GD$34))*(GD$3:GD$34&gt;$KY$3:$KY$34))+ISBLANK(GD$3:GD$34))</f>
        <v>0</v>
      </c>
      <c r="GE42" s="1">
        <f>SUMPRODUCT((NOT(ISBLANK(GE$3:GE$34))*(GE$3:GE$34&gt;$KZ$3:$KZ$34))+ISBLANK(GE$3:GE$34))</f>
        <v>0</v>
      </c>
      <c r="GF42" s="1">
        <f>SUMPRODUCT((NOT(ISBLANK(GF$3:GF$34))*(GF$3:GF$34&gt;$LA$3:$LA$34))+ISBLANK(GF$3:GF$34))</f>
        <v>0</v>
      </c>
      <c r="GG42" s="1">
        <f>SUMPRODUCT((NOT(ISBLANK(GG$3:GG$34))*(GG$3:GG$34&gt;$LB$3:$LB$34))+ISBLANK(GG$3:GG$34))</f>
        <v>0</v>
      </c>
      <c r="GH42" s="1">
        <f>SUMPRODUCT((NOT(ISBLANK(GH$3:GH$34))*(GH$3:GH$34&gt;$LC$3:$LC$34))+ISBLANK(GH$3:GH$34))</f>
        <v>0</v>
      </c>
      <c r="GI42" s="1">
        <f>SUMPRODUCT((NOT(ISBLANK(GI$3:GI$34))*(GI$3:GI$34&gt;$LD$3:$LD$34))+ISBLANK(GI$3:GI$34))</f>
        <v>0</v>
      </c>
      <c r="GJ42" s="1">
        <f>SUMPRODUCT((NOT(ISBLANK(GJ$3:GJ$34))*(GJ$3:GJ$34&gt;$LE$3:$LE$34))+ISBLANK(GJ$3:GJ$34))</f>
        <v>0</v>
      </c>
      <c r="GK42" s="1">
        <f>SUMPRODUCT((NOT(ISBLANK(GK$3:GK$34))*(GK$3:GK$34&gt;$LF$3:$LF$34))+ISBLANK(GK$3:GK$34))</f>
        <v>0</v>
      </c>
      <c r="GL42" s="1">
        <f>SUMPRODUCT((NOT(ISBLANK(GL$3:GL$34))*(GL$3:GL$34&gt;$LG$3:$LG$34))+ISBLANK(GL$3:GL$34))</f>
        <v>0</v>
      </c>
      <c r="GM42" s="1">
        <f>SUMPRODUCT((NOT(ISBLANK(GM$3:GM$34))*(GM$3:GM$34&gt;$LH$3:$LH$34))+ISBLANK(GM$3:GM$34))</f>
        <v>0</v>
      </c>
      <c r="GN42" s="1"/>
      <c r="GO42" s="1">
        <f>SUMPRODUCT((NOT(ISBLANK(GO$3:GO$34))*(GO$3:GO$34&gt;$LI$3:$LI$34))+ISBLANK(GO$3:GO$34))</f>
        <v>0</v>
      </c>
      <c r="GP42" s="1">
        <f>SUMPRODUCT((NOT(ISBLANK(GP$3:GP$34))*(GP$3:GP$34&gt;$LJ$3:$LJ$34))+ISBLANK(GP$3:GP$34))</f>
        <v>0</v>
      </c>
      <c r="GQ42" s="1">
        <f>SUMPRODUCT((NOT(ISBLANK(GQ$3:GQ$34))*(GQ$3:GQ$34&gt;$LK$3:$LK$34))+ISBLANK(GQ$3:GQ$34))</f>
        <v>0</v>
      </c>
      <c r="GR42" s="1">
        <f>SUMPRODUCT((NOT(ISBLANK(GR$3:GR$34))*(GR$3:GR$34&gt;$KU$3:$KU$34))+ISBLANK(GR$3:GR$34))</f>
        <v>0</v>
      </c>
      <c r="GS42" s="1">
        <f>SUMPRODUCT((NOT(ISBLANK(GS$3:GS$34))*(GS$3:GS$34&gt;$KV$3:$KV$34))+ISBLANK(GS$3:GS$34))</f>
        <v>0</v>
      </c>
      <c r="GT42" s="1">
        <f>SUMPRODUCT((NOT(ISBLANK(GT$3:GT$34))*(GT$3:GT$34&gt;$KW$3:$KW$34))+ISBLANK(GT$3:GT$34))</f>
        <v>0</v>
      </c>
      <c r="GU42" s="1">
        <f>SUMPRODUCT((NOT(ISBLANK(GU$3:GU$34))*(GU$3:GU$34&gt;$KX$3:$KX$34))+ISBLANK(GU$3:GU$34))</f>
        <v>0</v>
      </c>
      <c r="GV42" s="1">
        <f>SUMPRODUCT((NOT(ISBLANK(GV$3:GV$34))*(GV$3:GV$34&gt;$KY$3:$KY$34))+ISBLANK(GV$3:GV$34))</f>
        <v>0</v>
      </c>
      <c r="GW42" s="1">
        <f>SUMPRODUCT((NOT(ISBLANK(GW$3:GW$34))*(GW$3:GW$34&gt;$KZ$3:$KZ$34))+ISBLANK(GW$3:GW$34))</f>
        <v>0</v>
      </c>
      <c r="GX42" s="1">
        <f>SUMPRODUCT((NOT(ISBLANK(GX$3:GX$34))*(GX$3:GX$34&gt;$LA$3:$LA$34))+ISBLANK(GX$3:GX$34))</f>
        <v>0</v>
      </c>
      <c r="GY42" s="1">
        <f>SUMPRODUCT((NOT(ISBLANK(GY$3:GY$34))*(GY$3:GY$34&gt;$LB$3:$LB$34))+ISBLANK(GY$3:GY$34))</f>
        <v>0</v>
      </c>
      <c r="GZ42" s="1">
        <f>SUMPRODUCT((NOT(ISBLANK(GZ$3:GZ$34))*(GZ$3:GZ$34&gt;$LC$3:$LC$34))+ISBLANK(GZ$3:GZ$34))</f>
        <v>0</v>
      </c>
      <c r="HA42" s="1">
        <f>SUMPRODUCT((NOT(ISBLANK(HA$3:HA$34))*(HA$3:HA$34&gt;$LD$3:$LD$34))+ISBLANK(HA$3:HA$34))</f>
        <v>0</v>
      </c>
      <c r="HB42" s="1">
        <f>SUMPRODUCT((NOT(ISBLANK(HB$3:HB$34))*(HB$3:HB$34&gt;$LE$3:$LE$34))+ISBLANK(HB$3:HB$34))</f>
        <v>0</v>
      </c>
      <c r="HC42" s="1">
        <f>SUMPRODUCT((NOT(ISBLANK(HC$3:HC$34))*(HC$3:HC$34&gt;$LF$3:$LF$34))+ISBLANK(HC$3:HC$34))</f>
        <v>0</v>
      </c>
      <c r="HD42" s="1">
        <f>SUMPRODUCT((NOT(ISBLANK(HD$3:HD$34))*(HD$3:HD$34&gt;$LG$3:$LG$34))+ISBLANK(HD$3:HD$34))</f>
        <v>0</v>
      </c>
      <c r="HE42" s="1">
        <f>SUMPRODUCT((NOT(ISBLANK(HE$3:HE$34))*(HE$3:HE$34&gt;$LH$3:$LH$34))+ISBLANK(HE$3:HE$34))</f>
        <v>0</v>
      </c>
      <c r="HF42" s="1"/>
      <c r="HG42" s="1">
        <f>SUMPRODUCT((NOT(ISBLANK(HG$3:HG$34))*(HG$3:HG$34&gt;$LI$3:$LI$34))+ISBLANK(HG$3:HG$34))</f>
        <v>0</v>
      </c>
      <c r="HH42" s="1">
        <f>SUMPRODUCT((NOT(ISBLANK(HH$3:HH$34))*(HH$3:HH$34&gt;$LJ$3:$LJ$34))+ISBLANK(HH$3:HH$34))</f>
        <v>0</v>
      </c>
      <c r="HI42" s="1">
        <f>SUMPRODUCT((NOT(ISBLANK(HI$3:HI$34))*(HI$3:HI$34&gt;$LK$3:$LK$34))+ISBLANK(HI$3:HI$34))</f>
        <v>0</v>
      </c>
      <c r="HJ42" s="1">
        <f>SUMPRODUCT((NOT(ISBLANK(HJ$3:HJ$34))*(HJ$3:HJ$34&gt;$KU$3:$KU$34))+ISBLANK(HJ$3:HJ$34))</f>
        <v>0</v>
      </c>
      <c r="HK42" s="1">
        <f>SUMPRODUCT((NOT(ISBLANK(HK$3:HK$34))*(HK$3:HK$34&gt;$KV$3:$KV$34))+ISBLANK(HK$3:HK$34))</f>
        <v>0</v>
      </c>
      <c r="HL42" s="1">
        <f>SUMPRODUCT((NOT(ISBLANK(HL$3:HL$34))*(HL$3:HL$34&gt;$KW$3:$KW$34))+ISBLANK(HL$3:HL$34))</f>
        <v>0</v>
      </c>
      <c r="HM42" s="1">
        <f>SUMPRODUCT((NOT(ISBLANK(HM$3:HM$34))*(HM$3:HM$34&gt;$KX$3:$KX$34))+ISBLANK(HM$3:HM$34))</f>
        <v>0</v>
      </c>
      <c r="HN42" s="1">
        <f>SUMPRODUCT((NOT(ISBLANK(HN$3:HN$34))*(HN$3:HN$34&gt;$KY$3:$KY$34))+ISBLANK(HN$3:HN$34))</f>
        <v>0</v>
      </c>
      <c r="HO42" s="1">
        <f>SUMPRODUCT((NOT(ISBLANK(HO$3:HO$34))*(HO$3:HO$34&gt;$KZ$3:$KZ$34))+ISBLANK(HO$3:HO$34))</f>
        <v>0</v>
      </c>
      <c r="HP42" s="1">
        <f>SUMPRODUCT((NOT(ISBLANK(HP$3:HP$34))*(HP$3:HP$34&gt;$LA$3:$LA$34))+ISBLANK(HP$3:HP$34))</f>
        <v>0</v>
      </c>
      <c r="HQ42" s="1">
        <f>SUMPRODUCT((NOT(ISBLANK(HQ$3:HQ$34))*(HQ$3:HQ$34&gt;$LB$3:$LB$34))+ISBLANK(HQ$3:HQ$34))</f>
        <v>0</v>
      </c>
      <c r="HR42" s="1">
        <f>SUMPRODUCT((NOT(ISBLANK(HR$3:HR$34))*(HR$3:HR$34&gt;$LC$3:$LC$34))+ISBLANK(HR$3:HR$34))</f>
        <v>0</v>
      </c>
      <c r="HS42" s="1">
        <f>SUMPRODUCT((NOT(ISBLANK(HS$3:HS$34))*(HS$3:HS$34&gt;$LD$3:$LD$34))+ISBLANK(HS$3:HS$34))</f>
        <v>0</v>
      </c>
      <c r="HT42" s="1">
        <f>SUMPRODUCT((NOT(ISBLANK(HT$3:HT$34))*(HT$3:HT$34&gt;$LE$3:$LE$34))+ISBLANK(HT$3:HT$34))</f>
        <v>0</v>
      </c>
      <c r="HU42" s="1">
        <f>SUMPRODUCT((NOT(ISBLANK(HU$3:HU$34))*(HU$3:HU$34&gt;$LF$3:$LF$34))+ISBLANK(HU$3:HU$34))</f>
        <v>0</v>
      </c>
      <c r="HV42" s="1">
        <f>SUMPRODUCT((NOT(ISBLANK(HV$3:HV$34))*(HV$3:HV$34&gt;$LG$3:$LG$34))+ISBLANK(HV$3:HV$34))</f>
        <v>0</v>
      </c>
      <c r="HW42" s="1">
        <f>SUMPRODUCT((NOT(ISBLANK(HW$3:HW$34))*(HW$3:HW$34&gt;$LH$3:$LH$34))+ISBLANK(HW$3:HW$34))</f>
        <v>0</v>
      </c>
      <c r="HX42" s="1"/>
      <c r="HY42" s="1">
        <f>SUMPRODUCT((NOT(ISBLANK(HY$3:HY$34))*(HY$3:HY$34&gt;$LI$3:$LI$34))+ISBLANK(HY$3:HY$34))</f>
        <v>0</v>
      </c>
      <c r="HZ42" s="1">
        <f>SUMPRODUCT((NOT(ISBLANK(HZ$3:HZ$34))*(HZ$3:HZ$34&gt;$LJ$3:$LJ$34))+ISBLANK(HZ$3:HZ$34))</f>
        <v>0</v>
      </c>
      <c r="IA42" s="1">
        <f>SUMPRODUCT((NOT(ISBLANK(IA$3:IA$34))*(IA$3:IA$34&gt;$LK$3:$LK$34))+ISBLANK(IA$3:IA$34))</f>
        <v>0</v>
      </c>
      <c r="IB42" s="1">
        <f>SUMPRODUCT((NOT(ISBLANK(IB$3:IB$34))*(IB$3:IB$34&gt;$KU$3:$KU$34))+ISBLANK(IB$3:IB$34))</f>
        <v>0</v>
      </c>
      <c r="IC42" s="1">
        <f>SUMPRODUCT((NOT(ISBLANK(IC$3:IC$34))*(IC$3:IC$34&gt;$KV$3:$KV$34))+ISBLANK(IC$3:IC$34))</f>
        <v>0</v>
      </c>
      <c r="ID42" s="1">
        <f>SUMPRODUCT((NOT(ISBLANK(ID$3:ID$34))*(ID$3:ID$34&gt;$KW$3:$KW$34))+ISBLANK(ID$3:ID$34))</f>
        <v>0</v>
      </c>
      <c r="IE42" s="1">
        <f>SUMPRODUCT((NOT(ISBLANK(IE$3:IE$34))*(IE$3:IE$34&gt;$KX$3:$KX$34))+ISBLANK(IE$3:IE$34))</f>
        <v>0</v>
      </c>
      <c r="IF42" s="1">
        <f>SUMPRODUCT((NOT(ISBLANK(IF$3:IF$34))*(IF$3:IF$34&gt;$KY$3:$KY$34))+ISBLANK(IF$3:IF$34))</f>
        <v>0</v>
      </c>
      <c r="IG42" s="1">
        <f>SUMPRODUCT((NOT(ISBLANK(IG$3:IG$34))*(IG$3:IG$34&gt;$KZ$3:$KZ$34))+ISBLANK(IG$3:IG$34))</f>
        <v>0</v>
      </c>
      <c r="IH42" s="1">
        <f>SUMPRODUCT((NOT(ISBLANK(IH$3:IH$34))*(IH$3:IH$34&gt;$LA$3:$LA$34))+ISBLANK(IH$3:IH$34))</f>
        <v>0</v>
      </c>
      <c r="II42" s="1">
        <f>SUMPRODUCT((NOT(ISBLANK(II$3:II$34))*(II$3:II$34&gt;$LB$3:$LB$34))+ISBLANK(II$3:II$34))</f>
        <v>0</v>
      </c>
      <c r="IJ42" s="1">
        <f>SUMPRODUCT((NOT(ISBLANK(IJ$3:IJ$34))*(IJ$3:IJ$34&gt;$LC$3:$LC$34))+ISBLANK(IJ$3:IJ$34))</f>
        <v>0</v>
      </c>
      <c r="IK42" s="1">
        <f>SUMPRODUCT((NOT(ISBLANK(IK$3:IK$34))*(IK$3:IK$34&gt;$LD$3:$LD$34))+ISBLANK(IK$3:IK$34))</f>
        <v>0</v>
      </c>
      <c r="IL42" s="1">
        <f>SUMPRODUCT((NOT(ISBLANK(IL$3:IL$34))*(IL$3:IL$34&gt;$LE$3:$LE$34))+ISBLANK(IL$3:IL$34))</f>
        <v>0</v>
      </c>
      <c r="IM42" s="1">
        <f>SUMPRODUCT((NOT(ISBLANK(IM$3:IM$34))*(IM$3:IM$34&gt;$LF$3:$LF$34))+ISBLANK(IM$3:IM$34))</f>
        <v>0</v>
      </c>
      <c r="IN42" s="1">
        <f>SUMPRODUCT((NOT(ISBLANK(IN$3:IN$34))*(IN$3:IN$34&gt;$LG$3:$LG$34))+ISBLANK(IN$3:IN$34))</f>
        <v>0</v>
      </c>
      <c r="IO42" s="1">
        <f>SUMPRODUCT((NOT(ISBLANK(IO$3:IO$34))*(IO$3:IO$34&gt;$LH$3:$LH$34))+ISBLANK(IO$3:IO$34))</f>
        <v>0</v>
      </c>
      <c r="IP42" s="1"/>
      <c r="IQ42" s="1">
        <f>SUMPRODUCT((NOT(ISBLANK(IQ$3:IQ$34))*(IQ$3:IQ$34&gt;$LI$3:$LI$34))+ISBLANK(IQ$3:IQ$34))</f>
        <v>0</v>
      </c>
      <c r="IR42" s="1">
        <f>SUMPRODUCT((NOT(ISBLANK(IR$3:IR$34))*(IR$3:IR$34&gt;$LJ$3:$LJ$34))+ISBLANK(IR$3:IR$34))</f>
        <v>0</v>
      </c>
      <c r="IS42" s="1">
        <f>SUMPRODUCT((NOT(ISBLANK(IS$3:IS$34))*(IS$3:IS$34&gt;$LK$3:$LK$34))+ISBLANK(IS$3:IS$34))</f>
        <v>0</v>
      </c>
      <c r="IT42" s="1">
        <f>SUMPRODUCT((NOT(ISBLANK(IT$3:IT$34))*(IT$3:IT$34&gt;$KU$3:$KU$34))+ISBLANK(IT$3:IT$34))</f>
        <v>0</v>
      </c>
      <c r="IU42" s="1">
        <f>SUMPRODUCT((NOT(ISBLANK(IU$3:IU$34))*(IU$3:IU$34&gt;$KV$3:$KV$34))+ISBLANK(IU$3:IU$34))</f>
        <v>0</v>
      </c>
      <c r="IV42" s="1">
        <f>SUMPRODUCT((NOT(ISBLANK(IV$3:IV$34))*(IV$3:IV$34&gt;$KW$3:$KW$34))+ISBLANK(IV$3:IV$34))</f>
        <v>0</v>
      </c>
      <c r="IW42" s="1">
        <f>SUMPRODUCT((NOT(ISBLANK(IW$3:IW$34))*(IW$3:IW$34&gt;$KX$3:$KX$34))+ISBLANK(IW$3:IW$34))</f>
        <v>0</v>
      </c>
      <c r="IX42" s="1">
        <f>SUMPRODUCT((NOT(ISBLANK(IX$3:IX$34))*(IX$3:IX$34&gt;$KY$3:$KY$34))+ISBLANK(IX$3:IX$34))</f>
        <v>0</v>
      </c>
      <c r="IY42" s="1">
        <f>SUMPRODUCT((NOT(ISBLANK(IY$3:IY$34))*(IY$3:IY$34&gt;$KZ$3:$KZ$34))+ISBLANK(IY$3:IY$34))</f>
        <v>0</v>
      </c>
      <c r="IZ42" s="1">
        <f>SUMPRODUCT((NOT(ISBLANK(IZ$3:IZ$34))*(IZ$3:IZ$34&gt;$LA$3:$LA$34))+ISBLANK(IZ$3:IZ$34))</f>
        <v>0</v>
      </c>
      <c r="JA42" s="1">
        <f>SUMPRODUCT((NOT(ISBLANK(JA$3:JA$34))*(JA$3:JA$34&gt;$LB$3:$LB$34))+ISBLANK(JA$3:JA$34))</f>
        <v>0</v>
      </c>
      <c r="JB42" s="1">
        <f>SUMPRODUCT((NOT(ISBLANK(JB$3:JB$34))*(JB$3:JB$34&gt;$LC$3:$LC$34))+ISBLANK(JB$3:JB$34))</f>
        <v>0</v>
      </c>
      <c r="JC42" s="1">
        <f>SUMPRODUCT((NOT(ISBLANK(JC$3:JC$34))*(JC$3:JC$34&gt;$LD$3:$LD$34))+ISBLANK(JC$3:JC$34))</f>
        <v>0</v>
      </c>
      <c r="JD42" s="1">
        <f>SUMPRODUCT((NOT(ISBLANK(JD$3:JD$34))*(JD$3:JD$34&gt;$LE$3:$LE$34))+ISBLANK(JD$3:JD$34))</f>
        <v>0</v>
      </c>
      <c r="JE42" s="1">
        <f>SUMPRODUCT((NOT(ISBLANK(JE$3:JE$34))*(JE$3:JE$34&gt;$LF$3:$LF$34))+ISBLANK(JE$3:JE$34))</f>
        <v>0</v>
      </c>
      <c r="JF42" s="1">
        <f>SUMPRODUCT((NOT(ISBLANK(JF$3:JF$34))*(JF$3:JF$34&gt;$LG$3:$LG$34))+ISBLANK(JF$3:JF$34))</f>
        <v>0</v>
      </c>
      <c r="JG42" s="1">
        <f>SUMPRODUCT((NOT(ISBLANK(JG$3:JG$34))*(JG$3:JG$34&gt;$LH$3:$LH$34))+ISBLANK(JG$3:JG$34))</f>
        <v>0</v>
      </c>
      <c r="JH42" s="1"/>
      <c r="JI42" s="1">
        <f>SUMPRODUCT((NOT(ISBLANK(JI$3:JI$34))*(JI$3:JI$34&gt;$LI$3:$LI$34))+ISBLANK(JI$3:JI$34))</f>
        <v>0</v>
      </c>
      <c r="JJ42" s="1">
        <f>SUMPRODUCT((NOT(ISBLANK(JJ$3:JJ$34))*(JJ$3:JJ$34&gt;$LJ$3:$LJ$34))+ISBLANK(JJ$3:JJ$34))</f>
        <v>0</v>
      </c>
      <c r="JK42" s="1">
        <f>SUMPRODUCT((NOT(ISBLANK(JK$3:JK$34))*(JK$3:JK$34&gt;$LK$3:$LK$34))+ISBLANK(JK$3:JK$34))</f>
        <v>0</v>
      </c>
      <c r="JL42" s="1">
        <f>SUMPRODUCT((NOT(ISBLANK(JL$3:JL$34))*(JL$3:JL$34&gt;$KU$3:$KU$34))+ISBLANK(JL$3:JL$34))</f>
        <v>0</v>
      </c>
      <c r="JM42" s="1">
        <f>SUMPRODUCT((NOT(ISBLANK(JM$3:JM$34))*(JM$3:JM$34&gt;$KV$3:$KV$34))+ISBLANK(JM$3:JM$34))</f>
        <v>0</v>
      </c>
      <c r="JN42" s="1">
        <f>SUMPRODUCT((NOT(ISBLANK(JN$3:JN$34))*(JN$3:JN$34&gt;$KW$3:$KW$34))+ISBLANK(JN$3:JN$34))</f>
        <v>0</v>
      </c>
      <c r="JO42" s="1">
        <f>SUMPRODUCT((NOT(ISBLANK(JO$3:JO$34))*(JO$3:JO$34&gt;$KX$3:$KX$34))+ISBLANK(JO$3:JO$34))</f>
        <v>0</v>
      </c>
      <c r="JP42" s="1">
        <f>SUMPRODUCT((NOT(ISBLANK(JP$3:JP$34))*(JP$3:JP$34&gt;$KY$3:$KY$34))+ISBLANK(JP$3:JP$34))</f>
        <v>0</v>
      </c>
      <c r="JQ42" s="1">
        <f>SUMPRODUCT((NOT(ISBLANK(JQ$3:JQ$34))*(JQ$3:JQ$34&gt;$KZ$3:$KZ$34))+ISBLANK(JQ$3:JQ$34))</f>
        <v>0</v>
      </c>
      <c r="JR42" s="1">
        <f>SUMPRODUCT((NOT(ISBLANK(JR$3:JR$34))*(JR$3:JR$34&gt;$LA$3:$LA$34))+ISBLANK(JR$3:JR$34))</f>
        <v>0</v>
      </c>
      <c r="JS42" s="1">
        <f>SUMPRODUCT((NOT(ISBLANK(JS$3:JS$34))*(JS$3:JS$34&gt;$LB$3:$LB$34))+ISBLANK(JS$3:JS$34))</f>
        <v>0</v>
      </c>
      <c r="JT42" s="1">
        <f>SUMPRODUCT((NOT(ISBLANK(JT$3:JT$34))*(JT$3:JT$34&gt;$LC$3:$LC$34))+ISBLANK(JT$3:JT$34))</f>
        <v>0</v>
      </c>
      <c r="JU42" s="1">
        <f>SUMPRODUCT((NOT(ISBLANK(JU$3:JU$34))*(JU$3:JU$34&gt;$LD$3:$LD$34))+ISBLANK(JU$3:JU$34))</f>
        <v>0</v>
      </c>
      <c r="JV42" s="1">
        <f>SUMPRODUCT((NOT(ISBLANK(JV$3:JV$34))*(JV$3:JV$34&gt;$LE$3:$LE$34))+ISBLANK(JV$3:JV$34))</f>
        <v>0</v>
      </c>
      <c r="JW42" s="1">
        <f>SUMPRODUCT((NOT(ISBLANK(JW$3:JW$34))*(JW$3:JW$34&gt;$LF$3:$LF$34))+ISBLANK(JW$3:JW$34))</f>
        <v>0</v>
      </c>
      <c r="JX42" s="1">
        <f>SUMPRODUCT((NOT(ISBLANK(JX$3:JX$34))*(JX$3:JX$34&gt;$LG$3:$LG$34))+ISBLANK(JX$3:JX$34))</f>
        <v>0</v>
      </c>
      <c r="JY42" s="1">
        <f>SUMPRODUCT((NOT(ISBLANK(JY$3:JY$34))*(JY$3:JY$34&gt;$LH$3:$LH$34))+ISBLANK(JY$3:JY$34))</f>
        <v>0</v>
      </c>
      <c r="JZ42" s="1"/>
      <c r="KA42" s="1">
        <f>SUMPRODUCT((NOT(ISBLANK(KA$3:KA$34))*(KA$3:KA$34&gt;$LI$3:$LI$34))+ISBLANK(KA$3:KA$34))</f>
        <v>0</v>
      </c>
      <c r="KB42" s="1">
        <f>SUMPRODUCT((NOT(ISBLANK(KB$3:KB$34))*(KB$3:KB$34&gt;$LJ$3:$LJ$34))+ISBLANK(KB$3:KB$34))</f>
        <v>0</v>
      </c>
      <c r="KC42" s="1">
        <f>SUMPRODUCT((NOT(ISBLANK(KC$3:KC$34))*(KC$3:KC$34&gt;$LK$3:$LK$34))+ISBLANK(KC$3:KC$34))</f>
        <v>0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</row>
    <row r="43" spans="1:340">
      <c r="A43" s="1" t="s">
        <v>39</v>
      </c>
      <c r="B43" s="1">
        <f>SUMPRODUCT((NOT(ISBLANK(B$3:B$34))*(B$3:B$34=$LL$3:$LL$34))+ISBLANK(B$3:B$34))</f>
        <v>0</v>
      </c>
      <c r="C43" s="1">
        <f>SUMPRODUCT((NOT(ISBLANK(C$3:C$34))*(C$3:C$34=$LM$3:$LM$34))+ISBLANK(C$3:C$34))</f>
        <v>0</v>
      </c>
      <c r="D43" s="1">
        <f>SUMPRODUCT((NOT(ISBLANK(D$3:D$34))*(D$3:D$34=$LN$3:$LN$34))+ISBLANK(D$3:D$34))</f>
        <v>0</v>
      </c>
      <c r="E43" s="1">
        <f>SUMPRODUCT((NOT(ISBLANK(E$3:E$34))*(E$3:E$34=$LO$3:$LO$34))+ISBLANK(E$3:E$34))</f>
        <v>0</v>
      </c>
      <c r="F43" s="1">
        <f>SUMPRODUCT((NOT(ISBLANK(F$3:F$34))*(F$3:F$34=$LP$3:$LP$34))+ISBLANK(F$3:F$34))</f>
        <v>0</v>
      </c>
      <c r="G43" s="1">
        <f>SUMPRODUCT((NOT(ISBLANK(G$3:G$34))*(G$3:G$34=$LQ$3:$LQ$34))+ISBLANK(G$3:G$34))</f>
        <v>0</v>
      </c>
      <c r="H43" s="1">
        <f>SUMPRODUCT((NOT(ISBLANK(H$3:H$34))*(H$3:H$34=$LR$3:$LR$34))+ISBLANK(H$3:H$34))</f>
        <v>0</v>
      </c>
      <c r="I43" s="1">
        <f>SUMPRODUCT((NOT(ISBLANK(I$3:I$34))*(I$3:I$34=$LS$3:$LS$34))+ISBLANK(I$3:I$34))</f>
        <v>0</v>
      </c>
      <c r="J43" s="1">
        <f>SUMPRODUCT((NOT(ISBLANK(J$3:J$34))*(J$3:J$34=$LT$3:$LT$34))+ISBLANK(J$3:J$34))</f>
        <v>0</v>
      </c>
      <c r="K43" s="1">
        <f>SUMPRODUCT((NOT(ISBLANK(K$3:K$34))*(K$3:K$34=$LU$3:$LU$34))+ISBLANK(K$3:K$34))</f>
        <v>0</v>
      </c>
      <c r="L43" s="1">
        <f>SUMPRODUCT((NOT(ISBLANK(L$3:L$34))*(L$3:L$34=$LV$3:$LV$34))+ISBLANK(L$3:L$34))</f>
        <v>0</v>
      </c>
      <c r="M43" s="1">
        <f>SUMPRODUCT((NOT(ISBLANK(M$3:M$34))*(M$3:M$34=$LW$3:$LW$34))+ISBLANK(M$3:M$34))</f>
        <v>0</v>
      </c>
      <c r="N43" s="1">
        <f>SUMPRODUCT((NOT(ISBLANK(N$3:N$34))*(N$3:N$34=$LX$3:$LX$34))+ISBLANK(N$3:N$34))</f>
        <v>0</v>
      </c>
      <c r="O43" s="1">
        <f>SUMPRODUCT((NOT(ISBLANK(O$3:O$34))*(O$3:O$34=$LY$3:$LY$34))+ISBLANK(O$3:O$34))</f>
        <v>0</v>
      </c>
      <c r="P43" s="1"/>
      <c r="Q43" s="1">
        <f>SUMPRODUCT((NOT(ISBLANK(Q$3:Q$34))*(Q$3:Q$34=$LZ$3:$LZ$34))+ISBLANK(Q$3:Q$34))</f>
        <v>0</v>
      </c>
      <c r="R43" s="1">
        <f>SUMPRODUCT((NOT(ISBLANK(R$3:R$34))*(R$3:R$34=$MA$3:$MA$34))+ISBLANK(R$3:R$34))</f>
        <v>0</v>
      </c>
      <c r="S43" s="1">
        <f>SUMPRODUCT((NOT(ISBLANK(S$3:S$34))*(S$3:S$34=$MB$3:$MB$34))+ISBLANK(S$3:S$34))</f>
        <v>0</v>
      </c>
      <c r="T43" s="1">
        <f>SUMPRODUCT((NOT(ISBLANK(T$3:T$34))*(T$3:T$34=$LL$3:$LL$34))+ISBLANK(T$3:T$34))</f>
        <v>0</v>
      </c>
      <c r="U43" s="1">
        <f>SUMPRODUCT((NOT(ISBLANK(U$3:U$34))*(U$3:U$34=$LM$3:$LM$34))+ISBLANK(U$3:U$34))</f>
        <v>0</v>
      </c>
      <c r="V43" s="1">
        <f>SUMPRODUCT((NOT(ISBLANK(V$3:V$34))*(V$3:V$34=$LN$3:$LN$34))+ISBLANK(V$3:V$34))</f>
        <v>0</v>
      </c>
      <c r="W43" s="1">
        <f>SUMPRODUCT((NOT(ISBLANK(W$3:W$34))*(W$3:W$34=$LO$3:$LO$34))+ISBLANK(W$3:W$34))</f>
        <v>0</v>
      </c>
      <c r="X43" s="1">
        <f>SUMPRODUCT((NOT(ISBLANK(X$3:X$34))*(X$3:X$34=$LP$3:$LP$34))+ISBLANK(X$3:X$34))</f>
        <v>0</v>
      </c>
      <c r="Y43" s="1">
        <f>SUMPRODUCT((NOT(ISBLANK(Y$3:Y$34))*(Y$3:Y$34=$LQ$3:$LQ$34))+ISBLANK(Y$3:Y$34))</f>
        <v>0</v>
      </c>
      <c r="Z43" s="1">
        <f>SUMPRODUCT((NOT(ISBLANK(Z$3:Z$34))*(Z$3:Z$34=$LR$3:$LR$34))+ISBLANK(Z$3:Z$34))</f>
        <v>0</v>
      </c>
      <c r="AA43" s="1">
        <f>SUMPRODUCT((NOT(ISBLANK(AA$3:AA$34))*(AA$3:AA$34=$LS$3:$LS$34))+ISBLANK(AA$3:AA$34))</f>
        <v>0</v>
      </c>
      <c r="AB43" s="1">
        <f>SUMPRODUCT((NOT(ISBLANK(AB$3:AB$34))*(AB$3:AB$34=$LT$3:$LT$34))+ISBLANK(AB$3:AB$34))</f>
        <v>0</v>
      </c>
      <c r="AC43" s="1">
        <f>SUMPRODUCT((NOT(ISBLANK(AC$3:AC$34))*(AC$3:AC$34=$LU$3:$LU$34))+ISBLANK(AC$3:AC$34))</f>
        <v>0</v>
      </c>
      <c r="AD43" s="1">
        <f>SUMPRODUCT((NOT(ISBLANK(AD$3:AD$34))*(AD$3:AD$34=$LV$3:$LV$34))+ISBLANK(AD$3:AD$34))</f>
        <v>0</v>
      </c>
      <c r="AE43" s="1">
        <f>SUMPRODUCT((NOT(ISBLANK(AE$3:AE$34))*(AE$3:AE$34=$LW$3:$LW$34))+ISBLANK(AE$3:AE$34))</f>
        <v>0</v>
      </c>
      <c r="AF43" s="1">
        <f>SUMPRODUCT((NOT(ISBLANK(AF$3:AF$34))*(AF$3:AF$34=$LX$3:$LX$34))+ISBLANK(AF$3:AF$34))</f>
        <v>0</v>
      </c>
      <c r="AG43" s="1">
        <f>SUMPRODUCT((NOT(ISBLANK(AG$3:AG$34))*(AG$3:AG$34=$LY$3:$LY$34))+ISBLANK(AG$3:AG$34))</f>
        <v>0</v>
      </c>
      <c r="AH43" s="1"/>
      <c r="AI43" s="1">
        <f>SUMPRODUCT((NOT(ISBLANK(AI$3:AI$34))*(AI$3:AI$34=$LZ$3:$LZ$34))+ISBLANK(AI$3:AI$34))</f>
        <v>0</v>
      </c>
      <c r="AJ43" s="1">
        <f>SUMPRODUCT((NOT(ISBLANK(AJ$3:AJ$34))*(AJ$3:AJ$34=$MA$3:$MA$34))+ISBLANK(AJ$3:AJ$34))</f>
        <v>0</v>
      </c>
      <c r="AK43" s="1">
        <f>SUMPRODUCT((NOT(ISBLANK(AK$3:AK$34))*(AK$3:AK$34=$MB$3:$MB$34))+ISBLANK(AK$3:AK$34))</f>
        <v>0</v>
      </c>
      <c r="AL43" s="1">
        <f>SUMPRODUCT((NOT(ISBLANK(AL$3:AL$34))*(AL$3:AL$34=$LL$3:$LL$34))+ISBLANK(AL$3:AL$34))</f>
        <v>0</v>
      </c>
      <c r="AM43" s="1">
        <f>SUMPRODUCT((NOT(ISBLANK(AM$3:AM$34))*(AM$3:AM$34=$LM$3:$LM$34))+ISBLANK(AM$3:AM$34))</f>
        <v>0</v>
      </c>
      <c r="AN43" s="1">
        <f>SUMPRODUCT((NOT(ISBLANK(AN$3:AN$34))*(AN$3:AN$34=$LN$3:$LN$34))+ISBLANK(AN$3:AN$34))</f>
        <v>0</v>
      </c>
      <c r="AO43" s="1">
        <f>SUMPRODUCT((NOT(ISBLANK(AO$3:AO$34))*(AO$3:AO$34=$LO$3:$LO$34))+ISBLANK(AO$3:AO$34))</f>
        <v>0</v>
      </c>
      <c r="AP43" s="1">
        <f>SUMPRODUCT((NOT(ISBLANK(AP$3:AP$34))*(AP$3:AP$34=$LP$3:$LP$34))+ISBLANK(AP$3:AP$34))</f>
        <v>0</v>
      </c>
      <c r="AQ43" s="1">
        <f>SUMPRODUCT((NOT(ISBLANK(AQ$3:AQ$34))*(AQ$3:AQ$34=$LQ$3:$LQ$34))+ISBLANK(AQ$3:AQ$34))</f>
        <v>0</v>
      </c>
      <c r="AR43" s="1">
        <f>SUMPRODUCT((NOT(ISBLANK(AR$3:AR$34))*(AR$3:AR$34=$LR$3:$LR$34))+ISBLANK(AR$3:AR$34))</f>
        <v>0</v>
      </c>
      <c r="AS43" s="1">
        <f>SUMPRODUCT((NOT(ISBLANK(AS$3:AS$34))*(AS$3:AS$34=$LS$3:$LS$34))+ISBLANK(AS$3:AS$34))</f>
        <v>0</v>
      </c>
      <c r="AT43" s="1">
        <f>SUMPRODUCT((NOT(ISBLANK(AT$3:AT$34))*(AT$3:AT$34=$LT$3:$LT$34))+ISBLANK(AT$3:AT$34))</f>
        <v>0</v>
      </c>
      <c r="AU43" s="1">
        <f>SUMPRODUCT((NOT(ISBLANK(AU$3:AU$34))*(AU$3:AU$34=$LU$3:$LU$34))+ISBLANK(AU$3:AU$34))</f>
        <v>0</v>
      </c>
      <c r="AV43" s="1">
        <f>SUMPRODUCT((NOT(ISBLANK(AV$3:AV$34))*(AV$3:AV$34=$LV$3:$LV$34))+ISBLANK(AV$3:AV$34))</f>
        <v>0</v>
      </c>
      <c r="AW43" s="1">
        <f>SUMPRODUCT((NOT(ISBLANK(AW$3:AW$34))*(AW$3:AW$34=$LW$3:$LW$34))+ISBLANK(AW$3:AW$34))</f>
        <v>0</v>
      </c>
      <c r="AX43" s="1">
        <f>SUMPRODUCT((NOT(ISBLANK(AX$3:AX$34))*(AX$3:AX$34=$LX$3:$LX$34))+ISBLANK(AX$3:AX$34))</f>
        <v>0</v>
      </c>
      <c r="AY43" s="1">
        <f>SUMPRODUCT((NOT(ISBLANK(AY$3:AY$34))*(AY$3:AY$34=$LY$3:$LY$34))+ISBLANK(AY$3:AY$34))</f>
        <v>0</v>
      </c>
      <c r="AZ43" s="1"/>
      <c r="BA43" s="1">
        <f>SUMPRODUCT((NOT(ISBLANK(BA$3:BA$34))*(BA$3:BA$34=$LZ$3:$LZ$34))+ISBLANK(BA$3:BA$34))</f>
        <v>0</v>
      </c>
      <c r="BB43" s="1">
        <f>SUMPRODUCT((NOT(ISBLANK(BB$3:BB$34))*(BB$3:BB$34=$MA$3:$MA$34))+ISBLANK(BB$3:BB$34))</f>
        <v>0</v>
      </c>
      <c r="BC43" s="1">
        <f>SUMPRODUCT((NOT(ISBLANK(BC$3:BC$34))*(BC$3:BC$34=$MB$3:$MB$34))+ISBLANK(BC$3:BC$34))</f>
        <v>0</v>
      </c>
      <c r="BD43" s="1">
        <f>SUMPRODUCT((NOT(ISBLANK(BD$3:BD$34))*(BD$3:BD$34=$LL$3:$LL$34))+ISBLANK(BD$3:BD$34))</f>
        <v>0</v>
      </c>
      <c r="BE43" s="1">
        <f>SUMPRODUCT((NOT(ISBLANK(BE$3:BE$34))*(BE$3:BE$34=$LM$3:$LM$34))+ISBLANK(BE$3:BE$34))</f>
        <v>0</v>
      </c>
      <c r="BF43" s="1">
        <f>SUMPRODUCT((NOT(ISBLANK(BF$3:BF$34))*(BF$3:BF$34=$LN$3:$LN$34))+ISBLANK(BF$3:BF$34))</f>
        <v>0</v>
      </c>
      <c r="BG43" s="1">
        <f>SUMPRODUCT((NOT(ISBLANK(BG$3:BG$34))*(BG$3:BG$34=$LO$3:$LO$34))+ISBLANK(BG$3:BG$34))</f>
        <v>0</v>
      </c>
      <c r="BH43" s="1">
        <f>SUMPRODUCT((NOT(ISBLANK(BH$3:BH$34))*(BH$3:BH$34=$LP$3:$LP$34))+ISBLANK(BH$3:BH$34))</f>
        <v>0</v>
      </c>
      <c r="BI43" s="1">
        <f>SUMPRODUCT((NOT(ISBLANK(BI$3:BI$34))*(BI$3:BI$34=$LQ$3:$LQ$34))+ISBLANK(BI$3:BI$34))</f>
        <v>0</v>
      </c>
      <c r="BJ43" s="1">
        <f>SUMPRODUCT((NOT(ISBLANK(BJ$3:BJ$34))*(BJ$3:BJ$34=$LR$3:$LR$34))+ISBLANK(BJ$3:BJ$34))</f>
        <v>0</v>
      </c>
      <c r="BK43" s="1">
        <f>SUMPRODUCT((NOT(ISBLANK(BK$3:BK$34))*(BK$3:BK$34=$LS$3:$LS$34))+ISBLANK(BK$3:BK$34))</f>
        <v>0</v>
      </c>
      <c r="BL43" s="1">
        <f>SUMPRODUCT((NOT(ISBLANK(BL$3:BL$34))*(BL$3:BL$34=$LT$3:$LT$34))+ISBLANK(BL$3:BL$34))</f>
        <v>0</v>
      </c>
      <c r="BM43" s="1">
        <f>SUMPRODUCT((NOT(ISBLANK(BM$3:BM$34))*(BM$3:BM$34=$LU$3:$LU$34))+ISBLANK(BM$3:BM$34))</f>
        <v>0</v>
      </c>
      <c r="BN43" s="1">
        <f>SUMPRODUCT((NOT(ISBLANK(BN$3:BN$34))*(BN$3:BN$34=$LV$3:$LV$34))+ISBLANK(BN$3:BN$34))</f>
        <v>0</v>
      </c>
      <c r="BO43" s="1">
        <f>SUMPRODUCT((NOT(ISBLANK(BO$3:BO$34))*(BO$3:BO$34=$LW$3:$LW$34))+ISBLANK(BO$3:BO$34))</f>
        <v>0</v>
      </c>
      <c r="BP43" s="1">
        <f>SUMPRODUCT((NOT(ISBLANK(BP$3:BP$34))*(BP$3:BP$34=$LX$3:$LX$34))+ISBLANK(BP$3:BP$34))</f>
        <v>0</v>
      </c>
      <c r="BQ43" s="1">
        <f>SUMPRODUCT((NOT(ISBLANK(BQ$3:BQ$34))*(BQ$3:BQ$34=$LY$3:$LY$34))+ISBLANK(BQ$3:BQ$34))</f>
        <v>0</v>
      </c>
      <c r="BR43" s="1"/>
      <c r="BS43" s="1">
        <f>SUMPRODUCT((NOT(ISBLANK(BS$3:BS$34))*(BS$3:BS$34=$LZ$3:$LZ$34))+ISBLANK(BS$3:BS$34))</f>
        <v>0</v>
      </c>
      <c r="BT43" s="1">
        <f>SUMPRODUCT((NOT(ISBLANK(BT$3:BT$34))*(BT$3:BT$34=$MA$3:$MA$34))+ISBLANK(BT$3:BT$34))</f>
        <v>0</v>
      </c>
      <c r="BU43" s="1">
        <f>SUMPRODUCT((NOT(ISBLANK(BU$3:BU$34))*(BU$3:BU$34=$MB$3:$MB$34))+ISBLANK(BU$3:BU$34))</f>
        <v>0</v>
      </c>
      <c r="BV43" s="1">
        <f>SUMPRODUCT((NOT(ISBLANK(BV$3:BV$34))*(BV$3:BV$34=$LL$3:$LL$34))+ISBLANK(BV$3:BV$34))</f>
        <v>0</v>
      </c>
      <c r="BW43" s="1">
        <f>SUMPRODUCT((NOT(ISBLANK(BW$3:BW$34))*(BW$3:BW$34=$LM$3:$LM$34))+ISBLANK(BW$3:BW$34))</f>
        <v>0</v>
      </c>
      <c r="BX43" s="1">
        <f>SUMPRODUCT((NOT(ISBLANK(BX$3:BX$34))*(BX$3:BX$34=$LN$3:$LN$34))+ISBLANK(BX$3:BX$34))</f>
        <v>0</v>
      </c>
      <c r="BY43" s="1">
        <f>SUMPRODUCT((NOT(ISBLANK(BY$3:BY$34))*(BY$3:BY$34=$LO$3:$LO$34))+ISBLANK(BY$3:BY$34))</f>
        <v>0</v>
      </c>
      <c r="BZ43" s="1">
        <f>SUMPRODUCT((NOT(ISBLANK(BZ$3:BZ$34))*(BZ$3:BZ$34=$LP$3:$LP$34))+ISBLANK(BZ$3:BZ$34))</f>
        <v>0</v>
      </c>
      <c r="CA43" s="1">
        <f>SUMPRODUCT((NOT(ISBLANK(CA$3:CA$34))*(CA$3:CA$34=$LQ$3:$LQ$34))+ISBLANK(CA$3:CA$34))</f>
        <v>0</v>
      </c>
      <c r="CB43" s="1">
        <f>SUMPRODUCT((NOT(ISBLANK(CB$3:CB$34))*(CB$3:CB$34=$LR$3:$LR$34))+ISBLANK(CB$3:CB$34))</f>
        <v>0</v>
      </c>
      <c r="CC43" s="1">
        <f>SUMPRODUCT((NOT(ISBLANK(CC$3:CC$34))*(CC$3:CC$34=$LS$3:$LS$34))+ISBLANK(CC$3:CC$34))</f>
        <v>0</v>
      </c>
      <c r="CD43" s="1">
        <f>SUMPRODUCT((NOT(ISBLANK(CD$3:CD$34))*(CD$3:CD$34=$LT$3:$LT$34))+ISBLANK(CD$3:CD$34))</f>
        <v>0</v>
      </c>
      <c r="CE43" s="1">
        <f>SUMPRODUCT((NOT(ISBLANK(CE$3:CE$34))*(CE$3:CE$34=$LU$3:$LU$34))+ISBLANK(CE$3:CE$34))</f>
        <v>0</v>
      </c>
      <c r="CF43" s="1">
        <f>SUMPRODUCT((NOT(ISBLANK(CF$3:CF$34))*(CF$3:CF$34=$LV$3:$LV$34))+ISBLANK(CF$3:CF$34))</f>
        <v>0</v>
      </c>
      <c r="CG43" s="1">
        <f>SUMPRODUCT((NOT(ISBLANK(CG$3:CG$34))*(CG$3:CG$34=$LW$3:$LW$34))+ISBLANK(CG$3:CG$34))</f>
        <v>0</v>
      </c>
      <c r="CH43" s="1">
        <f>SUMPRODUCT((NOT(ISBLANK(CH$3:CH$34))*(CH$3:CH$34=$LX$3:$LX$34))+ISBLANK(CH$3:CH$34))</f>
        <v>0</v>
      </c>
      <c r="CI43" s="1">
        <f>SUMPRODUCT((NOT(ISBLANK(CI$3:CI$34))*(CI$3:CI$34=$LY$3:$LY$34))+ISBLANK(CI$3:CI$34))</f>
        <v>0</v>
      </c>
      <c r="CJ43" s="1"/>
      <c r="CK43" s="1">
        <f>SUMPRODUCT((NOT(ISBLANK(CK$3:CK$34))*(CK$3:CK$34=$LZ$3:$LZ$34))+ISBLANK(CK$3:CK$34))</f>
        <v>0</v>
      </c>
      <c r="CL43" s="1">
        <f>SUMPRODUCT((NOT(ISBLANK(CL$3:CL$34))*(CL$3:CL$34=$MA$3:$MA$34))+ISBLANK(CL$3:CL$34))</f>
        <v>0</v>
      </c>
      <c r="CM43" s="1">
        <f>SUMPRODUCT((NOT(ISBLANK(CM$3:CM$34))*(CM$3:CM$34=$MB$3:$MB$34))+ISBLANK(CM$3:CM$34))</f>
        <v>0</v>
      </c>
      <c r="CN43" s="1">
        <f>SUMPRODUCT((NOT(ISBLANK(CN$3:CN$34))*(CN$3:CN$34=$LL$3:$LL$34))+ISBLANK(CN$3:CN$34))</f>
        <v>0</v>
      </c>
      <c r="CO43" s="1">
        <f>SUMPRODUCT((NOT(ISBLANK(CO$3:CO$34))*(CO$3:CO$34=$LM$3:$LM$34))+ISBLANK(CO$3:CO$34))</f>
        <v>0</v>
      </c>
      <c r="CP43" s="1">
        <f>SUMPRODUCT((NOT(ISBLANK(CP$3:CP$34))*(CP$3:CP$34=$LN$3:$LN$34))+ISBLANK(CP$3:CP$34))</f>
        <v>0</v>
      </c>
      <c r="CQ43" s="1">
        <f>SUMPRODUCT((NOT(ISBLANK(CQ$3:CQ$34))*(CQ$3:CQ$34=$LO$3:$LO$34))+ISBLANK(CQ$3:CQ$34))</f>
        <v>0</v>
      </c>
      <c r="CR43" s="1">
        <f>SUMPRODUCT((NOT(ISBLANK(CR$3:CR$34))*(CR$3:CR$34=$LP$3:$LP$34))+ISBLANK(CR$3:CR$34))</f>
        <v>0</v>
      </c>
      <c r="CS43" s="1">
        <f>SUMPRODUCT((NOT(ISBLANK(CS$3:CS$34))*(CS$3:CS$34=$LQ$3:$LQ$34))+ISBLANK(CS$3:CS$34))</f>
        <v>0</v>
      </c>
      <c r="CT43" s="1">
        <f>SUMPRODUCT((NOT(ISBLANK(CT$3:CT$34))*(CT$3:CT$34=$LR$3:$LR$34))+ISBLANK(CT$3:CT$34))</f>
        <v>0</v>
      </c>
      <c r="CU43" s="1">
        <f>SUMPRODUCT((NOT(ISBLANK(CU$3:CU$34))*(CU$3:CU$34=$LS$3:$LS$34))+ISBLANK(CU$3:CU$34))</f>
        <v>0</v>
      </c>
      <c r="CV43" s="1">
        <f>SUMPRODUCT((NOT(ISBLANK(CV$3:CV$34))*(CV$3:CV$34=$LT$3:$LT$34))+ISBLANK(CV$3:CV$34))</f>
        <v>0</v>
      </c>
      <c r="CW43" s="1">
        <f>SUMPRODUCT((NOT(ISBLANK(CW$3:CW$34))*(CW$3:CW$34=$LU$3:$LU$34))+ISBLANK(CW$3:CW$34))</f>
        <v>0</v>
      </c>
      <c r="CX43" s="1">
        <f>SUMPRODUCT((NOT(ISBLANK(CX$3:CX$34))*(CX$3:CX$34=$LV$3:$LV$34))+ISBLANK(CX$3:CX$34))</f>
        <v>0</v>
      </c>
      <c r="CY43" s="1">
        <f>SUMPRODUCT((NOT(ISBLANK(CY$3:CY$34))*(CY$3:CY$34=$LW$3:$LW$34))+ISBLANK(CY$3:CY$34))</f>
        <v>0</v>
      </c>
      <c r="CZ43" s="1">
        <f>SUMPRODUCT((NOT(ISBLANK(CZ$3:CZ$34))*(CZ$3:CZ$34=$LX$3:$LX$34))+ISBLANK(CZ$3:CZ$34))</f>
        <v>0</v>
      </c>
      <c r="DA43" s="1">
        <f>SUMPRODUCT((NOT(ISBLANK(DA$3:DA$34))*(DA$3:DA$34=$LY$3:$LY$34))+ISBLANK(DA$3:DA$34))</f>
        <v>0</v>
      </c>
      <c r="DB43" s="1"/>
      <c r="DC43" s="1">
        <f>SUMPRODUCT((NOT(ISBLANK(DC$3:DC$34))*(DC$3:DC$34=$LZ$3:$LZ$34))+ISBLANK(DC$3:DC$34))</f>
        <v>0</v>
      </c>
      <c r="DD43" s="1">
        <f>SUMPRODUCT((NOT(ISBLANK(DD$3:DD$34))*(DD$3:DD$34=$MA$3:$MA$34))+ISBLANK(DD$3:DD$34))</f>
        <v>0</v>
      </c>
      <c r="DE43" s="1">
        <f>SUMPRODUCT((NOT(ISBLANK(DE$3:DE$34))*(DE$3:DE$34=$MB$3:$MB$34))+ISBLANK(DE$3:DE$34))</f>
        <v>0</v>
      </c>
      <c r="DF43" s="1">
        <f>SUMPRODUCT((NOT(ISBLANK(DF$3:DF$34))*(DF$3:DF$34=$LL$3:$LL$34))+ISBLANK(DF$3:DF$34))</f>
        <v>0</v>
      </c>
      <c r="DG43" s="1">
        <f>SUMPRODUCT((NOT(ISBLANK(DG$3:DG$34))*(DG$3:DG$34=$LM$3:$LM$34))+ISBLANK(DG$3:DG$34))</f>
        <v>0</v>
      </c>
      <c r="DH43" s="1">
        <f>SUMPRODUCT((NOT(ISBLANK(DH$3:DH$34))*(DH$3:DH$34=$LN$3:$LN$34))+ISBLANK(DH$3:DH$34))</f>
        <v>0</v>
      </c>
      <c r="DI43" s="1">
        <f>SUMPRODUCT((NOT(ISBLANK(DI$3:DI$34))*(DI$3:DI$34=$LO$3:$LO$34))+ISBLANK(DI$3:DI$34))</f>
        <v>0</v>
      </c>
      <c r="DJ43" s="1">
        <f>SUMPRODUCT((NOT(ISBLANK(DJ$3:DJ$34))*(DJ$3:DJ$34=$LP$3:$LP$34))+ISBLANK(DJ$3:DJ$34))</f>
        <v>0</v>
      </c>
      <c r="DK43" s="1">
        <f>SUMPRODUCT((NOT(ISBLANK(DK$3:DK$34))*(DK$3:DK$34=$LQ$3:$LQ$34))+ISBLANK(DK$3:DK$34))</f>
        <v>0</v>
      </c>
      <c r="DL43" s="1">
        <f>SUMPRODUCT((NOT(ISBLANK(DL$3:DL$34))*(DL$3:DL$34=$LR$3:$LR$34))+ISBLANK(DL$3:DL$34))</f>
        <v>0</v>
      </c>
      <c r="DM43" s="1">
        <f>SUMPRODUCT((NOT(ISBLANK(DM$3:DM$34))*(DM$3:DM$34=$LS$3:$LS$34))+ISBLANK(DM$3:DM$34))</f>
        <v>0</v>
      </c>
      <c r="DN43" s="1">
        <f>SUMPRODUCT((NOT(ISBLANK(DN$3:DN$34))*(DN$3:DN$34=$LT$3:$LT$34))+ISBLANK(DN$3:DN$34))</f>
        <v>0</v>
      </c>
      <c r="DO43" s="1">
        <f>SUMPRODUCT((NOT(ISBLANK(DO$3:DO$34))*(DO$3:DO$34=$LU$3:$LU$34))+ISBLANK(DO$3:DO$34))</f>
        <v>0</v>
      </c>
      <c r="DP43" s="1">
        <f>SUMPRODUCT((NOT(ISBLANK(DP$3:DP$34))*(DP$3:DP$34=$LV$3:$LV$34))+ISBLANK(DP$3:DP$34))</f>
        <v>0</v>
      </c>
      <c r="DQ43" s="1">
        <f>SUMPRODUCT((NOT(ISBLANK(DQ$3:DQ$34))*(DQ$3:DQ$34=$LW$3:$LW$34))+ISBLANK(DQ$3:DQ$34))</f>
        <v>0</v>
      </c>
      <c r="DR43" s="1">
        <f>SUMPRODUCT((NOT(ISBLANK(DR$3:DR$34))*(DR$3:DR$34=$LX$3:$LX$34))+ISBLANK(DR$3:DR$34))</f>
        <v>0</v>
      </c>
      <c r="DS43" s="1">
        <f>SUMPRODUCT((NOT(ISBLANK(DS$3:DS$34))*(DS$3:DS$34=$LY$3:$LY$34))+ISBLANK(DS$3:DS$34))</f>
        <v>0</v>
      </c>
      <c r="DT43" s="1"/>
      <c r="DU43" s="1">
        <f>SUMPRODUCT((NOT(ISBLANK(DU$3:DU$34))*(DU$3:DU$34=$LZ$3:$LZ$34))+ISBLANK(DU$3:DU$34))</f>
        <v>0</v>
      </c>
      <c r="DV43" s="1">
        <f>SUMPRODUCT((NOT(ISBLANK(DV$3:DV$34))*(DV$3:DV$34=$MA$3:$MA$34))+ISBLANK(DV$3:DV$34))</f>
        <v>0</v>
      </c>
      <c r="DW43" s="1">
        <f>SUMPRODUCT((NOT(ISBLANK(DW$3:DW$34))*(DW$3:DW$34=$MB$3:$MB$34))+ISBLANK(DW$3:DW$34))</f>
        <v>0</v>
      </c>
      <c r="DX43" s="1">
        <f>SUMPRODUCT((NOT(ISBLANK(DX$3:DX$34))*(DX$3:DX$34=$LL$3:$LL$34))+ISBLANK(DX$3:DX$34))</f>
        <v>0</v>
      </c>
      <c r="DY43" s="1">
        <f>SUMPRODUCT((NOT(ISBLANK(DY$3:DY$34))*(DY$3:DY$34=$LM$3:$LM$34))+ISBLANK(DY$3:DY$34))</f>
        <v>0</v>
      </c>
      <c r="DZ43" s="1">
        <f>SUMPRODUCT((NOT(ISBLANK(DZ$3:DZ$34))*(DZ$3:DZ$34=$LN$3:$LN$34))+ISBLANK(DZ$3:DZ$34))</f>
        <v>0</v>
      </c>
      <c r="EA43" s="1">
        <f>SUMPRODUCT((NOT(ISBLANK(EA$3:EA$34))*(EA$3:EA$34=$LO$3:$LO$34))+ISBLANK(EA$3:EA$34))</f>
        <v>0</v>
      </c>
      <c r="EB43" s="1">
        <f>SUMPRODUCT((NOT(ISBLANK(EB$3:EB$34))*(EB$3:EB$34=$LP$3:$LP$34))+ISBLANK(EB$3:EB$34))</f>
        <v>0</v>
      </c>
      <c r="EC43" s="1">
        <f>SUMPRODUCT((NOT(ISBLANK(EC$3:EC$34))*(EC$3:EC$34=$LQ$3:$LQ$34))+ISBLANK(EC$3:EC$34))</f>
        <v>0</v>
      </c>
      <c r="ED43" s="1">
        <f>SUMPRODUCT((NOT(ISBLANK(ED$3:ED$34))*(ED$3:ED$34=$LR$3:$LR$34))+ISBLANK(ED$3:ED$34))</f>
        <v>0</v>
      </c>
      <c r="EE43" s="1">
        <f>SUMPRODUCT((NOT(ISBLANK(EE$3:EE$34))*(EE$3:EE$34=$LS$3:$LS$34))+ISBLANK(EE$3:EE$34))</f>
        <v>0</v>
      </c>
      <c r="EF43" s="1">
        <f>SUMPRODUCT((NOT(ISBLANK(EF$3:EF$34))*(EF$3:EF$34=$LT$3:$LT$34))+ISBLANK(EF$3:EF$34))</f>
        <v>0</v>
      </c>
      <c r="EG43" s="1">
        <f>SUMPRODUCT((NOT(ISBLANK(EG$3:EG$34))*(EG$3:EG$34=$LU$3:$LU$34))+ISBLANK(EG$3:EG$34))</f>
        <v>0</v>
      </c>
      <c r="EH43" s="1">
        <f>SUMPRODUCT((NOT(ISBLANK(EH$3:EH$34))*(EH$3:EH$34=$LV$3:$LV$34))+ISBLANK(EH$3:EH$34))</f>
        <v>0</v>
      </c>
      <c r="EI43" s="1">
        <f>SUMPRODUCT((NOT(ISBLANK(EI$3:EI$34))*(EI$3:EI$34=$LW$3:$LW$34))+ISBLANK(EI$3:EI$34))</f>
        <v>0</v>
      </c>
      <c r="EJ43" s="1">
        <f>SUMPRODUCT((NOT(ISBLANK(EJ$3:EJ$34))*(EJ$3:EJ$34=$LX$3:$LX$34))+ISBLANK(EJ$3:EJ$34))</f>
        <v>0</v>
      </c>
      <c r="EK43" s="1">
        <f>SUMPRODUCT((NOT(ISBLANK(EK$3:EK$34))*(EK$3:EK$34=$LY$3:$LY$34))+ISBLANK(EK$3:EK$34))</f>
        <v>0</v>
      </c>
      <c r="EL43" s="1"/>
      <c r="EM43" s="1">
        <f>SUMPRODUCT((NOT(ISBLANK(EM$3:EM$34))*(EM$3:EM$34=$LZ$3:$LZ$34))+ISBLANK(EM$3:EM$34))</f>
        <v>0</v>
      </c>
      <c r="EN43" s="1">
        <f>SUMPRODUCT((NOT(ISBLANK(EN$3:EN$34))*(EN$3:EN$34=$MA$3:$MA$34))+ISBLANK(EN$3:EN$34))</f>
        <v>0</v>
      </c>
      <c r="EO43" s="1">
        <f>SUMPRODUCT((NOT(ISBLANK(EO$3:EO$34))*(EO$3:EO$34=$MB$3:$MB$34))+ISBLANK(EO$3:EO$34))</f>
        <v>0</v>
      </c>
      <c r="EP43" s="1">
        <f>SUMPRODUCT((NOT(ISBLANK(EP$3:EP$34))*(EP$3:EP$34=$LL$3:$LL$34))+ISBLANK(EP$3:EP$34))</f>
        <v>0</v>
      </c>
      <c r="EQ43" s="1">
        <f>SUMPRODUCT((NOT(ISBLANK(EQ$3:EQ$34))*(EQ$3:EQ$34=$LM$3:$LM$34))+ISBLANK(EQ$3:EQ$34))</f>
        <v>0</v>
      </c>
      <c r="ER43" s="1">
        <f>SUMPRODUCT((NOT(ISBLANK(ER$3:ER$34))*(ER$3:ER$34=$LN$3:$LN$34))+ISBLANK(ER$3:ER$34))</f>
        <v>0</v>
      </c>
      <c r="ES43" s="1">
        <f>SUMPRODUCT((NOT(ISBLANK(ES$3:ES$34))*(ES$3:ES$34=$LO$3:$LO$34))+ISBLANK(ES$3:ES$34))</f>
        <v>0</v>
      </c>
      <c r="ET43" s="1">
        <f>SUMPRODUCT((NOT(ISBLANK(ET$3:ET$34))*(ET$3:ET$34=$LP$3:$LP$34))+ISBLANK(ET$3:ET$34))</f>
        <v>0</v>
      </c>
      <c r="EU43" s="1">
        <f>SUMPRODUCT((NOT(ISBLANK(EU$3:EU$34))*(EU$3:EU$34=$LQ$3:$LQ$34))+ISBLANK(EU$3:EU$34))</f>
        <v>0</v>
      </c>
      <c r="EV43" s="1">
        <f>SUMPRODUCT((NOT(ISBLANK(EV$3:EV$34))*(EV$3:EV$34=$LR$3:$LR$34))+ISBLANK(EV$3:EV$34))</f>
        <v>0</v>
      </c>
      <c r="EW43" s="1">
        <f>SUMPRODUCT((NOT(ISBLANK(EW$3:EW$34))*(EW$3:EW$34=$LS$3:$LS$34))+ISBLANK(EW$3:EW$34))</f>
        <v>0</v>
      </c>
      <c r="EX43" s="1">
        <f>SUMPRODUCT((NOT(ISBLANK(EX$3:EX$34))*(EX$3:EX$34=$LT$3:$LT$34))+ISBLANK(EX$3:EX$34))</f>
        <v>0</v>
      </c>
      <c r="EY43" s="1">
        <f>SUMPRODUCT((NOT(ISBLANK(EY$3:EY$34))*(EY$3:EY$34=$LU$3:$LU$34))+ISBLANK(EY$3:EY$34))</f>
        <v>0</v>
      </c>
      <c r="EZ43" s="1">
        <f>SUMPRODUCT((NOT(ISBLANK(EZ$3:EZ$34))*(EZ$3:EZ$34=$LV$3:$LV$34))+ISBLANK(EZ$3:EZ$34))</f>
        <v>0</v>
      </c>
      <c r="FA43" s="1">
        <f>SUMPRODUCT((NOT(ISBLANK(FA$3:FA$34))*(FA$3:FA$34=$LW$3:$LW$34))+ISBLANK(FA$3:FA$34))</f>
        <v>0</v>
      </c>
      <c r="FB43" s="1">
        <f>SUMPRODUCT((NOT(ISBLANK(FB$3:FB$34))*(FB$3:FB$34=$LX$3:$LX$34))+ISBLANK(FB$3:FB$34))</f>
        <v>0</v>
      </c>
      <c r="FC43" s="1">
        <f>SUMPRODUCT((NOT(ISBLANK(FC$3:FC$34))*(FC$3:FC$34=$LY$3:$LY$34))+ISBLANK(FC$3:FC$34))</f>
        <v>0</v>
      </c>
      <c r="FD43" s="1"/>
      <c r="FE43" s="1">
        <f>SUMPRODUCT((NOT(ISBLANK(FE$3:FE$34))*(FE$3:FE$34=$LZ$3:$LZ$34))+ISBLANK(FE$3:FE$34))</f>
        <v>0</v>
      </c>
      <c r="FF43" s="1">
        <f>SUMPRODUCT((NOT(ISBLANK(FF$3:FF$34))*(FF$3:FF$34=$MA$3:$MA$34))+ISBLANK(FF$3:FF$34))</f>
        <v>0</v>
      </c>
      <c r="FG43" s="1">
        <f>SUMPRODUCT((NOT(ISBLANK(FG$3:FG$34))*(FG$3:FG$34=$MB$3:$MB$34))+ISBLANK(FG$3:FG$34))</f>
        <v>0</v>
      </c>
      <c r="FH43" s="1">
        <f>SUMPRODUCT((NOT(ISBLANK(FH$3:FH$34))*(FH$3:FH$34=$LL$3:$LL$34))+ISBLANK(FH$3:FH$34))</f>
        <v>0</v>
      </c>
      <c r="FI43" s="1">
        <f>SUMPRODUCT((NOT(ISBLANK(FI$3:FI$34))*(FI$3:FI$34=$LM$3:$LM$34))+ISBLANK(FI$3:FI$34))</f>
        <v>0</v>
      </c>
      <c r="FJ43" s="1">
        <f>SUMPRODUCT((NOT(ISBLANK(FJ$3:FJ$34))*(FJ$3:FJ$34=$LN$3:$LN$34))+ISBLANK(FJ$3:FJ$34))</f>
        <v>0</v>
      </c>
      <c r="FK43" s="1">
        <f>SUMPRODUCT((NOT(ISBLANK(FK$3:FK$34))*(FK$3:FK$34=$LO$3:$LO$34))+ISBLANK(FK$3:FK$34))</f>
        <v>0</v>
      </c>
      <c r="FL43" s="1">
        <f>SUMPRODUCT((NOT(ISBLANK(FL$3:FL$34))*(FL$3:FL$34=$LP$3:$LP$34))+ISBLANK(FL$3:FL$34))</f>
        <v>0</v>
      </c>
      <c r="FM43" s="1">
        <f>SUMPRODUCT((NOT(ISBLANK(FM$3:FM$34))*(FM$3:FM$34=$LQ$3:$LQ$34))+ISBLANK(FM$3:FM$34))</f>
        <v>0</v>
      </c>
      <c r="FN43" s="1">
        <f>SUMPRODUCT((NOT(ISBLANK(FN$3:FN$34))*(FN$3:FN$34=$LR$3:$LR$34))+ISBLANK(FN$3:FN$34))</f>
        <v>0</v>
      </c>
      <c r="FO43" s="1">
        <f>SUMPRODUCT((NOT(ISBLANK(FO$3:FO$34))*(FO$3:FO$34=$LS$3:$LS$34))+ISBLANK(FO$3:FO$34))</f>
        <v>0</v>
      </c>
      <c r="FP43" s="1">
        <f>SUMPRODUCT((NOT(ISBLANK(FP$3:FP$34))*(FP$3:FP$34=$LT$3:$LT$34))+ISBLANK(FP$3:FP$34))</f>
        <v>0</v>
      </c>
      <c r="FQ43" s="1">
        <f>SUMPRODUCT((NOT(ISBLANK(FQ$3:FQ$34))*(FQ$3:FQ$34=$LU$3:$LU$34))+ISBLANK(FQ$3:FQ$34))</f>
        <v>0</v>
      </c>
      <c r="FR43" s="1">
        <f>SUMPRODUCT((NOT(ISBLANK(FR$3:FR$34))*(FR$3:FR$34=$LV$3:$LV$34))+ISBLANK(FR$3:FR$34))</f>
        <v>0</v>
      </c>
      <c r="FS43" s="1">
        <f>SUMPRODUCT((NOT(ISBLANK(FS$3:FS$34))*(FS$3:FS$34=$LW$3:$LW$34))+ISBLANK(FS$3:FS$34))</f>
        <v>0</v>
      </c>
      <c r="FT43" s="1">
        <f>SUMPRODUCT((NOT(ISBLANK(FT$3:FT$34))*(FT$3:FT$34=$LX$3:$LX$34))+ISBLANK(FT$3:FT$34))</f>
        <v>0</v>
      </c>
      <c r="FU43" s="1">
        <f>SUMPRODUCT((NOT(ISBLANK(FU$3:FU$34))*(FU$3:FU$34=$LY$3:$LY$34))+ISBLANK(FU$3:FU$34))</f>
        <v>0</v>
      </c>
      <c r="FV43" s="1"/>
      <c r="FW43" s="1">
        <f>SUMPRODUCT((NOT(ISBLANK(FW$3:FW$34))*(FW$3:FW$34=$LZ$3:$LZ$34))+ISBLANK(FW$3:FW$34))</f>
        <v>0</v>
      </c>
      <c r="FX43" s="1">
        <f>SUMPRODUCT((NOT(ISBLANK(FX$3:FX$34))*(FX$3:FX$34=$MA$3:$MA$34))+ISBLANK(FX$3:FX$34))</f>
        <v>0</v>
      </c>
      <c r="FY43" s="1">
        <f>SUMPRODUCT((NOT(ISBLANK(FY$3:FY$34))*(FY$3:FY$34=$MB$3:$MB$34))+ISBLANK(FY$3:FY$34))</f>
        <v>0</v>
      </c>
      <c r="FZ43" s="1">
        <f>SUMPRODUCT((NOT(ISBLANK(FZ$3:FZ$34))*(FZ$3:FZ$34=$LL$3:$LL$34))+ISBLANK(FZ$3:FZ$34))</f>
        <v>0</v>
      </c>
      <c r="GA43" s="1">
        <f>SUMPRODUCT((NOT(ISBLANK(GA$3:GA$34))*(GA$3:GA$34=$LM$3:$LM$34))+ISBLANK(GA$3:GA$34))</f>
        <v>0</v>
      </c>
      <c r="GB43" s="1">
        <f>SUMPRODUCT((NOT(ISBLANK(GB$3:GB$34))*(GB$3:GB$34=$LN$3:$LN$34))+ISBLANK(GB$3:GB$34))</f>
        <v>0</v>
      </c>
      <c r="GC43" s="1">
        <f>SUMPRODUCT((NOT(ISBLANK(GC$3:GC$34))*(GC$3:GC$34=$LO$3:$LO$34))+ISBLANK(GC$3:GC$34))</f>
        <v>0</v>
      </c>
      <c r="GD43" s="1">
        <f>SUMPRODUCT((NOT(ISBLANK(GD$3:GD$34))*(GD$3:GD$34=$LP$3:$LP$34))+ISBLANK(GD$3:GD$34))</f>
        <v>0</v>
      </c>
      <c r="GE43" s="1">
        <f>SUMPRODUCT((NOT(ISBLANK(GE$3:GE$34))*(GE$3:GE$34=$LQ$3:$LQ$34))+ISBLANK(GE$3:GE$34))</f>
        <v>0</v>
      </c>
      <c r="GF43" s="1">
        <f>SUMPRODUCT((NOT(ISBLANK(GF$3:GF$34))*(GF$3:GF$34=$LR$3:$LR$34))+ISBLANK(GF$3:GF$34))</f>
        <v>0</v>
      </c>
      <c r="GG43" s="1">
        <f>SUMPRODUCT((NOT(ISBLANK(GG$3:GG$34))*(GG$3:GG$34=$LS$3:$LS$34))+ISBLANK(GG$3:GG$34))</f>
        <v>0</v>
      </c>
      <c r="GH43" s="1">
        <f>SUMPRODUCT((NOT(ISBLANK(GH$3:GH$34))*(GH$3:GH$34=$LT$3:$LT$34))+ISBLANK(GH$3:GH$34))</f>
        <v>0</v>
      </c>
      <c r="GI43" s="1">
        <f>SUMPRODUCT((NOT(ISBLANK(GI$3:GI$34))*(GI$3:GI$34=$LU$3:$LU$34))+ISBLANK(GI$3:GI$34))</f>
        <v>0</v>
      </c>
      <c r="GJ43" s="1">
        <f>SUMPRODUCT((NOT(ISBLANK(GJ$3:GJ$34))*(GJ$3:GJ$34=$LV$3:$LV$34))+ISBLANK(GJ$3:GJ$34))</f>
        <v>0</v>
      </c>
      <c r="GK43" s="1">
        <f>SUMPRODUCT((NOT(ISBLANK(GK$3:GK$34))*(GK$3:GK$34=$LW$3:$LW$34))+ISBLANK(GK$3:GK$34))</f>
        <v>0</v>
      </c>
      <c r="GL43" s="1">
        <f>SUMPRODUCT((NOT(ISBLANK(GL$3:GL$34))*(GL$3:GL$34=$LX$3:$LX$34))+ISBLANK(GL$3:GL$34))</f>
        <v>0</v>
      </c>
      <c r="GM43" s="1">
        <f>SUMPRODUCT((NOT(ISBLANK(GM$3:GM$34))*(GM$3:GM$34=$LY$3:$LY$34))+ISBLANK(GM$3:GM$34))</f>
        <v>0</v>
      </c>
      <c r="GN43" s="1"/>
      <c r="GO43" s="1">
        <f>SUMPRODUCT((NOT(ISBLANK(GO$3:GO$34))*(GO$3:GO$34=$LZ$3:$LZ$34))+ISBLANK(GO$3:GO$34))</f>
        <v>0</v>
      </c>
      <c r="GP43" s="1">
        <f>SUMPRODUCT((NOT(ISBLANK(GP$3:GP$34))*(GP$3:GP$34=$MA$3:$MA$34))+ISBLANK(GP$3:GP$34))</f>
        <v>0</v>
      </c>
      <c r="GQ43" s="1">
        <f>SUMPRODUCT((NOT(ISBLANK(GQ$3:GQ$34))*(GQ$3:GQ$34=$MB$3:$MB$34))+ISBLANK(GQ$3:GQ$34))</f>
        <v>0</v>
      </c>
      <c r="GR43" s="1">
        <f>SUMPRODUCT((NOT(ISBLANK(GR$3:GR$34))*(GR$3:GR$34=$LL$3:$LL$34))+ISBLANK(GR$3:GR$34))</f>
        <v>0</v>
      </c>
      <c r="GS43" s="1">
        <f>SUMPRODUCT((NOT(ISBLANK(GS$3:GS$34))*(GS$3:GS$34=$LM$3:$LM$34))+ISBLANK(GS$3:GS$34))</f>
        <v>0</v>
      </c>
      <c r="GT43" s="1">
        <f>SUMPRODUCT((NOT(ISBLANK(GT$3:GT$34))*(GT$3:GT$34=$LN$3:$LN$34))+ISBLANK(GT$3:GT$34))</f>
        <v>0</v>
      </c>
      <c r="GU43" s="1">
        <f>SUMPRODUCT((NOT(ISBLANK(GU$3:GU$34))*(GU$3:GU$34=$LO$3:$LO$34))+ISBLANK(GU$3:GU$34))</f>
        <v>0</v>
      </c>
      <c r="GV43" s="1">
        <f>SUMPRODUCT((NOT(ISBLANK(GV$3:GV$34))*(GV$3:GV$34=$LP$3:$LP$34))+ISBLANK(GV$3:GV$34))</f>
        <v>0</v>
      </c>
      <c r="GW43" s="1">
        <f>SUMPRODUCT((NOT(ISBLANK(GW$3:GW$34))*(GW$3:GW$34=$LQ$3:$LQ$34))+ISBLANK(GW$3:GW$34))</f>
        <v>0</v>
      </c>
      <c r="GX43" s="1">
        <f>SUMPRODUCT((NOT(ISBLANK(GX$3:GX$34))*(GX$3:GX$34=$LR$3:$LR$34))+ISBLANK(GX$3:GX$34))</f>
        <v>0</v>
      </c>
      <c r="GY43" s="1">
        <f>SUMPRODUCT((NOT(ISBLANK(GY$3:GY$34))*(GY$3:GY$34=$LS$3:$LS$34))+ISBLANK(GY$3:GY$34))</f>
        <v>0</v>
      </c>
      <c r="GZ43" s="1">
        <f>SUMPRODUCT((NOT(ISBLANK(GZ$3:GZ$34))*(GZ$3:GZ$34=$LT$3:$LT$34))+ISBLANK(GZ$3:GZ$34))</f>
        <v>0</v>
      </c>
      <c r="HA43" s="1">
        <f>SUMPRODUCT((NOT(ISBLANK(HA$3:HA$34))*(HA$3:HA$34=$LU$3:$LU$34))+ISBLANK(HA$3:HA$34))</f>
        <v>0</v>
      </c>
      <c r="HB43" s="1">
        <f>SUMPRODUCT((NOT(ISBLANK(HB$3:HB$34))*(HB$3:HB$34=$LV$3:$LV$34))+ISBLANK(HB$3:HB$34))</f>
        <v>0</v>
      </c>
      <c r="HC43" s="1">
        <f>SUMPRODUCT((NOT(ISBLANK(HC$3:HC$34))*(HC$3:HC$34=$LW$3:$LW$34))+ISBLANK(HC$3:HC$34))</f>
        <v>0</v>
      </c>
      <c r="HD43" s="1">
        <f>SUMPRODUCT((NOT(ISBLANK(HD$3:HD$34))*(HD$3:HD$34=$LX$3:$LX$34))+ISBLANK(HD$3:HD$34))</f>
        <v>0</v>
      </c>
      <c r="HE43" s="1">
        <f>SUMPRODUCT((NOT(ISBLANK(HE$3:HE$34))*(HE$3:HE$34=$LY$3:$LY$34))+ISBLANK(HE$3:HE$34))</f>
        <v>0</v>
      </c>
      <c r="HF43" s="1"/>
      <c r="HG43" s="1">
        <f>SUMPRODUCT((NOT(ISBLANK(HG$3:HG$34))*(HG$3:HG$34=$LZ$3:$LZ$34))+ISBLANK(HG$3:HG$34))</f>
        <v>0</v>
      </c>
      <c r="HH43" s="1">
        <f>SUMPRODUCT((NOT(ISBLANK(HH$3:HH$34))*(HH$3:HH$34=$MA$3:$MA$34))+ISBLANK(HH$3:HH$34))</f>
        <v>0</v>
      </c>
      <c r="HI43" s="1">
        <f>SUMPRODUCT((NOT(ISBLANK(HI$3:HI$34))*(HI$3:HI$34=$MB$3:$MB$34))+ISBLANK(HI$3:HI$34))</f>
        <v>0</v>
      </c>
      <c r="HJ43" s="1">
        <f>SUMPRODUCT((NOT(ISBLANK(HJ$3:HJ$34))*(HJ$3:HJ$34=$LL$3:$LL$34))+ISBLANK(HJ$3:HJ$34))</f>
        <v>0</v>
      </c>
      <c r="HK43" s="1">
        <f>SUMPRODUCT((NOT(ISBLANK(HK$3:HK$34))*(HK$3:HK$34=$LM$3:$LM$34))+ISBLANK(HK$3:HK$34))</f>
        <v>0</v>
      </c>
      <c r="HL43" s="1">
        <f>SUMPRODUCT((NOT(ISBLANK(HL$3:HL$34))*(HL$3:HL$34=$LN$3:$LN$34))+ISBLANK(HL$3:HL$34))</f>
        <v>0</v>
      </c>
      <c r="HM43" s="1">
        <f>SUMPRODUCT((NOT(ISBLANK(HM$3:HM$34))*(HM$3:HM$34=$LO$3:$LO$34))+ISBLANK(HM$3:HM$34))</f>
        <v>0</v>
      </c>
      <c r="HN43" s="1">
        <f>SUMPRODUCT((NOT(ISBLANK(HN$3:HN$34))*(HN$3:HN$34=$LP$3:$LP$34))+ISBLANK(HN$3:HN$34))</f>
        <v>0</v>
      </c>
      <c r="HO43" s="1">
        <f>SUMPRODUCT((NOT(ISBLANK(HO$3:HO$34))*(HO$3:HO$34=$LQ$3:$LQ$34))+ISBLANK(HO$3:HO$34))</f>
        <v>0</v>
      </c>
      <c r="HP43" s="1">
        <f>SUMPRODUCT((NOT(ISBLANK(HP$3:HP$34))*(HP$3:HP$34=$LR$3:$LR$34))+ISBLANK(HP$3:HP$34))</f>
        <v>0</v>
      </c>
      <c r="HQ43" s="1">
        <f>SUMPRODUCT((NOT(ISBLANK(HQ$3:HQ$34))*(HQ$3:HQ$34=$LS$3:$LS$34))+ISBLANK(HQ$3:HQ$34))</f>
        <v>0</v>
      </c>
      <c r="HR43" s="1">
        <f>SUMPRODUCT((NOT(ISBLANK(HR$3:HR$34))*(HR$3:HR$34=$LT$3:$LT$34))+ISBLANK(HR$3:HR$34))</f>
        <v>0</v>
      </c>
      <c r="HS43" s="1">
        <f>SUMPRODUCT((NOT(ISBLANK(HS$3:HS$34))*(HS$3:HS$34=$LU$3:$LU$34))+ISBLANK(HS$3:HS$34))</f>
        <v>0</v>
      </c>
      <c r="HT43" s="1">
        <f>SUMPRODUCT((NOT(ISBLANK(HT$3:HT$34))*(HT$3:HT$34=$LV$3:$LV$34))+ISBLANK(HT$3:HT$34))</f>
        <v>0</v>
      </c>
      <c r="HU43" s="1">
        <f>SUMPRODUCT((NOT(ISBLANK(HU$3:HU$34))*(HU$3:HU$34=$LW$3:$LW$34))+ISBLANK(HU$3:HU$34))</f>
        <v>0</v>
      </c>
      <c r="HV43" s="1">
        <f>SUMPRODUCT((NOT(ISBLANK(HV$3:HV$34))*(HV$3:HV$34=$LX$3:$LX$34))+ISBLANK(HV$3:HV$34))</f>
        <v>0</v>
      </c>
      <c r="HW43" s="1">
        <f>SUMPRODUCT((NOT(ISBLANK(HW$3:HW$34))*(HW$3:HW$34=$LY$3:$LY$34))+ISBLANK(HW$3:HW$34))</f>
        <v>0</v>
      </c>
      <c r="HX43" s="1"/>
      <c r="HY43" s="1">
        <f>SUMPRODUCT((NOT(ISBLANK(HY$3:HY$34))*(HY$3:HY$34=$LZ$3:$LZ$34))+ISBLANK(HY$3:HY$34))</f>
        <v>0</v>
      </c>
      <c r="HZ43" s="1">
        <f>SUMPRODUCT((NOT(ISBLANK(HZ$3:HZ$34))*(HZ$3:HZ$34=$MA$3:$MA$34))+ISBLANK(HZ$3:HZ$34))</f>
        <v>0</v>
      </c>
      <c r="IA43" s="1">
        <f>SUMPRODUCT((NOT(ISBLANK(IA$3:IA$34))*(IA$3:IA$34=$MB$3:$MB$34))+ISBLANK(IA$3:IA$34))</f>
        <v>0</v>
      </c>
      <c r="IB43" s="1">
        <f>SUMPRODUCT((NOT(ISBLANK(IB$3:IB$34))*(IB$3:IB$34=$LL$3:$LL$34))+ISBLANK(IB$3:IB$34))</f>
        <v>0</v>
      </c>
      <c r="IC43" s="1">
        <f>SUMPRODUCT((NOT(ISBLANK(IC$3:IC$34))*(IC$3:IC$34=$LM$3:$LM$34))+ISBLANK(IC$3:IC$34))</f>
        <v>0</v>
      </c>
      <c r="ID43" s="1">
        <f>SUMPRODUCT((NOT(ISBLANK(ID$3:ID$34))*(ID$3:ID$34=$LN$3:$LN$34))+ISBLANK(ID$3:ID$34))</f>
        <v>0</v>
      </c>
      <c r="IE43" s="1">
        <f>SUMPRODUCT((NOT(ISBLANK(IE$3:IE$34))*(IE$3:IE$34=$LO$3:$LO$34))+ISBLANK(IE$3:IE$34))</f>
        <v>0</v>
      </c>
      <c r="IF43" s="1">
        <f>SUMPRODUCT((NOT(ISBLANK(IF$3:IF$34))*(IF$3:IF$34=$LP$3:$LP$34))+ISBLANK(IF$3:IF$34))</f>
        <v>0</v>
      </c>
      <c r="IG43" s="1">
        <f>SUMPRODUCT((NOT(ISBLANK(IG$3:IG$34))*(IG$3:IG$34=$LQ$3:$LQ$34))+ISBLANK(IG$3:IG$34))</f>
        <v>0</v>
      </c>
      <c r="IH43" s="1">
        <f>SUMPRODUCT((NOT(ISBLANK(IH$3:IH$34))*(IH$3:IH$34=$LR$3:$LR$34))+ISBLANK(IH$3:IH$34))</f>
        <v>0</v>
      </c>
      <c r="II43" s="1">
        <f>SUMPRODUCT((NOT(ISBLANK(II$3:II$34))*(II$3:II$34=$LS$3:$LS$34))+ISBLANK(II$3:II$34))</f>
        <v>0</v>
      </c>
      <c r="IJ43" s="1">
        <f>SUMPRODUCT((NOT(ISBLANK(IJ$3:IJ$34))*(IJ$3:IJ$34=$LT$3:$LT$34))+ISBLANK(IJ$3:IJ$34))</f>
        <v>0</v>
      </c>
      <c r="IK43" s="1">
        <f>SUMPRODUCT((NOT(ISBLANK(IK$3:IK$34))*(IK$3:IK$34=$LU$3:$LU$34))+ISBLANK(IK$3:IK$34))</f>
        <v>0</v>
      </c>
      <c r="IL43" s="1">
        <f>SUMPRODUCT((NOT(ISBLANK(IL$3:IL$34))*(IL$3:IL$34=$LV$3:$LV$34))+ISBLANK(IL$3:IL$34))</f>
        <v>0</v>
      </c>
      <c r="IM43" s="1">
        <f>SUMPRODUCT((NOT(ISBLANK(IM$3:IM$34))*(IM$3:IM$34=$LW$3:$LW$34))+ISBLANK(IM$3:IM$34))</f>
        <v>0</v>
      </c>
      <c r="IN43" s="1">
        <f>SUMPRODUCT((NOT(ISBLANK(IN$3:IN$34))*(IN$3:IN$34=$LX$3:$LX$34))+ISBLANK(IN$3:IN$34))</f>
        <v>0</v>
      </c>
      <c r="IO43" s="1">
        <f>SUMPRODUCT((NOT(ISBLANK(IO$3:IO$34))*(IO$3:IO$34=$LY$3:$LY$34))+ISBLANK(IO$3:IO$34))</f>
        <v>0</v>
      </c>
      <c r="IP43" s="1"/>
      <c r="IQ43" s="1">
        <f>SUMPRODUCT((NOT(ISBLANK(IQ$3:IQ$34))*(IQ$3:IQ$34=$LZ$3:$LZ$34))+ISBLANK(IQ$3:IQ$34))</f>
        <v>0</v>
      </c>
      <c r="IR43" s="1">
        <f>SUMPRODUCT((NOT(ISBLANK(IR$3:IR$34))*(IR$3:IR$34=$MA$3:$MA$34))+ISBLANK(IR$3:IR$34))</f>
        <v>0</v>
      </c>
      <c r="IS43" s="1">
        <f>SUMPRODUCT((NOT(ISBLANK(IS$3:IS$34))*(IS$3:IS$34=$MB$3:$MB$34))+ISBLANK(IS$3:IS$34))</f>
        <v>0</v>
      </c>
      <c r="IT43" s="1">
        <f>SUMPRODUCT((NOT(ISBLANK(IT$3:IT$34))*(IT$3:IT$34=$LL$3:$LL$34))+ISBLANK(IT$3:IT$34))</f>
        <v>0</v>
      </c>
      <c r="IU43" s="1">
        <f>SUMPRODUCT((NOT(ISBLANK(IU$3:IU$34))*(IU$3:IU$34=$LM$3:$LM$34))+ISBLANK(IU$3:IU$34))</f>
        <v>0</v>
      </c>
      <c r="IV43" s="1">
        <f>SUMPRODUCT((NOT(ISBLANK(IV$3:IV$34))*(IV$3:IV$34=$LN$3:$LN$34))+ISBLANK(IV$3:IV$34))</f>
        <v>0</v>
      </c>
      <c r="IW43" s="1">
        <f>SUMPRODUCT((NOT(ISBLANK(IW$3:IW$34))*(IW$3:IW$34=$LO$3:$LO$34))+ISBLANK(IW$3:IW$34))</f>
        <v>0</v>
      </c>
      <c r="IX43" s="1">
        <f>SUMPRODUCT((NOT(ISBLANK(IX$3:IX$34))*(IX$3:IX$34=$LP$3:$LP$34))+ISBLANK(IX$3:IX$34))</f>
        <v>0</v>
      </c>
      <c r="IY43" s="1">
        <f>SUMPRODUCT((NOT(ISBLANK(IY$3:IY$34))*(IY$3:IY$34=$LQ$3:$LQ$34))+ISBLANK(IY$3:IY$34))</f>
        <v>0</v>
      </c>
      <c r="IZ43" s="1">
        <f>SUMPRODUCT((NOT(ISBLANK(IZ$3:IZ$34))*(IZ$3:IZ$34=$LR$3:$LR$34))+ISBLANK(IZ$3:IZ$34))</f>
        <v>0</v>
      </c>
      <c r="JA43" s="1">
        <f>SUMPRODUCT((NOT(ISBLANK(JA$3:JA$34))*(JA$3:JA$34=$LS$3:$LS$34))+ISBLANK(JA$3:JA$34))</f>
        <v>0</v>
      </c>
      <c r="JB43" s="1">
        <f>SUMPRODUCT((NOT(ISBLANK(JB$3:JB$34))*(JB$3:JB$34=$LT$3:$LT$34))+ISBLANK(JB$3:JB$34))</f>
        <v>0</v>
      </c>
      <c r="JC43" s="1">
        <f>SUMPRODUCT((NOT(ISBLANK(JC$3:JC$34))*(JC$3:JC$34=$LU$3:$LU$34))+ISBLANK(JC$3:JC$34))</f>
        <v>0</v>
      </c>
      <c r="JD43" s="1">
        <f>SUMPRODUCT((NOT(ISBLANK(JD$3:JD$34))*(JD$3:JD$34=$LV$3:$LV$34))+ISBLANK(JD$3:JD$34))</f>
        <v>0</v>
      </c>
      <c r="JE43" s="1">
        <f>SUMPRODUCT((NOT(ISBLANK(JE$3:JE$34))*(JE$3:JE$34=$LW$3:$LW$34))+ISBLANK(JE$3:JE$34))</f>
        <v>0</v>
      </c>
      <c r="JF43" s="1">
        <f>SUMPRODUCT((NOT(ISBLANK(JF$3:JF$34))*(JF$3:JF$34=$LX$3:$LX$34))+ISBLANK(JF$3:JF$34))</f>
        <v>0</v>
      </c>
      <c r="JG43" s="1">
        <f>SUMPRODUCT((NOT(ISBLANK(JG$3:JG$34))*(JG$3:JG$34=$LY$3:$LY$34))+ISBLANK(JG$3:JG$34))</f>
        <v>0</v>
      </c>
      <c r="JH43" s="1"/>
      <c r="JI43" s="1">
        <f>SUMPRODUCT((NOT(ISBLANK(JI$3:JI$34))*(JI$3:JI$34=$LZ$3:$LZ$34))+ISBLANK(JI$3:JI$34))</f>
        <v>0</v>
      </c>
      <c r="JJ43" s="1">
        <f>SUMPRODUCT((NOT(ISBLANK(JJ$3:JJ$34))*(JJ$3:JJ$34=$MA$3:$MA$34))+ISBLANK(JJ$3:JJ$34))</f>
        <v>0</v>
      </c>
      <c r="JK43" s="1">
        <f>SUMPRODUCT((NOT(ISBLANK(JK$3:JK$34))*(JK$3:JK$34=$MB$3:$MB$34))+ISBLANK(JK$3:JK$34))</f>
        <v>0</v>
      </c>
      <c r="JL43" s="1">
        <f>SUMPRODUCT((NOT(ISBLANK(JL$3:JL$34))*(JL$3:JL$34=$LL$3:$LL$34))+ISBLANK(JL$3:JL$34))</f>
        <v>0</v>
      </c>
      <c r="JM43" s="1">
        <f>SUMPRODUCT((NOT(ISBLANK(JM$3:JM$34))*(JM$3:JM$34=$LM$3:$LM$34))+ISBLANK(JM$3:JM$34))</f>
        <v>0</v>
      </c>
      <c r="JN43" s="1">
        <f>SUMPRODUCT((NOT(ISBLANK(JN$3:JN$34))*(JN$3:JN$34=$LN$3:$LN$34))+ISBLANK(JN$3:JN$34))</f>
        <v>0</v>
      </c>
      <c r="JO43" s="1">
        <f>SUMPRODUCT((NOT(ISBLANK(JO$3:JO$34))*(JO$3:JO$34=$LO$3:$LO$34))+ISBLANK(JO$3:JO$34))</f>
        <v>0</v>
      </c>
      <c r="JP43" s="1">
        <f>SUMPRODUCT((NOT(ISBLANK(JP$3:JP$34))*(JP$3:JP$34=$LP$3:$LP$34))+ISBLANK(JP$3:JP$34))</f>
        <v>0</v>
      </c>
      <c r="JQ43" s="1">
        <f>SUMPRODUCT((NOT(ISBLANK(JQ$3:JQ$34))*(JQ$3:JQ$34=$LQ$3:$LQ$34))+ISBLANK(JQ$3:JQ$34))</f>
        <v>0</v>
      </c>
      <c r="JR43" s="1">
        <f>SUMPRODUCT((NOT(ISBLANK(JR$3:JR$34))*(JR$3:JR$34=$LR$3:$LR$34))+ISBLANK(JR$3:JR$34))</f>
        <v>0</v>
      </c>
      <c r="JS43" s="1">
        <f>SUMPRODUCT((NOT(ISBLANK(JS$3:JS$34))*(JS$3:JS$34=$LS$3:$LS$34))+ISBLANK(JS$3:JS$34))</f>
        <v>0</v>
      </c>
      <c r="JT43" s="1">
        <f>SUMPRODUCT((NOT(ISBLANK(JT$3:JT$34))*(JT$3:JT$34=$LT$3:$LT$34))+ISBLANK(JT$3:JT$34))</f>
        <v>0</v>
      </c>
      <c r="JU43" s="1">
        <f>SUMPRODUCT((NOT(ISBLANK(JU$3:JU$34))*(JU$3:JU$34=$LU$3:$LU$34))+ISBLANK(JU$3:JU$34))</f>
        <v>0</v>
      </c>
      <c r="JV43" s="1">
        <f>SUMPRODUCT((NOT(ISBLANK(JV$3:JV$34))*(JV$3:JV$34=$LV$3:$LV$34))+ISBLANK(JV$3:JV$34))</f>
        <v>0</v>
      </c>
      <c r="JW43" s="1">
        <f>SUMPRODUCT((NOT(ISBLANK(JW$3:JW$34))*(JW$3:JW$34=$LW$3:$LW$34))+ISBLANK(JW$3:JW$34))</f>
        <v>0</v>
      </c>
      <c r="JX43" s="1">
        <f>SUMPRODUCT((NOT(ISBLANK(JX$3:JX$34))*(JX$3:JX$34=$LX$3:$LX$34))+ISBLANK(JX$3:JX$34))</f>
        <v>0</v>
      </c>
      <c r="JY43" s="1">
        <f>SUMPRODUCT((NOT(ISBLANK(JY$3:JY$34))*(JY$3:JY$34=$LY$3:$LY$34))+ISBLANK(JY$3:JY$34))</f>
        <v>0</v>
      </c>
      <c r="JZ43" s="1"/>
      <c r="KA43" s="1">
        <f>SUMPRODUCT((NOT(ISBLANK(KA$3:KA$34))*(KA$3:KA$34=$LZ$3:$LZ$34))+ISBLANK(KA$3:KA$34))</f>
        <v>0</v>
      </c>
      <c r="KB43" s="1">
        <f>SUMPRODUCT((NOT(ISBLANK(KB$3:KB$34))*(KB$3:KB$34=$MA$3:$MA$34))+ISBLANK(KB$3:KB$34))</f>
        <v>0</v>
      </c>
      <c r="KC43" s="1">
        <f>SUMPRODUCT((NOT(ISBLANK(KC$3:KC$34))*(KC$3:KC$34=$MB$3:$MB$34))+ISBLANK(KC$3:KC$34))</f>
        <v>0</v>
      </c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/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80</v>
      </c>
      <c r="B3" s="1">
        <f>AVERAGE(Instances!B3:Instances!B14)</f>
        <v>0</v>
      </c>
      <c r="C3" s="1">
        <f>AVERAGE(Instances!C3:Instances!C14)</f>
        <v>0</v>
      </c>
      <c r="D3" s="1">
        <f>AVERAGE(Instances!D3:Instances!D14)</f>
        <v>0</v>
      </c>
      <c r="E3" s="1">
        <f>AVERAGE(Instances!E3:Instances!E14)</f>
        <v>0</v>
      </c>
      <c r="F3" s="1">
        <f>AVERAGE(Instances!F3:Instances!F14)</f>
        <v>0</v>
      </c>
      <c r="G3" s="1">
        <f>AVERAGE(Instances!G3:Instances!G14)</f>
        <v>0</v>
      </c>
      <c r="H3" s="1">
        <f>AVERAGE(Instances!H3:Instances!H14)</f>
        <v>0</v>
      </c>
      <c r="I3" s="1">
        <f>AVERAGE(Instances!I3:Instances!I14)</f>
        <v>0</v>
      </c>
      <c r="J3" s="1">
        <f>AVERAGE(Instances!J3:Instances!J14)</f>
        <v>0</v>
      </c>
      <c r="K3" s="1">
        <f>AVERAGE(Instances!K3:Instances!K14)</f>
        <v>0</v>
      </c>
      <c r="L3" s="1">
        <f>AVERAGE(Instances!L3:Instances!L14)</f>
        <v>0</v>
      </c>
      <c r="M3" s="1">
        <f>AVERAGE(Instances!M3:Instances!M14)</f>
        <v>0</v>
      </c>
      <c r="N3" s="1">
        <f>AVERAGE(Instances!N3:Instances!N14)</f>
        <v>0</v>
      </c>
      <c r="O3" s="1">
        <f>AVERAGE(Instances!O3:Instances!O14)</f>
        <v>0</v>
      </c>
      <c r="P3" s="1"/>
      <c r="Q3" s="1">
        <f>AVERAGE(Instances!Q3:Instances!Q14)</f>
        <v>0</v>
      </c>
      <c r="R3" s="1">
        <f>SUM(Instances!R3:Instances!R14)</f>
        <v>0</v>
      </c>
      <c r="S3" s="1">
        <f>AVERAGE(Instances!S3:Instances!S14)</f>
        <v>0</v>
      </c>
      <c r="T3" s="1">
        <f>AVERAGE(Instances!T3:Instances!T14)</f>
        <v>0</v>
      </c>
      <c r="U3" s="1">
        <f>AVERAGE(Instances!U3:Instances!U14)</f>
        <v>0</v>
      </c>
      <c r="V3" s="1">
        <f>AVERAGE(Instances!V3:Instances!V14)</f>
        <v>0</v>
      </c>
      <c r="W3" s="1">
        <f>AVERAGE(Instances!W3:Instances!W14)</f>
        <v>0</v>
      </c>
      <c r="X3" s="1">
        <f>AVERAGE(Instances!X3:Instances!X14)</f>
        <v>0</v>
      </c>
      <c r="Y3" s="1">
        <f>AVERAGE(Instances!Y3:Instances!Y14)</f>
        <v>0</v>
      </c>
      <c r="Z3" s="1">
        <f>AVERAGE(Instances!Z3:Instances!Z14)</f>
        <v>0</v>
      </c>
      <c r="AA3" s="1">
        <f>AVERAGE(Instances!AA3:Instances!AA14)</f>
        <v>0</v>
      </c>
      <c r="AB3" s="1">
        <f>AVERAGE(Instances!AB3:Instances!AB14)</f>
        <v>0</v>
      </c>
      <c r="AC3" s="1">
        <f>AVERAGE(Instances!AC3:Instances!AC14)</f>
        <v>0</v>
      </c>
      <c r="AD3" s="1">
        <f>AVERAGE(Instances!AD3:Instances!AD14)</f>
        <v>0</v>
      </c>
      <c r="AE3" s="1">
        <f>AVERAGE(Instances!AE3:Instances!AE14)</f>
        <v>0</v>
      </c>
      <c r="AF3" s="1">
        <f>AVERAGE(Instances!AF3:Instances!AF14)</f>
        <v>0</v>
      </c>
      <c r="AG3" s="1">
        <f>AVERAGE(Instances!AG3:Instances!AG14)</f>
        <v>0</v>
      </c>
      <c r="AH3" s="1"/>
      <c r="AI3" s="1">
        <f>AVERAGE(Instances!AI3:Instances!AI14)</f>
        <v>0</v>
      </c>
      <c r="AJ3" s="1">
        <f>SUM(Instances!AJ3:Instances!AJ14)</f>
        <v>0</v>
      </c>
      <c r="AK3" s="1">
        <f>AVERAGE(Instances!AK3:Instances!AK14)</f>
        <v>0</v>
      </c>
      <c r="AL3" s="1">
        <f>AVERAGE(Instances!AL3:Instances!AL14)</f>
        <v>0</v>
      </c>
      <c r="AM3" s="1">
        <f>AVERAGE(Instances!AM3:Instances!AM14)</f>
        <v>0</v>
      </c>
      <c r="AN3" s="1">
        <f>AVERAGE(Instances!AN3:Instances!AN14)</f>
        <v>0</v>
      </c>
      <c r="AO3" s="1">
        <f>AVERAGE(Instances!AO3:Instances!AO14)</f>
        <v>0</v>
      </c>
      <c r="AP3" s="1">
        <f>AVERAGE(Instances!AP3:Instances!AP14)</f>
        <v>0</v>
      </c>
      <c r="AQ3" s="1">
        <f>AVERAGE(Instances!AQ3:Instances!AQ14)</f>
        <v>0</v>
      </c>
      <c r="AR3" s="1">
        <f>AVERAGE(Instances!AR3:Instances!AR14)</f>
        <v>0</v>
      </c>
      <c r="AS3" s="1">
        <f>AVERAGE(Instances!AS3:Instances!AS14)</f>
        <v>0</v>
      </c>
      <c r="AT3" s="1">
        <f>AVERAGE(Instances!AT3:Instances!AT14)</f>
        <v>0</v>
      </c>
      <c r="AU3" s="1">
        <f>AVERAGE(Instances!AU3:Instances!AU14)</f>
        <v>0</v>
      </c>
      <c r="AV3" s="1">
        <f>AVERAGE(Instances!AV3:Instances!AV14)</f>
        <v>0</v>
      </c>
      <c r="AW3" s="1">
        <f>AVERAGE(Instances!AW3:Instances!AW14)</f>
        <v>0</v>
      </c>
      <c r="AX3" s="1">
        <f>AVERAGE(Instances!AX3:Instances!AX14)</f>
        <v>0</v>
      </c>
      <c r="AY3" s="1">
        <f>AVERAGE(Instances!AY3:Instances!AY14)</f>
        <v>0</v>
      </c>
      <c r="AZ3" s="1"/>
      <c r="BA3" s="1">
        <f>AVERAGE(Instances!BA3:Instances!BA14)</f>
        <v>0</v>
      </c>
      <c r="BB3" s="1">
        <f>SUM(Instances!BB3:Instances!BB14)</f>
        <v>0</v>
      </c>
      <c r="BC3" s="1">
        <f>AVERAGE(Instances!BC3:Instances!BC14)</f>
        <v>0</v>
      </c>
      <c r="BD3" s="1">
        <f>AVERAGE(Instances!BD3:Instances!BD14)</f>
        <v>0</v>
      </c>
      <c r="BE3" s="1">
        <f>AVERAGE(Instances!BE3:Instances!BE14)</f>
        <v>0</v>
      </c>
      <c r="BF3" s="1">
        <f>AVERAGE(Instances!BF3:Instances!BF14)</f>
        <v>0</v>
      </c>
      <c r="BG3" s="1">
        <f>AVERAGE(Instances!BG3:Instances!BG14)</f>
        <v>0</v>
      </c>
      <c r="BH3" s="1">
        <f>AVERAGE(Instances!BH3:Instances!BH14)</f>
        <v>0</v>
      </c>
      <c r="BI3" s="1">
        <f>AVERAGE(Instances!BI3:Instances!BI14)</f>
        <v>0</v>
      </c>
      <c r="BJ3" s="1">
        <f>AVERAGE(Instances!BJ3:Instances!BJ14)</f>
        <v>0</v>
      </c>
      <c r="BK3" s="1">
        <f>AVERAGE(Instances!BK3:Instances!BK14)</f>
        <v>0</v>
      </c>
      <c r="BL3" s="1">
        <f>AVERAGE(Instances!BL3:Instances!BL14)</f>
        <v>0</v>
      </c>
      <c r="BM3" s="1">
        <f>AVERAGE(Instances!BM3:Instances!BM14)</f>
        <v>0</v>
      </c>
      <c r="BN3" s="1">
        <f>AVERAGE(Instances!BN3:Instances!BN14)</f>
        <v>0</v>
      </c>
      <c r="BO3" s="1">
        <f>AVERAGE(Instances!BO3:Instances!BO14)</f>
        <v>0</v>
      </c>
      <c r="BP3" s="1">
        <f>AVERAGE(Instances!BP3:Instances!BP14)</f>
        <v>0</v>
      </c>
      <c r="BQ3" s="1">
        <f>AVERAGE(Instances!BQ3:Instances!BQ14)</f>
        <v>0</v>
      </c>
      <c r="BR3" s="1"/>
      <c r="BS3" s="1">
        <f>AVERAGE(Instances!BS3:Instances!BS14)</f>
        <v>0</v>
      </c>
      <c r="BT3" s="1">
        <f>SUM(Instances!BT3:Instances!BT14)</f>
        <v>0</v>
      </c>
      <c r="BU3" s="1">
        <f>AVERAGE(Instances!BU3:Instances!BU14)</f>
        <v>0</v>
      </c>
      <c r="BV3" s="1">
        <f>AVERAGE(Instances!BV3:Instances!BV14)</f>
        <v>0</v>
      </c>
      <c r="BW3" s="1">
        <f>AVERAGE(Instances!BW3:Instances!BW14)</f>
        <v>0</v>
      </c>
      <c r="BX3" s="1">
        <f>AVERAGE(Instances!BX3:Instances!BX14)</f>
        <v>0</v>
      </c>
      <c r="BY3" s="1">
        <f>AVERAGE(Instances!BY3:Instances!BY14)</f>
        <v>0</v>
      </c>
      <c r="BZ3" s="1">
        <f>AVERAGE(Instances!BZ3:Instances!BZ14)</f>
        <v>0</v>
      </c>
      <c r="CA3" s="1">
        <f>AVERAGE(Instances!CA3:Instances!CA14)</f>
        <v>0</v>
      </c>
      <c r="CB3" s="1">
        <f>AVERAGE(Instances!CB3:Instances!CB14)</f>
        <v>0</v>
      </c>
      <c r="CC3" s="1">
        <f>AVERAGE(Instances!CC3:Instances!CC14)</f>
        <v>0</v>
      </c>
      <c r="CD3" s="1">
        <f>AVERAGE(Instances!CD3:Instances!CD14)</f>
        <v>0</v>
      </c>
      <c r="CE3" s="1">
        <f>AVERAGE(Instances!CE3:Instances!CE14)</f>
        <v>0</v>
      </c>
      <c r="CF3" s="1">
        <f>AVERAGE(Instances!CF3:Instances!CF14)</f>
        <v>0</v>
      </c>
      <c r="CG3" s="1">
        <f>AVERAGE(Instances!CG3:Instances!CG14)</f>
        <v>0</v>
      </c>
      <c r="CH3" s="1">
        <f>AVERAGE(Instances!CH3:Instances!CH14)</f>
        <v>0</v>
      </c>
      <c r="CI3" s="1">
        <f>AVERAGE(Instances!CI3:Instances!CI14)</f>
        <v>0</v>
      </c>
      <c r="CJ3" s="1"/>
      <c r="CK3" s="1">
        <f>AVERAGE(Instances!CK3:Instances!CK14)</f>
        <v>0</v>
      </c>
      <c r="CL3" s="1">
        <f>SUM(Instances!CL3:Instances!CL14)</f>
        <v>0</v>
      </c>
      <c r="CM3" s="1">
        <f>AVERAGE(Instances!CM3:Instances!CM14)</f>
        <v>0</v>
      </c>
      <c r="CN3" s="1">
        <f>AVERAGE(Instances!CN3:Instances!CN14)</f>
        <v>0</v>
      </c>
      <c r="CO3" s="1">
        <f>AVERAGE(Instances!CO3:Instances!CO14)</f>
        <v>0</v>
      </c>
      <c r="CP3" s="1">
        <f>AVERAGE(Instances!CP3:Instances!CP14)</f>
        <v>0</v>
      </c>
      <c r="CQ3" s="1">
        <f>AVERAGE(Instances!CQ3:Instances!CQ14)</f>
        <v>0</v>
      </c>
      <c r="CR3" s="1">
        <f>AVERAGE(Instances!CR3:Instances!CR14)</f>
        <v>0</v>
      </c>
      <c r="CS3" s="1">
        <f>AVERAGE(Instances!CS3:Instances!CS14)</f>
        <v>0</v>
      </c>
      <c r="CT3" s="1">
        <f>AVERAGE(Instances!CT3:Instances!CT14)</f>
        <v>0</v>
      </c>
      <c r="CU3" s="1">
        <f>AVERAGE(Instances!CU3:Instances!CU14)</f>
        <v>0</v>
      </c>
      <c r="CV3" s="1">
        <f>AVERAGE(Instances!CV3:Instances!CV14)</f>
        <v>0</v>
      </c>
      <c r="CW3" s="1">
        <f>AVERAGE(Instances!CW3:Instances!CW14)</f>
        <v>0</v>
      </c>
      <c r="CX3" s="1">
        <f>AVERAGE(Instances!CX3:Instances!CX14)</f>
        <v>0</v>
      </c>
      <c r="CY3" s="1">
        <f>AVERAGE(Instances!CY3:Instances!CY14)</f>
        <v>0</v>
      </c>
      <c r="CZ3" s="1">
        <f>AVERAGE(Instances!CZ3:Instances!CZ14)</f>
        <v>0</v>
      </c>
      <c r="DA3" s="1">
        <f>AVERAGE(Instances!DA3:Instances!DA14)</f>
        <v>0</v>
      </c>
      <c r="DB3" s="1"/>
      <c r="DC3" s="1">
        <f>AVERAGE(Instances!DC3:Instances!DC14)</f>
        <v>0</v>
      </c>
      <c r="DD3" s="1">
        <f>SUM(Instances!DD3:Instances!DD14)</f>
        <v>0</v>
      </c>
      <c r="DE3" s="1">
        <f>AVERAGE(Instances!DE3:Instances!DE14)</f>
        <v>0</v>
      </c>
      <c r="DF3" s="1">
        <f>AVERAGE(Instances!DF3:Instances!DF14)</f>
        <v>0</v>
      </c>
      <c r="DG3" s="1">
        <f>AVERAGE(Instances!DG3:Instances!DG14)</f>
        <v>0</v>
      </c>
      <c r="DH3" s="1">
        <f>AVERAGE(Instances!DH3:Instances!DH14)</f>
        <v>0</v>
      </c>
      <c r="DI3" s="1">
        <f>AVERAGE(Instances!DI3:Instances!DI14)</f>
        <v>0</v>
      </c>
      <c r="DJ3" s="1">
        <f>AVERAGE(Instances!DJ3:Instances!DJ14)</f>
        <v>0</v>
      </c>
      <c r="DK3" s="1">
        <f>AVERAGE(Instances!DK3:Instances!DK14)</f>
        <v>0</v>
      </c>
      <c r="DL3" s="1">
        <f>AVERAGE(Instances!DL3:Instances!DL14)</f>
        <v>0</v>
      </c>
      <c r="DM3" s="1">
        <f>AVERAGE(Instances!DM3:Instances!DM14)</f>
        <v>0</v>
      </c>
      <c r="DN3" s="1">
        <f>AVERAGE(Instances!DN3:Instances!DN14)</f>
        <v>0</v>
      </c>
      <c r="DO3" s="1">
        <f>AVERAGE(Instances!DO3:Instances!DO14)</f>
        <v>0</v>
      </c>
      <c r="DP3" s="1">
        <f>AVERAGE(Instances!DP3:Instances!DP14)</f>
        <v>0</v>
      </c>
      <c r="DQ3" s="1">
        <f>AVERAGE(Instances!DQ3:Instances!DQ14)</f>
        <v>0</v>
      </c>
      <c r="DR3" s="1">
        <f>AVERAGE(Instances!DR3:Instances!DR14)</f>
        <v>0</v>
      </c>
      <c r="DS3" s="1">
        <f>AVERAGE(Instances!DS3:Instances!DS14)</f>
        <v>0</v>
      </c>
      <c r="DT3" s="1"/>
      <c r="DU3" s="1">
        <f>AVERAGE(Instances!DU3:Instances!DU14)</f>
        <v>0</v>
      </c>
      <c r="DV3" s="1">
        <f>SUM(Instances!DV3:Instances!DV14)</f>
        <v>0</v>
      </c>
      <c r="DW3" s="1">
        <f>AVERAGE(Instances!DW3:Instances!DW14)</f>
        <v>0</v>
      </c>
      <c r="DX3" s="1">
        <f>AVERAGE(Instances!DX3:Instances!DX14)</f>
        <v>0</v>
      </c>
      <c r="DY3" s="1">
        <f>AVERAGE(Instances!DY3:Instances!DY14)</f>
        <v>0</v>
      </c>
      <c r="DZ3" s="1">
        <f>AVERAGE(Instances!DZ3:Instances!DZ14)</f>
        <v>0</v>
      </c>
      <c r="EA3" s="1">
        <f>AVERAGE(Instances!EA3:Instances!EA14)</f>
        <v>0</v>
      </c>
      <c r="EB3" s="1">
        <f>AVERAGE(Instances!EB3:Instances!EB14)</f>
        <v>0</v>
      </c>
      <c r="EC3" s="1">
        <f>AVERAGE(Instances!EC3:Instances!EC14)</f>
        <v>0</v>
      </c>
      <c r="ED3" s="1">
        <f>AVERAGE(Instances!ED3:Instances!ED14)</f>
        <v>0</v>
      </c>
      <c r="EE3" s="1">
        <f>AVERAGE(Instances!EE3:Instances!EE14)</f>
        <v>0</v>
      </c>
      <c r="EF3" s="1">
        <f>AVERAGE(Instances!EF3:Instances!EF14)</f>
        <v>0</v>
      </c>
      <c r="EG3" s="1">
        <f>AVERAGE(Instances!EG3:Instances!EG14)</f>
        <v>0</v>
      </c>
      <c r="EH3" s="1">
        <f>AVERAGE(Instances!EH3:Instances!EH14)</f>
        <v>0</v>
      </c>
      <c r="EI3" s="1">
        <f>AVERAGE(Instances!EI3:Instances!EI14)</f>
        <v>0</v>
      </c>
      <c r="EJ3" s="1">
        <f>AVERAGE(Instances!EJ3:Instances!EJ14)</f>
        <v>0</v>
      </c>
      <c r="EK3" s="1">
        <f>AVERAGE(Instances!EK3:Instances!EK14)</f>
        <v>0</v>
      </c>
      <c r="EL3" s="1"/>
      <c r="EM3" s="1">
        <f>AVERAGE(Instances!EM3:Instances!EM14)</f>
        <v>0</v>
      </c>
      <c r="EN3" s="1">
        <f>SUM(Instances!EN3:Instances!EN14)</f>
        <v>0</v>
      </c>
      <c r="EO3" s="1">
        <f>AVERAGE(Instances!EO3:Instances!EO14)</f>
        <v>0</v>
      </c>
      <c r="EP3" s="1">
        <f>AVERAGE(Instances!EP3:Instances!EP14)</f>
        <v>0</v>
      </c>
      <c r="EQ3" s="1">
        <f>AVERAGE(Instances!EQ3:Instances!EQ14)</f>
        <v>0</v>
      </c>
      <c r="ER3" s="1">
        <f>AVERAGE(Instances!ER3:Instances!ER14)</f>
        <v>0</v>
      </c>
      <c r="ES3" s="1">
        <f>AVERAGE(Instances!ES3:Instances!ES14)</f>
        <v>0</v>
      </c>
      <c r="ET3" s="1">
        <f>AVERAGE(Instances!ET3:Instances!ET14)</f>
        <v>0</v>
      </c>
      <c r="EU3" s="1">
        <f>AVERAGE(Instances!EU3:Instances!EU14)</f>
        <v>0</v>
      </c>
      <c r="EV3" s="1">
        <f>AVERAGE(Instances!EV3:Instances!EV14)</f>
        <v>0</v>
      </c>
      <c r="EW3" s="1">
        <f>AVERAGE(Instances!EW3:Instances!EW14)</f>
        <v>0</v>
      </c>
      <c r="EX3" s="1">
        <f>AVERAGE(Instances!EX3:Instances!EX14)</f>
        <v>0</v>
      </c>
      <c r="EY3" s="1">
        <f>AVERAGE(Instances!EY3:Instances!EY14)</f>
        <v>0</v>
      </c>
      <c r="EZ3" s="1">
        <f>AVERAGE(Instances!EZ3:Instances!EZ14)</f>
        <v>0</v>
      </c>
      <c r="FA3" s="1">
        <f>AVERAGE(Instances!FA3:Instances!FA14)</f>
        <v>0</v>
      </c>
      <c r="FB3" s="1">
        <f>AVERAGE(Instances!FB3:Instances!FB14)</f>
        <v>0</v>
      </c>
      <c r="FC3" s="1">
        <f>AVERAGE(Instances!FC3:Instances!FC14)</f>
        <v>0</v>
      </c>
      <c r="FD3" s="1"/>
      <c r="FE3" s="1">
        <f>AVERAGE(Instances!FE3:Instances!FE14)</f>
        <v>0</v>
      </c>
      <c r="FF3" s="1">
        <f>SUM(Instances!FF3:Instances!FF14)</f>
        <v>0</v>
      </c>
      <c r="FG3" s="1">
        <f>AVERAGE(Instances!FG3:Instances!FG14)</f>
        <v>0</v>
      </c>
      <c r="FH3" s="1">
        <f>AVERAGE(Instances!FH3:Instances!FH14)</f>
        <v>0</v>
      </c>
      <c r="FI3" s="1">
        <f>AVERAGE(Instances!FI3:Instances!FI14)</f>
        <v>0</v>
      </c>
      <c r="FJ3" s="1">
        <f>AVERAGE(Instances!FJ3:Instances!FJ14)</f>
        <v>0</v>
      </c>
      <c r="FK3" s="1">
        <f>AVERAGE(Instances!FK3:Instances!FK14)</f>
        <v>0</v>
      </c>
      <c r="FL3" s="1">
        <f>AVERAGE(Instances!FL3:Instances!FL14)</f>
        <v>0</v>
      </c>
      <c r="FM3" s="1">
        <f>AVERAGE(Instances!FM3:Instances!FM14)</f>
        <v>0</v>
      </c>
      <c r="FN3" s="1">
        <f>AVERAGE(Instances!FN3:Instances!FN14)</f>
        <v>0</v>
      </c>
      <c r="FO3" s="1">
        <f>AVERAGE(Instances!FO3:Instances!FO14)</f>
        <v>0</v>
      </c>
      <c r="FP3" s="1">
        <f>AVERAGE(Instances!FP3:Instances!FP14)</f>
        <v>0</v>
      </c>
      <c r="FQ3" s="1">
        <f>AVERAGE(Instances!FQ3:Instances!FQ14)</f>
        <v>0</v>
      </c>
      <c r="FR3" s="1">
        <f>AVERAGE(Instances!FR3:Instances!FR14)</f>
        <v>0</v>
      </c>
      <c r="FS3" s="1">
        <f>AVERAGE(Instances!FS3:Instances!FS14)</f>
        <v>0</v>
      </c>
      <c r="FT3" s="1">
        <f>AVERAGE(Instances!FT3:Instances!FT14)</f>
        <v>0</v>
      </c>
      <c r="FU3" s="1">
        <f>AVERAGE(Instances!FU3:Instances!FU14)</f>
        <v>0</v>
      </c>
      <c r="FV3" s="1"/>
      <c r="FW3" s="1">
        <f>AVERAGE(Instances!FW3:Instances!FW14)</f>
        <v>0</v>
      </c>
      <c r="FX3" s="1">
        <f>SUM(Instances!FX3:Instances!FX14)</f>
        <v>0</v>
      </c>
      <c r="FY3" s="1">
        <f>AVERAGE(Instances!FY3:Instances!FY14)</f>
        <v>0</v>
      </c>
      <c r="FZ3" s="1">
        <f>AVERAGE(Instances!FZ3:Instances!FZ14)</f>
        <v>0</v>
      </c>
      <c r="GA3" s="1">
        <f>AVERAGE(Instances!GA3:Instances!GA14)</f>
        <v>0</v>
      </c>
      <c r="GB3" s="1">
        <f>AVERAGE(Instances!GB3:Instances!GB14)</f>
        <v>0</v>
      </c>
      <c r="GC3" s="1">
        <f>AVERAGE(Instances!GC3:Instances!GC14)</f>
        <v>0</v>
      </c>
      <c r="GD3" s="1">
        <f>AVERAGE(Instances!GD3:Instances!GD14)</f>
        <v>0</v>
      </c>
      <c r="GE3" s="1">
        <f>AVERAGE(Instances!GE3:Instances!GE14)</f>
        <v>0</v>
      </c>
      <c r="GF3" s="1">
        <f>AVERAGE(Instances!GF3:Instances!GF14)</f>
        <v>0</v>
      </c>
      <c r="GG3" s="1">
        <f>AVERAGE(Instances!GG3:Instances!GG14)</f>
        <v>0</v>
      </c>
      <c r="GH3" s="1">
        <f>AVERAGE(Instances!GH3:Instances!GH14)</f>
        <v>0</v>
      </c>
      <c r="GI3" s="1">
        <f>AVERAGE(Instances!GI3:Instances!GI14)</f>
        <v>0</v>
      </c>
      <c r="GJ3" s="1">
        <f>AVERAGE(Instances!GJ3:Instances!GJ14)</f>
        <v>0</v>
      </c>
      <c r="GK3" s="1">
        <f>AVERAGE(Instances!GK3:Instances!GK14)</f>
        <v>0</v>
      </c>
      <c r="GL3" s="1">
        <f>AVERAGE(Instances!GL3:Instances!GL14)</f>
        <v>0</v>
      </c>
      <c r="GM3" s="1">
        <f>AVERAGE(Instances!GM3:Instances!GM14)</f>
        <v>0</v>
      </c>
      <c r="GN3" s="1"/>
      <c r="GO3" s="1">
        <f>AVERAGE(Instances!GO3:Instances!GO14)</f>
        <v>0</v>
      </c>
      <c r="GP3" s="1">
        <f>SUM(Instances!GP3:Instances!GP14)</f>
        <v>0</v>
      </c>
      <c r="GQ3" s="1">
        <f>AVERAGE(Instances!GQ3:Instances!GQ14)</f>
        <v>0</v>
      </c>
      <c r="GR3" s="1">
        <f>AVERAGE(Instances!GR3:Instances!GR14)</f>
        <v>0</v>
      </c>
      <c r="GS3" s="1">
        <f>AVERAGE(Instances!GS3:Instances!GS14)</f>
        <v>0</v>
      </c>
      <c r="GT3" s="1">
        <f>AVERAGE(Instances!GT3:Instances!GT14)</f>
        <v>0</v>
      </c>
      <c r="GU3" s="1">
        <f>AVERAGE(Instances!GU3:Instances!GU14)</f>
        <v>0</v>
      </c>
      <c r="GV3" s="1">
        <f>AVERAGE(Instances!GV3:Instances!GV14)</f>
        <v>0</v>
      </c>
      <c r="GW3" s="1">
        <f>AVERAGE(Instances!GW3:Instances!GW14)</f>
        <v>0</v>
      </c>
      <c r="GX3" s="1">
        <f>AVERAGE(Instances!GX3:Instances!GX14)</f>
        <v>0</v>
      </c>
      <c r="GY3" s="1">
        <f>AVERAGE(Instances!GY3:Instances!GY14)</f>
        <v>0</v>
      </c>
      <c r="GZ3" s="1">
        <f>AVERAGE(Instances!GZ3:Instances!GZ14)</f>
        <v>0</v>
      </c>
      <c r="HA3" s="1">
        <f>AVERAGE(Instances!HA3:Instances!HA14)</f>
        <v>0</v>
      </c>
      <c r="HB3" s="1">
        <f>AVERAGE(Instances!HB3:Instances!HB14)</f>
        <v>0</v>
      </c>
      <c r="HC3" s="1">
        <f>AVERAGE(Instances!HC3:Instances!HC14)</f>
        <v>0</v>
      </c>
      <c r="HD3" s="1">
        <f>AVERAGE(Instances!HD3:Instances!HD14)</f>
        <v>0</v>
      </c>
      <c r="HE3" s="1">
        <f>AVERAGE(Instances!HE3:Instances!HE14)</f>
        <v>0</v>
      </c>
      <c r="HF3" s="1"/>
      <c r="HG3" s="1">
        <f>AVERAGE(Instances!HG3:Instances!HG14)</f>
        <v>0</v>
      </c>
      <c r="HH3" s="1">
        <f>SUM(Instances!HH3:Instances!HH14)</f>
        <v>0</v>
      </c>
      <c r="HI3" s="1">
        <f>AVERAGE(Instances!HI3:Instances!HI14)</f>
        <v>0</v>
      </c>
      <c r="HJ3" s="1">
        <f>AVERAGE(Instances!HJ3:Instances!HJ14)</f>
        <v>0</v>
      </c>
      <c r="HK3" s="1">
        <f>AVERAGE(Instances!HK3:Instances!HK14)</f>
        <v>0</v>
      </c>
      <c r="HL3" s="1">
        <f>AVERAGE(Instances!HL3:Instances!HL14)</f>
        <v>0</v>
      </c>
      <c r="HM3" s="1">
        <f>AVERAGE(Instances!HM3:Instances!HM14)</f>
        <v>0</v>
      </c>
      <c r="HN3" s="1">
        <f>AVERAGE(Instances!HN3:Instances!HN14)</f>
        <v>0</v>
      </c>
      <c r="HO3" s="1">
        <f>AVERAGE(Instances!HO3:Instances!HO14)</f>
        <v>0</v>
      </c>
      <c r="HP3" s="1">
        <f>AVERAGE(Instances!HP3:Instances!HP14)</f>
        <v>0</v>
      </c>
      <c r="HQ3" s="1">
        <f>AVERAGE(Instances!HQ3:Instances!HQ14)</f>
        <v>0</v>
      </c>
      <c r="HR3" s="1">
        <f>AVERAGE(Instances!HR3:Instances!HR14)</f>
        <v>0</v>
      </c>
      <c r="HS3" s="1">
        <f>AVERAGE(Instances!HS3:Instances!HS14)</f>
        <v>0</v>
      </c>
      <c r="HT3" s="1">
        <f>AVERAGE(Instances!HT3:Instances!HT14)</f>
        <v>0</v>
      </c>
      <c r="HU3" s="1">
        <f>AVERAGE(Instances!HU3:Instances!HU14)</f>
        <v>0</v>
      </c>
      <c r="HV3" s="1">
        <f>AVERAGE(Instances!HV3:Instances!HV14)</f>
        <v>0</v>
      </c>
      <c r="HW3" s="1">
        <f>AVERAGE(Instances!HW3:Instances!HW14)</f>
        <v>0</v>
      </c>
      <c r="HX3" s="1"/>
      <c r="HY3" s="1">
        <f>AVERAGE(Instances!HY3:Instances!HY14)</f>
        <v>0</v>
      </c>
      <c r="HZ3" s="1">
        <f>SUM(Instances!HZ3:Instances!HZ14)</f>
        <v>0</v>
      </c>
      <c r="IA3" s="1">
        <f>AVERAGE(Instances!IA3:Instances!IA14)</f>
        <v>0</v>
      </c>
      <c r="IB3" s="1">
        <f>AVERAGE(Instances!IB3:Instances!IB14)</f>
        <v>0</v>
      </c>
      <c r="IC3" s="1">
        <f>AVERAGE(Instances!IC3:Instances!IC14)</f>
        <v>0</v>
      </c>
      <c r="ID3" s="1">
        <f>AVERAGE(Instances!ID3:Instances!ID14)</f>
        <v>0</v>
      </c>
      <c r="IE3" s="1">
        <f>AVERAGE(Instances!IE3:Instances!IE14)</f>
        <v>0</v>
      </c>
      <c r="IF3" s="1">
        <f>AVERAGE(Instances!IF3:Instances!IF14)</f>
        <v>0</v>
      </c>
      <c r="IG3" s="1">
        <f>AVERAGE(Instances!IG3:Instances!IG14)</f>
        <v>0</v>
      </c>
      <c r="IH3" s="1">
        <f>AVERAGE(Instances!IH3:Instances!IH14)</f>
        <v>0</v>
      </c>
      <c r="II3" s="1">
        <f>AVERAGE(Instances!II3:Instances!II14)</f>
        <v>0</v>
      </c>
      <c r="IJ3" s="1">
        <f>AVERAGE(Instances!IJ3:Instances!IJ14)</f>
        <v>0</v>
      </c>
      <c r="IK3" s="1">
        <f>AVERAGE(Instances!IK3:Instances!IK14)</f>
        <v>0</v>
      </c>
      <c r="IL3" s="1">
        <f>AVERAGE(Instances!IL3:Instances!IL14)</f>
        <v>0</v>
      </c>
      <c r="IM3" s="1">
        <f>AVERAGE(Instances!IM3:Instances!IM14)</f>
        <v>0</v>
      </c>
      <c r="IN3" s="1">
        <f>AVERAGE(Instances!IN3:Instances!IN14)</f>
        <v>0</v>
      </c>
      <c r="IO3" s="1">
        <f>AVERAGE(Instances!IO3:Instances!IO14)</f>
        <v>0</v>
      </c>
      <c r="IP3" s="1"/>
      <c r="IQ3" s="1">
        <f>AVERAGE(Instances!IQ3:Instances!IQ14)</f>
        <v>0</v>
      </c>
      <c r="IR3" s="1">
        <f>SUM(Instances!IR3:Instances!IR14)</f>
        <v>0</v>
      </c>
      <c r="IS3" s="1">
        <f>AVERAGE(Instances!IS3:Instances!IS14)</f>
        <v>0</v>
      </c>
      <c r="IT3" s="1">
        <f>AVERAGE(Instances!IT3:Instances!IT14)</f>
        <v>0</v>
      </c>
      <c r="IU3" s="1">
        <f>AVERAGE(Instances!IU3:Instances!IU14)</f>
        <v>0</v>
      </c>
      <c r="IV3" s="1">
        <f>AVERAGE(Instances!IV3:Instances!IV14)</f>
        <v>0</v>
      </c>
      <c r="IW3" s="1">
        <f>AVERAGE(Instances!IW3:Instances!IW14)</f>
        <v>0</v>
      </c>
      <c r="IX3" s="1">
        <f>AVERAGE(Instances!IX3:Instances!IX14)</f>
        <v>0</v>
      </c>
      <c r="IY3" s="1">
        <f>AVERAGE(Instances!IY3:Instances!IY14)</f>
        <v>0</v>
      </c>
      <c r="IZ3" s="1">
        <f>AVERAGE(Instances!IZ3:Instances!IZ14)</f>
        <v>0</v>
      </c>
      <c r="JA3" s="1">
        <f>AVERAGE(Instances!JA3:Instances!JA14)</f>
        <v>0</v>
      </c>
      <c r="JB3" s="1">
        <f>AVERAGE(Instances!JB3:Instances!JB14)</f>
        <v>0</v>
      </c>
      <c r="JC3" s="1">
        <f>AVERAGE(Instances!JC3:Instances!JC14)</f>
        <v>0</v>
      </c>
      <c r="JD3" s="1">
        <f>AVERAGE(Instances!JD3:Instances!JD14)</f>
        <v>0</v>
      </c>
      <c r="JE3" s="1">
        <f>AVERAGE(Instances!JE3:Instances!JE14)</f>
        <v>0</v>
      </c>
      <c r="JF3" s="1">
        <f>AVERAGE(Instances!JF3:Instances!JF14)</f>
        <v>0</v>
      </c>
      <c r="JG3" s="1">
        <f>AVERAGE(Instances!JG3:Instances!JG14)</f>
        <v>0</v>
      </c>
      <c r="JH3" s="1"/>
      <c r="JI3" s="1">
        <f>AVERAGE(Instances!JI3:Instances!JI14)</f>
        <v>0</v>
      </c>
      <c r="JJ3" s="1">
        <f>SUM(Instances!JJ3:Instances!JJ14)</f>
        <v>0</v>
      </c>
      <c r="JK3" s="1">
        <f>AVERAGE(Instances!JK3:Instances!JK14)</f>
        <v>0</v>
      </c>
      <c r="JL3" s="1">
        <f>AVERAGE(Instances!JL3:Instances!JL14)</f>
        <v>0</v>
      </c>
      <c r="JM3" s="1">
        <f>AVERAGE(Instances!JM3:Instances!JM14)</f>
        <v>0</v>
      </c>
      <c r="JN3" s="1">
        <f>AVERAGE(Instances!JN3:Instances!JN14)</f>
        <v>0</v>
      </c>
      <c r="JO3" s="1">
        <f>AVERAGE(Instances!JO3:Instances!JO14)</f>
        <v>0</v>
      </c>
      <c r="JP3" s="1">
        <f>AVERAGE(Instances!JP3:Instances!JP14)</f>
        <v>0</v>
      </c>
      <c r="JQ3" s="1">
        <f>AVERAGE(Instances!JQ3:Instances!JQ14)</f>
        <v>0</v>
      </c>
      <c r="JR3" s="1">
        <f>AVERAGE(Instances!JR3:Instances!JR14)</f>
        <v>0</v>
      </c>
      <c r="JS3" s="1">
        <f>AVERAGE(Instances!JS3:Instances!JS14)</f>
        <v>0</v>
      </c>
      <c r="JT3" s="1">
        <f>AVERAGE(Instances!JT3:Instances!JT14)</f>
        <v>0</v>
      </c>
      <c r="JU3" s="1">
        <f>AVERAGE(Instances!JU3:Instances!JU14)</f>
        <v>0</v>
      </c>
      <c r="JV3" s="1">
        <f>AVERAGE(Instances!JV3:Instances!JV14)</f>
        <v>0</v>
      </c>
      <c r="JW3" s="1">
        <f>AVERAGE(Instances!JW3:Instances!JW14)</f>
        <v>0</v>
      </c>
      <c r="JX3" s="1">
        <f>AVERAGE(Instances!JX3:Instances!JX14)</f>
        <v>0</v>
      </c>
      <c r="JY3" s="1">
        <f>AVERAGE(Instances!JY3:Instances!JY14)</f>
        <v>0</v>
      </c>
      <c r="JZ3" s="1"/>
      <c r="KA3" s="1">
        <f>AVERAGE(Instances!KA3:Instances!KA14)</f>
        <v>0</v>
      </c>
      <c r="KB3" s="1">
        <f>SUM(Instances!KB3:Instances!KB14)</f>
        <v>0</v>
      </c>
      <c r="KC3" s="1">
        <f>AVERAGE(Instances!KC3:Instances!KC14)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80</v>
      </c>
      <c r="B4" s="1">
        <f>AVERAGE(Instances!B15:Instances!B24)</f>
        <v>0</v>
      </c>
      <c r="C4" s="1">
        <f>AVERAGE(Instances!C15:Instances!C24)</f>
        <v>0</v>
      </c>
      <c r="D4" s="1">
        <f>AVERAGE(Instances!D15:Instances!D24)</f>
        <v>0</v>
      </c>
      <c r="E4" s="1">
        <f>AVERAGE(Instances!E15:Instances!E24)</f>
        <v>0</v>
      </c>
      <c r="F4" s="1">
        <f>AVERAGE(Instances!F15:Instances!F24)</f>
        <v>0</v>
      </c>
      <c r="G4" s="1">
        <f>AVERAGE(Instances!G15:Instances!G24)</f>
        <v>0</v>
      </c>
      <c r="H4" s="1">
        <f>AVERAGE(Instances!H15:Instances!H24)</f>
        <v>0</v>
      </c>
      <c r="I4" s="1">
        <f>AVERAGE(Instances!I15:Instances!I24)</f>
        <v>0</v>
      </c>
      <c r="J4" s="1">
        <f>AVERAGE(Instances!J15:Instances!J24)</f>
        <v>0</v>
      </c>
      <c r="K4" s="1">
        <f>AVERAGE(Instances!K15:Instances!K24)</f>
        <v>0</v>
      </c>
      <c r="L4" s="1">
        <f>AVERAGE(Instances!L15:Instances!L24)</f>
        <v>0</v>
      </c>
      <c r="M4" s="1">
        <f>AVERAGE(Instances!M15:Instances!M24)</f>
        <v>0</v>
      </c>
      <c r="N4" s="1">
        <f>AVERAGE(Instances!N15:Instances!N24)</f>
        <v>0</v>
      </c>
      <c r="O4" s="1">
        <f>AVERAGE(Instances!O15:Instances!O24)</f>
        <v>0</v>
      </c>
      <c r="P4" s="1"/>
      <c r="Q4" s="1">
        <f>AVERAGE(Instances!Q15:Instances!Q24)</f>
        <v>0</v>
      </c>
      <c r="R4" s="1">
        <f>SUM(Instances!R15:Instances!R24)</f>
        <v>0</v>
      </c>
      <c r="S4" s="1">
        <f>AVERAGE(Instances!S15:Instances!S24)</f>
        <v>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AVERAGE(Instances!AL15:Instances!AL24)</f>
        <v>0</v>
      </c>
      <c r="AM4" s="1">
        <f>AVERAGE(Instances!AM15:Instances!AM24)</f>
        <v>0</v>
      </c>
      <c r="AN4" s="1">
        <f>AVERAGE(Instances!AN15:Instances!AN24)</f>
        <v>0</v>
      </c>
      <c r="AO4" s="1">
        <f>AVERAGE(Instances!AO15:Instances!AO24)</f>
        <v>0</v>
      </c>
      <c r="AP4" s="1">
        <f>AVERAGE(Instances!AP15:Instances!AP24)</f>
        <v>0</v>
      </c>
      <c r="AQ4" s="1">
        <f>AVERAGE(Instances!AQ15:Instances!AQ24)</f>
        <v>0</v>
      </c>
      <c r="AR4" s="1">
        <f>AVERAGE(Instances!AR15:Instances!AR24)</f>
        <v>0</v>
      </c>
      <c r="AS4" s="1">
        <f>AVERAGE(Instances!AS15:Instances!AS24)</f>
        <v>0</v>
      </c>
      <c r="AT4" s="1">
        <f>AVERAGE(Instances!AT15:Instances!AT24)</f>
        <v>0</v>
      </c>
      <c r="AU4" s="1">
        <f>AVERAGE(Instances!AU15:Instances!AU24)</f>
        <v>0</v>
      </c>
      <c r="AV4" s="1">
        <f>AVERAGE(Instances!AV15:Instances!AV24)</f>
        <v>0</v>
      </c>
      <c r="AW4" s="1">
        <f>AVERAGE(Instances!AW15:Instances!AW24)</f>
        <v>0</v>
      </c>
      <c r="AX4" s="1">
        <f>AVERAGE(Instances!AX15:Instances!AX24)</f>
        <v>0</v>
      </c>
      <c r="AY4" s="1">
        <f>AVERAGE(Instances!AY15:Instances!AY24)</f>
        <v>0</v>
      </c>
      <c r="AZ4" s="1"/>
      <c r="BA4" s="1">
        <f>AVERAGE(Instances!BA15:Instances!BA24)</f>
        <v>0</v>
      </c>
      <c r="BB4" s="1">
        <f>SUM(Instances!BB15:Instances!BB24)</f>
        <v>0</v>
      </c>
      <c r="BC4" s="1">
        <f>AVERAGE(Instances!BC15:Instances!BC24)</f>
        <v>0</v>
      </c>
      <c r="BD4" s="1">
        <f>AVERAGE(Instances!BD15:Instances!BD24)</f>
        <v>0</v>
      </c>
      <c r="BE4" s="1">
        <f>AVERAGE(Instances!BE15:Instances!BE24)</f>
        <v>0</v>
      </c>
      <c r="BF4" s="1">
        <f>AVERAGE(Instances!BF15:Instances!BF24)</f>
        <v>0</v>
      </c>
      <c r="BG4" s="1">
        <f>AVERAGE(Instances!BG15:Instances!BG24)</f>
        <v>0</v>
      </c>
      <c r="BH4" s="1">
        <f>AVERAGE(Instances!BH15:Instances!BH24)</f>
        <v>0</v>
      </c>
      <c r="BI4" s="1">
        <f>AVERAGE(Instances!BI15:Instances!BI24)</f>
        <v>0</v>
      </c>
      <c r="BJ4" s="1">
        <f>AVERAGE(Instances!BJ15:Instances!BJ24)</f>
        <v>0</v>
      </c>
      <c r="BK4" s="1">
        <f>AVERAGE(Instances!BK15:Instances!BK24)</f>
        <v>0</v>
      </c>
      <c r="BL4" s="1">
        <f>AVERAGE(Instances!BL15:Instances!BL24)</f>
        <v>0</v>
      </c>
      <c r="BM4" s="1">
        <f>AVERAGE(Instances!BM15:Instances!BM24)</f>
        <v>0</v>
      </c>
      <c r="BN4" s="1">
        <f>AVERAGE(Instances!BN15:Instances!BN24)</f>
        <v>0</v>
      </c>
      <c r="BO4" s="1">
        <f>AVERAGE(Instances!BO15:Instances!BO24)</f>
        <v>0</v>
      </c>
      <c r="BP4" s="1">
        <f>AVERAGE(Instances!BP15:Instances!BP24)</f>
        <v>0</v>
      </c>
      <c r="BQ4" s="1">
        <f>AVERAGE(Instances!BQ15:Instances!BQ24)</f>
        <v>0</v>
      </c>
      <c r="BR4" s="1"/>
      <c r="BS4" s="1">
        <f>AVERAGE(Instances!BS15:Instances!BS24)</f>
        <v>0</v>
      </c>
      <c r="BT4" s="1">
        <f>SUM(Instances!BT15:Instances!BT24)</f>
        <v>0</v>
      </c>
      <c r="BU4" s="1">
        <f>AVERAGE(Instances!BU15:Instances!BU24)</f>
        <v>0</v>
      </c>
      <c r="BV4" s="1">
        <f>AVERAGE(Instances!BV15:Instances!BV24)</f>
        <v>0</v>
      </c>
      <c r="BW4" s="1">
        <f>AVERAGE(Instances!BW15:Instances!BW24)</f>
        <v>0</v>
      </c>
      <c r="BX4" s="1">
        <f>AVERAGE(Instances!BX15:Instances!BX24)</f>
        <v>0</v>
      </c>
      <c r="BY4" s="1">
        <f>AVERAGE(Instances!BY15:Instances!BY24)</f>
        <v>0</v>
      </c>
      <c r="BZ4" s="1">
        <f>AVERAGE(Instances!BZ15:Instances!BZ24)</f>
        <v>0</v>
      </c>
      <c r="CA4" s="1">
        <f>AVERAGE(Instances!CA15:Instances!CA24)</f>
        <v>0</v>
      </c>
      <c r="CB4" s="1">
        <f>AVERAGE(Instances!CB15:Instances!CB24)</f>
        <v>0</v>
      </c>
      <c r="CC4" s="1">
        <f>AVERAGE(Instances!CC15:Instances!CC24)</f>
        <v>0</v>
      </c>
      <c r="CD4" s="1">
        <f>AVERAGE(Instances!CD15:Instances!CD24)</f>
        <v>0</v>
      </c>
      <c r="CE4" s="1">
        <f>AVERAGE(Instances!CE15:Instances!CE24)</f>
        <v>0</v>
      </c>
      <c r="CF4" s="1">
        <f>AVERAGE(Instances!CF15:Instances!CF24)</f>
        <v>0</v>
      </c>
      <c r="CG4" s="1">
        <f>AVERAGE(Instances!CG15:Instances!CG24)</f>
        <v>0</v>
      </c>
      <c r="CH4" s="1">
        <f>AVERAGE(Instances!CH15:Instances!CH24)</f>
        <v>0</v>
      </c>
      <c r="CI4" s="1">
        <f>AVERAGE(Instances!CI15:Instances!CI24)</f>
        <v>0</v>
      </c>
      <c r="CJ4" s="1"/>
      <c r="CK4" s="1">
        <f>AVERAGE(Instances!CK15:Instances!CK24)</f>
        <v>0</v>
      </c>
      <c r="CL4" s="1">
        <f>SUM(Instances!CL15:Instances!CL24)</f>
        <v>0</v>
      </c>
      <c r="CM4" s="1">
        <f>AVERAGE(Instances!CM15:Instances!CM24)</f>
        <v>0</v>
      </c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>
        <f>AVERAGE(Instances!DX15:Instances!DX24)</f>
        <v>0</v>
      </c>
      <c r="DY4" s="1">
        <f>AVERAGE(Instances!DY15:Instances!DY24)</f>
        <v>0</v>
      </c>
      <c r="DZ4" s="1">
        <f>AVERAGE(Instances!DZ15:Instances!DZ24)</f>
        <v>0</v>
      </c>
      <c r="EA4" s="1">
        <f>AVERAGE(Instances!EA15:Instances!EA24)</f>
        <v>0</v>
      </c>
      <c r="EB4" s="1">
        <f>AVERAGE(Instances!EB15:Instances!EB24)</f>
        <v>0</v>
      </c>
      <c r="EC4" s="1">
        <f>AVERAGE(Instances!EC15:Instances!EC24)</f>
        <v>0</v>
      </c>
      <c r="ED4" s="1">
        <f>AVERAGE(Instances!ED15:Instances!ED24)</f>
        <v>0</v>
      </c>
      <c r="EE4" s="1">
        <f>AVERAGE(Instances!EE15:Instances!EE24)</f>
        <v>0</v>
      </c>
      <c r="EF4" s="1">
        <f>AVERAGE(Instances!EF15:Instances!EF24)</f>
        <v>0</v>
      </c>
      <c r="EG4" s="1">
        <f>AVERAGE(Instances!EG15:Instances!EG24)</f>
        <v>0</v>
      </c>
      <c r="EH4" s="1">
        <f>AVERAGE(Instances!EH15:Instances!EH24)</f>
        <v>0</v>
      </c>
      <c r="EI4" s="1">
        <f>AVERAGE(Instances!EI15:Instances!EI24)</f>
        <v>0</v>
      </c>
      <c r="EJ4" s="1">
        <f>AVERAGE(Instances!EJ15:Instances!EJ24)</f>
        <v>0</v>
      </c>
      <c r="EK4" s="1">
        <f>AVERAGE(Instances!EK15:Instances!EK24)</f>
        <v>0</v>
      </c>
      <c r="EL4" s="1"/>
      <c r="EM4" s="1">
        <f>AVERAGE(Instances!EM15:Instances!EM24)</f>
        <v>0</v>
      </c>
      <c r="EN4" s="1">
        <f>SUM(Instances!EN15:Instances!EN24)</f>
        <v>0</v>
      </c>
      <c r="EO4" s="1">
        <f>AVERAGE(Instances!EO15:Instances!EO24)</f>
        <v>0</v>
      </c>
      <c r="EP4" s="1">
        <f>AVERAGE(Instances!EP15:Instances!EP24)</f>
        <v>0</v>
      </c>
      <c r="EQ4" s="1">
        <f>AVERAGE(Instances!EQ15:Instances!EQ24)</f>
        <v>0</v>
      </c>
      <c r="ER4" s="1">
        <f>AVERAGE(Instances!ER15:Instances!ER24)</f>
        <v>0</v>
      </c>
      <c r="ES4" s="1">
        <f>AVERAGE(Instances!ES15:Instances!ES24)</f>
        <v>0</v>
      </c>
      <c r="ET4" s="1">
        <f>AVERAGE(Instances!ET15:Instances!ET24)</f>
        <v>0</v>
      </c>
      <c r="EU4" s="1">
        <f>AVERAGE(Instances!EU15:Instances!EU24)</f>
        <v>0</v>
      </c>
      <c r="EV4" s="1">
        <f>AVERAGE(Instances!EV15:Instances!EV24)</f>
        <v>0</v>
      </c>
      <c r="EW4" s="1">
        <f>AVERAGE(Instances!EW15:Instances!EW24)</f>
        <v>0</v>
      </c>
      <c r="EX4" s="1">
        <f>AVERAGE(Instances!EX15:Instances!EX24)</f>
        <v>0</v>
      </c>
      <c r="EY4" s="1">
        <f>AVERAGE(Instances!EY15:Instances!EY24)</f>
        <v>0</v>
      </c>
      <c r="EZ4" s="1">
        <f>AVERAGE(Instances!EZ15:Instances!EZ24)</f>
        <v>0</v>
      </c>
      <c r="FA4" s="1">
        <f>AVERAGE(Instances!FA15:Instances!FA24)</f>
        <v>0</v>
      </c>
      <c r="FB4" s="1">
        <f>AVERAGE(Instances!FB15:Instances!FB24)</f>
        <v>0</v>
      </c>
      <c r="FC4" s="1">
        <f>AVERAGE(Instances!FC15:Instances!FC24)</f>
        <v>0</v>
      </c>
      <c r="FD4" s="1"/>
      <c r="FE4" s="1">
        <f>AVERAGE(Instances!FE15:Instances!FE24)</f>
        <v>0</v>
      </c>
      <c r="FF4" s="1">
        <f>SUM(Instances!FF15:Instances!FF24)</f>
        <v>0</v>
      </c>
      <c r="FG4" s="1">
        <f>AVERAGE(Instances!FG15:Instances!FG24)</f>
        <v>0</v>
      </c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AVERAGE(Instances!FZ15:Instances!FZ24)</f>
        <v>0</v>
      </c>
      <c r="GA4" s="1">
        <f>AVERAGE(Instances!GA15:Instances!GA24)</f>
        <v>0</v>
      </c>
      <c r="GB4" s="1">
        <f>AVERAGE(Instances!GB15:Instances!GB24)</f>
        <v>0</v>
      </c>
      <c r="GC4" s="1">
        <f>AVERAGE(Instances!GC15:Instances!GC24)</f>
        <v>0</v>
      </c>
      <c r="GD4" s="1">
        <f>AVERAGE(Instances!GD15:Instances!GD24)</f>
        <v>0</v>
      </c>
      <c r="GE4" s="1">
        <f>AVERAGE(Instances!GE15:Instances!GE24)</f>
        <v>0</v>
      </c>
      <c r="GF4" s="1">
        <f>AVERAGE(Instances!GF15:Instances!GF24)</f>
        <v>0</v>
      </c>
      <c r="GG4" s="1">
        <f>AVERAGE(Instances!GG15:Instances!GG24)</f>
        <v>0</v>
      </c>
      <c r="GH4" s="1">
        <f>AVERAGE(Instances!GH15:Instances!GH24)</f>
        <v>0</v>
      </c>
      <c r="GI4" s="1">
        <f>AVERAGE(Instances!GI15:Instances!GI24)</f>
        <v>0</v>
      </c>
      <c r="GJ4" s="1">
        <f>AVERAGE(Instances!GJ15:Instances!GJ24)</f>
        <v>0</v>
      </c>
      <c r="GK4" s="1">
        <f>AVERAGE(Instances!GK15:Instances!GK24)</f>
        <v>0</v>
      </c>
      <c r="GL4" s="1">
        <f>AVERAGE(Instances!GL15:Instances!GL24)</f>
        <v>0</v>
      </c>
      <c r="GM4" s="1">
        <f>AVERAGE(Instances!GM15:Instances!GM24)</f>
        <v>0</v>
      </c>
      <c r="GN4" s="1"/>
      <c r="GO4" s="1">
        <f>AVERAGE(Instances!GO15:Instances!GO24)</f>
        <v>0</v>
      </c>
      <c r="GP4" s="1">
        <f>SUM(Instances!GP15:Instances!GP24)</f>
        <v>0</v>
      </c>
      <c r="GQ4" s="1">
        <f>AVERAGE(Instances!GQ15:Instances!GQ24)</f>
        <v>0</v>
      </c>
      <c r="GR4" s="1">
        <f>AVERAGE(Instances!GR15:Instances!GR24)</f>
        <v>0</v>
      </c>
      <c r="GS4" s="1">
        <f>AVERAGE(Instances!GS15:Instances!GS24)</f>
        <v>0</v>
      </c>
      <c r="GT4" s="1">
        <f>AVERAGE(Instances!GT15:Instances!GT24)</f>
        <v>0</v>
      </c>
      <c r="GU4" s="1">
        <f>AVERAGE(Instances!GU15:Instances!GU24)</f>
        <v>0</v>
      </c>
      <c r="GV4" s="1">
        <f>AVERAGE(Instances!GV15:Instances!GV24)</f>
        <v>0</v>
      </c>
      <c r="GW4" s="1">
        <f>AVERAGE(Instances!GW15:Instances!GW24)</f>
        <v>0</v>
      </c>
      <c r="GX4" s="1">
        <f>AVERAGE(Instances!GX15:Instances!GX24)</f>
        <v>0</v>
      </c>
      <c r="GY4" s="1">
        <f>AVERAGE(Instances!GY15:Instances!GY24)</f>
        <v>0</v>
      </c>
      <c r="GZ4" s="1">
        <f>AVERAGE(Instances!GZ15:Instances!GZ24)</f>
        <v>0</v>
      </c>
      <c r="HA4" s="1">
        <f>AVERAGE(Instances!HA15:Instances!HA24)</f>
        <v>0</v>
      </c>
      <c r="HB4" s="1">
        <f>AVERAGE(Instances!HB15:Instances!HB24)</f>
        <v>0</v>
      </c>
      <c r="HC4" s="1">
        <f>AVERAGE(Instances!HC15:Instances!HC24)</f>
        <v>0</v>
      </c>
      <c r="HD4" s="1">
        <f>AVERAGE(Instances!HD15:Instances!HD24)</f>
        <v>0</v>
      </c>
      <c r="HE4" s="1">
        <f>AVERAGE(Instances!HE15:Instances!HE24)</f>
        <v>0</v>
      </c>
      <c r="HF4" s="1"/>
      <c r="HG4" s="1">
        <f>AVERAGE(Instances!HG15:Instances!HG24)</f>
        <v>0</v>
      </c>
      <c r="HH4" s="1">
        <f>SUM(Instances!HH15:Instances!HH24)</f>
        <v>0</v>
      </c>
      <c r="HI4" s="1">
        <f>AVERAGE(Instances!HI15:Instances!HI24)</f>
        <v>0</v>
      </c>
      <c r="HJ4" s="1">
        <f>AVERAGE(Instances!HJ15:Instances!HJ24)</f>
        <v>0</v>
      </c>
      <c r="HK4" s="1">
        <f>AVERAGE(Instances!HK15:Instances!HK24)</f>
        <v>0</v>
      </c>
      <c r="HL4" s="1">
        <f>AVERAGE(Instances!HL15:Instances!HL24)</f>
        <v>0</v>
      </c>
      <c r="HM4" s="1">
        <f>AVERAGE(Instances!HM15:Instances!HM24)</f>
        <v>0</v>
      </c>
      <c r="HN4" s="1">
        <f>AVERAGE(Instances!HN15:Instances!HN24)</f>
        <v>0</v>
      </c>
      <c r="HO4" s="1">
        <f>AVERAGE(Instances!HO15:Instances!HO24)</f>
        <v>0</v>
      </c>
      <c r="HP4" s="1">
        <f>AVERAGE(Instances!HP15:Instances!HP24)</f>
        <v>0</v>
      </c>
      <c r="HQ4" s="1">
        <f>AVERAGE(Instances!HQ15:Instances!HQ24)</f>
        <v>0</v>
      </c>
      <c r="HR4" s="1">
        <f>AVERAGE(Instances!HR15:Instances!HR24)</f>
        <v>0</v>
      </c>
      <c r="HS4" s="1">
        <f>AVERAGE(Instances!HS15:Instances!HS24)</f>
        <v>0</v>
      </c>
      <c r="HT4" s="1">
        <f>AVERAGE(Instances!HT15:Instances!HT24)</f>
        <v>0</v>
      </c>
      <c r="HU4" s="1">
        <f>AVERAGE(Instances!HU15:Instances!HU24)</f>
        <v>0</v>
      </c>
      <c r="HV4" s="1">
        <f>AVERAGE(Instances!HV15:Instances!HV24)</f>
        <v>0</v>
      </c>
      <c r="HW4" s="1">
        <f>AVERAGE(Instances!HW15:Instances!HW24)</f>
        <v>0</v>
      </c>
      <c r="HX4" s="1"/>
      <c r="HY4" s="1">
        <f>AVERAGE(Instances!HY15:Instances!HY24)</f>
        <v>0</v>
      </c>
      <c r="HZ4" s="1">
        <f>SUM(Instances!HZ15:Instances!HZ24)</f>
        <v>0</v>
      </c>
      <c r="IA4" s="1">
        <f>AVERAGE(Instances!IA15:Instances!IA24)</f>
        <v>0</v>
      </c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>
        <f>AVERAGE(Instances!JL15:Instances!JL24)</f>
        <v>0</v>
      </c>
      <c r="JM4" s="1">
        <f>AVERAGE(Instances!JM15:Instances!JM24)</f>
        <v>0</v>
      </c>
      <c r="JN4" s="1">
        <f>AVERAGE(Instances!JN15:Instances!JN24)</f>
        <v>0</v>
      </c>
      <c r="JO4" s="1">
        <f>AVERAGE(Instances!JO15:Instances!JO24)</f>
        <v>0</v>
      </c>
      <c r="JP4" s="1">
        <f>AVERAGE(Instances!JP15:Instances!JP24)</f>
        <v>0</v>
      </c>
      <c r="JQ4" s="1">
        <f>AVERAGE(Instances!JQ15:Instances!JQ24)</f>
        <v>0</v>
      </c>
      <c r="JR4" s="1">
        <f>AVERAGE(Instances!JR15:Instances!JR24)</f>
        <v>0</v>
      </c>
      <c r="JS4" s="1">
        <f>AVERAGE(Instances!JS15:Instances!JS24)</f>
        <v>0</v>
      </c>
      <c r="JT4" s="1">
        <f>AVERAGE(Instances!JT15:Instances!JT24)</f>
        <v>0</v>
      </c>
      <c r="JU4" s="1">
        <f>AVERAGE(Instances!JU15:Instances!JU24)</f>
        <v>0</v>
      </c>
      <c r="JV4" s="1">
        <f>AVERAGE(Instances!JV15:Instances!JV24)</f>
        <v>0</v>
      </c>
      <c r="JW4" s="1">
        <f>AVERAGE(Instances!JW15:Instances!JW24)</f>
        <v>0</v>
      </c>
      <c r="JX4" s="1">
        <f>AVERAGE(Instances!JX15:Instances!JX24)</f>
        <v>0</v>
      </c>
      <c r="JY4" s="1">
        <f>AVERAGE(Instances!JY15:Instances!JY24)</f>
        <v>0</v>
      </c>
      <c r="JZ4" s="1"/>
      <c r="KA4" s="1">
        <f>AVERAGE(Instances!KA15:Instances!KA24)</f>
        <v>0</v>
      </c>
      <c r="KB4" s="1">
        <f>SUM(Instances!KB15:Instances!KB24)</f>
        <v>0</v>
      </c>
      <c r="KC4" s="1">
        <f>AVERAGE(Instances!KC15:Instances!KC24)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80</v>
      </c>
      <c r="B5" s="1">
        <f>AVERAGE(Instances!B25:Instances!B34)</f>
        <v>0</v>
      </c>
      <c r="C5" s="1">
        <f>AVERAGE(Instances!C25:Instances!C34)</f>
        <v>0</v>
      </c>
      <c r="D5" s="1">
        <f>AVERAGE(Instances!D25:Instances!D34)</f>
        <v>0</v>
      </c>
      <c r="E5" s="1">
        <f>AVERAGE(Instances!E25:Instances!E34)</f>
        <v>0</v>
      </c>
      <c r="F5" s="1">
        <f>AVERAGE(Instances!F25:Instances!F34)</f>
        <v>0</v>
      </c>
      <c r="G5" s="1">
        <f>AVERAGE(Instances!G25:Instances!G34)</f>
        <v>0</v>
      </c>
      <c r="H5" s="1">
        <f>AVERAGE(Instances!H25:Instances!H34)</f>
        <v>0</v>
      </c>
      <c r="I5" s="1">
        <f>AVERAGE(Instances!I25:Instances!I34)</f>
        <v>0</v>
      </c>
      <c r="J5" s="1">
        <f>AVERAGE(Instances!J25:Instances!J34)</f>
        <v>0</v>
      </c>
      <c r="K5" s="1">
        <f>AVERAGE(Instances!K25:Instances!K34)</f>
        <v>0</v>
      </c>
      <c r="L5" s="1">
        <f>AVERAGE(Instances!L25:Instances!L34)</f>
        <v>0</v>
      </c>
      <c r="M5" s="1">
        <f>AVERAGE(Instances!M25:Instances!M34)</f>
        <v>0</v>
      </c>
      <c r="N5" s="1">
        <f>AVERAGE(Instances!N25:Instances!N34)</f>
        <v>0</v>
      </c>
      <c r="O5" s="1">
        <f>AVERAGE(Instances!O25:Instances!O34)</f>
        <v>0</v>
      </c>
      <c r="P5" s="1"/>
      <c r="Q5" s="1">
        <f>AVERAGE(Instances!Q25:Instances!Q34)</f>
        <v>0</v>
      </c>
      <c r="R5" s="1">
        <f>SUM(Instances!R25:Instances!R34)</f>
        <v>0</v>
      </c>
      <c r="S5" s="1">
        <f>AVERAGE(Instances!S25:Instances!S34)</f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>
        <f>AVERAGE(Instances!AL25:Instances!AL34)</f>
        <v>0</v>
      </c>
      <c r="AM5" s="1">
        <f>AVERAGE(Instances!AM25:Instances!AM34)</f>
        <v>0</v>
      </c>
      <c r="AN5" s="1">
        <f>AVERAGE(Instances!AN25:Instances!AN34)</f>
        <v>0</v>
      </c>
      <c r="AO5" s="1">
        <f>AVERAGE(Instances!AO25:Instances!AO34)</f>
        <v>0</v>
      </c>
      <c r="AP5" s="1">
        <f>AVERAGE(Instances!AP25:Instances!AP34)</f>
        <v>0</v>
      </c>
      <c r="AQ5" s="1">
        <f>AVERAGE(Instances!AQ25:Instances!AQ34)</f>
        <v>0</v>
      </c>
      <c r="AR5" s="1">
        <f>AVERAGE(Instances!AR25:Instances!AR34)</f>
        <v>0</v>
      </c>
      <c r="AS5" s="1">
        <f>AVERAGE(Instances!AS25:Instances!AS34)</f>
        <v>0</v>
      </c>
      <c r="AT5" s="1">
        <f>AVERAGE(Instances!AT25:Instances!AT34)</f>
        <v>0</v>
      </c>
      <c r="AU5" s="1">
        <f>AVERAGE(Instances!AU25:Instances!AU34)</f>
        <v>0</v>
      </c>
      <c r="AV5" s="1">
        <f>AVERAGE(Instances!AV25:Instances!AV34)</f>
        <v>0</v>
      </c>
      <c r="AW5" s="1">
        <f>AVERAGE(Instances!AW25:Instances!AW34)</f>
        <v>0</v>
      </c>
      <c r="AX5" s="1">
        <f>AVERAGE(Instances!AX25:Instances!AX34)</f>
        <v>0</v>
      </c>
      <c r="AY5" s="1">
        <f>AVERAGE(Instances!AY25:Instances!AY34)</f>
        <v>0</v>
      </c>
      <c r="AZ5" s="1"/>
      <c r="BA5" s="1">
        <f>AVERAGE(Instances!BA25:Instances!BA34)</f>
        <v>0</v>
      </c>
      <c r="BB5" s="1">
        <f>SUM(Instances!BB25:Instances!BB34)</f>
        <v>0</v>
      </c>
      <c r="BC5" s="1">
        <f>AVERAGE(Instances!BC25:Instances!BC34)</f>
        <v>0</v>
      </c>
      <c r="BD5" s="1">
        <f>AVERAGE(Instances!BD25:Instances!BD34)</f>
        <v>0</v>
      </c>
      <c r="BE5" s="1">
        <f>AVERAGE(Instances!BE25:Instances!BE34)</f>
        <v>0</v>
      </c>
      <c r="BF5" s="1">
        <f>AVERAGE(Instances!BF25:Instances!BF34)</f>
        <v>0</v>
      </c>
      <c r="BG5" s="1">
        <f>AVERAGE(Instances!BG25:Instances!BG34)</f>
        <v>0</v>
      </c>
      <c r="BH5" s="1">
        <f>AVERAGE(Instances!BH25:Instances!BH34)</f>
        <v>0</v>
      </c>
      <c r="BI5" s="1">
        <f>AVERAGE(Instances!BI25:Instances!BI34)</f>
        <v>0</v>
      </c>
      <c r="BJ5" s="1">
        <f>AVERAGE(Instances!BJ25:Instances!BJ34)</f>
        <v>0</v>
      </c>
      <c r="BK5" s="1">
        <f>AVERAGE(Instances!BK25:Instances!BK34)</f>
        <v>0</v>
      </c>
      <c r="BL5" s="1">
        <f>AVERAGE(Instances!BL25:Instances!BL34)</f>
        <v>0</v>
      </c>
      <c r="BM5" s="1">
        <f>AVERAGE(Instances!BM25:Instances!BM34)</f>
        <v>0</v>
      </c>
      <c r="BN5" s="1">
        <f>AVERAGE(Instances!BN25:Instances!BN34)</f>
        <v>0</v>
      </c>
      <c r="BO5" s="1">
        <f>AVERAGE(Instances!BO25:Instances!BO34)</f>
        <v>0</v>
      </c>
      <c r="BP5" s="1">
        <f>AVERAGE(Instances!BP25:Instances!BP34)</f>
        <v>0</v>
      </c>
      <c r="BQ5" s="1">
        <f>AVERAGE(Instances!BQ25:Instances!BQ34)</f>
        <v>0</v>
      </c>
      <c r="BR5" s="1"/>
      <c r="BS5" s="1">
        <f>AVERAGE(Instances!BS25:Instances!BS34)</f>
        <v>0</v>
      </c>
      <c r="BT5" s="1">
        <f>SUM(Instances!BT25:Instances!BT34)</f>
        <v>0</v>
      </c>
      <c r="BU5" s="1">
        <f>AVERAGE(Instances!BU25:Instances!BU34)</f>
        <v>0</v>
      </c>
      <c r="BV5" s="1">
        <f>AVERAGE(Instances!BV25:Instances!BV34)</f>
        <v>0</v>
      </c>
      <c r="BW5" s="1">
        <f>AVERAGE(Instances!BW25:Instances!BW34)</f>
        <v>0</v>
      </c>
      <c r="BX5" s="1">
        <f>AVERAGE(Instances!BX25:Instances!BX34)</f>
        <v>0</v>
      </c>
      <c r="BY5" s="1">
        <f>AVERAGE(Instances!BY25:Instances!BY34)</f>
        <v>0</v>
      </c>
      <c r="BZ5" s="1">
        <f>AVERAGE(Instances!BZ25:Instances!BZ34)</f>
        <v>0</v>
      </c>
      <c r="CA5" s="1">
        <f>AVERAGE(Instances!CA25:Instances!CA34)</f>
        <v>0</v>
      </c>
      <c r="CB5" s="1">
        <f>AVERAGE(Instances!CB25:Instances!CB34)</f>
        <v>0</v>
      </c>
      <c r="CC5" s="1">
        <f>AVERAGE(Instances!CC25:Instances!CC34)</f>
        <v>0</v>
      </c>
      <c r="CD5" s="1">
        <f>AVERAGE(Instances!CD25:Instances!CD34)</f>
        <v>0</v>
      </c>
      <c r="CE5" s="1">
        <f>AVERAGE(Instances!CE25:Instances!CE34)</f>
        <v>0</v>
      </c>
      <c r="CF5" s="1">
        <f>AVERAGE(Instances!CF25:Instances!CF34)</f>
        <v>0</v>
      </c>
      <c r="CG5" s="1">
        <f>AVERAGE(Instances!CG25:Instances!CG34)</f>
        <v>0</v>
      </c>
      <c r="CH5" s="1">
        <f>AVERAGE(Instances!CH25:Instances!CH34)</f>
        <v>0</v>
      </c>
      <c r="CI5" s="1">
        <f>AVERAGE(Instances!CI25:Instances!CI34)</f>
        <v>0</v>
      </c>
      <c r="CJ5" s="1"/>
      <c r="CK5" s="1">
        <f>AVERAGE(Instances!CK25:Instances!CK34)</f>
        <v>0</v>
      </c>
      <c r="CL5" s="1">
        <f>SUM(Instances!CL25:Instances!CL34)</f>
        <v>0</v>
      </c>
      <c r="CM5" s="1">
        <f>AVERAGE(Instances!CM25:Instances!CM34)</f>
        <v>0</v>
      </c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f>AVERAGE(Instances!DX25:Instances!DX34)</f>
        <v>0</v>
      </c>
      <c r="DY5" s="1">
        <f>AVERAGE(Instances!DY25:Instances!DY34)</f>
        <v>0</v>
      </c>
      <c r="DZ5" s="1">
        <f>AVERAGE(Instances!DZ25:Instances!DZ34)</f>
        <v>0</v>
      </c>
      <c r="EA5" s="1">
        <f>AVERAGE(Instances!EA25:Instances!EA34)</f>
        <v>0</v>
      </c>
      <c r="EB5" s="1">
        <f>AVERAGE(Instances!EB25:Instances!EB34)</f>
        <v>0</v>
      </c>
      <c r="EC5" s="1">
        <f>AVERAGE(Instances!EC25:Instances!EC34)</f>
        <v>0</v>
      </c>
      <c r="ED5" s="1">
        <f>AVERAGE(Instances!ED25:Instances!ED34)</f>
        <v>0</v>
      </c>
      <c r="EE5" s="1">
        <f>AVERAGE(Instances!EE25:Instances!EE34)</f>
        <v>0</v>
      </c>
      <c r="EF5" s="1">
        <f>AVERAGE(Instances!EF25:Instances!EF34)</f>
        <v>0</v>
      </c>
      <c r="EG5" s="1">
        <f>AVERAGE(Instances!EG25:Instances!EG34)</f>
        <v>0</v>
      </c>
      <c r="EH5" s="1">
        <f>AVERAGE(Instances!EH25:Instances!EH34)</f>
        <v>0</v>
      </c>
      <c r="EI5" s="1">
        <f>AVERAGE(Instances!EI25:Instances!EI34)</f>
        <v>0</v>
      </c>
      <c r="EJ5" s="1">
        <f>AVERAGE(Instances!EJ25:Instances!EJ34)</f>
        <v>0</v>
      </c>
      <c r="EK5" s="1">
        <f>AVERAGE(Instances!EK25:Instances!EK34)</f>
        <v>0</v>
      </c>
      <c r="EL5" s="1"/>
      <c r="EM5" s="1">
        <f>AVERAGE(Instances!EM25:Instances!EM34)</f>
        <v>0</v>
      </c>
      <c r="EN5" s="1">
        <f>SUM(Instances!EN25:Instances!EN34)</f>
        <v>0</v>
      </c>
      <c r="EO5" s="1">
        <f>AVERAGE(Instances!EO25:Instances!EO34)</f>
        <v>0</v>
      </c>
      <c r="EP5" s="1">
        <f>AVERAGE(Instances!EP25:Instances!EP34)</f>
        <v>0</v>
      </c>
      <c r="EQ5" s="1">
        <f>AVERAGE(Instances!EQ25:Instances!EQ34)</f>
        <v>0</v>
      </c>
      <c r="ER5" s="1">
        <f>AVERAGE(Instances!ER25:Instances!ER34)</f>
        <v>0</v>
      </c>
      <c r="ES5" s="1">
        <f>AVERAGE(Instances!ES25:Instances!ES34)</f>
        <v>0</v>
      </c>
      <c r="ET5" s="1">
        <f>AVERAGE(Instances!ET25:Instances!ET34)</f>
        <v>0</v>
      </c>
      <c r="EU5" s="1">
        <f>AVERAGE(Instances!EU25:Instances!EU34)</f>
        <v>0</v>
      </c>
      <c r="EV5" s="1">
        <f>AVERAGE(Instances!EV25:Instances!EV34)</f>
        <v>0</v>
      </c>
      <c r="EW5" s="1">
        <f>AVERAGE(Instances!EW25:Instances!EW34)</f>
        <v>0</v>
      </c>
      <c r="EX5" s="1">
        <f>AVERAGE(Instances!EX25:Instances!EX34)</f>
        <v>0</v>
      </c>
      <c r="EY5" s="1">
        <f>AVERAGE(Instances!EY25:Instances!EY34)</f>
        <v>0</v>
      </c>
      <c r="EZ5" s="1">
        <f>AVERAGE(Instances!EZ25:Instances!EZ34)</f>
        <v>0</v>
      </c>
      <c r="FA5" s="1">
        <f>AVERAGE(Instances!FA25:Instances!FA34)</f>
        <v>0</v>
      </c>
      <c r="FB5" s="1">
        <f>AVERAGE(Instances!FB25:Instances!FB34)</f>
        <v>0</v>
      </c>
      <c r="FC5" s="1">
        <f>AVERAGE(Instances!FC25:Instances!FC34)</f>
        <v>0</v>
      </c>
      <c r="FD5" s="1"/>
      <c r="FE5" s="1">
        <f>AVERAGE(Instances!FE25:Instances!FE34)</f>
        <v>0</v>
      </c>
      <c r="FF5" s="1">
        <f>SUM(Instances!FF25:Instances!FF34)</f>
        <v>0</v>
      </c>
      <c r="FG5" s="1">
        <f>AVERAGE(Instances!FG25:Instances!FG34)</f>
        <v>0</v>
      </c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AVERAGE(Instances!FZ25:Instances!FZ34)</f>
        <v>0</v>
      </c>
      <c r="GA5" s="1">
        <f>AVERAGE(Instances!GA25:Instances!GA34)</f>
        <v>0</v>
      </c>
      <c r="GB5" s="1">
        <f>AVERAGE(Instances!GB25:Instances!GB34)</f>
        <v>0</v>
      </c>
      <c r="GC5" s="1">
        <f>AVERAGE(Instances!GC25:Instances!GC34)</f>
        <v>0</v>
      </c>
      <c r="GD5" s="1">
        <f>AVERAGE(Instances!GD25:Instances!GD34)</f>
        <v>0</v>
      </c>
      <c r="GE5" s="1">
        <f>AVERAGE(Instances!GE25:Instances!GE34)</f>
        <v>0</v>
      </c>
      <c r="GF5" s="1">
        <f>AVERAGE(Instances!GF25:Instances!GF34)</f>
        <v>0</v>
      </c>
      <c r="GG5" s="1">
        <f>AVERAGE(Instances!GG25:Instances!GG34)</f>
        <v>0</v>
      </c>
      <c r="GH5" s="1">
        <f>AVERAGE(Instances!GH25:Instances!GH34)</f>
        <v>0</v>
      </c>
      <c r="GI5" s="1">
        <f>AVERAGE(Instances!GI25:Instances!GI34)</f>
        <v>0</v>
      </c>
      <c r="GJ5" s="1">
        <f>AVERAGE(Instances!GJ25:Instances!GJ34)</f>
        <v>0</v>
      </c>
      <c r="GK5" s="1">
        <f>AVERAGE(Instances!GK25:Instances!GK34)</f>
        <v>0</v>
      </c>
      <c r="GL5" s="1">
        <f>AVERAGE(Instances!GL25:Instances!GL34)</f>
        <v>0</v>
      </c>
      <c r="GM5" s="1">
        <f>AVERAGE(Instances!GM25:Instances!GM34)</f>
        <v>0</v>
      </c>
      <c r="GN5" s="1"/>
      <c r="GO5" s="1">
        <f>AVERAGE(Instances!GO25:Instances!GO34)</f>
        <v>0</v>
      </c>
      <c r="GP5" s="1">
        <f>SUM(Instances!GP25:Instances!GP34)</f>
        <v>0</v>
      </c>
      <c r="GQ5" s="1">
        <f>AVERAGE(Instances!GQ25:Instances!GQ34)</f>
        <v>0</v>
      </c>
      <c r="GR5" s="1">
        <f>AVERAGE(Instances!GR25:Instances!GR34)</f>
        <v>0</v>
      </c>
      <c r="GS5" s="1">
        <f>AVERAGE(Instances!GS25:Instances!GS34)</f>
        <v>0</v>
      </c>
      <c r="GT5" s="1">
        <f>AVERAGE(Instances!GT25:Instances!GT34)</f>
        <v>0</v>
      </c>
      <c r="GU5" s="1">
        <f>AVERAGE(Instances!GU25:Instances!GU34)</f>
        <v>0</v>
      </c>
      <c r="GV5" s="1">
        <f>AVERAGE(Instances!GV25:Instances!GV34)</f>
        <v>0</v>
      </c>
      <c r="GW5" s="1">
        <f>AVERAGE(Instances!GW25:Instances!GW34)</f>
        <v>0</v>
      </c>
      <c r="GX5" s="1">
        <f>AVERAGE(Instances!GX25:Instances!GX34)</f>
        <v>0</v>
      </c>
      <c r="GY5" s="1">
        <f>AVERAGE(Instances!GY25:Instances!GY34)</f>
        <v>0</v>
      </c>
      <c r="GZ5" s="1">
        <f>AVERAGE(Instances!GZ25:Instances!GZ34)</f>
        <v>0</v>
      </c>
      <c r="HA5" s="1">
        <f>AVERAGE(Instances!HA25:Instances!HA34)</f>
        <v>0</v>
      </c>
      <c r="HB5" s="1">
        <f>AVERAGE(Instances!HB25:Instances!HB34)</f>
        <v>0</v>
      </c>
      <c r="HC5" s="1">
        <f>AVERAGE(Instances!HC25:Instances!HC34)</f>
        <v>0</v>
      </c>
      <c r="HD5" s="1">
        <f>AVERAGE(Instances!HD25:Instances!HD34)</f>
        <v>0</v>
      </c>
      <c r="HE5" s="1">
        <f>AVERAGE(Instances!HE25:Instances!HE34)</f>
        <v>0</v>
      </c>
      <c r="HF5" s="1"/>
      <c r="HG5" s="1">
        <f>AVERAGE(Instances!HG25:Instances!HG34)</f>
        <v>0</v>
      </c>
      <c r="HH5" s="1">
        <f>SUM(Instances!HH25:Instances!HH34)</f>
        <v>0</v>
      </c>
      <c r="HI5" s="1">
        <f>AVERAGE(Instances!HI25:Instances!HI34)</f>
        <v>0</v>
      </c>
      <c r="HJ5" s="1">
        <f>AVERAGE(Instances!HJ25:Instances!HJ34)</f>
        <v>0</v>
      </c>
      <c r="HK5" s="1">
        <f>AVERAGE(Instances!HK25:Instances!HK34)</f>
        <v>0</v>
      </c>
      <c r="HL5" s="1">
        <f>AVERAGE(Instances!HL25:Instances!HL34)</f>
        <v>0</v>
      </c>
      <c r="HM5" s="1">
        <f>AVERAGE(Instances!HM25:Instances!HM34)</f>
        <v>0</v>
      </c>
      <c r="HN5" s="1">
        <f>AVERAGE(Instances!HN25:Instances!HN34)</f>
        <v>0</v>
      </c>
      <c r="HO5" s="1">
        <f>AVERAGE(Instances!HO25:Instances!HO34)</f>
        <v>0</v>
      </c>
      <c r="HP5" s="1">
        <f>AVERAGE(Instances!HP25:Instances!HP34)</f>
        <v>0</v>
      </c>
      <c r="HQ5" s="1">
        <f>AVERAGE(Instances!HQ25:Instances!HQ34)</f>
        <v>0</v>
      </c>
      <c r="HR5" s="1">
        <f>AVERAGE(Instances!HR25:Instances!HR34)</f>
        <v>0</v>
      </c>
      <c r="HS5" s="1">
        <f>AVERAGE(Instances!HS25:Instances!HS34)</f>
        <v>0</v>
      </c>
      <c r="HT5" s="1">
        <f>AVERAGE(Instances!HT25:Instances!HT34)</f>
        <v>0</v>
      </c>
      <c r="HU5" s="1">
        <f>AVERAGE(Instances!HU25:Instances!HU34)</f>
        <v>0</v>
      </c>
      <c r="HV5" s="1">
        <f>AVERAGE(Instances!HV25:Instances!HV34)</f>
        <v>0</v>
      </c>
      <c r="HW5" s="1">
        <f>AVERAGE(Instances!HW25:Instances!HW34)</f>
        <v>0</v>
      </c>
      <c r="HX5" s="1"/>
      <c r="HY5" s="1">
        <f>AVERAGE(Instances!HY25:Instances!HY34)</f>
        <v>0</v>
      </c>
      <c r="HZ5" s="1">
        <f>SUM(Instances!HZ25:Instances!HZ34)</f>
        <v>0</v>
      </c>
      <c r="IA5" s="1">
        <f>AVERAGE(Instances!IA25:Instances!IA34)</f>
        <v>0</v>
      </c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>
        <f>AVERAGE(Instances!JL25:Instances!JL34)</f>
        <v>0</v>
      </c>
      <c r="JM5" s="1">
        <f>AVERAGE(Instances!JM25:Instances!JM34)</f>
        <v>0</v>
      </c>
      <c r="JN5" s="1">
        <f>AVERAGE(Instances!JN25:Instances!JN34)</f>
        <v>0</v>
      </c>
      <c r="JO5" s="1">
        <f>AVERAGE(Instances!JO25:Instances!JO34)</f>
        <v>0</v>
      </c>
      <c r="JP5" s="1">
        <f>AVERAGE(Instances!JP25:Instances!JP34)</f>
        <v>0</v>
      </c>
      <c r="JQ5" s="1">
        <f>AVERAGE(Instances!JQ25:Instances!JQ34)</f>
        <v>0</v>
      </c>
      <c r="JR5" s="1">
        <f>AVERAGE(Instances!JR25:Instances!JR34)</f>
        <v>0</v>
      </c>
      <c r="JS5" s="1">
        <f>AVERAGE(Instances!JS25:Instances!JS34)</f>
        <v>0</v>
      </c>
      <c r="JT5" s="1">
        <f>AVERAGE(Instances!JT25:Instances!JT34)</f>
        <v>0</v>
      </c>
      <c r="JU5" s="1">
        <f>AVERAGE(Instances!JU25:Instances!JU34)</f>
        <v>0</v>
      </c>
      <c r="JV5" s="1">
        <f>AVERAGE(Instances!JV25:Instances!JV34)</f>
        <v>0</v>
      </c>
      <c r="JW5" s="1">
        <f>AVERAGE(Instances!JW25:Instances!JW34)</f>
        <v>0</v>
      </c>
      <c r="JX5" s="1">
        <f>AVERAGE(Instances!JX25:Instances!JX34)</f>
        <v>0</v>
      </c>
      <c r="JY5" s="1">
        <f>AVERAGE(Instances!JY25:Instances!JY34)</f>
        <v>0</v>
      </c>
      <c r="JZ5" s="1"/>
      <c r="KA5" s="1">
        <f>AVERAGE(Instances!KA25:Instances!KA34)</f>
        <v>0</v>
      </c>
      <c r="KB5" s="1">
        <f>SUM(Instances!KB25:Instances!KB34)</f>
        <v>0</v>
      </c>
      <c r="KC5" s="1">
        <f>AVERAGE(Instances!KC25:Instances!KC34)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</row>
    <row r="7" spans="1:340">
      <c r="A7" s="1" t="s">
        <v>32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>
        <f>SUM(L$3:L$5)</f>
        <v>0</v>
      </c>
      <c r="M7" s="1">
        <f>SUM(M$3:M$5)</f>
        <v>0</v>
      </c>
      <c r="N7" s="1">
        <f>SUM(N$3:N$5)</f>
        <v>0</v>
      </c>
      <c r="O7" s="1">
        <f>SUM(O$3:O$5)</f>
        <v>0</v>
      </c>
      <c r="P7" s="1"/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/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>
        <f>SUM(KR$3:KR$5)</f>
        <v>0</v>
      </c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>
        <f>SUM(LJ$3:LJ$5)</f>
        <v>0</v>
      </c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</row>
    <row r="8" spans="1:340">
      <c r="A8" s="1" t="s">
        <v>33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>
        <f>AVERAGE(L$3:L$5)</f>
        <v>0</v>
      </c>
      <c r="M8" s="1">
        <f>AVERAGE(M$3:M$5)</f>
        <v>0</v>
      </c>
      <c r="N8" s="1">
        <f>AVERAGE(N$3:N$5)</f>
        <v>0</v>
      </c>
      <c r="O8" s="1">
        <f>AVERAGE(O$3:O$5)</f>
        <v>0</v>
      </c>
      <c r="P8" s="1"/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/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>
        <f>AVERAGE(KR$3:KR$5)</f>
        <v>0</v>
      </c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>
        <f>AVERAGE(LJ$3:LJ$5)</f>
        <v>0</v>
      </c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</row>
    <row r="9" spans="1:340">
      <c r="A9" s="1" t="s">
        <v>34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>
        <f>STDEV(L$3:L$5)</f>
        <v>0</v>
      </c>
      <c r="M9" s="1">
        <f>STDEV(M$3:M$5)</f>
        <v>0</v>
      </c>
      <c r="N9" s="1">
        <f>STDEV(N$3:N$5)</f>
        <v>0</v>
      </c>
      <c r="O9" s="1">
        <f>STDEV(O$3:O$5)</f>
        <v>0</v>
      </c>
      <c r="P9" s="1"/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/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>
        <f>STDEV(KR$3:KR$5)</f>
        <v>0</v>
      </c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>
        <f>STDEV(LJ$3:LJ$5)</f>
        <v>0</v>
      </c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</row>
    <row r="10" spans="1:340">
      <c r="A10" s="1" t="s">
        <v>35</v>
      </c>
      <c r="B10" s="1">
        <f>SUMPRODUCT(--(B$3:B$5-$KD$3:$KD$5)^2)^0.5</f>
        <v>0</v>
      </c>
      <c r="C10" s="1">
        <f>SUMPRODUCT(--(C$3:C$5-$KE$3:$KE$5)^2)^0.5</f>
        <v>0</v>
      </c>
      <c r="D10" s="1">
        <f>SUMPRODUCT(--(D$3:D$5-$KF$3:$KF$5)^2)^0.5</f>
        <v>0</v>
      </c>
      <c r="E10" s="1">
        <f>SUMPRODUCT(--(E$3:E$5-$KG$3:$KG$5)^2)^0.5</f>
        <v>0</v>
      </c>
      <c r="F10" s="1">
        <f>SUMPRODUCT(--(F$3:F$5-$KH$3:$KH$5)^2)^0.5</f>
        <v>0</v>
      </c>
      <c r="G10" s="1">
        <f>SUMPRODUCT(--(G$3:G$5-$KI$3:$KI$5)^2)^0.5</f>
        <v>0</v>
      </c>
      <c r="H10" s="1">
        <f>SUMPRODUCT(--(H$3:H$5-$KJ$3:$KJ$5)^2)^0.5</f>
        <v>0</v>
      </c>
      <c r="I10" s="1">
        <f>SUMPRODUCT(--(I$3:I$5-$KK$3:$KK$5)^2)^0.5</f>
        <v>0</v>
      </c>
      <c r="J10" s="1">
        <f>SUMPRODUCT(--(J$3:J$5-$KL$3:$KL$5)^2)^0.5</f>
        <v>0</v>
      </c>
      <c r="K10" s="1">
        <f>SUMPRODUCT(--(K$3:K$5-$KM$3:$KM$5)^2)^0.5</f>
        <v>0</v>
      </c>
      <c r="L10" s="1">
        <f>SUMPRODUCT(--(L$3:L$5-$KN$3:$KN$5)^2)^0.5</f>
        <v>0</v>
      </c>
      <c r="M10" s="1">
        <f>SUMPRODUCT(--(M$3:M$5-$KO$3:$KO$5)^2)^0.5</f>
        <v>0</v>
      </c>
      <c r="N10" s="1">
        <f>SUMPRODUCT(--(N$3:N$5-$KP$3:$KP$5)^2)^0.5</f>
        <v>0</v>
      </c>
      <c r="O10" s="1">
        <f>SUMPRODUCT(--(O$3:O$5-$KQ$3:$KQ$5)^2)^0.5</f>
        <v>0</v>
      </c>
      <c r="P10" s="1"/>
      <c r="Q10" s="1">
        <f>SUMPRODUCT(--(Q$3:Q$5-$KR$3:$KR$5)^2)^0.5</f>
        <v>0</v>
      </c>
      <c r="R10" s="1">
        <f>SUMPRODUCT(--(R$3:R$5-$KS$3:$KS$5)^2)^0.5</f>
        <v>0</v>
      </c>
      <c r="S10" s="1">
        <f>SUMPRODUCT(--(S$3:S$5-$KT$3:$KT$5)^2)^0.5</f>
        <v>0</v>
      </c>
      <c r="T10" s="1">
        <f>SUMPRODUCT(--(T$3:T$5-$KD$3:$KD$5)^2)^0.5</f>
        <v>0</v>
      </c>
      <c r="U10" s="1">
        <f>SUMPRODUCT(--(U$3:U$5-$KE$3:$KE$5)^2)^0.5</f>
        <v>0</v>
      </c>
      <c r="V10" s="1">
        <f>SUMPRODUCT(--(V$3:V$5-$KF$3:$KF$5)^2)^0.5</f>
        <v>0</v>
      </c>
      <c r="W10" s="1">
        <f>SUMPRODUCT(--(W$3:W$5-$KG$3:$KG$5)^2)^0.5</f>
        <v>0</v>
      </c>
      <c r="X10" s="1">
        <f>SUMPRODUCT(--(X$3:X$5-$KH$3:$KH$5)^2)^0.5</f>
        <v>0</v>
      </c>
      <c r="Y10" s="1">
        <f>SUMPRODUCT(--(Y$3:Y$5-$KI$3:$KI$5)^2)^0.5</f>
        <v>0</v>
      </c>
      <c r="Z10" s="1">
        <f>SUMPRODUCT(--(Z$3:Z$5-$KJ$3:$KJ$5)^2)^0.5</f>
        <v>0</v>
      </c>
      <c r="AA10" s="1">
        <f>SUMPRODUCT(--(AA$3:AA$5-$KK$3:$KK$5)^2)^0.5</f>
        <v>0</v>
      </c>
      <c r="AB10" s="1">
        <f>SUMPRODUCT(--(AB$3:AB$5-$KL$3:$KL$5)^2)^0.5</f>
        <v>0</v>
      </c>
      <c r="AC10" s="1">
        <f>SUMPRODUCT(--(AC$3:AC$5-$KM$3:$KM$5)^2)^0.5</f>
        <v>0</v>
      </c>
      <c r="AD10" s="1">
        <f>SUMPRODUCT(--(AD$3:AD$5-$KN$3:$KN$5)^2)^0.5</f>
        <v>0</v>
      </c>
      <c r="AE10" s="1">
        <f>SUMPRODUCT(--(AE$3:AE$5-$KO$3:$KO$5)^2)^0.5</f>
        <v>0</v>
      </c>
      <c r="AF10" s="1">
        <f>SUMPRODUCT(--(AF$3:AF$5-$KP$3:$KP$5)^2)^0.5</f>
        <v>0</v>
      </c>
      <c r="AG10" s="1">
        <f>SUMPRODUCT(--(AG$3:AG$5-$KQ$3:$KQ$5)^2)^0.5</f>
        <v>0</v>
      </c>
      <c r="AH10" s="1"/>
      <c r="AI10" s="1">
        <f>SUMPRODUCT(--(AI$3:AI$5-$KR$3:$KR$5)^2)^0.5</f>
        <v>0</v>
      </c>
      <c r="AJ10" s="1">
        <f>SUMPRODUCT(--(AJ$3:AJ$5-$KS$3:$KS$5)^2)^0.5</f>
        <v>0</v>
      </c>
      <c r="AK10" s="1">
        <f>SUMPRODUCT(--(AK$3:AK$5-$KT$3:$KT$5)^2)^0.5</f>
        <v>0</v>
      </c>
      <c r="AL10" s="1">
        <f>SUMPRODUCT(--(AL$3:AL$5-$KD$3:$KD$5)^2)^0.5</f>
        <v>0</v>
      </c>
      <c r="AM10" s="1">
        <f>SUMPRODUCT(--(AM$3:AM$5-$KE$3:$KE$5)^2)^0.5</f>
        <v>0</v>
      </c>
      <c r="AN10" s="1">
        <f>SUMPRODUCT(--(AN$3:AN$5-$KF$3:$KF$5)^2)^0.5</f>
        <v>0</v>
      </c>
      <c r="AO10" s="1">
        <f>SUMPRODUCT(--(AO$3:AO$5-$KG$3:$KG$5)^2)^0.5</f>
        <v>0</v>
      </c>
      <c r="AP10" s="1">
        <f>SUMPRODUCT(--(AP$3:AP$5-$KH$3:$KH$5)^2)^0.5</f>
        <v>0</v>
      </c>
      <c r="AQ10" s="1">
        <f>SUMPRODUCT(--(AQ$3:AQ$5-$KI$3:$KI$5)^2)^0.5</f>
        <v>0</v>
      </c>
      <c r="AR10" s="1">
        <f>SUMPRODUCT(--(AR$3:AR$5-$KJ$3:$KJ$5)^2)^0.5</f>
        <v>0</v>
      </c>
      <c r="AS10" s="1">
        <f>SUMPRODUCT(--(AS$3:AS$5-$KK$3:$KK$5)^2)^0.5</f>
        <v>0</v>
      </c>
      <c r="AT10" s="1">
        <f>SUMPRODUCT(--(AT$3:AT$5-$KL$3:$KL$5)^2)^0.5</f>
        <v>0</v>
      </c>
      <c r="AU10" s="1">
        <f>SUMPRODUCT(--(AU$3:AU$5-$KM$3:$KM$5)^2)^0.5</f>
        <v>0</v>
      </c>
      <c r="AV10" s="1">
        <f>SUMPRODUCT(--(AV$3:AV$5-$KN$3:$KN$5)^2)^0.5</f>
        <v>0</v>
      </c>
      <c r="AW10" s="1">
        <f>SUMPRODUCT(--(AW$3:AW$5-$KO$3:$KO$5)^2)^0.5</f>
        <v>0</v>
      </c>
      <c r="AX10" s="1">
        <f>SUMPRODUCT(--(AX$3:AX$5-$KP$3:$KP$5)^2)^0.5</f>
        <v>0</v>
      </c>
      <c r="AY10" s="1">
        <f>SUMPRODUCT(--(AY$3:AY$5-$KQ$3:$KQ$5)^2)^0.5</f>
        <v>0</v>
      </c>
      <c r="AZ10" s="1"/>
      <c r="BA10" s="1">
        <f>SUMPRODUCT(--(BA$3:BA$5-$KR$3:$KR$5)^2)^0.5</f>
        <v>0</v>
      </c>
      <c r="BB10" s="1">
        <f>SUMPRODUCT(--(BB$3:BB$5-$KS$3:$KS$5)^2)^0.5</f>
        <v>0</v>
      </c>
      <c r="BC10" s="1">
        <f>SUMPRODUCT(--(BC$3:BC$5-$KT$3:$KT$5)^2)^0.5</f>
        <v>0</v>
      </c>
      <c r="BD10" s="1">
        <f>SUMPRODUCT(--(BD$3:BD$5-$KD$3:$KD$5)^2)^0.5</f>
        <v>0</v>
      </c>
      <c r="BE10" s="1">
        <f>SUMPRODUCT(--(BE$3:BE$5-$KE$3:$KE$5)^2)^0.5</f>
        <v>0</v>
      </c>
      <c r="BF10" s="1">
        <f>SUMPRODUCT(--(BF$3:BF$5-$KF$3:$KF$5)^2)^0.5</f>
        <v>0</v>
      </c>
      <c r="BG10" s="1">
        <f>SUMPRODUCT(--(BG$3:BG$5-$KG$3:$KG$5)^2)^0.5</f>
        <v>0</v>
      </c>
      <c r="BH10" s="1">
        <f>SUMPRODUCT(--(BH$3:BH$5-$KH$3:$KH$5)^2)^0.5</f>
        <v>0</v>
      </c>
      <c r="BI10" s="1">
        <f>SUMPRODUCT(--(BI$3:BI$5-$KI$3:$KI$5)^2)^0.5</f>
        <v>0</v>
      </c>
      <c r="BJ10" s="1">
        <f>SUMPRODUCT(--(BJ$3:BJ$5-$KJ$3:$KJ$5)^2)^0.5</f>
        <v>0</v>
      </c>
      <c r="BK10" s="1">
        <f>SUMPRODUCT(--(BK$3:BK$5-$KK$3:$KK$5)^2)^0.5</f>
        <v>0</v>
      </c>
      <c r="BL10" s="1">
        <f>SUMPRODUCT(--(BL$3:BL$5-$KL$3:$KL$5)^2)^0.5</f>
        <v>0</v>
      </c>
      <c r="BM10" s="1">
        <f>SUMPRODUCT(--(BM$3:BM$5-$KM$3:$KM$5)^2)^0.5</f>
        <v>0</v>
      </c>
      <c r="BN10" s="1">
        <f>SUMPRODUCT(--(BN$3:BN$5-$KN$3:$KN$5)^2)^0.5</f>
        <v>0</v>
      </c>
      <c r="BO10" s="1">
        <f>SUMPRODUCT(--(BO$3:BO$5-$KO$3:$KO$5)^2)^0.5</f>
        <v>0</v>
      </c>
      <c r="BP10" s="1">
        <f>SUMPRODUCT(--(BP$3:BP$5-$KP$3:$KP$5)^2)^0.5</f>
        <v>0</v>
      </c>
      <c r="BQ10" s="1">
        <f>SUMPRODUCT(--(BQ$3:BQ$5-$KQ$3:$KQ$5)^2)^0.5</f>
        <v>0</v>
      </c>
      <c r="BR10" s="1"/>
      <c r="BS10" s="1">
        <f>SUMPRODUCT(--(BS$3:BS$5-$KR$3:$KR$5)^2)^0.5</f>
        <v>0</v>
      </c>
      <c r="BT10" s="1">
        <f>SUMPRODUCT(--(BT$3:BT$5-$KS$3:$KS$5)^2)^0.5</f>
        <v>0</v>
      </c>
      <c r="BU10" s="1">
        <f>SUMPRODUCT(--(BU$3:BU$5-$KT$3:$KT$5)^2)^0.5</f>
        <v>0</v>
      </c>
      <c r="BV10" s="1">
        <f>SUMPRODUCT(--(BV$3:BV$5-$KD$3:$KD$5)^2)^0.5</f>
        <v>0</v>
      </c>
      <c r="BW10" s="1">
        <f>SUMPRODUCT(--(BW$3:BW$5-$KE$3:$KE$5)^2)^0.5</f>
        <v>0</v>
      </c>
      <c r="BX10" s="1">
        <f>SUMPRODUCT(--(BX$3:BX$5-$KF$3:$KF$5)^2)^0.5</f>
        <v>0</v>
      </c>
      <c r="BY10" s="1">
        <f>SUMPRODUCT(--(BY$3:BY$5-$KG$3:$KG$5)^2)^0.5</f>
        <v>0</v>
      </c>
      <c r="BZ10" s="1">
        <f>SUMPRODUCT(--(BZ$3:BZ$5-$KH$3:$KH$5)^2)^0.5</f>
        <v>0</v>
      </c>
      <c r="CA10" s="1">
        <f>SUMPRODUCT(--(CA$3:CA$5-$KI$3:$KI$5)^2)^0.5</f>
        <v>0</v>
      </c>
      <c r="CB10" s="1">
        <f>SUMPRODUCT(--(CB$3:CB$5-$KJ$3:$KJ$5)^2)^0.5</f>
        <v>0</v>
      </c>
      <c r="CC10" s="1">
        <f>SUMPRODUCT(--(CC$3:CC$5-$KK$3:$KK$5)^2)^0.5</f>
        <v>0</v>
      </c>
      <c r="CD10" s="1">
        <f>SUMPRODUCT(--(CD$3:CD$5-$KL$3:$KL$5)^2)^0.5</f>
        <v>0</v>
      </c>
      <c r="CE10" s="1">
        <f>SUMPRODUCT(--(CE$3:CE$5-$KM$3:$KM$5)^2)^0.5</f>
        <v>0</v>
      </c>
      <c r="CF10" s="1">
        <f>SUMPRODUCT(--(CF$3:CF$5-$KN$3:$KN$5)^2)^0.5</f>
        <v>0</v>
      </c>
      <c r="CG10" s="1">
        <f>SUMPRODUCT(--(CG$3:CG$5-$KO$3:$KO$5)^2)^0.5</f>
        <v>0</v>
      </c>
      <c r="CH10" s="1">
        <f>SUMPRODUCT(--(CH$3:CH$5-$KP$3:$KP$5)^2)^0.5</f>
        <v>0</v>
      </c>
      <c r="CI10" s="1">
        <f>SUMPRODUCT(--(CI$3:CI$5-$KQ$3:$KQ$5)^2)^0.5</f>
        <v>0</v>
      </c>
      <c r="CJ10" s="1"/>
      <c r="CK10" s="1">
        <f>SUMPRODUCT(--(CK$3:CK$5-$KR$3:$KR$5)^2)^0.5</f>
        <v>0</v>
      </c>
      <c r="CL10" s="1">
        <f>SUMPRODUCT(--(CL$3:CL$5-$KS$3:$KS$5)^2)^0.5</f>
        <v>0</v>
      </c>
      <c r="CM10" s="1">
        <f>SUMPRODUCT(--(CM$3:CM$5-$KT$3:$KT$5)^2)^0.5</f>
        <v>0</v>
      </c>
      <c r="CN10" s="1">
        <f>SUMPRODUCT(--(CN$3:CN$5-$KD$3:$KD$5)^2)^0.5</f>
        <v>0</v>
      </c>
      <c r="CO10" s="1">
        <f>SUMPRODUCT(--(CO$3:CO$5-$KE$3:$KE$5)^2)^0.5</f>
        <v>0</v>
      </c>
      <c r="CP10" s="1">
        <f>SUMPRODUCT(--(CP$3:CP$5-$KF$3:$KF$5)^2)^0.5</f>
        <v>0</v>
      </c>
      <c r="CQ10" s="1">
        <f>SUMPRODUCT(--(CQ$3:CQ$5-$KG$3:$KG$5)^2)^0.5</f>
        <v>0</v>
      </c>
      <c r="CR10" s="1">
        <f>SUMPRODUCT(--(CR$3:CR$5-$KH$3:$KH$5)^2)^0.5</f>
        <v>0</v>
      </c>
      <c r="CS10" s="1">
        <f>SUMPRODUCT(--(CS$3:CS$5-$KI$3:$KI$5)^2)^0.5</f>
        <v>0</v>
      </c>
      <c r="CT10" s="1">
        <f>SUMPRODUCT(--(CT$3:CT$5-$KJ$3:$KJ$5)^2)^0.5</f>
        <v>0</v>
      </c>
      <c r="CU10" s="1">
        <f>SUMPRODUCT(--(CU$3:CU$5-$KK$3:$KK$5)^2)^0.5</f>
        <v>0</v>
      </c>
      <c r="CV10" s="1">
        <f>SUMPRODUCT(--(CV$3:CV$5-$KL$3:$KL$5)^2)^0.5</f>
        <v>0</v>
      </c>
      <c r="CW10" s="1">
        <f>SUMPRODUCT(--(CW$3:CW$5-$KM$3:$KM$5)^2)^0.5</f>
        <v>0</v>
      </c>
      <c r="CX10" s="1">
        <f>SUMPRODUCT(--(CX$3:CX$5-$KN$3:$KN$5)^2)^0.5</f>
        <v>0</v>
      </c>
      <c r="CY10" s="1">
        <f>SUMPRODUCT(--(CY$3:CY$5-$KO$3:$KO$5)^2)^0.5</f>
        <v>0</v>
      </c>
      <c r="CZ10" s="1">
        <f>SUMPRODUCT(--(CZ$3:CZ$5-$KP$3:$KP$5)^2)^0.5</f>
        <v>0</v>
      </c>
      <c r="DA10" s="1">
        <f>SUMPRODUCT(--(DA$3:DA$5-$KQ$3:$KQ$5)^2)^0.5</f>
        <v>0</v>
      </c>
      <c r="DB10" s="1"/>
      <c r="DC10" s="1">
        <f>SUMPRODUCT(--(DC$3:DC$5-$KR$3:$KR$5)^2)^0.5</f>
        <v>0</v>
      </c>
      <c r="DD10" s="1">
        <f>SUMPRODUCT(--(DD$3:DD$5-$KS$3:$KS$5)^2)^0.5</f>
        <v>0</v>
      </c>
      <c r="DE10" s="1">
        <f>SUMPRODUCT(--(DE$3:DE$5-$KT$3:$KT$5)^2)^0.5</f>
        <v>0</v>
      </c>
      <c r="DF10" s="1">
        <f>SUMPRODUCT(--(DF$3:DF$5-$KD$3:$KD$5)^2)^0.5</f>
        <v>0</v>
      </c>
      <c r="DG10" s="1">
        <f>SUMPRODUCT(--(DG$3:DG$5-$KE$3:$KE$5)^2)^0.5</f>
        <v>0</v>
      </c>
      <c r="DH10" s="1">
        <f>SUMPRODUCT(--(DH$3:DH$5-$KF$3:$KF$5)^2)^0.5</f>
        <v>0</v>
      </c>
      <c r="DI10" s="1">
        <f>SUMPRODUCT(--(DI$3:DI$5-$KG$3:$KG$5)^2)^0.5</f>
        <v>0</v>
      </c>
      <c r="DJ10" s="1">
        <f>SUMPRODUCT(--(DJ$3:DJ$5-$KH$3:$KH$5)^2)^0.5</f>
        <v>0</v>
      </c>
      <c r="DK10" s="1">
        <f>SUMPRODUCT(--(DK$3:DK$5-$KI$3:$KI$5)^2)^0.5</f>
        <v>0</v>
      </c>
      <c r="DL10" s="1">
        <f>SUMPRODUCT(--(DL$3:DL$5-$KJ$3:$KJ$5)^2)^0.5</f>
        <v>0</v>
      </c>
      <c r="DM10" s="1">
        <f>SUMPRODUCT(--(DM$3:DM$5-$KK$3:$KK$5)^2)^0.5</f>
        <v>0</v>
      </c>
      <c r="DN10" s="1">
        <f>SUMPRODUCT(--(DN$3:DN$5-$KL$3:$KL$5)^2)^0.5</f>
        <v>0</v>
      </c>
      <c r="DO10" s="1">
        <f>SUMPRODUCT(--(DO$3:DO$5-$KM$3:$KM$5)^2)^0.5</f>
        <v>0</v>
      </c>
      <c r="DP10" s="1">
        <f>SUMPRODUCT(--(DP$3:DP$5-$KN$3:$KN$5)^2)^0.5</f>
        <v>0</v>
      </c>
      <c r="DQ10" s="1">
        <f>SUMPRODUCT(--(DQ$3:DQ$5-$KO$3:$KO$5)^2)^0.5</f>
        <v>0</v>
      </c>
      <c r="DR10" s="1">
        <f>SUMPRODUCT(--(DR$3:DR$5-$KP$3:$KP$5)^2)^0.5</f>
        <v>0</v>
      </c>
      <c r="DS10" s="1">
        <f>SUMPRODUCT(--(DS$3:DS$5-$KQ$3:$KQ$5)^2)^0.5</f>
        <v>0</v>
      </c>
      <c r="DT10" s="1"/>
      <c r="DU10" s="1">
        <f>SUMPRODUCT(--(DU$3:DU$5-$KR$3:$KR$5)^2)^0.5</f>
        <v>0</v>
      </c>
      <c r="DV10" s="1">
        <f>SUMPRODUCT(--(DV$3:DV$5-$KS$3:$KS$5)^2)^0.5</f>
        <v>0</v>
      </c>
      <c r="DW10" s="1">
        <f>SUMPRODUCT(--(DW$3:DW$5-$KT$3:$KT$5)^2)^0.5</f>
        <v>0</v>
      </c>
      <c r="DX10" s="1">
        <f>SUMPRODUCT(--(DX$3:DX$5-$KD$3:$KD$5)^2)^0.5</f>
        <v>0</v>
      </c>
      <c r="DY10" s="1">
        <f>SUMPRODUCT(--(DY$3:DY$5-$KE$3:$KE$5)^2)^0.5</f>
        <v>0</v>
      </c>
      <c r="DZ10" s="1">
        <f>SUMPRODUCT(--(DZ$3:DZ$5-$KF$3:$KF$5)^2)^0.5</f>
        <v>0</v>
      </c>
      <c r="EA10" s="1">
        <f>SUMPRODUCT(--(EA$3:EA$5-$KG$3:$KG$5)^2)^0.5</f>
        <v>0</v>
      </c>
      <c r="EB10" s="1">
        <f>SUMPRODUCT(--(EB$3:EB$5-$KH$3:$KH$5)^2)^0.5</f>
        <v>0</v>
      </c>
      <c r="EC10" s="1">
        <f>SUMPRODUCT(--(EC$3:EC$5-$KI$3:$KI$5)^2)^0.5</f>
        <v>0</v>
      </c>
      <c r="ED10" s="1">
        <f>SUMPRODUCT(--(ED$3:ED$5-$KJ$3:$KJ$5)^2)^0.5</f>
        <v>0</v>
      </c>
      <c r="EE10" s="1">
        <f>SUMPRODUCT(--(EE$3:EE$5-$KK$3:$KK$5)^2)^0.5</f>
        <v>0</v>
      </c>
      <c r="EF10" s="1">
        <f>SUMPRODUCT(--(EF$3:EF$5-$KL$3:$KL$5)^2)^0.5</f>
        <v>0</v>
      </c>
      <c r="EG10" s="1">
        <f>SUMPRODUCT(--(EG$3:EG$5-$KM$3:$KM$5)^2)^0.5</f>
        <v>0</v>
      </c>
      <c r="EH10" s="1">
        <f>SUMPRODUCT(--(EH$3:EH$5-$KN$3:$KN$5)^2)^0.5</f>
        <v>0</v>
      </c>
      <c r="EI10" s="1">
        <f>SUMPRODUCT(--(EI$3:EI$5-$KO$3:$KO$5)^2)^0.5</f>
        <v>0</v>
      </c>
      <c r="EJ10" s="1">
        <f>SUMPRODUCT(--(EJ$3:EJ$5-$KP$3:$KP$5)^2)^0.5</f>
        <v>0</v>
      </c>
      <c r="EK10" s="1">
        <f>SUMPRODUCT(--(EK$3:EK$5-$KQ$3:$KQ$5)^2)^0.5</f>
        <v>0</v>
      </c>
      <c r="EL10" s="1"/>
      <c r="EM10" s="1">
        <f>SUMPRODUCT(--(EM$3:EM$5-$KR$3:$KR$5)^2)^0.5</f>
        <v>0</v>
      </c>
      <c r="EN10" s="1">
        <f>SUMPRODUCT(--(EN$3:EN$5-$KS$3:$KS$5)^2)^0.5</f>
        <v>0</v>
      </c>
      <c r="EO10" s="1">
        <f>SUMPRODUCT(--(EO$3:EO$5-$KT$3:$KT$5)^2)^0.5</f>
        <v>0</v>
      </c>
      <c r="EP10" s="1">
        <f>SUMPRODUCT(--(EP$3:EP$5-$KD$3:$KD$5)^2)^0.5</f>
        <v>0</v>
      </c>
      <c r="EQ10" s="1">
        <f>SUMPRODUCT(--(EQ$3:EQ$5-$KE$3:$KE$5)^2)^0.5</f>
        <v>0</v>
      </c>
      <c r="ER10" s="1">
        <f>SUMPRODUCT(--(ER$3:ER$5-$KF$3:$KF$5)^2)^0.5</f>
        <v>0</v>
      </c>
      <c r="ES10" s="1">
        <f>SUMPRODUCT(--(ES$3:ES$5-$KG$3:$KG$5)^2)^0.5</f>
        <v>0</v>
      </c>
      <c r="ET10" s="1">
        <f>SUMPRODUCT(--(ET$3:ET$5-$KH$3:$KH$5)^2)^0.5</f>
        <v>0</v>
      </c>
      <c r="EU10" s="1">
        <f>SUMPRODUCT(--(EU$3:EU$5-$KI$3:$KI$5)^2)^0.5</f>
        <v>0</v>
      </c>
      <c r="EV10" s="1">
        <f>SUMPRODUCT(--(EV$3:EV$5-$KJ$3:$KJ$5)^2)^0.5</f>
        <v>0</v>
      </c>
      <c r="EW10" s="1">
        <f>SUMPRODUCT(--(EW$3:EW$5-$KK$3:$KK$5)^2)^0.5</f>
        <v>0</v>
      </c>
      <c r="EX10" s="1">
        <f>SUMPRODUCT(--(EX$3:EX$5-$KL$3:$KL$5)^2)^0.5</f>
        <v>0</v>
      </c>
      <c r="EY10" s="1">
        <f>SUMPRODUCT(--(EY$3:EY$5-$KM$3:$KM$5)^2)^0.5</f>
        <v>0</v>
      </c>
      <c r="EZ10" s="1">
        <f>SUMPRODUCT(--(EZ$3:EZ$5-$KN$3:$KN$5)^2)^0.5</f>
        <v>0</v>
      </c>
      <c r="FA10" s="1">
        <f>SUMPRODUCT(--(FA$3:FA$5-$KO$3:$KO$5)^2)^0.5</f>
        <v>0</v>
      </c>
      <c r="FB10" s="1">
        <f>SUMPRODUCT(--(FB$3:FB$5-$KP$3:$KP$5)^2)^0.5</f>
        <v>0</v>
      </c>
      <c r="FC10" s="1">
        <f>SUMPRODUCT(--(FC$3:FC$5-$KQ$3:$KQ$5)^2)^0.5</f>
        <v>0</v>
      </c>
      <c r="FD10" s="1"/>
      <c r="FE10" s="1">
        <f>SUMPRODUCT(--(FE$3:FE$5-$KR$3:$KR$5)^2)^0.5</f>
        <v>0</v>
      </c>
      <c r="FF10" s="1">
        <f>SUMPRODUCT(--(FF$3:FF$5-$KS$3:$KS$5)^2)^0.5</f>
        <v>0</v>
      </c>
      <c r="FG10" s="1">
        <f>SUMPRODUCT(--(FG$3:FG$5-$KT$3:$KT$5)^2)^0.5</f>
        <v>0</v>
      </c>
      <c r="FH10" s="1">
        <f>SUMPRODUCT(--(FH$3:FH$5-$KD$3:$KD$5)^2)^0.5</f>
        <v>0</v>
      </c>
      <c r="FI10" s="1">
        <f>SUMPRODUCT(--(FI$3:FI$5-$KE$3:$KE$5)^2)^0.5</f>
        <v>0</v>
      </c>
      <c r="FJ10" s="1">
        <f>SUMPRODUCT(--(FJ$3:FJ$5-$KF$3:$KF$5)^2)^0.5</f>
        <v>0</v>
      </c>
      <c r="FK10" s="1">
        <f>SUMPRODUCT(--(FK$3:FK$5-$KG$3:$KG$5)^2)^0.5</f>
        <v>0</v>
      </c>
      <c r="FL10" s="1">
        <f>SUMPRODUCT(--(FL$3:FL$5-$KH$3:$KH$5)^2)^0.5</f>
        <v>0</v>
      </c>
      <c r="FM10" s="1">
        <f>SUMPRODUCT(--(FM$3:FM$5-$KI$3:$KI$5)^2)^0.5</f>
        <v>0</v>
      </c>
      <c r="FN10" s="1">
        <f>SUMPRODUCT(--(FN$3:FN$5-$KJ$3:$KJ$5)^2)^0.5</f>
        <v>0</v>
      </c>
      <c r="FO10" s="1">
        <f>SUMPRODUCT(--(FO$3:FO$5-$KK$3:$KK$5)^2)^0.5</f>
        <v>0</v>
      </c>
      <c r="FP10" s="1">
        <f>SUMPRODUCT(--(FP$3:FP$5-$KL$3:$KL$5)^2)^0.5</f>
        <v>0</v>
      </c>
      <c r="FQ10" s="1">
        <f>SUMPRODUCT(--(FQ$3:FQ$5-$KM$3:$KM$5)^2)^0.5</f>
        <v>0</v>
      </c>
      <c r="FR10" s="1">
        <f>SUMPRODUCT(--(FR$3:FR$5-$KN$3:$KN$5)^2)^0.5</f>
        <v>0</v>
      </c>
      <c r="FS10" s="1">
        <f>SUMPRODUCT(--(FS$3:FS$5-$KO$3:$KO$5)^2)^0.5</f>
        <v>0</v>
      </c>
      <c r="FT10" s="1">
        <f>SUMPRODUCT(--(FT$3:FT$5-$KP$3:$KP$5)^2)^0.5</f>
        <v>0</v>
      </c>
      <c r="FU10" s="1">
        <f>SUMPRODUCT(--(FU$3:FU$5-$KQ$3:$KQ$5)^2)^0.5</f>
        <v>0</v>
      </c>
      <c r="FV10" s="1"/>
      <c r="FW10" s="1">
        <f>SUMPRODUCT(--(FW$3:FW$5-$KR$3:$KR$5)^2)^0.5</f>
        <v>0</v>
      </c>
      <c r="FX10" s="1">
        <f>SUMPRODUCT(--(FX$3:FX$5-$KS$3:$KS$5)^2)^0.5</f>
        <v>0</v>
      </c>
      <c r="FY10" s="1">
        <f>SUMPRODUCT(--(FY$3:FY$5-$KT$3:$KT$5)^2)^0.5</f>
        <v>0</v>
      </c>
      <c r="FZ10" s="1">
        <f>SUMPRODUCT(--(FZ$3:FZ$5-$KD$3:$KD$5)^2)^0.5</f>
        <v>0</v>
      </c>
      <c r="GA10" s="1">
        <f>SUMPRODUCT(--(GA$3:GA$5-$KE$3:$KE$5)^2)^0.5</f>
        <v>0</v>
      </c>
      <c r="GB10" s="1">
        <f>SUMPRODUCT(--(GB$3:GB$5-$KF$3:$KF$5)^2)^0.5</f>
        <v>0</v>
      </c>
      <c r="GC10" s="1">
        <f>SUMPRODUCT(--(GC$3:GC$5-$KG$3:$KG$5)^2)^0.5</f>
        <v>0</v>
      </c>
      <c r="GD10" s="1">
        <f>SUMPRODUCT(--(GD$3:GD$5-$KH$3:$KH$5)^2)^0.5</f>
        <v>0</v>
      </c>
      <c r="GE10" s="1">
        <f>SUMPRODUCT(--(GE$3:GE$5-$KI$3:$KI$5)^2)^0.5</f>
        <v>0</v>
      </c>
      <c r="GF10" s="1">
        <f>SUMPRODUCT(--(GF$3:GF$5-$KJ$3:$KJ$5)^2)^0.5</f>
        <v>0</v>
      </c>
      <c r="GG10" s="1">
        <f>SUMPRODUCT(--(GG$3:GG$5-$KK$3:$KK$5)^2)^0.5</f>
        <v>0</v>
      </c>
      <c r="GH10" s="1">
        <f>SUMPRODUCT(--(GH$3:GH$5-$KL$3:$KL$5)^2)^0.5</f>
        <v>0</v>
      </c>
      <c r="GI10" s="1">
        <f>SUMPRODUCT(--(GI$3:GI$5-$KM$3:$KM$5)^2)^0.5</f>
        <v>0</v>
      </c>
      <c r="GJ10" s="1">
        <f>SUMPRODUCT(--(GJ$3:GJ$5-$KN$3:$KN$5)^2)^0.5</f>
        <v>0</v>
      </c>
      <c r="GK10" s="1">
        <f>SUMPRODUCT(--(GK$3:GK$5-$KO$3:$KO$5)^2)^0.5</f>
        <v>0</v>
      </c>
      <c r="GL10" s="1">
        <f>SUMPRODUCT(--(GL$3:GL$5-$KP$3:$KP$5)^2)^0.5</f>
        <v>0</v>
      </c>
      <c r="GM10" s="1">
        <f>SUMPRODUCT(--(GM$3:GM$5-$KQ$3:$KQ$5)^2)^0.5</f>
        <v>0</v>
      </c>
      <c r="GN10" s="1"/>
      <c r="GO10" s="1">
        <f>SUMPRODUCT(--(GO$3:GO$5-$KR$3:$KR$5)^2)^0.5</f>
        <v>0</v>
      </c>
      <c r="GP10" s="1">
        <f>SUMPRODUCT(--(GP$3:GP$5-$KS$3:$KS$5)^2)^0.5</f>
        <v>0</v>
      </c>
      <c r="GQ10" s="1">
        <f>SUMPRODUCT(--(GQ$3:GQ$5-$KT$3:$KT$5)^2)^0.5</f>
        <v>0</v>
      </c>
      <c r="GR10" s="1">
        <f>SUMPRODUCT(--(GR$3:GR$5-$KD$3:$KD$5)^2)^0.5</f>
        <v>0</v>
      </c>
      <c r="GS10" s="1">
        <f>SUMPRODUCT(--(GS$3:GS$5-$KE$3:$KE$5)^2)^0.5</f>
        <v>0</v>
      </c>
      <c r="GT10" s="1">
        <f>SUMPRODUCT(--(GT$3:GT$5-$KF$3:$KF$5)^2)^0.5</f>
        <v>0</v>
      </c>
      <c r="GU10" s="1">
        <f>SUMPRODUCT(--(GU$3:GU$5-$KG$3:$KG$5)^2)^0.5</f>
        <v>0</v>
      </c>
      <c r="GV10" s="1">
        <f>SUMPRODUCT(--(GV$3:GV$5-$KH$3:$KH$5)^2)^0.5</f>
        <v>0</v>
      </c>
      <c r="GW10" s="1">
        <f>SUMPRODUCT(--(GW$3:GW$5-$KI$3:$KI$5)^2)^0.5</f>
        <v>0</v>
      </c>
      <c r="GX10" s="1">
        <f>SUMPRODUCT(--(GX$3:GX$5-$KJ$3:$KJ$5)^2)^0.5</f>
        <v>0</v>
      </c>
      <c r="GY10" s="1">
        <f>SUMPRODUCT(--(GY$3:GY$5-$KK$3:$KK$5)^2)^0.5</f>
        <v>0</v>
      </c>
      <c r="GZ10" s="1">
        <f>SUMPRODUCT(--(GZ$3:GZ$5-$KL$3:$KL$5)^2)^0.5</f>
        <v>0</v>
      </c>
      <c r="HA10" s="1">
        <f>SUMPRODUCT(--(HA$3:HA$5-$KM$3:$KM$5)^2)^0.5</f>
        <v>0</v>
      </c>
      <c r="HB10" s="1">
        <f>SUMPRODUCT(--(HB$3:HB$5-$KN$3:$KN$5)^2)^0.5</f>
        <v>0</v>
      </c>
      <c r="HC10" s="1">
        <f>SUMPRODUCT(--(HC$3:HC$5-$KO$3:$KO$5)^2)^0.5</f>
        <v>0</v>
      </c>
      <c r="HD10" s="1">
        <f>SUMPRODUCT(--(HD$3:HD$5-$KP$3:$KP$5)^2)^0.5</f>
        <v>0</v>
      </c>
      <c r="HE10" s="1">
        <f>SUMPRODUCT(--(HE$3:HE$5-$KQ$3:$KQ$5)^2)^0.5</f>
        <v>0</v>
      </c>
      <c r="HF10" s="1"/>
      <c r="HG10" s="1">
        <f>SUMPRODUCT(--(HG$3:HG$5-$KR$3:$KR$5)^2)^0.5</f>
        <v>0</v>
      </c>
      <c r="HH10" s="1">
        <f>SUMPRODUCT(--(HH$3:HH$5-$KS$3:$KS$5)^2)^0.5</f>
        <v>0</v>
      </c>
      <c r="HI10" s="1">
        <f>SUMPRODUCT(--(HI$3:HI$5-$KT$3:$KT$5)^2)^0.5</f>
        <v>0</v>
      </c>
      <c r="HJ10" s="1">
        <f>SUMPRODUCT(--(HJ$3:HJ$5-$KD$3:$KD$5)^2)^0.5</f>
        <v>0</v>
      </c>
      <c r="HK10" s="1">
        <f>SUMPRODUCT(--(HK$3:HK$5-$KE$3:$KE$5)^2)^0.5</f>
        <v>0</v>
      </c>
      <c r="HL10" s="1">
        <f>SUMPRODUCT(--(HL$3:HL$5-$KF$3:$KF$5)^2)^0.5</f>
        <v>0</v>
      </c>
      <c r="HM10" s="1">
        <f>SUMPRODUCT(--(HM$3:HM$5-$KG$3:$KG$5)^2)^0.5</f>
        <v>0</v>
      </c>
      <c r="HN10" s="1">
        <f>SUMPRODUCT(--(HN$3:HN$5-$KH$3:$KH$5)^2)^0.5</f>
        <v>0</v>
      </c>
      <c r="HO10" s="1">
        <f>SUMPRODUCT(--(HO$3:HO$5-$KI$3:$KI$5)^2)^0.5</f>
        <v>0</v>
      </c>
      <c r="HP10" s="1">
        <f>SUMPRODUCT(--(HP$3:HP$5-$KJ$3:$KJ$5)^2)^0.5</f>
        <v>0</v>
      </c>
      <c r="HQ10" s="1">
        <f>SUMPRODUCT(--(HQ$3:HQ$5-$KK$3:$KK$5)^2)^0.5</f>
        <v>0</v>
      </c>
      <c r="HR10" s="1">
        <f>SUMPRODUCT(--(HR$3:HR$5-$KL$3:$KL$5)^2)^0.5</f>
        <v>0</v>
      </c>
      <c r="HS10" s="1">
        <f>SUMPRODUCT(--(HS$3:HS$5-$KM$3:$KM$5)^2)^0.5</f>
        <v>0</v>
      </c>
      <c r="HT10" s="1">
        <f>SUMPRODUCT(--(HT$3:HT$5-$KN$3:$KN$5)^2)^0.5</f>
        <v>0</v>
      </c>
      <c r="HU10" s="1">
        <f>SUMPRODUCT(--(HU$3:HU$5-$KO$3:$KO$5)^2)^0.5</f>
        <v>0</v>
      </c>
      <c r="HV10" s="1">
        <f>SUMPRODUCT(--(HV$3:HV$5-$KP$3:$KP$5)^2)^0.5</f>
        <v>0</v>
      </c>
      <c r="HW10" s="1">
        <f>SUMPRODUCT(--(HW$3:HW$5-$KQ$3:$KQ$5)^2)^0.5</f>
        <v>0</v>
      </c>
      <c r="HX10" s="1"/>
      <c r="HY10" s="1">
        <f>SUMPRODUCT(--(HY$3:HY$5-$KR$3:$KR$5)^2)^0.5</f>
        <v>0</v>
      </c>
      <c r="HZ10" s="1">
        <f>SUMPRODUCT(--(HZ$3:HZ$5-$KS$3:$KS$5)^2)^0.5</f>
        <v>0</v>
      </c>
      <c r="IA10" s="1">
        <f>SUMPRODUCT(--(IA$3:IA$5-$KT$3:$KT$5)^2)^0.5</f>
        <v>0</v>
      </c>
      <c r="IB10" s="1">
        <f>SUMPRODUCT(--(IB$3:IB$5-$KD$3:$KD$5)^2)^0.5</f>
        <v>0</v>
      </c>
      <c r="IC10" s="1">
        <f>SUMPRODUCT(--(IC$3:IC$5-$KE$3:$KE$5)^2)^0.5</f>
        <v>0</v>
      </c>
      <c r="ID10" s="1">
        <f>SUMPRODUCT(--(ID$3:ID$5-$KF$3:$KF$5)^2)^0.5</f>
        <v>0</v>
      </c>
      <c r="IE10" s="1">
        <f>SUMPRODUCT(--(IE$3:IE$5-$KG$3:$KG$5)^2)^0.5</f>
        <v>0</v>
      </c>
      <c r="IF10" s="1">
        <f>SUMPRODUCT(--(IF$3:IF$5-$KH$3:$KH$5)^2)^0.5</f>
        <v>0</v>
      </c>
      <c r="IG10" s="1">
        <f>SUMPRODUCT(--(IG$3:IG$5-$KI$3:$KI$5)^2)^0.5</f>
        <v>0</v>
      </c>
      <c r="IH10" s="1">
        <f>SUMPRODUCT(--(IH$3:IH$5-$KJ$3:$KJ$5)^2)^0.5</f>
        <v>0</v>
      </c>
      <c r="II10" s="1">
        <f>SUMPRODUCT(--(II$3:II$5-$KK$3:$KK$5)^2)^0.5</f>
        <v>0</v>
      </c>
      <c r="IJ10" s="1">
        <f>SUMPRODUCT(--(IJ$3:IJ$5-$KL$3:$KL$5)^2)^0.5</f>
        <v>0</v>
      </c>
      <c r="IK10" s="1">
        <f>SUMPRODUCT(--(IK$3:IK$5-$KM$3:$KM$5)^2)^0.5</f>
        <v>0</v>
      </c>
      <c r="IL10" s="1">
        <f>SUMPRODUCT(--(IL$3:IL$5-$KN$3:$KN$5)^2)^0.5</f>
        <v>0</v>
      </c>
      <c r="IM10" s="1">
        <f>SUMPRODUCT(--(IM$3:IM$5-$KO$3:$KO$5)^2)^0.5</f>
        <v>0</v>
      </c>
      <c r="IN10" s="1">
        <f>SUMPRODUCT(--(IN$3:IN$5-$KP$3:$KP$5)^2)^0.5</f>
        <v>0</v>
      </c>
      <c r="IO10" s="1">
        <f>SUMPRODUCT(--(IO$3:IO$5-$KQ$3:$KQ$5)^2)^0.5</f>
        <v>0</v>
      </c>
      <c r="IP10" s="1"/>
      <c r="IQ10" s="1">
        <f>SUMPRODUCT(--(IQ$3:IQ$5-$KR$3:$KR$5)^2)^0.5</f>
        <v>0</v>
      </c>
      <c r="IR10" s="1">
        <f>SUMPRODUCT(--(IR$3:IR$5-$KS$3:$KS$5)^2)^0.5</f>
        <v>0</v>
      </c>
      <c r="IS10" s="1">
        <f>SUMPRODUCT(--(IS$3:IS$5-$KT$3:$KT$5)^2)^0.5</f>
        <v>0</v>
      </c>
      <c r="IT10" s="1">
        <f>SUMPRODUCT(--(IT$3:IT$5-$KD$3:$KD$5)^2)^0.5</f>
        <v>0</v>
      </c>
      <c r="IU10" s="1">
        <f>SUMPRODUCT(--(IU$3:IU$5-$KE$3:$KE$5)^2)^0.5</f>
        <v>0</v>
      </c>
      <c r="IV10" s="1">
        <f>SUMPRODUCT(--(IV$3:IV$5-$KF$3:$KF$5)^2)^0.5</f>
        <v>0</v>
      </c>
      <c r="IW10" s="1">
        <f>SUMPRODUCT(--(IW$3:IW$5-$KG$3:$KG$5)^2)^0.5</f>
        <v>0</v>
      </c>
      <c r="IX10" s="1">
        <f>SUMPRODUCT(--(IX$3:IX$5-$KH$3:$KH$5)^2)^0.5</f>
        <v>0</v>
      </c>
      <c r="IY10" s="1">
        <f>SUMPRODUCT(--(IY$3:IY$5-$KI$3:$KI$5)^2)^0.5</f>
        <v>0</v>
      </c>
      <c r="IZ10" s="1">
        <f>SUMPRODUCT(--(IZ$3:IZ$5-$KJ$3:$KJ$5)^2)^0.5</f>
        <v>0</v>
      </c>
      <c r="JA10" s="1">
        <f>SUMPRODUCT(--(JA$3:JA$5-$KK$3:$KK$5)^2)^0.5</f>
        <v>0</v>
      </c>
      <c r="JB10" s="1">
        <f>SUMPRODUCT(--(JB$3:JB$5-$KL$3:$KL$5)^2)^0.5</f>
        <v>0</v>
      </c>
      <c r="JC10" s="1">
        <f>SUMPRODUCT(--(JC$3:JC$5-$KM$3:$KM$5)^2)^0.5</f>
        <v>0</v>
      </c>
      <c r="JD10" s="1">
        <f>SUMPRODUCT(--(JD$3:JD$5-$KN$3:$KN$5)^2)^0.5</f>
        <v>0</v>
      </c>
      <c r="JE10" s="1">
        <f>SUMPRODUCT(--(JE$3:JE$5-$KO$3:$KO$5)^2)^0.5</f>
        <v>0</v>
      </c>
      <c r="JF10" s="1">
        <f>SUMPRODUCT(--(JF$3:JF$5-$KP$3:$KP$5)^2)^0.5</f>
        <v>0</v>
      </c>
      <c r="JG10" s="1">
        <f>SUMPRODUCT(--(JG$3:JG$5-$KQ$3:$KQ$5)^2)^0.5</f>
        <v>0</v>
      </c>
      <c r="JH10" s="1"/>
      <c r="JI10" s="1">
        <f>SUMPRODUCT(--(JI$3:JI$5-$KR$3:$KR$5)^2)^0.5</f>
        <v>0</v>
      </c>
      <c r="JJ10" s="1">
        <f>SUMPRODUCT(--(JJ$3:JJ$5-$KS$3:$KS$5)^2)^0.5</f>
        <v>0</v>
      </c>
      <c r="JK10" s="1">
        <f>SUMPRODUCT(--(JK$3:JK$5-$KT$3:$KT$5)^2)^0.5</f>
        <v>0</v>
      </c>
      <c r="JL10" s="1">
        <f>SUMPRODUCT(--(JL$3:JL$5-$KD$3:$KD$5)^2)^0.5</f>
        <v>0</v>
      </c>
      <c r="JM10" s="1">
        <f>SUMPRODUCT(--(JM$3:JM$5-$KE$3:$KE$5)^2)^0.5</f>
        <v>0</v>
      </c>
      <c r="JN10" s="1">
        <f>SUMPRODUCT(--(JN$3:JN$5-$KF$3:$KF$5)^2)^0.5</f>
        <v>0</v>
      </c>
      <c r="JO10" s="1">
        <f>SUMPRODUCT(--(JO$3:JO$5-$KG$3:$KG$5)^2)^0.5</f>
        <v>0</v>
      </c>
      <c r="JP10" s="1">
        <f>SUMPRODUCT(--(JP$3:JP$5-$KH$3:$KH$5)^2)^0.5</f>
        <v>0</v>
      </c>
      <c r="JQ10" s="1">
        <f>SUMPRODUCT(--(JQ$3:JQ$5-$KI$3:$KI$5)^2)^0.5</f>
        <v>0</v>
      </c>
      <c r="JR10" s="1">
        <f>SUMPRODUCT(--(JR$3:JR$5-$KJ$3:$KJ$5)^2)^0.5</f>
        <v>0</v>
      </c>
      <c r="JS10" s="1">
        <f>SUMPRODUCT(--(JS$3:JS$5-$KK$3:$KK$5)^2)^0.5</f>
        <v>0</v>
      </c>
      <c r="JT10" s="1">
        <f>SUMPRODUCT(--(JT$3:JT$5-$KL$3:$KL$5)^2)^0.5</f>
        <v>0</v>
      </c>
      <c r="JU10" s="1">
        <f>SUMPRODUCT(--(JU$3:JU$5-$KM$3:$KM$5)^2)^0.5</f>
        <v>0</v>
      </c>
      <c r="JV10" s="1">
        <f>SUMPRODUCT(--(JV$3:JV$5-$KN$3:$KN$5)^2)^0.5</f>
        <v>0</v>
      </c>
      <c r="JW10" s="1">
        <f>SUMPRODUCT(--(JW$3:JW$5-$KO$3:$KO$5)^2)^0.5</f>
        <v>0</v>
      </c>
      <c r="JX10" s="1">
        <f>SUMPRODUCT(--(JX$3:JX$5-$KP$3:$KP$5)^2)^0.5</f>
        <v>0</v>
      </c>
      <c r="JY10" s="1">
        <f>SUMPRODUCT(--(JY$3:JY$5-$KQ$3:$KQ$5)^2)^0.5</f>
        <v>0</v>
      </c>
      <c r="JZ10" s="1"/>
      <c r="KA10" s="1">
        <f>SUMPRODUCT(--(KA$3:KA$5-$KR$3:$KR$5)^2)^0.5</f>
        <v>0</v>
      </c>
      <c r="KB10" s="1">
        <f>SUMPRODUCT(--(KB$3:KB$5-$KS$3:$KS$5)^2)^0.5</f>
        <v>0</v>
      </c>
      <c r="KC10" s="1">
        <f>SUMPRODUCT(--(KC$3:KC$5-$KT$3:$KT$5)^2)^0.5</f>
        <v>0</v>
      </c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36</v>
      </c>
      <c r="B11" s="1">
        <f>SUMPRODUCT(NOT(ISBLANK(B$3:B$5))*(B$3:B$5=$KD$3:$KD$5))</f>
        <v>0</v>
      </c>
      <c r="C11" s="1">
        <f>SUMPRODUCT(NOT(ISBLANK(C$3:C$5))*(C$3:C$5=$KE$3:$KE$5))</f>
        <v>0</v>
      </c>
      <c r="D11" s="1">
        <f>SUMPRODUCT(NOT(ISBLANK(D$3:D$5))*(D$3:D$5=$KF$3:$KF$5))</f>
        <v>0</v>
      </c>
      <c r="E11" s="1">
        <f>SUMPRODUCT(NOT(ISBLANK(E$3:E$5))*(E$3:E$5=$KG$3:$KG$5))</f>
        <v>0</v>
      </c>
      <c r="F11" s="1">
        <f>SUMPRODUCT(NOT(ISBLANK(F$3:F$5))*(F$3:F$5=$KH$3:$KH$5))</f>
        <v>0</v>
      </c>
      <c r="G11" s="1">
        <f>SUMPRODUCT(NOT(ISBLANK(G$3:G$5))*(G$3:G$5=$KI$3:$KI$5))</f>
        <v>0</v>
      </c>
      <c r="H11" s="1">
        <f>SUMPRODUCT(NOT(ISBLANK(H$3:H$5))*(H$3:H$5=$KJ$3:$KJ$5))</f>
        <v>0</v>
      </c>
      <c r="I11" s="1">
        <f>SUMPRODUCT(NOT(ISBLANK(I$3:I$5))*(I$3:I$5=$KK$3:$KK$5))</f>
        <v>0</v>
      </c>
      <c r="J11" s="1">
        <f>SUMPRODUCT(NOT(ISBLANK(J$3:J$5))*(J$3:J$5=$KL$3:$KL$5))</f>
        <v>0</v>
      </c>
      <c r="K11" s="1">
        <f>SUMPRODUCT(NOT(ISBLANK(K$3:K$5))*(K$3:K$5=$KM$3:$KM$5))</f>
        <v>0</v>
      </c>
      <c r="L11" s="1">
        <f>SUMPRODUCT(NOT(ISBLANK(L$3:L$5))*(L$3:L$5=$KN$3:$KN$5))</f>
        <v>0</v>
      </c>
      <c r="M11" s="1">
        <f>SUMPRODUCT(NOT(ISBLANK(M$3:M$5))*(M$3:M$5=$KO$3:$KO$5))</f>
        <v>0</v>
      </c>
      <c r="N11" s="1">
        <f>SUMPRODUCT(NOT(ISBLANK(N$3:N$5))*(N$3:N$5=$KP$3:$KP$5))</f>
        <v>0</v>
      </c>
      <c r="O11" s="1">
        <f>SUMPRODUCT(NOT(ISBLANK(O$3:O$5))*(O$3:O$5=$KQ$3:$KQ$5))</f>
        <v>0</v>
      </c>
      <c r="P11" s="1"/>
      <c r="Q11" s="1">
        <f>SUMPRODUCT(NOT(ISBLANK(Q$3:Q$5))*(Q$3:Q$5=$KR$3:$KR$5))</f>
        <v>0</v>
      </c>
      <c r="R11" s="1">
        <f>SUMPRODUCT(NOT(ISBLANK(R$3:R$5))*(R$3:R$5=$KS$3:$KS$5))</f>
        <v>0</v>
      </c>
      <c r="S11" s="1">
        <f>SUMPRODUCT(NOT(ISBLANK(S$3:S$5))*(S$3:S$5=$KT$3:$KT$5))</f>
        <v>0</v>
      </c>
      <c r="T11" s="1">
        <f>SUMPRODUCT(NOT(ISBLANK(T$3:T$5))*(T$3:T$5=$KD$3:$KD$5))</f>
        <v>0</v>
      </c>
      <c r="U11" s="1">
        <f>SUMPRODUCT(NOT(ISBLANK(U$3:U$5))*(U$3:U$5=$KE$3:$KE$5))</f>
        <v>0</v>
      </c>
      <c r="V11" s="1">
        <f>SUMPRODUCT(NOT(ISBLANK(V$3:V$5))*(V$3:V$5=$KF$3:$KF$5))</f>
        <v>0</v>
      </c>
      <c r="W11" s="1">
        <f>SUMPRODUCT(NOT(ISBLANK(W$3:W$5))*(W$3:W$5=$KG$3:$KG$5))</f>
        <v>0</v>
      </c>
      <c r="X11" s="1">
        <f>SUMPRODUCT(NOT(ISBLANK(X$3:X$5))*(X$3:X$5=$KH$3:$KH$5))</f>
        <v>0</v>
      </c>
      <c r="Y11" s="1">
        <f>SUMPRODUCT(NOT(ISBLANK(Y$3:Y$5))*(Y$3:Y$5=$KI$3:$KI$5))</f>
        <v>0</v>
      </c>
      <c r="Z11" s="1">
        <f>SUMPRODUCT(NOT(ISBLANK(Z$3:Z$5))*(Z$3:Z$5=$KJ$3:$KJ$5))</f>
        <v>0</v>
      </c>
      <c r="AA11" s="1">
        <f>SUMPRODUCT(NOT(ISBLANK(AA$3:AA$5))*(AA$3:AA$5=$KK$3:$KK$5))</f>
        <v>0</v>
      </c>
      <c r="AB11" s="1">
        <f>SUMPRODUCT(NOT(ISBLANK(AB$3:AB$5))*(AB$3:AB$5=$KL$3:$KL$5))</f>
        <v>0</v>
      </c>
      <c r="AC11" s="1">
        <f>SUMPRODUCT(NOT(ISBLANK(AC$3:AC$5))*(AC$3:AC$5=$KM$3:$KM$5))</f>
        <v>0</v>
      </c>
      <c r="AD11" s="1">
        <f>SUMPRODUCT(NOT(ISBLANK(AD$3:AD$5))*(AD$3:AD$5=$KN$3:$KN$5))</f>
        <v>0</v>
      </c>
      <c r="AE11" s="1">
        <f>SUMPRODUCT(NOT(ISBLANK(AE$3:AE$5))*(AE$3:AE$5=$KO$3:$KO$5))</f>
        <v>0</v>
      </c>
      <c r="AF11" s="1">
        <f>SUMPRODUCT(NOT(ISBLANK(AF$3:AF$5))*(AF$3:AF$5=$KP$3:$KP$5))</f>
        <v>0</v>
      </c>
      <c r="AG11" s="1">
        <f>SUMPRODUCT(NOT(ISBLANK(AG$3:AG$5))*(AG$3:AG$5=$KQ$3:$KQ$5))</f>
        <v>0</v>
      </c>
      <c r="AH11" s="1"/>
      <c r="AI11" s="1">
        <f>SUMPRODUCT(NOT(ISBLANK(AI$3:AI$5))*(AI$3:AI$5=$KR$3:$KR$5))</f>
        <v>0</v>
      </c>
      <c r="AJ11" s="1">
        <f>SUMPRODUCT(NOT(ISBLANK(AJ$3:AJ$5))*(AJ$3:AJ$5=$KS$3:$KS$5))</f>
        <v>0</v>
      </c>
      <c r="AK11" s="1">
        <f>SUMPRODUCT(NOT(ISBLANK(AK$3:AK$5))*(AK$3:AK$5=$KT$3:$KT$5))</f>
        <v>0</v>
      </c>
      <c r="AL11" s="1">
        <f>SUMPRODUCT(NOT(ISBLANK(AL$3:AL$5))*(AL$3:AL$5=$KD$3:$KD$5))</f>
        <v>0</v>
      </c>
      <c r="AM11" s="1">
        <f>SUMPRODUCT(NOT(ISBLANK(AM$3:AM$5))*(AM$3:AM$5=$KE$3:$KE$5))</f>
        <v>0</v>
      </c>
      <c r="AN11" s="1">
        <f>SUMPRODUCT(NOT(ISBLANK(AN$3:AN$5))*(AN$3:AN$5=$KF$3:$KF$5))</f>
        <v>0</v>
      </c>
      <c r="AO11" s="1">
        <f>SUMPRODUCT(NOT(ISBLANK(AO$3:AO$5))*(AO$3:AO$5=$KG$3:$KG$5))</f>
        <v>0</v>
      </c>
      <c r="AP11" s="1">
        <f>SUMPRODUCT(NOT(ISBLANK(AP$3:AP$5))*(AP$3:AP$5=$KH$3:$KH$5))</f>
        <v>0</v>
      </c>
      <c r="AQ11" s="1">
        <f>SUMPRODUCT(NOT(ISBLANK(AQ$3:AQ$5))*(AQ$3:AQ$5=$KI$3:$KI$5))</f>
        <v>0</v>
      </c>
      <c r="AR11" s="1">
        <f>SUMPRODUCT(NOT(ISBLANK(AR$3:AR$5))*(AR$3:AR$5=$KJ$3:$KJ$5))</f>
        <v>0</v>
      </c>
      <c r="AS11" s="1">
        <f>SUMPRODUCT(NOT(ISBLANK(AS$3:AS$5))*(AS$3:AS$5=$KK$3:$KK$5))</f>
        <v>0</v>
      </c>
      <c r="AT11" s="1">
        <f>SUMPRODUCT(NOT(ISBLANK(AT$3:AT$5))*(AT$3:AT$5=$KL$3:$KL$5))</f>
        <v>0</v>
      </c>
      <c r="AU11" s="1">
        <f>SUMPRODUCT(NOT(ISBLANK(AU$3:AU$5))*(AU$3:AU$5=$KM$3:$KM$5))</f>
        <v>0</v>
      </c>
      <c r="AV11" s="1">
        <f>SUMPRODUCT(NOT(ISBLANK(AV$3:AV$5))*(AV$3:AV$5=$KN$3:$KN$5))</f>
        <v>0</v>
      </c>
      <c r="AW11" s="1">
        <f>SUMPRODUCT(NOT(ISBLANK(AW$3:AW$5))*(AW$3:AW$5=$KO$3:$KO$5))</f>
        <v>0</v>
      </c>
      <c r="AX11" s="1">
        <f>SUMPRODUCT(NOT(ISBLANK(AX$3:AX$5))*(AX$3:AX$5=$KP$3:$KP$5))</f>
        <v>0</v>
      </c>
      <c r="AY11" s="1">
        <f>SUMPRODUCT(NOT(ISBLANK(AY$3:AY$5))*(AY$3:AY$5=$KQ$3:$KQ$5))</f>
        <v>0</v>
      </c>
      <c r="AZ11" s="1"/>
      <c r="BA11" s="1">
        <f>SUMPRODUCT(NOT(ISBLANK(BA$3:BA$5))*(BA$3:BA$5=$KR$3:$KR$5))</f>
        <v>0</v>
      </c>
      <c r="BB11" s="1">
        <f>SUMPRODUCT(NOT(ISBLANK(BB$3:BB$5))*(BB$3:BB$5=$KS$3:$KS$5))</f>
        <v>0</v>
      </c>
      <c r="BC11" s="1">
        <f>SUMPRODUCT(NOT(ISBLANK(BC$3:BC$5))*(BC$3:BC$5=$KT$3:$KT$5))</f>
        <v>0</v>
      </c>
      <c r="BD11" s="1">
        <f>SUMPRODUCT(NOT(ISBLANK(BD$3:BD$5))*(BD$3:BD$5=$KD$3:$KD$5))</f>
        <v>0</v>
      </c>
      <c r="BE11" s="1">
        <f>SUMPRODUCT(NOT(ISBLANK(BE$3:BE$5))*(BE$3:BE$5=$KE$3:$KE$5))</f>
        <v>0</v>
      </c>
      <c r="BF11" s="1">
        <f>SUMPRODUCT(NOT(ISBLANK(BF$3:BF$5))*(BF$3:BF$5=$KF$3:$KF$5))</f>
        <v>0</v>
      </c>
      <c r="BG11" s="1">
        <f>SUMPRODUCT(NOT(ISBLANK(BG$3:BG$5))*(BG$3:BG$5=$KG$3:$KG$5))</f>
        <v>0</v>
      </c>
      <c r="BH11" s="1">
        <f>SUMPRODUCT(NOT(ISBLANK(BH$3:BH$5))*(BH$3:BH$5=$KH$3:$KH$5))</f>
        <v>0</v>
      </c>
      <c r="BI11" s="1">
        <f>SUMPRODUCT(NOT(ISBLANK(BI$3:BI$5))*(BI$3:BI$5=$KI$3:$KI$5))</f>
        <v>0</v>
      </c>
      <c r="BJ11" s="1">
        <f>SUMPRODUCT(NOT(ISBLANK(BJ$3:BJ$5))*(BJ$3:BJ$5=$KJ$3:$KJ$5))</f>
        <v>0</v>
      </c>
      <c r="BK11" s="1">
        <f>SUMPRODUCT(NOT(ISBLANK(BK$3:BK$5))*(BK$3:BK$5=$KK$3:$KK$5))</f>
        <v>0</v>
      </c>
      <c r="BL11" s="1">
        <f>SUMPRODUCT(NOT(ISBLANK(BL$3:BL$5))*(BL$3:BL$5=$KL$3:$KL$5))</f>
        <v>0</v>
      </c>
      <c r="BM11" s="1">
        <f>SUMPRODUCT(NOT(ISBLANK(BM$3:BM$5))*(BM$3:BM$5=$KM$3:$KM$5))</f>
        <v>0</v>
      </c>
      <c r="BN11" s="1">
        <f>SUMPRODUCT(NOT(ISBLANK(BN$3:BN$5))*(BN$3:BN$5=$KN$3:$KN$5))</f>
        <v>0</v>
      </c>
      <c r="BO11" s="1">
        <f>SUMPRODUCT(NOT(ISBLANK(BO$3:BO$5))*(BO$3:BO$5=$KO$3:$KO$5))</f>
        <v>0</v>
      </c>
      <c r="BP11" s="1">
        <f>SUMPRODUCT(NOT(ISBLANK(BP$3:BP$5))*(BP$3:BP$5=$KP$3:$KP$5))</f>
        <v>0</v>
      </c>
      <c r="BQ11" s="1">
        <f>SUMPRODUCT(NOT(ISBLANK(BQ$3:BQ$5))*(BQ$3:BQ$5=$KQ$3:$KQ$5))</f>
        <v>0</v>
      </c>
      <c r="BR11" s="1"/>
      <c r="BS11" s="1">
        <f>SUMPRODUCT(NOT(ISBLANK(BS$3:BS$5))*(BS$3:BS$5=$KR$3:$KR$5))</f>
        <v>0</v>
      </c>
      <c r="BT11" s="1">
        <f>SUMPRODUCT(NOT(ISBLANK(BT$3:BT$5))*(BT$3:BT$5=$KS$3:$KS$5))</f>
        <v>0</v>
      </c>
      <c r="BU11" s="1">
        <f>SUMPRODUCT(NOT(ISBLANK(BU$3:BU$5))*(BU$3:BU$5=$KT$3:$KT$5))</f>
        <v>0</v>
      </c>
      <c r="BV11" s="1">
        <f>SUMPRODUCT(NOT(ISBLANK(BV$3:BV$5))*(BV$3:BV$5=$KD$3:$KD$5))</f>
        <v>0</v>
      </c>
      <c r="BW11" s="1">
        <f>SUMPRODUCT(NOT(ISBLANK(BW$3:BW$5))*(BW$3:BW$5=$KE$3:$KE$5))</f>
        <v>0</v>
      </c>
      <c r="BX11" s="1">
        <f>SUMPRODUCT(NOT(ISBLANK(BX$3:BX$5))*(BX$3:BX$5=$KF$3:$KF$5))</f>
        <v>0</v>
      </c>
      <c r="BY11" s="1">
        <f>SUMPRODUCT(NOT(ISBLANK(BY$3:BY$5))*(BY$3:BY$5=$KG$3:$KG$5))</f>
        <v>0</v>
      </c>
      <c r="BZ11" s="1">
        <f>SUMPRODUCT(NOT(ISBLANK(BZ$3:BZ$5))*(BZ$3:BZ$5=$KH$3:$KH$5))</f>
        <v>0</v>
      </c>
      <c r="CA11" s="1">
        <f>SUMPRODUCT(NOT(ISBLANK(CA$3:CA$5))*(CA$3:CA$5=$KI$3:$KI$5))</f>
        <v>0</v>
      </c>
      <c r="CB11" s="1">
        <f>SUMPRODUCT(NOT(ISBLANK(CB$3:CB$5))*(CB$3:CB$5=$KJ$3:$KJ$5))</f>
        <v>0</v>
      </c>
      <c r="CC11" s="1">
        <f>SUMPRODUCT(NOT(ISBLANK(CC$3:CC$5))*(CC$3:CC$5=$KK$3:$KK$5))</f>
        <v>0</v>
      </c>
      <c r="CD11" s="1">
        <f>SUMPRODUCT(NOT(ISBLANK(CD$3:CD$5))*(CD$3:CD$5=$KL$3:$KL$5))</f>
        <v>0</v>
      </c>
      <c r="CE11" s="1">
        <f>SUMPRODUCT(NOT(ISBLANK(CE$3:CE$5))*(CE$3:CE$5=$KM$3:$KM$5))</f>
        <v>0</v>
      </c>
      <c r="CF11" s="1">
        <f>SUMPRODUCT(NOT(ISBLANK(CF$3:CF$5))*(CF$3:CF$5=$KN$3:$KN$5))</f>
        <v>0</v>
      </c>
      <c r="CG11" s="1">
        <f>SUMPRODUCT(NOT(ISBLANK(CG$3:CG$5))*(CG$3:CG$5=$KO$3:$KO$5))</f>
        <v>0</v>
      </c>
      <c r="CH11" s="1">
        <f>SUMPRODUCT(NOT(ISBLANK(CH$3:CH$5))*(CH$3:CH$5=$KP$3:$KP$5))</f>
        <v>0</v>
      </c>
      <c r="CI11" s="1">
        <f>SUMPRODUCT(NOT(ISBLANK(CI$3:CI$5))*(CI$3:CI$5=$KQ$3:$KQ$5))</f>
        <v>0</v>
      </c>
      <c r="CJ11" s="1"/>
      <c r="CK11" s="1">
        <f>SUMPRODUCT(NOT(ISBLANK(CK$3:CK$5))*(CK$3:CK$5=$KR$3:$KR$5))</f>
        <v>0</v>
      </c>
      <c r="CL11" s="1">
        <f>SUMPRODUCT(NOT(ISBLANK(CL$3:CL$5))*(CL$3:CL$5=$KS$3:$KS$5))</f>
        <v>0</v>
      </c>
      <c r="CM11" s="1">
        <f>SUMPRODUCT(NOT(ISBLANK(CM$3:CM$5))*(CM$3:CM$5=$KT$3:$KT$5))</f>
        <v>0</v>
      </c>
      <c r="CN11" s="1">
        <f>SUMPRODUCT(NOT(ISBLANK(CN$3:CN$5))*(CN$3:CN$5=$KD$3:$KD$5))</f>
        <v>0</v>
      </c>
      <c r="CO11" s="1">
        <f>SUMPRODUCT(NOT(ISBLANK(CO$3:CO$5))*(CO$3:CO$5=$KE$3:$KE$5))</f>
        <v>0</v>
      </c>
      <c r="CP11" s="1">
        <f>SUMPRODUCT(NOT(ISBLANK(CP$3:CP$5))*(CP$3:CP$5=$KF$3:$KF$5))</f>
        <v>0</v>
      </c>
      <c r="CQ11" s="1">
        <f>SUMPRODUCT(NOT(ISBLANK(CQ$3:CQ$5))*(CQ$3:CQ$5=$KG$3:$KG$5))</f>
        <v>0</v>
      </c>
      <c r="CR11" s="1">
        <f>SUMPRODUCT(NOT(ISBLANK(CR$3:CR$5))*(CR$3:CR$5=$KH$3:$KH$5))</f>
        <v>0</v>
      </c>
      <c r="CS11" s="1">
        <f>SUMPRODUCT(NOT(ISBLANK(CS$3:CS$5))*(CS$3:CS$5=$KI$3:$KI$5))</f>
        <v>0</v>
      </c>
      <c r="CT11" s="1">
        <f>SUMPRODUCT(NOT(ISBLANK(CT$3:CT$5))*(CT$3:CT$5=$KJ$3:$KJ$5))</f>
        <v>0</v>
      </c>
      <c r="CU11" s="1">
        <f>SUMPRODUCT(NOT(ISBLANK(CU$3:CU$5))*(CU$3:CU$5=$KK$3:$KK$5))</f>
        <v>0</v>
      </c>
      <c r="CV11" s="1">
        <f>SUMPRODUCT(NOT(ISBLANK(CV$3:CV$5))*(CV$3:CV$5=$KL$3:$KL$5))</f>
        <v>0</v>
      </c>
      <c r="CW11" s="1">
        <f>SUMPRODUCT(NOT(ISBLANK(CW$3:CW$5))*(CW$3:CW$5=$KM$3:$KM$5))</f>
        <v>0</v>
      </c>
      <c r="CX11" s="1">
        <f>SUMPRODUCT(NOT(ISBLANK(CX$3:CX$5))*(CX$3:CX$5=$KN$3:$KN$5))</f>
        <v>0</v>
      </c>
      <c r="CY11" s="1">
        <f>SUMPRODUCT(NOT(ISBLANK(CY$3:CY$5))*(CY$3:CY$5=$KO$3:$KO$5))</f>
        <v>0</v>
      </c>
      <c r="CZ11" s="1">
        <f>SUMPRODUCT(NOT(ISBLANK(CZ$3:CZ$5))*(CZ$3:CZ$5=$KP$3:$KP$5))</f>
        <v>0</v>
      </c>
      <c r="DA11" s="1">
        <f>SUMPRODUCT(NOT(ISBLANK(DA$3:DA$5))*(DA$3:DA$5=$KQ$3:$KQ$5))</f>
        <v>0</v>
      </c>
      <c r="DB11" s="1"/>
      <c r="DC11" s="1">
        <f>SUMPRODUCT(NOT(ISBLANK(DC$3:DC$5))*(DC$3:DC$5=$KR$3:$KR$5))</f>
        <v>0</v>
      </c>
      <c r="DD11" s="1">
        <f>SUMPRODUCT(NOT(ISBLANK(DD$3:DD$5))*(DD$3:DD$5=$KS$3:$KS$5))</f>
        <v>0</v>
      </c>
      <c r="DE11" s="1">
        <f>SUMPRODUCT(NOT(ISBLANK(DE$3:DE$5))*(DE$3:DE$5=$KT$3:$KT$5))</f>
        <v>0</v>
      </c>
      <c r="DF11" s="1">
        <f>SUMPRODUCT(NOT(ISBLANK(DF$3:DF$5))*(DF$3:DF$5=$KD$3:$KD$5))</f>
        <v>0</v>
      </c>
      <c r="DG11" s="1">
        <f>SUMPRODUCT(NOT(ISBLANK(DG$3:DG$5))*(DG$3:DG$5=$KE$3:$KE$5))</f>
        <v>0</v>
      </c>
      <c r="DH11" s="1">
        <f>SUMPRODUCT(NOT(ISBLANK(DH$3:DH$5))*(DH$3:DH$5=$KF$3:$KF$5))</f>
        <v>0</v>
      </c>
      <c r="DI11" s="1">
        <f>SUMPRODUCT(NOT(ISBLANK(DI$3:DI$5))*(DI$3:DI$5=$KG$3:$KG$5))</f>
        <v>0</v>
      </c>
      <c r="DJ11" s="1">
        <f>SUMPRODUCT(NOT(ISBLANK(DJ$3:DJ$5))*(DJ$3:DJ$5=$KH$3:$KH$5))</f>
        <v>0</v>
      </c>
      <c r="DK11" s="1">
        <f>SUMPRODUCT(NOT(ISBLANK(DK$3:DK$5))*(DK$3:DK$5=$KI$3:$KI$5))</f>
        <v>0</v>
      </c>
      <c r="DL11" s="1">
        <f>SUMPRODUCT(NOT(ISBLANK(DL$3:DL$5))*(DL$3:DL$5=$KJ$3:$KJ$5))</f>
        <v>0</v>
      </c>
      <c r="DM11" s="1">
        <f>SUMPRODUCT(NOT(ISBLANK(DM$3:DM$5))*(DM$3:DM$5=$KK$3:$KK$5))</f>
        <v>0</v>
      </c>
      <c r="DN11" s="1">
        <f>SUMPRODUCT(NOT(ISBLANK(DN$3:DN$5))*(DN$3:DN$5=$KL$3:$KL$5))</f>
        <v>0</v>
      </c>
      <c r="DO11" s="1">
        <f>SUMPRODUCT(NOT(ISBLANK(DO$3:DO$5))*(DO$3:DO$5=$KM$3:$KM$5))</f>
        <v>0</v>
      </c>
      <c r="DP11" s="1">
        <f>SUMPRODUCT(NOT(ISBLANK(DP$3:DP$5))*(DP$3:DP$5=$KN$3:$KN$5))</f>
        <v>0</v>
      </c>
      <c r="DQ11" s="1">
        <f>SUMPRODUCT(NOT(ISBLANK(DQ$3:DQ$5))*(DQ$3:DQ$5=$KO$3:$KO$5))</f>
        <v>0</v>
      </c>
      <c r="DR11" s="1">
        <f>SUMPRODUCT(NOT(ISBLANK(DR$3:DR$5))*(DR$3:DR$5=$KP$3:$KP$5))</f>
        <v>0</v>
      </c>
      <c r="DS11" s="1">
        <f>SUMPRODUCT(NOT(ISBLANK(DS$3:DS$5))*(DS$3:DS$5=$KQ$3:$KQ$5))</f>
        <v>0</v>
      </c>
      <c r="DT11" s="1"/>
      <c r="DU11" s="1">
        <f>SUMPRODUCT(NOT(ISBLANK(DU$3:DU$5))*(DU$3:DU$5=$KR$3:$KR$5))</f>
        <v>0</v>
      </c>
      <c r="DV11" s="1">
        <f>SUMPRODUCT(NOT(ISBLANK(DV$3:DV$5))*(DV$3:DV$5=$KS$3:$KS$5))</f>
        <v>0</v>
      </c>
      <c r="DW11" s="1">
        <f>SUMPRODUCT(NOT(ISBLANK(DW$3:DW$5))*(DW$3:DW$5=$KT$3:$KT$5))</f>
        <v>0</v>
      </c>
      <c r="DX11" s="1">
        <f>SUMPRODUCT(NOT(ISBLANK(DX$3:DX$5))*(DX$3:DX$5=$KD$3:$KD$5))</f>
        <v>0</v>
      </c>
      <c r="DY11" s="1">
        <f>SUMPRODUCT(NOT(ISBLANK(DY$3:DY$5))*(DY$3:DY$5=$KE$3:$KE$5))</f>
        <v>0</v>
      </c>
      <c r="DZ11" s="1">
        <f>SUMPRODUCT(NOT(ISBLANK(DZ$3:DZ$5))*(DZ$3:DZ$5=$KF$3:$KF$5))</f>
        <v>0</v>
      </c>
      <c r="EA11" s="1">
        <f>SUMPRODUCT(NOT(ISBLANK(EA$3:EA$5))*(EA$3:EA$5=$KG$3:$KG$5))</f>
        <v>0</v>
      </c>
      <c r="EB11" s="1">
        <f>SUMPRODUCT(NOT(ISBLANK(EB$3:EB$5))*(EB$3:EB$5=$KH$3:$KH$5))</f>
        <v>0</v>
      </c>
      <c r="EC11" s="1">
        <f>SUMPRODUCT(NOT(ISBLANK(EC$3:EC$5))*(EC$3:EC$5=$KI$3:$KI$5))</f>
        <v>0</v>
      </c>
      <c r="ED11" s="1">
        <f>SUMPRODUCT(NOT(ISBLANK(ED$3:ED$5))*(ED$3:ED$5=$KJ$3:$KJ$5))</f>
        <v>0</v>
      </c>
      <c r="EE11" s="1">
        <f>SUMPRODUCT(NOT(ISBLANK(EE$3:EE$5))*(EE$3:EE$5=$KK$3:$KK$5))</f>
        <v>0</v>
      </c>
      <c r="EF11" s="1">
        <f>SUMPRODUCT(NOT(ISBLANK(EF$3:EF$5))*(EF$3:EF$5=$KL$3:$KL$5))</f>
        <v>0</v>
      </c>
      <c r="EG11" s="1">
        <f>SUMPRODUCT(NOT(ISBLANK(EG$3:EG$5))*(EG$3:EG$5=$KM$3:$KM$5))</f>
        <v>0</v>
      </c>
      <c r="EH11" s="1">
        <f>SUMPRODUCT(NOT(ISBLANK(EH$3:EH$5))*(EH$3:EH$5=$KN$3:$KN$5))</f>
        <v>0</v>
      </c>
      <c r="EI11" s="1">
        <f>SUMPRODUCT(NOT(ISBLANK(EI$3:EI$5))*(EI$3:EI$5=$KO$3:$KO$5))</f>
        <v>0</v>
      </c>
      <c r="EJ11" s="1">
        <f>SUMPRODUCT(NOT(ISBLANK(EJ$3:EJ$5))*(EJ$3:EJ$5=$KP$3:$KP$5))</f>
        <v>0</v>
      </c>
      <c r="EK11" s="1">
        <f>SUMPRODUCT(NOT(ISBLANK(EK$3:EK$5))*(EK$3:EK$5=$KQ$3:$KQ$5))</f>
        <v>0</v>
      </c>
      <c r="EL11" s="1"/>
      <c r="EM11" s="1">
        <f>SUMPRODUCT(NOT(ISBLANK(EM$3:EM$5))*(EM$3:EM$5=$KR$3:$KR$5))</f>
        <v>0</v>
      </c>
      <c r="EN11" s="1">
        <f>SUMPRODUCT(NOT(ISBLANK(EN$3:EN$5))*(EN$3:EN$5=$KS$3:$KS$5))</f>
        <v>0</v>
      </c>
      <c r="EO11" s="1">
        <f>SUMPRODUCT(NOT(ISBLANK(EO$3:EO$5))*(EO$3:EO$5=$KT$3:$KT$5))</f>
        <v>0</v>
      </c>
      <c r="EP11" s="1">
        <f>SUMPRODUCT(NOT(ISBLANK(EP$3:EP$5))*(EP$3:EP$5=$KD$3:$KD$5))</f>
        <v>0</v>
      </c>
      <c r="EQ11" s="1">
        <f>SUMPRODUCT(NOT(ISBLANK(EQ$3:EQ$5))*(EQ$3:EQ$5=$KE$3:$KE$5))</f>
        <v>0</v>
      </c>
      <c r="ER11" s="1">
        <f>SUMPRODUCT(NOT(ISBLANK(ER$3:ER$5))*(ER$3:ER$5=$KF$3:$KF$5))</f>
        <v>0</v>
      </c>
      <c r="ES11" s="1">
        <f>SUMPRODUCT(NOT(ISBLANK(ES$3:ES$5))*(ES$3:ES$5=$KG$3:$KG$5))</f>
        <v>0</v>
      </c>
      <c r="ET11" s="1">
        <f>SUMPRODUCT(NOT(ISBLANK(ET$3:ET$5))*(ET$3:ET$5=$KH$3:$KH$5))</f>
        <v>0</v>
      </c>
      <c r="EU11" s="1">
        <f>SUMPRODUCT(NOT(ISBLANK(EU$3:EU$5))*(EU$3:EU$5=$KI$3:$KI$5))</f>
        <v>0</v>
      </c>
      <c r="EV11" s="1">
        <f>SUMPRODUCT(NOT(ISBLANK(EV$3:EV$5))*(EV$3:EV$5=$KJ$3:$KJ$5))</f>
        <v>0</v>
      </c>
      <c r="EW11" s="1">
        <f>SUMPRODUCT(NOT(ISBLANK(EW$3:EW$5))*(EW$3:EW$5=$KK$3:$KK$5))</f>
        <v>0</v>
      </c>
      <c r="EX11" s="1">
        <f>SUMPRODUCT(NOT(ISBLANK(EX$3:EX$5))*(EX$3:EX$5=$KL$3:$KL$5))</f>
        <v>0</v>
      </c>
      <c r="EY11" s="1">
        <f>SUMPRODUCT(NOT(ISBLANK(EY$3:EY$5))*(EY$3:EY$5=$KM$3:$KM$5))</f>
        <v>0</v>
      </c>
      <c r="EZ11" s="1">
        <f>SUMPRODUCT(NOT(ISBLANK(EZ$3:EZ$5))*(EZ$3:EZ$5=$KN$3:$KN$5))</f>
        <v>0</v>
      </c>
      <c r="FA11" s="1">
        <f>SUMPRODUCT(NOT(ISBLANK(FA$3:FA$5))*(FA$3:FA$5=$KO$3:$KO$5))</f>
        <v>0</v>
      </c>
      <c r="FB11" s="1">
        <f>SUMPRODUCT(NOT(ISBLANK(FB$3:FB$5))*(FB$3:FB$5=$KP$3:$KP$5))</f>
        <v>0</v>
      </c>
      <c r="FC11" s="1">
        <f>SUMPRODUCT(NOT(ISBLANK(FC$3:FC$5))*(FC$3:FC$5=$KQ$3:$KQ$5))</f>
        <v>0</v>
      </c>
      <c r="FD11" s="1"/>
      <c r="FE11" s="1">
        <f>SUMPRODUCT(NOT(ISBLANK(FE$3:FE$5))*(FE$3:FE$5=$KR$3:$KR$5))</f>
        <v>0</v>
      </c>
      <c r="FF11" s="1">
        <f>SUMPRODUCT(NOT(ISBLANK(FF$3:FF$5))*(FF$3:FF$5=$KS$3:$KS$5))</f>
        <v>0</v>
      </c>
      <c r="FG11" s="1">
        <f>SUMPRODUCT(NOT(ISBLANK(FG$3:FG$5))*(FG$3:FG$5=$KT$3:$KT$5))</f>
        <v>0</v>
      </c>
      <c r="FH11" s="1">
        <f>SUMPRODUCT(NOT(ISBLANK(FH$3:FH$5))*(FH$3:FH$5=$KD$3:$KD$5))</f>
        <v>0</v>
      </c>
      <c r="FI11" s="1">
        <f>SUMPRODUCT(NOT(ISBLANK(FI$3:FI$5))*(FI$3:FI$5=$KE$3:$KE$5))</f>
        <v>0</v>
      </c>
      <c r="FJ11" s="1">
        <f>SUMPRODUCT(NOT(ISBLANK(FJ$3:FJ$5))*(FJ$3:FJ$5=$KF$3:$KF$5))</f>
        <v>0</v>
      </c>
      <c r="FK11" s="1">
        <f>SUMPRODUCT(NOT(ISBLANK(FK$3:FK$5))*(FK$3:FK$5=$KG$3:$KG$5))</f>
        <v>0</v>
      </c>
      <c r="FL11" s="1">
        <f>SUMPRODUCT(NOT(ISBLANK(FL$3:FL$5))*(FL$3:FL$5=$KH$3:$KH$5))</f>
        <v>0</v>
      </c>
      <c r="FM11" s="1">
        <f>SUMPRODUCT(NOT(ISBLANK(FM$3:FM$5))*(FM$3:FM$5=$KI$3:$KI$5))</f>
        <v>0</v>
      </c>
      <c r="FN11" s="1">
        <f>SUMPRODUCT(NOT(ISBLANK(FN$3:FN$5))*(FN$3:FN$5=$KJ$3:$KJ$5))</f>
        <v>0</v>
      </c>
      <c r="FO11" s="1">
        <f>SUMPRODUCT(NOT(ISBLANK(FO$3:FO$5))*(FO$3:FO$5=$KK$3:$KK$5))</f>
        <v>0</v>
      </c>
      <c r="FP11" s="1">
        <f>SUMPRODUCT(NOT(ISBLANK(FP$3:FP$5))*(FP$3:FP$5=$KL$3:$KL$5))</f>
        <v>0</v>
      </c>
      <c r="FQ11" s="1">
        <f>SUMPRODUCT(NOT(ISBLANK(FQ$3:FQ$5))*(FQ$3:FQ$5=$KM$3:$KM$5))</f>
        <v>0</v>
      </c>
      <c r="FR11" s="1">
        <f>SUMPRODUCT(NOT(ISBLANK(FR$3:FR$5))*(FR$3:FR$5=$KN$3:$KN$5))</f>
        <v>0</v>
      </c>
      <c r="FS11" s="1">
        <f>SUMPRODUCT(NOT(ISBLANK(FS$3:FS$5))*(FS$3:FS$5=$KO$3:$KO$5))</f>
        <v>0</v>
      </c>
      <c r="FT11" s="1">
        <f>SUMPRODUCT(NOT(ISBLANK(FT$3:FT$5))*(FT$3:FT$5=$KP$3:$KP$5))</f>
        <v>0</v>
      </c>
      <c r="FU11" s="1">
        <f>SUMPRODUCT(NOT(ISBLANK(FU$3:FU$5))*(FU$3:FU$5=$KQ$3:$KQ$5))</f>
        <v>0</v>
      </c>
      <c r="FV11" s="1"/>
      <c r="FW11" s="1">
        <f>SUMPRODUCT(NOT(ISBLANK(FW$3:FW$5))*(FW$3:FW$5=$KR$3:$KR$5))</f>
        <v>0</v>
      </c>
      <c r="FX11" s="1">
        <f>SUMPRODUCT(NOT(ISBLANK(FX$3:FX$5))*(FX$3:FX$5=$KS$3:$KS$5))</f>
        <v>0</v>
      </c>
      <c r="FY11" s="1">
        <f>SUMPRODUCT(NOT(ISBLANK(FY$3:FY$5))*(FY$3:FY$5=$KT$3:$KT$5))</f>
        <v>0</v>
      </c>
      <c r="FZ11" s="1">
        <f>SUMPRODUCT(NOT(ISBLANK(FZ$3:FZ$5))*(FZ$3:FZ$5=$KD$3:$KD$5))</f>
        <v>0</v>
      </c>
      <c r="GA11" s="1">
        <f>SUMPRODUCT(NOT(ISBLANK(GA$3:GA$5))*(GA$3:GA$5=$KE$3:$KE$5))</f>
        <v>0</v>
      </c>
      <c r="GB11" s="1">
        <f>SUMPRODUCT(NOT(ISBLANK(GB$3:GB$5))*(GB$3:GB$5=$KF$3:$KF$5))</f>
        <v>0</v>
      </c>
      <c r="GC11" s="1">
        <f>SUMPRODUCT(NOT(ISBLANK(GC$3:GC$5))*(GC$3:GC$5=$KG$3:$KG$5))</f>
        <v>0</v>
      </c>
      <c r="GD11" s="1">
        <f>SUMPRODUCT(NOT(ISBLANK(GD$3:GD$5))*(GD$3:GD$5=$KH$3:$KH$5))</f>
        <v>0</v>
      </c>
      <c r="GE11" s="1">
        <f>SUMPRODUCT(NOT(ISBLANK(GE$3:GE$5))*(GE$3:GE$5=$KI$3:$KI$5))</f>
        <v>0</v>
      </c>
      <c r="GF11" s="1">
        <f>SUMPRODUCT(NOT(ISBLANK(GF$3:GF$5))*(GF$3:GF$5=$KJ$3:$KJ$5))</f>
        <v>0</v>
      </c>
      <c r="GG11" s="1">
        <f>SUMPRODUCT(NOT(ISBLANK(GG$3:GG$5))*(GG$3:GG$5=$KK$3:$KK$5))</f>
        <v>0</v>
      </c>
      <c r="GH11" s="1">
        <f>SUMPRODUCT(NOT(ISBLANK(GH$3:GH$5))*(GH$3:GH$5=$KL$3:$KL$5))</f>
        <v>0</v>
      </c>
      <c r="GI11" s="1">
        <f>SUMPRODUCT(NOT(ISBLANK(GI$3:GI$5))*(GI$3:GI$5=$KM$3:$KM$5))</f>
        <v>0</v>
      </c>
      <c r="GJ11" s="1">
        <f>SUMPRODUCT(NOT(ISBLANK(GJ$3:GJ$5))*(GJ$3:GJ$5=$KN$3:$KN$5))</f>
        <v>0</v>
      </c>
      <c r="GK11" s="1">
        <f>SUMPRODUCT(NOT(ISBLANK(GK$3:GK$5))*(GK$3:GK$5=$KO$3:$KO$5))</f>
        <v>0</v>
      </c>
      <c r="GL11" s="1">
        <f>SUMPRODUCT(NOT(ISBLANK(GL$3:GL$5))*(GL$3:GL$5=$KP$3:$KP$5))</f>
        <v>0</v>
      </c>
      <c r="GM11" s="1">
        <f>SUMPRODUCT(NOT(ISBLANK(GM$3:GM$5))*(GM$3:GM$5=$KQ$3:$KQ$5))</f>
        <v>0</v>
      </c>
      <c r="GN11" s="1"/>
      <c r="GO11" s="1">
        <f>SUMPRODUCT(NOT(ISBLANK(GO$3:GO$5))*(GO$3:GO$5=$KR$3:$KR$5))</f>
        <v>0</v>
      </c>
      <c r="GP11" s="1">
        <f>SUMPRODUCT(NOT(ISBLANK(GP$3:GP$5))*(GP$3:GP$5=$KS$3:$KS$5))</f>
        <v>0</v>
      </c>
      <c r="GQ11" s="1">
        <f>SUMPRODUCT(NOT(ISBLANK(GQ$3:GQ$5))*(GQ$3:GQ$5=$KT$3:$KT$5))</f>
        <v>0</v>
      </c>
      <c r="GR11" s="1">
        <f>SUMPRODUCT(NOT(ISBLANK(GR$3:GR$5))*(GR$3:GR$5=$KD$3:$KD$5))</f>
        <v>0</v>
      </c>
      <c r="GS11" s="1">
        <f>SUMPRODUCT(NOT(ISBLANK(GS$3:GS$5))*(GS$3:GS$5=$KE$3:$KE$5))</f>
        <v>0</v>
      </c>
      <c r="GT11" s="1">
        <f>SUMPRODUCT(NOT(ISBLANK(GT$3:GT$5))*(GT$3:GT$5=$KF$3:$KF$5))</f>
        <v>0</v>
      </c>
      <c r="GU11" s="1">
        <f>SUMPRODUCT(NOT(ISBLANK(GU$3:GU$5))*(GU$3:GU$5=$KG$3:$KG$5))</f>
        <v>0</v>
      </c>
      <c r="GV11" s="1">
        <f>SUMPRODUCT(NOT(ISBLANK(GV$3:GV$5))*(GV$3:GV$5=$KH$3:$KH$5))</f>
        <v>0</v>
      </c>
      <c r="GW11" s="1">
        <f>SUMPRODUCT(NOT(ISBLANK(GW$3:GW$5))*(GW$3:GW$5=$KI$3:$KI$5))</f>
        <v>0</v>
      </c>
      <c r="GX11" s="1">
        <f>SUMPRODUCT(NOT(ISBLANK(GX$3:GX$5))*(GX$3:GX$5=$KJ$3:$KJ$5))</f>
        <v>0</v>
      </c>
      <c r="GY11" s="1">
        <f>SUMPRODUCT(NOT(ISBLANK(GY$3:GY$5))*(GY$3:GY$5=$KK$3:$KK$5))</f>
        <v>0</v>
      </c>
      <c r="GZ11" s="1">
        <f>SUMPRODUCT(NOT(ISBLANK(GZ$3:GZ$5))*(GZ$3:GZ$5=$KL$3:$KL$5))</f>
        <v>0</v>
      </c>
      <c r="HA11" s="1">
        <f>SUMPRODUCT(NOT(ISBLANK(HA$3:HA$5))*(HA$3:HA$5=$KM$3:$KM$5))</f>
        <v>0</v>
      </c>
      <c r="HB11" s="1">
        <f>SUMPRODUCT(NOT(ISBLANK(HB$3:HB$5))*(HB$3:HB$5=$KN$3:$KN$5))</f>
        <v>0</v>
      </c>
      <c r="HC11" s="1">
        <f>SUMPRODUCT(NOT(ISBLANK(HC$3:HC$5))*(HC$3:HC$5=$KO$3:$KO$5))</f>
        <v>0</v>
      </c>
      <c r="HD11" s="1">
        <f>SUMPRODUCT(NOT(ISBLANK(HD$3:HD$5))*(HD$3:HD$5=$KP$3:$KP$5))</f>
        <v>0</v>
      </c>
      <c r="HE11" s="1">
        <f>SUMPRODUCT(NOT(ISBLANK(HE$3:HE$5))*(HE$3:HE$5=$KQ$3:$KQ$5))</f>
        <v>0</v>
      </c>
      <c r="HF11" s="1"/>
      <c r="HG11" s="1">
        <f>SUMPRODUCT(NOT(ISBLANK(HG$3:HG$5))*(HG$3:HG$5=$KR$3:$KR$5))</f>
        <v>0</v>
      </c>
      <c r="HH11" s="1">
        <f>SUMPRODUCT(NOT(ISBLANK(HH$3:HH$5))*(HH$3:HH$5=$KS$3:$KS$5))</f>
        <v>0</v>
      </c>
      <c r="HI11" s="1">
        <f>SUMPRODUCT(NOT(ISBLANK(HI$3:HI$5))*(HI$3:HI$5=$KT$3:$KT$5))</f>
        <v>0</v>
      </c>
      <c r="HJ11" s="1">
        <f>SUMPRODUCT(NOT(ISBLANK(HJ$3:HJ$5))*(HJ$3:HJ$5=$KD$3:$KD$5))</f>
        <v>0</v>
      </c>
      <c r="HK11" s="1">
        <f>SUMPRODUCT(NOT(ISBLANK(HK$3:HK$5))*(HK$3:HK$5=$KE$3:$KE$5))</f>
        <v>0</v>
      </c>
      <c r="HL11" s="1">
        <f>SUMPRODUCT(NOT(ISBLANK(HL$3:HL$5))*(HL$3:HL$5=$KF$3:$KF$5))</f>
        <v>0</v>
      </c>
      <c r="HM11" s="1">
        <f>SUMPRODUCT(NOT(ISBLANK(HM$3:HM$5))*(HM$3:HM$5=$KG$3:$KG$5))</f>
        <v>0</v>
      </c>
      <c r="HN11" s="1">
        <f>SUMPRODUCT(NOT(ISBLANK(HN$3:HN$5))*(HN$3:HN$5=$KH$3:$KH$5))</f>
        <v>0</v>
      </c>
      <c r="HO11" s="1">
        <f>SUMPRODUCT(NOT(ISBLANK(HO$3:HO$5))*(HO$3:HO$5=$KI$3:$KI$5))</f>
        <v>0</v>
      </c>
      <c r="HP11" s="1">
        <f>SUMPRODUCT(NOT(ISBLANK(HP$3:HP$5))*(HP$3:HP$5=$KJ$3:$KJ$5))</f>
        <v>0</v>
      </c>
      <c r="HQ11" s="1">
        <f>SUMPRODUCT(NOT(ISBLANK(HQ$3:HQ$5))*(HQ$3:HQ$5=$KK$3:$KK$5))</f>
        <v>0</v>
      </c>
      <c r="HR11" s="1">
        <f>SUMPRODUCT(NOT(ISBLANK(HR$3:HR$5))*(HR$3:HR$5=$KL$3:$KL$5))</f>
        <v>0</v>
      </c>
      <c r="HS11" s="1">
        <f>SUMPRODUCT(NOT(ISBLANK(HS$3:HS$5))*(HS$3:HS$5=$KM$3:$KM$5))</f>
        <v>0</v>
      </c>
      <c r="HT11" s="1">
        <f>SUMPRODUCT(NOT(ISBLANK(HT$3:HT$5))*(HT$3:HT$5=$KN$3:$KN$5))</f>
        <v>0</v>
      </c>
      <c r="HU11" s="1">
        <f>SUMPRODUCT(NOT(ISBLANK(HU$3:HU$5))*(HU$3:HU$5=$KO$3:$KO$5))</f>
        <v>0</v>
      </c>
      <c r="HV11" s="1">
        <f>SUMPRODUCT(NOT(ISBLANK(HV$3:HV$5))*(HV$3:HV$5=$KP$3:$KP$5))</f>
        <v>0</v>
      </c>
      <c r="HW11" s="1">
        <f>SUMPRODUCT(NOT(ISBLANK(HW$3:HW$5))*(HW$3:HW$5=$KQ$3:$KQ$5))</f>
        <v>0</v>
      </c>
      <c r="HX11" s="1"/>
      <c r="HY11" s="1">
        <f>SUMPRODUCT(NOT(ISBLANK(HY$3:HY$5))*(HY$3:HY$5=$KR$3:$KR$5))</f>
        <v>0</v>
      </c>
      <c r="HZ11" s="1">
        <f>SUMPRODUCT(NOT(ISBLANK(HZ$3:HZ$5))*(HZ$3:HZ$5=$KS$3:$KS$5))</f>
        <v>0</v>
      </c>
      <c r="IA11" s="1">
        <f>SUMPRODUCT(NOT(ISBLANK(IA$3:IA$5))*(IA$3:IA$5=$KT$3:$KT$5))</f>
        <v>0</v>
      </c>
      <c r="IB11" s="1">
        <f>SUMPRODUCT(NOT(ISBLANK(IB$3:IB$5))*(IB$3:IB$5=$KD$3:$KD$5))</f>
        <v>0</v>
      </c>
      <c r="IC11" s="1">
        <f>SUMPRODUCT(NOT(ISBLANK(IC$3:IC$5))*(IC$3:IC$5=$KE$3:$KE$5))</f>
        <v>0</v>
      </c>
      <c r="ID11" s="1">
        <f>SUMPRODUCT(NOT(ISBLANK(ID$3:ID$5))*(ID$3:ID$5=$KF$3:$KF$5))</f>
        <v>0</v>
      </c>
      <c r="IE11" s="1">
        <f>SUMPRODUCT(NOT(ISBLANK(IE$3:IE$5))*(IE$3:IE$5=$KG$3:$KG$5))</f>
        <v>0</v>
      </c>
      <c r="IF11" s="1">
        <f>SUMPRODUCT(NOT(ISBLANK(IF$3:IF$5))*(IF$3:IF$5=$KH$3:$KH$5))</f>
        <v>0</v>
      </c>
      <c r="IG11" s="1">
        <f>SUMPRODUCT(NOT(ISBLANK(IG$3:IG$5))*(IG$3:IG$5=$KI$3:$KI$5))</f>
        <v>0</v>
      </c>
      <c r="IH11" s="1">
        <f>SUMPRODUCT(NOT(ISBLANK(IH$3:IH$5))*(IH$3:IH$5=$KJ$3:$KJ$5))</f>
        <v>0</v>
      </c>
      <c r="II11" s="1">
        <f>SUMPRODUCT(NOT(ISBLANK(II$3:II$5))*(II$3:II$5=$KK$3:$KK$5))</f>
        <v>0</v>
      </c>
      <c r="IJ11" s="1">
        <f>SUMPRODUCT(NOT(ISBLANK(IJ$3:IJ$5))*(IJ$3:IJ$5=$KL$3:$KL$5))</f>
        <v>0</v>
      </c>
      <c r="IK11" s="1">
        <f>SUMPRODUCT(NOT(ISBLANK(IK$3:IK$5))*(IK$3:IK$5=$KM$3:$KM$5))</f>
        <v>0</v>
      </c>
      <c r="IL11" s="1">
        <f>SUMPRODUCT(NOT(ISBLANK(IL$3:IL$5))*(IL$3:IL$5=$KN$3:$KN$5))</f>
        <v>0</v>
      </c>
      <c r="IM11" s="1">
        <f>SUMPRODUCT(NOT(ISBLANK(IM$3:IM$5))*(IM$3:IM$5=$KO$3:$KO$5))</f>
        <v>0</v>
      </c>
      <c r="IN11" s="1">
        <f>SUMPRODUCT(NOT(ISBLANK(IN$3:IN$5))*(IN$3:IN$5=$KP$3:$KP$5))</f>
        <v>0</v>
      </c>
      <c r="IO11" s="1">
        <f>SUMPRODUCT(NOT(ISBLANK(IO$3:IO$5))*(IO$3:IO$5=$KQ$3:$KQ$5))</f>
        <v>0</v>
      </c>
      <c r="IP11" s="1"/>
      <c r="IQ11" s="1">
        <f>SUMPRODUCT(NOT(ISBLANK(IQ$3:IQ$5))*(IQ$3:IQ$5=$KR$3:$KR$5))</f>
        <v>0</v>
      </c>
      <c r="IR11" s="1">
        <f>SUMPRODUCT(NOT(ISBLANK(IR$3:IR$5))*(IR$3:IR$5=$KS$3:$KS$5))</f>
        <v>0</v>
      </c>
      <c r="IS11" s="1">
        <f>SUMPRODUCT(NOT(ISBLANK(IS$3:IS$5))*(IS$3:IS$5=$KT$3:$KT$5))</f>
        <v>0</v>
      </c>
      <c r="IT11" s="1">
        <f>SUMPRODUCT(NOT(ISBLANK(IT$3:IT$5))*(IT$3:IT$5=$KD$3:$KD$5))</f>
        <v>0</v>
      </c>
      <c r="IU11" s="1">
        <f>SUMPRODUCT(NOT(ISBLANK(IU$3:IU$5))*(IU$3:IU$5=$KE$3:$KE$5))</f>
        <v>0</v>
      </c>
      <c r="IV11" s="1">
        <f>SUMPRODUCT(NOT(ISBLANK(IV$3:IV$5))*(IV$3:IV$5=$KF$3:$KF$5))</f>
        <v>0</v>
      </c>
      <c r="IW11" s="1">
        <f>SUMPRODUCT(NOT(ISBLANK(IW$3:IW$5))*(IW$3:IW$5=$KG$3:$KG$5))</f>
        <v>0</v>
      </c>
      <c r="IX11" s="1">
        <f>SUMPRODUCT(NOT(ISBLANK(IX$3:IX$5))*(IX$3:IX$5=$KH$3:$KH$5))</f>
        <v>0</v>
      </c>
      <c r="IY11" s="1">
        <f>SUMPRODUCT(NOT(ISBLANK(IY$3:IY$5))*(IY$3:IY$5=$KI$3:$KI$5))</f>
        <v>0</v>
      </c>
      <c r="IZ11" s="1">
        <f>SUMPRODUCT(NOT(ISBLANK(IZ$3:IZ$5))*(IZ$3:IZ$5=$KJ$3:$KJ$5))</f>
        <v>0</v>
      </c>
      <c r="JA11" s="1">
        <f>SUMPRODUCT(NOT(ISBLANK(JA$3:JA$5))*(JA$3:JA$5=$KK$3:$KK$5))</f>
        <v>0</v>
      </c>
      <c r="JB11" s="1">
        <f>SUMPRODUCT(NOT(ISBLANK(JB$3:JB$5))*(JB$3:JB$5=$KL$3:$KL$5))</f>
        <v>0</v>
      </c>
      <c r="JC11" s="1">
        <f>SUMPRODUCT(NOT(ISBLANK(JC$3:JC$5))*(JC$3:JC$5=$KM$3:$KM$5))</f>
        <v>0</v>
      </c>
      <c r="JD11" s="1">
        <f>SUMPRODUCT(NOT(ISBLANK(JD$3:JD$5))*(JD$3:JD$5=$KN$3:$KN$5))</f>
        <v>0</v>
      </c>
      <c r="JE11" s="1">
        <f>SUMPRODUCT(NOT(ISBLANK(JE$3:JE$5))*(JE$3:JE$5=$KO$3:$KO$5))</f>
        <v>0</v>
      </c>
      <c r="JF11" s="1">
        <f>SUMPRODUCT(NOT(ISBLANK(JF$3:JF$5))*(JF$3:JF$5=$KP$3:$KP$5))</f>
        <v>0</v>
      </c>
      <c r="JG11" s="1">
        <f>SUMPRODUCT(NOT(ISBLANK(JG$3:JG$5))*(JG$3:JG$5=$KQ$3:$KQ$5))</f>
        <v>0</v>
      </c>
      <c r="JH11" s="1"/>
      <c r="JI11" s="1">
        <f>SUMPRODUCT(NOT(ISBLANK(JI$3:JI$5))*(JI$3:JI$5=$KR$3:$KR$5))</f>
        <v>0</v>
      </c>
      <c r="JJ11" s="1">
        <f>SUMPRODUCT(NOT(ISBLANK(JJ$3:JJ$5))*(JJ$3:JJ$5=$KS$3:$KS$5))</f>
        <v>0</v>
      </c>
      <c r="JK11" s="1">
        <f>SUMPRODUCT(NOT(ISBLANK(JK$3:JK$5))*(JK$3:JK$5=$KT$3:$KT$5))</f>
        <v>0</v>
      </c>
      <c r="JL11" s="1">
        <f>SUMPRODUCT(NOT(ISBLANK(JL$3:JL$5))*(JL$3:JL$5=$KD$3:$KD$5))</f>
        <v>0</v>
      </c>
      <c r="JM11" s="1">
        <f>SUMPRODUCT(NOT(ISBLANK(JM$3:JM$5))*(JM$3:JM$5=$KE$3:$KE$5))</f>
        <v>0</v>
      </c>
      <c r="JN11" s="1">
        <f>SUMPRODUCT(NOT(ISBLANK(JN$3:JN$5))*(JN$3:JN$5=$KF$3:$KF$5))</f>
        <v>0</v>
      </c>
      <c r="JO11" s="1">
        <f>SUMPRODUCT(NOT(ISBLANK(JO$3:JO$5))*(JO$3:JO$5=$KG$3:$KG$5))</f>
        <v>0</v>
      </c>
      <c r="JP11" s="1">
        <f>SUMPRODUCT(NOT(ISBLANK(JP$3:JP$5))*(JP$3:JP$5=$KH$3:$KH$5))</f>
        <v>0</v>
      </c>
      <c r="JQ11" s="1">
        <f>SUMPRODUCT(NOT(ISBLANK(JQ$3:JQ$5))*(JQ$3:JQ$5=$KI$3:$KI$5))</f>
        <v>0</v>
      </c>
      <c r="JR11" s="1">
        <f>SUMPRODUCT(NOT(ISBLANK(JR$3:JR$5))*(JR$3:JR$5=$KJ$3:$KJ$5))</f>
        <v>0</v>
      </c>
      <c r="JS11" s="1">
        <f>SUMPRODUCT(NOT(ISBLANK(JS$3:JS$5))*(JS$3:JS$5=$KK$3:$KK$5))</f>
        <v>0</v>
      </c>
      <c r="JT11" s="1">
        <f>SUMPRODUCT(NOT(ISBLANK(JT$3:JT$5))*(JT$3:JT$5=$KL$3:$KL$5))</f>
        <v>0</v>
      </c>
      <c r="JU11" s="1">
        <f>SUMPRODUCT(NOT(ISBLANK(JU$3:JU$5))*(JU$3:JU$5=$KM$3:$KM$5))</f>
        <v>0</v>
      </c>
      <c r="JV11" s="1">
        <f>SUMPRODUCT(NOT(ISBLANK(JV$3:JV$5))*(JV$3:JV$5=$KN$3:$KN$5))</f>
        <v>0</v>
      </c>
      <c r="JW11" s="1">
        <f>SUMPRODUCT(NOT(ISBLANK(JW$3:JW$5))*(JW$3:JW$5=$KO$3:$KO$5))</f>
        <v>0</v>
      </c>
      <c r="JX11" s="1">
        <f>SUMPRODUCT(NOT(ISBLANK(JX$3:JX$5))*(JX$3:JX$5=$KP$3:$KP$5))</f>
        <v>0</v>
      </c>
      <c r="JY11" s="1">
        <f>SUMPRODUCT(NOT(ISBLANK(JY$3:JY$5))*(JY$3:JY$5=$KQ$3:$KQ$5))</f>
        <v>0</v>
      </c>
      <c r="JZ11" s="1"/>
      <c r="KA11" s="1">
        <f>SUMPRODUCT(NOT(ISBLANK(KA$3:KA$5))*(KA$3:KA$5=$KR$3:$KR$5))</f>
        <v>0</v>
      </c>
      <c r="KB11" s="1">
        <f>SUMPRODUCT(NOT(ISBLANK(KB$3:KB$5))*(KB$3:KB$5=$KS$3:$KS$5))</f>
        <v>0</v>
      </c>
      <c r="KC11" s="1">
        <f>SUMPRODUCT(NOT(ISBLANK(KC$3:KC$5))*(KC$3:KC$5=$KT$3:$KT$5))</f>
        <v>0</v>
      </c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</row>
    <row r="12" spans="1:340">
      <c r="A12" s="1" t="s">
        <v>37</v>
      </c>
      <c r="B12" s="1">
        <f>SUMPRODUCT(NOT(ISBLANK(B$3:B$5))*(B$3:B$5&lt;$KU$3:$KU$5))</f>
        <v>0</v>
      </c>
      <c r="C12" s="1">
        <f>SUMPRODUCT(NOT(ISBLANK(C$3:C$5))*(C$3:C$5&lt;$KV$3:$KV$5))</f>
        <v>0</v>
      </c>
      <c r="D12" s="1">
        <f>SUMPRODUCT(NOT(ISBLANK(D$3:D$5))*(D$3:D$5&lt;$KW$3:$KW$5))</f>
        <v>0</v>
      </c>
      <c r="E12" s="1">
        <f>SUMPRODUCT(NOT(ISBLANK(E$3:E$5))*(E$3:E$5&lt;$KX$3:$KX$5))</f>
        <v>0</v>
      </c>
      <c r="F12" s="1">
        <f>SUMPRODUCT(NOT(ISBLANK(F$3:F$5))*(F$3:F$5&lt;$KY$3:$KY$5))</f>
        <v>0</v>
      </c>
      <c r="G12" s="1">
        <f>SUMPRODUCT(NOT(ISBLANK(G$3:G$5))*(G$3:G$5&lt;$KZ$3:$KZ$5))</f>
        <v>0</v>
      </c>
      <c r="H12" s="1">
        <f>SUMPRODUCT(NOT(ISBLANK(H$3:H$5))*(H$3:H$5&lt;$LA$3:$LA$5))</f>
        <v>0</v>
      </c>
      <c r="I12" s="1">
        <f>SUMPRODUCT(NOT(ISBLANK(I$3:I$5))*(I$3:I$5&lt;$LB$3:$LB$5))</f>
        <v>0</v>
      </c>
      <c r="J12" s="1">
        <f>SUMPRODUCT(NOT(ISBLANK(J$3:J$5))*(J$3:J$5&lt;$LC$3:$LC$5))</f>
        <v>0</v>
      </c>
      <c r="K12" s="1">
        <f>SUMPRODUCT(NOT(ISBLANK(K$3:K$5))*(K$3:K$5&lt;$LD$3:$LD$5))</f>
        <v>0</v>
      </c>
      <c r="L12" s="1">
        <f>SUMPRODUCT(NOT(ISBLANK(L$3:L$5))*(L$3:L$5&lt;$LE$3:$LE$5))</f>
        <v>0</v>
      </c>
      <c r="M12" s="1">
        <f>SUMPRODUCT(NOT(ISBLANK(M$3:M$5))*(M$3:M$5&lt;$LF$3:$LF$5))</f>
        <v>0</v>
      </c>
      <c r="N12" s="1">
        <f>SUMPRODUCT(NOT(ISBLANK(N$3:N$5))*(N$3:N$5&lt;$LG$3:$LG$5))</f>
        <v>0</v>
      </c>
      <c r="O12" s="1">
        <f>SUMPRODUCT(NOT(ISBLANK(O$3:O$5))*(O$3:O$5&lt;$LH$3:$LH$5))</f>
        <v>0</v>
      </c>
      <c r="P12" s="1"/>
      <c r="Q12" s="1">
        <f>SUMPRODUCT(NOT(ISBLANK(Q$3:Q$5))*(Q$3:Q$5&lt;$LI$3:$LI$5))</f>
        <v>0</v>
      </c>
      <c r="R12" s="1">
        <f>SUMPRODUCT(NOT(ISBLANK(R$3:R$5))*(R$3:R$5&lt;$LJ$3:$LJ$5))</f>
        <v>0</v>
      </c>
      <c r="S12" s="1">
        <f>SUMPRODUCT(NOT(ISBLANK(S$3:S$5))*(S$3:S$5&lt;$LK$3:$LK$5))</f>
        <v>0</v>
      </c>
      <c r="T12" s="1">
        <f>SUMPRODUCT(NOT(ISBLANK(T$3:T$5))*(T$3:T$5&lt;$KU$3:$KU$5))</f>
        <v>0</v>
      </c>
      <c r="U12" s="1">
        <f>SUMPRODUCT(NOT(ISBLANK(U$3:U$5))*(U$3:U$5&lt;$KV$3:$KV$5))</f>
        <v>0</v>
      </c>
      <c r="V12" s="1">
        <f>SUMPRODUCT(NOT(ISBLANK(V$3:V$5))*(V$3:V$5&lt;$KW$3:$KW$5))</f>
        <v>0</v>
      </c>
      <c r="W12" s="1">
        <f>SUMPRODUCT(NOT(ISBLANK(W$3:W$5))*(W$3:W$5&lt;$KX$3:$KX$5))</f>
        <v>0</v>
      </c>
      <c r="X12" s="1">
        <f>SUMPRODUCT(NOT(ISBLANK(X$3:X$5))*(X$3:X$5&lt;$KY$3:$KY$5))</f>
        <v>0</v>
      </c>
      <c r="Y12" s="1">
        <f>SUMPRODUCT(NOT(ISBLANK(Y$3:Y$5))*(Y$3:Y$5&lt;$KZ$3:$KZ$5))</f>
        <v>0</v>
      </c>
      <c r="Z12" s="1">
        <f>SUMPRODUCT(NOT(ISBLANK(Z$3:Z$5))*(Z$3:Z$5&lt;$LA$3:$LA$5))</f>
        <v>0</v>
      </c>
      <c r="AA12" s="1">
        <f>SUMPRODUCT(NOT(ISBLANK(AA$3:AA$5))*(AA$3:AA$5&lt;$LB$3:$LB$5))</f>
        <v>0</v>
      </c>
      <c r="AB12" s="1">
        <f>SUMPRODUCT(NOT(ISBLANK(AB$3:AB$5))*(AB$3:AB$5&lt;$LC$3:$LC$5))</f>
        <v>0</v>
      </c>
      <c r="AC12" s="1">
        <f>SUMPRODUCT(NOT(ISBLANK(AC$3:AC$5))*(AC$3:AC$5&lt;$LD$3:$LD$5))</f>
        <v>0</v>
      </c>
      <c r="AD12" s="1">
        <f>SUMPRODUCT(NOT(ISBLANK(AD$3:AD$5))*(AD$3:AD$5&lt;$LE$3:$LE$5))</f>
        <v>0</v>
      </c>
      <c r="AE12" s="1">
        <f>SUMPRODUCT(NOT(ISBLANK(AE$3:AE$5))*(AE$3:AE$5&lt;$LF$3:$LF$5))</f>
        <v>0</v>
      </c>
      <c r="AF12" s="1">
        <f>SUMPRODUCT(NOT(ISBLANK(AF$3:AF$5))*(AF$3:AF$5&lt;$LG$3:$LG$5))</f>
        <v>0</v>
      </c>
      <c r="AG12" s="1">
        <f>SUMPRODUCT(NOT(ISBLANK(AG$3:AG$5))*(AG$3:AG$5&lt;$LH$3:$LH$5))</f>
        <v>0</v>
      </c>
      <c r="AH12" s="1"/>
      <c r="AI12" s="1">
        <f>SUMPRODUCT(NOT(ISBLANK(AI$3:AI$5))*(AI$3:AI$5&lt;$LI$3:$LI$5))</f>
        <v>0</v>
      </c>
      <c r="AJ12" s="1">
        <f>SUMPRODUCT(NOT(ISBLANK(AJ$3:AJ$5))*(AJ$3:AJ$5&lt;$LJ$3:$LJ$5))</f>
        <v>0</v>
      </c>
      <c r="AK12" s="1">
        <f>SUMPRODUCT(NOT(ISBLANK(AK$3:AK$5))*(AK$3:AK$5&lt;$LK$3:$LK$5))</f>
        <v>0</v>
      </c>
      <c r="AL12" s="1">
        <f>SUMPRODUCT(NOT(ISBLANK(AL$3:AL$5))*(AL$3:AL$5&lt;$KU$3:$KU$5))</f>
        <v>0</v>
      </c>
      <c r="AM12" s="1">
        <f>SUMPRODUCT(NOT(ISBLANK(AM$3:AM$5))*(AM$3:AM$5&lt;$KV$3:$KV$5))</f>
        <v>0</v>
      </c>
      <c r="AN12" s="1">
        <f>SUMPRODUCT(NOT(ISBLANK(AN$3:AN$5))*(AN$3:AN$5&lt;$KW$3:$KW$5))</f>
        <v>0</v>
      </c>
      <c r="AO12" s="1">
        <f>SUMPRODUCT(NOT(ISBLANK(AO$3:AO$5))*(AO$3:AO$5&lt;$KX$3:$KX$5))</f>
        <v>0</v>
      </c>
      <c r="AP12" s="1">
        <f>SUMPRODUCT(NOT(ISBLANK(AP$3:AP$5))*(AP$3:AP$5&lt;$KY$3:$KY$5))</f>
        <v>0</v>
      </c>
      <c r="AQ12" s="1">
        <f>SUMPRODUCT(NOT(ISBLANK(AQ$3:AQ$5))*(AQ$3:AQ$5&lt;$KZ$3:$KZ$5))</f>
        <v>0</v>
      </c>
      <c r="AR12" s="1">
        <f>SUMPRODUCT(NOT(ISBLANK(AR$3:AR$5))*(AR$3:AR$5&lt;$LA$3:$LA$5))</f>
        <v>0</v>
      </c>
      <c r="AS12" s="1">
        <f>SUMPRODUCT(NOT(ISBLANK(AS$3:AS$5))*(AS$3:AS$5&lt;$LB$3:$LB$5))</f>
        <v>0</v>
      </c>
      <c r="AT12" s="1">
        <f>SUMPRODUCT(NOT(ISBLANK(AT$3:AT$5))*(AT$3:AT$5&lt;$LC$3:$LC$5))</f>
        <v>0</v>
      </c>
      <c r="AU12" s="1">
        <f>SUMPRODUCT(NOT(ISBLANK(AU$3:AU$5))*(AU$3:AU$5&lt;$LD$3:$LD$5))</f>
        <v>0</v>
      </c>
      <c r="AV12" s="1">
        <f>SUMPRODUCT(NOT(ISBLANK(AV$3:AV$5))*(AV$3:AV$5&lt;$LE$3:$LE$5))</f>
        <v>0</v>
      </c>
      <c r="AW12" s="1">
        <f>SUMPRODUCT(NOT(ISBLANK(AW$3:AW$5))*(AW$3:AW$5&lt;$LF$3:$LF$5))</f>
        <v>0</v>
      </c>
      <c r="AX12" s="1">
        <f>SUMPRODUCT(NOT(ISBLANK(AX$3:AX$5))*(AX$3:AX$5&lt;$LG$3:$LG$5))</f>
        <v>0</v>
      </c>
      <c r="AY12" s="1">
        <f>SUMPRODUCT(NOT(ISBLANK(AY$3:AY$5))*(AY$3:AY$5&lt;$LH$3:$LH$5))</f>
        <v>0</v>
      </c>
      <c r="AZ12" s="1"/>
      <c r="BA12" s="1">
        <f>SUMPRODUCT(NOT(ISBLANK(BA$3:BA$5))*(BA$3:BA$5&lt;$LI$3:$LI$5))</f>
        <v>0</v>
      </c>
      <c r="BB12" s="1">
        <f>SUMPRODUCT(NOT(ISBLANK(BB$3:BB$5))*(BB$3:BB$5&lt;$LJ$3:$LJ$5))</f>
        <v>0</v>
      </c>
      <c r="BC12" s="1">
        <f>SUMPRODUCT(NOT(ISBLANK(BC$3:BC$5))*(BC$3:BC$5&lt;$LK$3:$LK$5))</f>
        <v>0</v>
      </c>
      <c r="BD12" s="1">
        <f>SUMPRODUCT(NOT(ISBLANK(BD$3:BD$5))*(BD$3:BD$5&lt;$KU$3:$KU$5))</f>
        <v>0</v>
      </c>
      <c r="BE12" s="1">
        <f>SUMPRODUCT(NOT(ISBLANK(BE$3:BE$5))*(BE$3:BE$5&lt;$KV$3:$KV$5))</f>
        <v>0</v>
      </c>
      <c r="BF12" s="1">
        <f>SUMPRODUCT(NOT(ISBLANK(BF$3:BF$5))*(BF$3:BF$5&lt;$KW$3:$KW$5))</f>
        <v>0</v>
      </c>
      <c r="BG12" s="1">
        <f>SUMPRODUCT(NOT(ISBLANK(BG$3:BG$5))*(BG$3:BG$5&lt;$KX$3:$KX$5))</f>
        <v>0</v>
      </c>
      <c r="BH12" s="1">
        <f>SUMPRODUCT(NOT(ISBLANK(BH$3:BH$5))*(BH$3:BH$5&lt;$KY$3:$KY$5))</f>
        <v>0</v>
      </c>
      <c r="BI12" s="1">
        <f>SUMPRODUCT(NOT(ISBLANK(BI$3:BI$5))*(BI$3:BI$5&lt;$KZ$3:$KZ$5))</f>
        <v>0</v>
      </c>
      <c r="BJ12" s="1">
        <f>SUMPRODUCT(NOT(ISBLANK(BJ$3:BJ$5))*(BJ$3:BJ$5&lt;$LA$3:$LA$5))</f>
        <v>0</v>
      </c>
      <c r="BK12" s="1">
        <f>SUMPRODUCT(NOT(ISBLANK(BK$3:BK$5))*(BK$3:BK$5&lt;$LB$3:$LB$5))</f>
        <v>0</v>
      </c>
      <c r="BL12" s="1">
        <f>SUMPRODUCT(NOT(ISBLANK(BL$3:BL$5))*(BL$3:BL$5&lt;$LC$3:$LC$5))</f>
        <v>0</v>
      </c>
      <c r="BM12" s="1">
        <f>SUMPRODUCT(NOT(ISBLANK(BM$3:BM$5))*(BM$3:BM$5&lt;$LD$3:$LD$5))</f>
        <v>0</v>
      </c>
      <c r="BN12" s="1">
        <f>SUMPRODUCT(NOT(ISBLANK(BN$3:BN$5))*(BN$3:BN$5&lt;$LE$3:$LE$5))</f>
        <v>0</v>
      </c>
      <c r="BO12" s="1">
        <f>SUMPRODUCT(NOT(ISBLANK(BO$3:BO$5))*(BO$3:BO$5&lt;$LF$3:$LF$5))</f>
        <v>0</v>
      </c>
      <c r="BP12" s="1">
        <f>SUMPRODUCT(NOT(ISBLANK(BP$3:BP$5))*(BP$3:BP$5&lt;$LG$3:$LG$5))</f>
        <v>0</v>
      </c>
      <c r="BQ12" s="1">
        <f>SUMPRODUCT(NOT(ISBLANK(BQ$3:BQ$5))*(BQ$3:BQ$5&lt;$LH$3:$LH$5))</f>
        <v>0</v>
      </c>
      <c r="BR12" s="1"/>
      <c r="BS12" s="1">
        <f>SUMPRODUCT(NOT(ISBLANK(BS$3:BS$5))*(BS$3:BS$5&lt;$LI$3:$LI$5))</f>
        <v>0</v>
      </c>
      <c r="BT12" s="1">
        <f>SUMPRODUCT(NOT(ISBLANK(BT$3:BT$5))*(BT$3:BT$5&lt;$LJ$3:$LJ$5))</f>
        <v>0</v>
      </c>
      <c r="BU12" s="1">
        <f>SUMPRODUCT(NOT(ISBLANK(BU$3:BU$5))*(BU$3:BU$5&lt;$LK$3:$LK$5))</f>
        <v>0</v>
      </c>
      <c r="BV12" s="1">
        <f>SUMPRODUCT(NOT(ISBLANK(BV$3:BV$5))*(BV$3:BV$5&lt;$KU$3:$KU$5))</f>
        <v>0</v>
      </c>
      <c r="BW12" s="1">
        <f>SUMPRODUCT(NOT(ISBLANK(BW$3:BW$5))*(BW$3:BW$5&lt;$KV$3:$KV$5))</f>
        <v>0</v>
      </c>
      <c r="BX12" s="1">
        <f>SUMPRODUCT(NOT(ISBLANK(BX$3:BX$5))*(BX$3:BX$5&lt;$KW$3:$KW$5))</f>
        <v>0</v>
      </c>
      <c r="BY12" s="1">
        <f>SUMPRODUCT(NOT(ISBLANK(BY$3:BY$5))*(BY$3:BY$5&lt;$KX$3:$KX$5))</f>
        <v>0</v>
      </c>
      <c r="BZ12" s="1">
        <f>SUMPRODUCT(NOT(ISBLANK(BZ$3:BZ$5))*(BZ$3:BZ$5&lt;$KY$3:$KY$5))</f>
        <v>0</v>
      </c>
      <c r="CA12" s="1">
        <f>SUMPRODUCT(NOT(ISBLANK(CA$3:CA$5))*(CA$3:CA$5&lt;$KZ$3:$KZ$5))</f>
        <v>0</v>
      </c>
      <c r="CB12" s="1">
        <f>SUMPRODUCT(NOT(ISBLANK(CB$3:CB$5))*(CB$3:CB$5&lt;$LA$3:$LA$5))</f>
        <v>0</v>
      </c>
      <c r="CC12" s="1">
        <f>SUMPRODUCT(NOT(ISBLANK(CC$3:CC$5))*(CC$3:CC$5&lt;$LB$3:$LB$5))</f>
        <v>0</v>
      </c>
      <c r="CD12" s="1">
        <f>SUMPRODUCT(NOT(ISBLANK(CD$3:CD$5))*(CD$3:CD$5&lt;$LC$3:$LC$5))</f>
        <v>0</v>
      </c>
      <c r="CE12" s="1">
        <f>SUMPRODUCT(NOT(ISBLANK(CE$3:CE$5))*(CE$3:CE$5&lt;$LD$3:$LD$5))</f>
        <v>0</v>
      </c>
      <c r="CF12" s="1">
        <f>SUMPRODUCT(NOT(ISBLANK(CF$3:CF$5))*(CF$3:CF$5&lt;$LE$3:$LE$5))</f>
        <v>0</v>
      </c>
      <c r="CG12" s="1">
        <f>SUMPRODUCT(NOT(ISBLANK(CG$3:CG$5))*(CG$3:CG$5&lt;$LF$3:$LF$5))</f>
        <v>0</v>
      </c>
      <c r="CH12" s="1">
        <f>SUMPRODUCT(NOT(ISBLANK(CH$3:CH$5))*(CH$3:CH$5&lt;$LG$3:$LG$5))</f>
        <v>0</v>
      </c>
      <c r="CI12" s="1">
        <f>SUMPRODUCT(NOT(ISBLANK(CI$3:CI$5))*(CI$3:CI$5&lt;$LH$3:$LH$5))</f>
        <v>0</v>
      </c>
      <c r="CJ12" s="1"/>
      <c r="CK12" s="1">
        <f>SUMPRODUCT(NOT(ISBLANK(CK$3:CK$5))*(CK$3:CK$5&lt;$LI$3:$LI$5))</f>
        <v>0</v>
      </c>
      <c r="CL12" s="1">
        <f>SUMPRODUCT(NOT(ISBLANK(CL$3:CL$5))*(CL$3:CL$5&lt;$LJ$3:$LJ$5))</f>
        <v>0</v>
      </c>
      <c r="CM12" s="1">
        <f>SUMPRODUCT(NOT(ISBLANK(CM$3:CM$5))*(CM$3:CM$5&lt;$LK$3:$LK$5))</f>
        <v>0</v>
      </c>
      <c r="CN12" s="1">
        <f>SUMPRODUCT(NOT(ISBLANK(CN$3:CN$5))*(CN$3:CN$5&lt;$KU$3:$KU$5))</f>
        <v>0</v>
      </c>
      <c r="CO12" s="1">
        <f>SUMPRODUCT(NOT(ISBLANK(CO$3:CO$5))*(CO$3:CO$5&lt;$KV$3:$KV$5))</f>
        <v>0</v>
      </c>
      <c r="CP12" s="1">
        <f>SUMPRODUCT(NOT(ISBLANK(CP$3:CP$5))*(CP$3:CP$5&lt;$KW$3:$KW$5))</f>
        <v>0</v>
      </c>
      <c r="CQ12" s="1">
        <f>SUMPRODUCT(NOT(ISBLANK(CQ$3:CQ$5))*(CQ$3:CQ$5&lt;$KX$3:$KX$5))</f>
        <v>0</v>
      </c>
      <c r="CR12" s="1">
        <f>SUMPRODUCT(NOT(ISBLANK(CR$3:CR$5))*(CR$3:CR$5&lt;$KY$3:$KY$5))</f>
        <v>0</v>
      </c>
      <c r="CS12" s="1">
        <f>SUMPRODUCT(NOT(ISBLANK(CS$3:CS$5))*(CS$3:CS$5&lt;$KZ$3:$KZ$5))</f>
        <v>0</v>
      </c>
      <c r="CT12" s="1">
        <f>SUMPRODUCT(NOT(ISBLANK(CT$3:CT$5))*(CT$3:CT$5&lt;$LA$3:$LA$5))</f>
        <v>0</v>
      </c>
      <c r="CU12" s="1">
        <f>SUMPRODUCT(NOT(ISBLANK(CU$3:CU$5))*(CU$3:CU$5&lt;$LB$3:$LB$5))</f>
        <v>0</v>
      </c>
      <c r="CV12" s="1">
        <f>SUMPRODUCT(NOT(ISBLANK(CV$3:CV$5))*(CV$3:CV$5&lt;$LC$3:$LC$5))</f>
        <v>0</v>
      </c>
      <c r="CW12" s="1">
        <f>SUMPRODUCT(NOT(ISBLANK(CW$3:CW$5))*(CW$3:CW$5&lt;$LD$3:$LD$5))</f>
        <v>0</v>
      </c>
      <c r="CX12" s="1">
        <f>SUMPRODUCT(NOT(ISBLANK(CX$3:CX$5))*(CX$3:CX$5&lt;$LE$3:$LE$5))</f>
        <v>0</v>
      </c>
      <c r="CY12" s="1">
        <f>SUMPRODUCT(NOT(ISBLANK(CY$3:CY$5))*(CY$3:CY$5&lt;$LF$3:$LF$5))</f>
        <v>0</v>
      </c>
      <c r="CZ12" s="1">
        <f>SUMPRODUCT(NOT(ISBLANK(CZ$3:CZ$5))*(CZ$3:CZ$5&lt;$LG$3:$LG$5))</f>
        <v>0</v>
      </c>
      <c r="DA12" s="1">
        <f>SUMPRODUCT(NOT(ISBLANK(DA$3:DA$5))*(DA$3:DA$5&lt;$LH$3:$LH$5))</f>
        <v>0</v>
      </c>
      <c r="DB12" s="1"/>
      <c r="DC12" s="1">
        <f>SUMPRODUCT(NOT(ISBLANK(DC$3:DC$5))*(DC$3:DC$5&lt;$LI$3:$LI$5))</f>
        <v>0</v>
      </c>
      <c r="DD12" s="1">
        <f>SUMPRODUCT(NOT(ISBLANK(DD$3:DD$5))*(DD$3:DD$5&lt;$LJ$3:$LJ$5))</f>
        <v>0</v>
      </c>
      <c r="DE12" s="1">
        <f>SUMPRODUCT(NOT(ISBLANK(DE$3:DE$5))*(DE$3:DE$5&lt;$LK$3:$LK$5))</f>
        <v>0</v>
      </c>
      <c r="DF12" s="1">
        <f>SUMPRODUCT(NOT(ISBLANK(DF$3:DF$5))*(DF$3:DF$5&lt;$KU$3:$KU$5))</f>
        <v>0</v>
      </c>
      <c r="DG12" s="1">
        <f>SUMPRODUCT(NOT(ISBLANK(DG$3:DG$5))*(DG$3:DG$5&lt;$KV$3:$KV$5))</f>
        <v>0</v>
      </c>
      <c r="DH12" s="1">
        <f>SUMPRODUCT(NOT(ISBLANK(DH$3:DH$5))*(DH$3:DH$5&lt;$KW$3:$KW$5))</f>
        <v>0</v>
      </c>
      <c r="DI12" s="1">
        <f>SUMPRODUCT(NOT(ISBLANK(DI$3:DI$5))*(DI$3:DI$5&lt;$KX$3:$KX$5))</f>
        <v>0</v>
      </c>
      <c r="DJ12" s="1">
        <f>SUMPRODUCT(NOT(ISBLANK(DJ$3:DJ$5))*(DJ$3:DJ$5&lt;$KY$3:$KY$5))</f>
        <v>0</v>
      </c>
      <c r="DK12" s="1">
        <f>SUMPRODUCT(NOT(ISBLANK(DK$3:DK$5))*(DK$3:DK$5&lt;$KZ$3:$KZ$5))</f>
        <v>0</v>
      </c>
      <c r="DL12" s="1">
        <f>SUMPRODUCT(NOT(ISBLANK(DL$3:DL$5))*(DL$3:DL$5&lt;$LA$3:$LA$5))</f>
        <v>0</v>
      </c>
      <c r="DM12" s="1">
        <f>SUMPRODUCT(NOT(ISBLANK(DM$3:DM$5))*(DM$3:DM$5&lt;$LB$3:$LB$5))</f>
        <v>0</v>
      </c>
      <c r="DN12" s="1">
        <f>SUMPRODUCT(NOT(ISBLANK(DN$3:DN$5))*(DN$3:DN$5&lt;$LC$3:$LC$5))</f>
        <v>0</v>
      </c>
      <c r="DO12" s="1">
        <f>SUMPRODUCT(NOT(ISBLANK(DO$3:DO$5))*(DO$3:DO$5&lt;$LD$3:$LD$5))</f>
        <v>0</v>
      </c>
      <c r="DP12" s="1">
        <f>SUMPRODUCT(NOT(ISBLANK(DP$3:DP$5))*(DP$3:DP$5&lt;$LE$3:$LE$5))</f>
        <v>0</v>
      </c>
      <c r="DQ12" s="1">
        <f>SUMPRODUCT(NOT(ISBLANK(DQ$3:DQ$5))*(DQ$3:DQ$5&lt;$LF$3:$LF$5))</f>
        <v>0</v>
      </c>
      <c r="DR12" s="1">
        <f>SUMPRODUCT(NOT(ISBLANK(DR$3:DR$5))*(DR$3:DR$5&lt;$LG$3:$LG$5))</f>
        <v>0</v>
      </c>
      <c r="DS12" s="1">
        <f>SUMPRODUCT(NOT(ISBLANK(DS$3:DS$5))*(DS$3:DS$5&lt;$LH$3:$LH$5))</f>
        <v>0</v>
      </c>
      <c r="DT12" s="1"/>
      <c r="DU12" s="1">
        <f>SUMPRODUCT(NOT(ISBLANK(DU$3:DU$5))*(DU$3:DU$5&lt;$LI$3:$LI$5))</f>
        <v>0</v>
      </c>
      <c r="DV12" s="1">
        <f>SUMPRODUCT(NOT(ISBLANK(DV$3:DV$5))*(DV$3:DV$5&lt;$LJ$3:$LJ$5))</f>
        <v>0</v>
      </c>
      <c r="DW12" s="1">
        <f>SUMPRODUCT(NOT(ISBLANK(DW$3:DW$5))*(DW$3:DW$5&lt;$LK$3:$LK$5))</f>
        <v>0</v>
      </c>
      <c r="DX12" s="1">
        <f>SUMPRODUCT(NOT(ISBLANK(DX$3:DX$5))*(DX$3:DX$5&lt;$KU$3:$KU$5))</f>
        <v>0</v>
      </c>
      <c r="DY12" s="1">
        <f>SUMPRODUCT(NOT(ISBLANK(DY$3:DY$5))*(DY$3:DY$5&lt;$KV$3:$KV$5))</f>
        <v>0</v>
      </c>
      <c r="DZ12" s="1">
        <f>SUMPRODUCT(NOT(ISBLANK(DZ$3:DZ$5))*(DZ$3:DZ$5&lt;$KW$3:$KW$5))</f>
        <v>0</v>
      </c>
      <c r="EA12" s="1">
        <f>SUMPRODUCT(NOT(ISBLANK(EA$3:EA$5))*(EA$3:EA$5&lt;$KX$3:$KX$5))</f>
        <v>0</v>
      </c>
      <c r="EB12" s="1">
        <f>SUMPRODUCT(NOT(ISBLANK(EB$3:EB$5))*(EB$3:EB$5&lt;$KY$3:$KY$5))</f>
        <v>0</v>
      </c>
      <c r="EC12" s="1">
        <f>SUMPRODUCT(NOT(ISBLANK(EC$3:EC$5))*(EC$3:EC$5&lt;$KZ$3:$KZ$5))</f>
        <v>0</v>
      </c>
      <c r="ED12" s="1">
        <f>SUMPRODUCT(NOT(ISBLANK(ED$3:ED$5))*(ED$3:ED$5&lt;$LA$3:$LA$5))</f>
        <v>0</v>
      </c>
      <c r="EE12" s="1">
        <f>SUMPRODUCT(NOT(ISBLANK(EE$3:EE$5))*(EE$3:EE$5&lt;$LB$3:$LB$5))</f>
        <v>0</v>
      </c>
      <c r="EF12" s="1">
        <f>SUMPRODUCT(NOT(ISBLANK(EF$3:EF$5))*(EF$3:EF$5&lt;$LC$3:$LC$5))</f>
        <v>0</v>
      </c>
      <c r="EG12" s="1">
        <f>SUMPRODUCT(NOT(ISBLANK(EG$3:EG$5))*(EG$3:EG$5&lt;$LD$3:$LD$5))</f>
        <v>0</v>
      </c>
      <c r="EH12" s="1">
        <f>SUMPRODUCT(NOT(ISBLANK(EH$3:EH$5))*(EH$3:EH$5&lt;$LE$3:$LE$5))</f>
        <v>0</v>
      </c>
      <c r="EI12" s="1">
        <f>SUMPRODUCT(NOT(ISBLANK(EI$3:EI$5))*(EI$3:EI$5&lt;$LF$3:$LF$5))</f>
        <v>0</v>
      </c>
      <c r="EJ12" s="1">
        <f>SUMPRODUCT(NOT(ISBLANK(EJ$3:EJ$5))*(EJ$3:EJ$5&lt;$LG$3:$LG$5))</f>
        <v>0</v>
      </c>
      <c r="EK12" s="1">
        <f>SUMPRODUCT(NOT(ISBLANK(EK$3:EK$5))*(EK$3:EK$5&lt;$LH$3:$LH$5))</f>
        <v>0</v>
      </c>
      <c r="EL12" s="1"/>
      <c r="EM12" s="1">
        <f>SUMPRODUCT(NOT(ISBLANK(EM$3:EM$5))*(EM$3:EM$5&lt;$LI$3:$LI$5))</f>
        <v>0</v>
      </c>
      <c r="EN12" s="1">
        <f>SUMPRODUCT(NOT(ISBLANK(EN$3:EN$5))*(EN$3:EN$5&lt;$LJ$3:$LJ$5))</f>
        <v>0</v>
      </c>
      <c r="EO12" s="1">
        <f>SUMPRODUCT(NOT(ISBLANK(EO$3:EO$5))*(EO$3:EO$5&lt;$LK$3:$LK$5))</f>
        <v>0</v>
      </c>
      <c r="EP12" s="1">
        <f>SUMPRODUCT(NOT(ISBLANK(EP$3:EP$5))*(EP$3:EP$5&lt;$KU$3:$KU$5))</f>
        <v>0</v>
      </c>
      <c r="EQ12" s="1">
        <f>SUMPRODUCT(NOT(ISBLANK(EQ$3:EQ$5))*(EQ$3:EQ$5&lt;$KV$3:$KV$5))</f>
        <v>0</v>
      </c>
      <c r="ER12" s="1">
        <f>SUMPRODUCT(NOT(ISBLANK(ER$3:ER$5))*(ER$3:ER$5&lt;$KW$3:$KW$5))</f>
        <v>0</v>
      </c>
      <c r="ES12" s="1">
        <f>SUMPRODUCT(NOT(ISBLANK(ES$3:ES$5))*(ES$3:ES$5&lt;$KX$3:$KX$5))</f>
        <v>0</v>
      </c>
      <c r="ET12" s="1">
        <f>SUMPRODUCT(NOT(ISBLANK(ET$3:ET$5))*(ET$3:ET$5&lt;$KY$3:$KY$5))</f>
        <v>0</v>
      </c>
      <c r="EU12" s="1">
        <f>SUMPRODUCT(NOT(ISBLANK(EU$3:EU$5))*(EU$3:EU$5&lt;$KZ$3:$KZ$5))</f>
        <v>0</v>
      </c>
      <c r="EV12" s="1">
        <f>SUMPRODUCT(NOT(ISBLANK(EV$3:EV$5))*(EV$3:EV$5&lt;$LA$3:$LA$5))</f>
        <v>0</v>
      </c>
      <c r="EW12" s="1">
        <f>SUMPRODUCT(NOT(ISBLANK(EW$3:EW$5))*(EW$3:EW$5&lt;$LB$3:$LB$5))</f>
        <v>0</v>
      </c>
      <c r="EX12" s="1">
        <f>SUMPRODUCT(NOT(ISBLANK(EX$3:EX$5))*(EX$3:EX$5&lt;$LC$3:$LC$5))</f>
        <v>0</v>
      </c>
      <c r="EY12" s="1">
        <f>SUMPRODUCT(NOT(ISBLANK(EY$3:EY$5))*(EY$3:EY$5&lt;$LD$3:$LD$5))</f>
        <v>0</v>
      </c>
      <c r="EZ12" s="1">
        <f>SUMPRODUCT(NOT(ISBLANK(EZ$3:EZ$5))*(EZ$3:EZ$5&lt;$LE$3:$LE$5))</f>
        <v>0</v>
      </c>
      <c r="FA12" s="1">
        <f>SUMPRODUCT(NOT(ISBLANK(FA$3:FA$5))*(FA$3:FA$5&lt;$LF$3:$LF$5))</f>
        <v>0</v>
      </c>
      <c r="FB12" s="1">
        <f>SUMPRODUCT(NOT(ISBLANK(FB$3:FB$5))*(FB$3:FB$5&lt;$LG$3:$LG$5))</f>
        <v>0</v>
      </c>
      <c r="FC12" s="1">
        <f>SUMPRODUCT(NOT(ISBLANK(FC$3:FC$5))*(FC$3:FC$5&lt;$LH$3:$LH$5))</f>
        <v>0</v>
      </c>
      <c r="FD12" s="1"/>
      <c r="FE12" s="1">
        <f>SUMPRODUCT(NOT(ISBLANK(FE$3:FE$5))*(FE$3:FE$5&lt;$LI$3:$LI$5))</f>
        <v>0</v>
      </c>
      <c r="FF12" s="1">
        <f>SUMPRODUCT(NOT(ISBLANK(FF$3:FF$5))*(FF$3:FF$5&lt;$LJ$3:$LJ$5))</f>
        <v>0</v>
      </c>
      <c r="FG12" s="1">
        <f>SUMPRODUCT(NOT(ISBLANK(FG$3:FG$5))*(FG$3:FG$5&lt;$LK$3:$LK$5))</f>
        <v>0</v>
      </c>
      <c r="FH12" s="1">
        <f>SUMPRODUCT(NOT(ISBLANK(FH$3:FH$5))*(FH$3:FH$5&lt;$KU$3:$KU$5))</f>
        <v>0</v>
      </c>
      <c r="FI12" s="1">
        <f>SUMPRODUCT(NOT(ISBLANK(FI$3:FI$5))*(FI$3:FI$5&lt;$KV$3:$KV$5))</f>
        <v>0</v>
      </c>
      <c r="FJ12" s="1">
        <f>SUMPRODUCT(NOT(ISBLANK(FJ$3:FJ$5))*(FJ$3:FJ$5&lt;$KW$3:$KW$5))</f>
        <v>0</v>
      </c>
      <c r="FK12" s="1">
        <f>SUMPRODUCT(NOT(ISBLANK(FK$3:FK$5))*(FK$3:FK$5&lt;$KX$3:$KX$5))</f>
        <v>0</v>
      </c>
      <c r="FL12" s="1">
        <f>SUMPRODUCT(NOT(ISBLANK(FL$3:FL$5))*(FL$3:FL$5&lt;$KY$3:$KY$5))</f>
        <v>0</v>
      </c>
      <c r="FM12" s="1">
        <f>SUMPRODUCT(NOT(ISBLANK(FM$3:FM$5))*(FM$3:FM$5&lt;$KZ$3:$KZ$5))</f>
        <v>0</v>
      </c>
      <c r="FN12" s="1">
        <f>SUMPRODUCT(NOT(ISBLANK(FN$3:FN$5))*(FN$3:FN$5&lt;$LA$3:$LA$5))</f>
        <v>0</v>
      </c>
      <c r="FO12" s="1">
        <f>SUMPRODUCT(NOT(ISBLANK(FO$3:FO$5))*(FO$3:FO$5&lt;$LB$3:$LB$5))</f>
        <v>0</v>
      </c>
      <c r="FP12" s="1">
        <f>SUMPRODUCT(NOT(ISBLANK(FP$3:FP$5))*(FP$3:FP$5&lt;$LC$3:$LC$5))</f>
        <v>0</v>
      </c>
      <c r="FQ12" s="1">
        <f>SUMPRODUCT(NOT(ISBLANK(FQ$3:FQ$5))*(FQ$3:FQ$5&lt;$LD$3:$LD$5))</f>
        <v>0</v>
      </c>
      <c r="FR12" s="1">
        <f>SUMPRODUCT(NOT(ISBLANK(FR$3:FR$5))*(FR$3:FR$5&lt;$LE$3:$LE$5))</f>
        <v>0</v>
      </c>
      <c r="FS12" s="1">
        <f>SUMPRODUCT(NOT(ISBLANK(FS$3:FS$5))*(FS$3:FS$5&lt;$LF$3:$LF$5))</f>
        <v>0</v>
      </c>
      <c r="FT12" s="1">
        <f>SUMPRODUCT(NOT(ISBLANK(FT$3:FT$5))*(FT$3:FT$5&lt;$LG$3:$LG$5))</f>
        <v>0</v>
      </c>
      <c r="FU12" s="1">
        <f>SUMPRODUCT(NOT(ISBLANK(FU$3:FU$5))*(FU$3:FU$5&lt;$LH$3:$LH$5))</f>
        <v>0</v>
      </c>
      <c r="FV12" s="1"/>
      <c r="FW12" s="1">
        <f>SUMPRODUCT(NOT(ISBLANK(FW$3:FW$5))*(FW$3:FW$5&lt;$LI$3:$LI$5))</f>
        <v>0</v>
      </c>
      <c r="FX12" s="1">
        <f>SUMPRODUCT(NOT(ISBLANK(FX$3:FX$5))*(FX$3:FX$5&lt;$LJ$3:$LJ$5))</f>
        <v>0</v>
      </c>
      <c r="FY12" s="1">
        <f>SUMPRODUCT(NOT(ISBLANK(FY$3:FY$5))*(FY$3:FY$5&lt;$LK$3:$LK$5))</f>
        <v>0</v>
      </c>
      <c r="FZ12" s="1">
        <f>SUMPRODUCT(NOT(ISBLANK(FZ$3:FZ$5))*(FZ$3:FZ$5&lt;$KU$3:$KU$5))</f>
        <v>0</v>
      </c>
      <c r="GA12" s="1">
        <f>SUMPRODUCT(NOT(ISBLANK(GA$3:GA$5))*(GA$3:GA$5&lt;$KV$3:$KV$5))</f>
        <v>0</v>
      </c>
      <c r="GB12" s="1">
        <f>SUMPRODUCT(NOT(ISBLANK(GB$3:GB$5))*(GB$3:GB$5&lt;$KW$3:$KW$5))</f>
        <v>0</v>
      </c>
      <c r="GC12" s="1">
        <f>SUMPRODUCT(NOT(ISBLANK(GC$3:GC$5))*(GC$3:GC$5&lt;$KX$3:$KX$5))</f>
        <v>0</v>
      </c>
      <c r="GD12" s="1">
        <f>SUMPRODUCT(NOT(ISBLANK(GD$3:GD$5))*(GD$3:GD$5&lt;$KY$3:$KY$5))</f>
        <v>0</v>
      </c>
      <c r="GE12" s="1">
        <f>SUMPRODUCT(NOT(ISBLANK(GE$3:GE$5))*(GE$3:GE$5&lt;$KZ$3:$KZ$5))</f>
        <v>0</v>
      </c>
      <c r="GF12" s="1">
        <f>SUMPRODUCT(NOT(ISBLANK(GF$3:GF$5))*(GF$3:GF$5&lt;$LA$3:$LA$5))</f>
        <v>0</v>
      </c>
      <c r="GG12" s="1">
        <f>SUMPRODUCT(NOT(ISBLANK(GG$3:GG$5))*(GG$3:GG$5&lt;$LB$3:$LB$5))</f>
        <v>0</v>
      </c>
      <c r="GH12" s="1">
        <f>SUMPRODUCT(NOT(ISBLANK(GH$3:GH$5))*(GH$3:GH$5&lt;$LC$3:$LC$5))</f>
        <v>0</v>
      </c>
      <c r="GI12" s="1">
        <f>SUMPRODUCT(NOT(ISBLANK(GI$3:GI$5))*(GI$3:GI$5&lt;$LD$3:$LD$5))</f>
        <v>0</v>
      </c>
      <c r="GJ12" s="1">
        <f>SUMPRODUCT(NOT(ISBLANK(GJ$3:GJ$5))*(GJ$3:GJ$5&lt;$LE$3:$LE$5))</f>
        <v>0</v>
      </c>
      <c r="GK12" s="1">
        <f>SUMPRODUCT(NOT(ISBLANK(GK$3:GK$5))*(GK$3:GK$5&lt;$LF$3:$LF$5))</f>
        <v>0</v>
      </c>
      <c r="GL12" s="1">
        <f>SUMPRODUCT(NOT(ISBLANK(GL$3:GL$5))*(GL$3:GL$5&lt;$LG$3:$LG$5))</f>
        <v>0</v>
      </c>
      <c r="GM12" s="1">
        <f>SUMPRODUCT(NOT(ISBLANK(GM$3:GM$5))*(GM$3:GM$5&lt;$LH$3:$LH$5))</f>
        <v>0</v>
      </c>
      <c r="GN12" s="1"/>
      <c r="GO12" s="1">
        <f>SUMPRODUCT(NOT(ISBLANK(GO$3:GO$5))*(GO$3:GO$5&lt;$LI$3:$LI$5))</f>
        <v>0</v>
      </c>
      <c r="GP12" s="1">
        <f>SUMPRODUCT(NOT(ISBLANK(GP$3:GP$5))*(GP$3:GP$5&lt;$LJ$3:$LJ$5))</f>
        <v>0</v>
      </c>
      <c r="GQ12" s="1">
        <f>SUMPRODUCT(NOT(ISBLANK(GQ$3:GQ$5))*(GQ$3:GQ$5&lt;$LK$3:$LK$5))</f>
        <v>0</v>
      </c>
      <c r="GR12" s="1">
        <f>SUMPRODUCT(NOT(ISBLANK(GR$3:GR$5))*(GR$3:GR$5&lt;$KU$3:$KU$5))</f>
        <v>0</v>
      </c>
      <c r="GS12" s="1">
        <f>SUMPRODUCT(NOT(ISBLANK(GS$3:GS$5))*(GS$3:GS$5&lt;$KV$3:$KV$5))</f>
        <v>0</v>
      </c>
      <c r="GT12" s="1">
        <f>SUMPRODUCT(NOT(ISBLANK(GT$3:GT$5))*(GT$3:GT$5&lt;$KW$3:$KW$5))</f>
        <v>0</v>
      </c>
      <c r="GU12" s="1">
        <f>SUMPRODUCT(NOT(ISBLANK(GU$3:GU$5))*(GU$3:GU$5&lt;$KX$3:$KX$5))</f>
        <v>0</v>
      </c>
      <c r="GV12" s="1">
        <f>SUMPRODUCT(NOT(ISBLANK(GV$3:GV$5))*(GV$3:GV$5&lt;$KY$3:$KY$5))</f>
        <v>0</v>
      </c>
      <c r="GW12" s="1">
        <f>SUMPRODUCT(NOT(ISBLANK(GW$3:GW$5))*(GW$3:GW$5&lt;$KZ$3:$KZ$5))</f>
        <v>0</v>
      </c>
      <c r="GX12" s="1">
        <f>SUMPRODUCT(NOT(ISBLANK(GX$3:GX$5))*(GX$3:GX$5&lt;$LA$3:$LA$5))</f>
        <v>0</v>
      </c>
      <c r="GY12" s="1">
        <f>SUMPRODUCT(NOT(ISBLANK(GY$3:GY$5))*(GY$3:GY$5&lt;$LB$3:$LB$5))</f>
        <v>0</v>
      </c>
      <c r="GZ12" s="1">
        <f>SUMPRODUCT(NOT(ISBLANK(GZ$3:GZ$5))*(GZ$3:GZ$5&lt;$LC$3:$LC$5))</f>
        <v>0</v>
      </c>
      <c r="HA12" s="1">
        <f>SUMPRODUCT(NOT(ISBLANK(HA$3:HA$5))*(HA$3:HA$5&lt;$LD$3:$LD$5))</f>
        <v>0</v>
      </c>
      <c r="HB12" s="1">
        <f>SUMPRODUCT(NOT(ISBLANK(HB$3:HB$5))*(HB$3:HB$5&lt;$LE$3:$LE$5))</f>
        <v>0</v>
      </c>
      <c r="HC12" s="1">
        <f>SUMPRODUCT(NOT(ISBLANK(HC$3:HC$5))*(HC$3:HC$5&lt;$LF$3:$LF$5))</f>
        <v>0</v>
      </c>
      <c r="HD12" s="1">
        <f>SUMPRODUCT(NOT(ISBLANK(HD$3:HD$5))*(HD$3:HD$5&lt;$LG$3:$LG$5))</f>
        <v>0</v>
      </c>
      <c r="HE12" s="1">
        <f>SUMPRODUCT(NOT(ISBLANK(HE$3:HE$5))*(HE$3:HE$5&lt;$LH$3:$LH$5))</f>
        <v>0</v>
      </c>
      <c r="HF12" s="1"/>
      <c r="HG12" s="1">
        <f>SUMPRODUCT(NOT(ISBLANK(HG$3:HG$5))*(HG$3:HG$5&lt;$LI$3:$LI$5))</f>
        <v>0</v>
      </c>
      <c r="HH12" s="1">
        <f>SUMPRODUCT(NOT(ISBLANK(HH$3:HH$5))*(HH$3:HH$5&lt;$LJ$3:$LJ$5))</f>
        <v>0</v>
      </c>
      <c r="HI12" s="1">
        <f>SUMPRODUCT(NOT(ISBLANK(HI$3:HI$5))*(HI$3:HI$5&lt;$LK$3:$LK$5))</f>
        <v>0</v>
      </c>
      <c r="HJ12" s="1">
        <f>SUMPRODUCT(NOT(ISBLANK(HJ$3:HJ$5))*(HJ$3:HJ$5&lt;$KU$3:$KU$5))</f>
        <v>0</v>
      </c>
      <c r="HK12" s="1">
        <f>SUMPRODUCT(NOT(ISBLANK(HK$3:HK$5))*(HK$3:HK$5&lt;$KV$3:$KV$5))</f>
        <v>0</v>
      </c>
      <c r="HL12" s="1">
        <f>SUMPRODUCT(NOT(ISBLANK(HL$3:HL$5))*(HL$3:HL$5&lt;$KW$3:$KW$5))</f>
        <v>0</v>
      </c>
      <c r="HM12" s="1">
        <f>SUMPRODUCT(NOT(ISBLANK(HM$3:HM$5))*(HM$3:HM$5&lt;$KX$3:$KX$5))</f>
        <v>0</v>
      </c>
      <c r="HN12" s="1">
        <f>SUMPRODUCT(NOT(ISBLANK(HN$3:HN$5))*(HN$3:HN$5&lt;$KY$3:$KY$5))</f>
        <v>0</v>
      </c>
      <c r="HO12" s="1">
        <f>SUMPRODUCT(NOT(ISBLANK(HO$3:HO$5))*(HO$3:HO$5&lt;$KZ$3:$KZ$5))</f>
        <v>0</v>
      </c>
      <c r="HP12" s="1">
        <f>SUMPRODUCT(NOT(ISBLANK(HP$3:HP$5))*(HP$3:HP$5&lt;$LA$3:$LA$5))</f>
        <v>0</v>
      </c>
      <c r="HQ12" s="1">
        <f>SUMPRODUCT(NOT(ISBLANK(HQ$3:HQ$5))*(HQ$3:HQ$5&lt;$LB$3:$LB$5))</f>
        <v>0</v>
      </c>
      <c r="HR12" s="1">
        <f>SUMPRODUCT(NOT(ISBLANK(HR$3:HR$5))*(HR$3:HR$5&lt;$LC$3:$LC$5))</f>
        <v>0</v>
      </c>
      <c r="HS12" s="1">
        <f>SUMPRODUCT(NOT(ISBLANK(HS$3:HS$5))*(HS$3:HS$5&lt;$LD$3:$LD$5))</f>
        <v>0</v>
      </c>
      <c r="HT12" s="1">
        <f>SUMPRODUCT(NOT(ISBLANK(HT$3:HT$5))*(HT$3:HT$5&lt;$LE$3:$LE$5))</f>
        <v>0</v>
      </c>
      <c r="HU12" s="1">
        <f>SUMPRODUCT(NOT(ISBLANK(HU$3:HU$5))*(HU$3:HU$5&lt;$LF$3:$LF$5))</f>
        <v>0</v>
      </c>
      <c r="HV12" s="1">
        <f>SUMPRODUCT(NOT(ISBLANK(HV$3:HV$5))*(HV$3:HV$5&lt;$LG$3:$LG$5))</f>
        <v>0</v>
      </c>
      <c r="HW12" s="1">
        <f>SUMPRODUCT(NOT(ISBLANK(HW$3:HW$5))*(HW$3:HW$5&lt;$LH$3:$LH$5))</f>
        <v>0</v>
      </c>
      <c r="HX12" s="1"/>
      <c r="HY12" s="1">
        <f>SUMPRODUCT(NOT(ISBLANK(HY$3:HY$5))*(HY$3:HY$5&lt;$LI$3:$LI$5))</f>
        <v>0</v>
      </c>
      <c r="HZ12" s="1">
        <f>SUMPRODUCT(NOT(ISBLANK(HZ$3:HZ$5))*(HZ$3:HZ$5&lt;$LJ$3:$LJ$5))</f>
        <v>0</v>
      </c>
      <c r="IA12" s="1">
        <f>SUMPRODUCT(NOT(ISBLANK(IA$3:IA$5))*(IA$3:IA$5&lt;$LK$3:$LK$5))</f>
        <v>0</v>
      </c>
      <c r="IB12" s="1">
        <f>SUMPRODUCT(NOT(ISBLANK(IB$3:IB$5))*(IB$3:IB$5&lt;$KU$3:$KU$5))</f>
        <v>0</v>
      </c>
      <c r="IC12" s="1">
        <f>SUMPRODUCT(NOT(ISBLANK(IC$3:IC$5))*(IC$3:IC$5&lt;$KV$3:$KV$5))</f>
        <v>0</v>
      </c>
      <c r="ID12" s="1">
        <f>SUMPRODUCT(NOT(ISBLANK(ID$3:ID$5))*(ID$3:ID$5&lt;$KW$3:$KW$5))</f>
        <v>0</v>
      </c>
      <c r="IE12" s="1">
        <f>SUMPRODUCT(NOT(ISBLANK(IE$3:IE$5))*(IE$3:IE$5&lt;$KX$3:$KX$5))</f>
        <v>0</v>
      </c>
      <c r="IF12" s="1">
        <f>SUMPRODUCT(NOT(ISBLANK(IF$3:IF$5))*(IF$3:IF$5&lt;$KY$3:$KY$5))</f>
        <v>0</v>
      </c>
      <c r="IG12" s="1">
        <f>SUMPRODUCT(NOT(ISBLANK(IG$3:IG$5))*(IG$3:IG$5&lt;$KZ$3:$KZ$5))</f>
        <v>0</v>
      </c>
      <c r="IH12" s="1">
        <f>SUMPRODUCT(NOT(ISBLANK(IH$3:IH$5))*(IH$3:IH$5&lt;$LA$3:$LA$5))</f>
        <v>0</v>
      </c>
      <c r="II12" s="1">
        <f>SUMPRODUCT(NOT(ISBLANK(II$3:II$5))*(II$3:II$5&lt;$LB$3:$LB$5))</f>
        <v>0</v>
      </c>
      <c r="IJ12" s="1">
        <f>SUMPRODUCT(NOT(ISBLANK(IJ$3:IJ$5))*(IJ$3:IJ$5&lt;$LC$3:$LC$5))</f>
        <v>0</v>
      </c>
      <c r="IK12" s="1">
        <f>SUMPRODUCT(NOT(ISBLANK(IK$3:IK$5))*(IK$3:IK$5&lt;$LD$3:$LD$5))</f>
        <v>0</v>
      </c>
      <c r="IL12" s="1">
        <f>SUMPRODUCT(NOT(ISBLANK(IL$3:IL$5))*(IL$3:IL$5&lt;$LE$3:$LE$5))</f>
        <v>0</v>
      </c>
      <c r="IM12" s="1">
        <f>SUMPRODUCT(NOT(ISBLANK(IM$3:IM$5))*(IM$3:IM$5&lt;$LF$3:$LF$5))</f>
        <v>0</v>
      </c>
      <c r="IN12" s="1">
        <f>SUMPRODUCT(NOT(ISBLANK(IN$3:IN$5))*(IN$3:IN$5&lt;$LG$3:$LG$5))</f>
        <v>0</v>
      </c>
      <c r="IO12" s="1">
        <f>SUMPRODUCT(NOT(ISBLANK(IO$3:IO$5))*(IO$3:IO$5&lt;$LH$3:$LH$5))</f>
        <v>0</v>
      </c>
      <c r="IP12" s="1"/>
      <c r="IQ12" s="1">
        <f>SUMPRODUCT(NOT(ISBLANK(IQ$3:IQ$5))*(IQ$3:IQ$5&lt;$LI$3:$LI$5))</f>
        <v>0</v>
      </c>
      <c r="IR12" s="1">
        <f>SUMPRODUCT(NOT(ISBLANK(IR$3:IR$5))*(IR$3:IR$5&lt;$LJ$3:$LJ$5))</f>
        <v>0</v>
      </c>
      <c r="IS12" s="1">
        <f>SUMPRODUCT(NOT(ISBLANK(IS$3:IS$5))*(IS$3:IS$5&lt;$LK$3:$LK$5))</f>
        <v>0</v>
      </c>
      <c r="IT12" s="1">
        <f>SUMPRODUCT(NOT(ISBLANK(IT$3:IT$5))*(IT$3:IT$5&lt;$KU$3:$KU$5))</f>
        <v>0</v>
      </c>
      <c r="IU12" s="1">
        <f>SUMPRODUCT(NOT(ISBLANK(IU$3:IU$5))*(IU$3:IU$5&lt;$KV$3:$KV$5))</f>
        <v>0</v>
      </c>
      <c r="IV12" s="1">
        <f>SUMPRODUCT(NOT(ISBLANK(IV$3:IV$5))*(IV$3:IV$5&lt;$KW$3:$KW$5))</f>
        <v>0</v>
      </c>
      <c r="IW12" s="1">
        <f>SUMPRODUCT(NOT(ISBLANK(IW$3:IW$5))*(IW$3:IW$5&lt;$KX$3:$KX$5))</f>
        <v>0</v>
      </c>
      <c r="IX12" s="1">
        <f>SUMPRODUCT(NOT(ISBLANK(IX$3:IX$5))*(IX$3:IX$5&lt;$KY$3:$KY$5))</f>
        <v>0</v>
      </c>
      <c r="IY12" s="1">
        <f>SUMPRODUCT(NOT(ISBLANK(IY$3:IY$5))*(IY$3:IY$5&lt;$KZ$3:$KZ$5))</f>
        <v>0</v>
      </c>
      <c r="IZ12" s="1">
        <f>SUMPRODUCT(NOT(ISBLANK(IZ$3:IZ$5))*(IZ$3:IZ$5&lt;$LA$3:$LA$5))</f>
        <v>0</v>
      </c>
      <c r="JA12" s="1">
        <f>SUMPRODUCT(NOT(ISBLANK(JA$3:JA$5))*(JA$3:JA$5&lt;$LB$3:$LB$5))</f>
        <v>0</v>
      </c>
      <c r="JB12" s="1">
        <f>SUMPRODUCT(NOT(ISBLANK(JB$3:JB$5))*(JB$3:JB$5&lt;$LC$3:$LC$5))</f>
        <v>0</v>
      </c>
      <c r="JC12" s="1">
        <f>SUMPRODUCT(NOT(ISBLANK(JC$3:JC$5))*(JC$3:JC$5&lt;$LD$3:$LD$5))</f>
        <v>0</v>
      </c>
      <c r="JD12" s="1">
        <f>SUMPRODUCT(NOT(ISBLANK(JD$3:JD$5))*(JD$3:JD$5&lt;$LE$3:$LE$5))</f>
        <v>0</v>
      </c>
      <c r="JE12" s="1">
        <f>SUMPRODUCT(NOT(ISBLANK(JE$3:JE$5))*(JE$3:JE$5&lt;$LF$3:$LF$5))</f>
        <v>0</v>
      </c>
      <c r="JF12" s="1">
        <f>SUMPRODUCT(NOT(ISBLANK(JF$3:JF$5))*(JF$3:JF$5&lt;$LG$3:$LG$5))</f>
        <v>0</v>
      </c>
      <c r="JG12" s="1">
        <f>SUMPRODUCT(NOT(ISBLANK(JG$3:JG$5))*(JG$3:JG$5&lt;$LH$3:$LH$5))</f>
        <v>0</v>
      </c>
      <c r="JH12" s="1"/>
      <c r="JI12" s="1">
        <f>SUMPRODUCT(NOT(ISBLANK(JI$3:JI$5))*(JI$3:JI$5&lt;$LI$3:$LI$5))</f>
        <v>0</v>
      </c>
      <c r="JJ12" s="1">
        <f>SUMPRODUCT(NOT(ISBLANK(JJ$3:JJ$5))*(JJ$3:JJ$5&lt;$LJ$3:$LJ$5))</f>
        <v>0</v>
      </c>
      <c r="JK12" s="1">
        <f>SUMPRODUCT(NOT(ISBLANK(JK$3:JK$5))*(JK$3:JK$5&lt;$LK$3:$LK$5))</f>
        <v>0</v>
      </c>
      <c r="JL12" s="1">
        <f>SUMPRODUCT(NOT(ISBLANK(JL$3:JL$5))*(JL$3:JL$5&lt;$KU$3:$KU$5))</f>
        <v>0</v>
      </c>
      <c r="JM12" s="1">
        <f>SUMPRODUCT(NOT(ISBLANK(JM$3:JM$5))*(JM$3:JM$5&lt;$KV$3:$KV$5))</f>
        <v>0</v>
      </c>
      <c r="JN12" s="1">
        <f>SUMPRODUCT(NOT(ISBLANK(JN$3:JN$5))*(JN$3:JN$5&lt;$KW$3:$KW$5))</f>
        <v>0</v>
      </c>
      <c r="JO12" s="1">
        <f>SUMPRODUCT(NOT(ISBLANK(JO$3:JO$5))*(JO$3:JO$5&lt;$KX$3:$KX$5))</f>
        <v>0</v>
      </c>
      <c r="JP12" s="1">
        <f>SUMPRODUCT(NOT(ISBLANK(JP$3:JP$5))*(JP$3:JP$5&lt;$KY$3:$KY$5))</f>
        <v>0</v>
      </c>
      <c r="JQ12" s="1">
        <f>SUMPRODUCT(NOT(ISBLANK(JQ$3:JQ$5))*(JQ$3:JQ$5&lt;$KZ$3:$KZ$5))</f>
        <v>0</v>
      </c>
      <c r="JR12" s="1">
        <f>SUMPRODUCT(NOT(ISBLANK(JR$3:JR$5))*(JR$3:JR$5&lt;$LA$3:$LA$5))</f>
        <v>0</v>
      </c>
      <c r="JS12" s="1">
        <f>SUMPRODUCT(NOT(ISBLANK(JS$3:JS$5))*(JS$3:JS$5&lt;$LB$3:$LB$5))</f>
        <v>0</v>
      </c>
      <c r="JT12" s="1">
        <f>SUMPRODUCT(NOT(ISBLANK(JT$3:JT$5))*(JT$3:JT$5&lt;$LC$3:$LC$5))</f>
        <v>0</v>
      </c>
      <c r="JU12" s="1">
        <f>SUMPRODUCT(NOT(ISBLANK(JU$3:JU$5))*(JU$3:JU$5&lt;$LD$3:$LD$5))</f>
        <v>0</v>
      </c>
      <c r="JV12" s="1">
        <f>SUMPRODUCT(NOT(ISBLANK(JV$3:JV$5))*(JV$3:JV$5&lt;$LE$3:$LE$5))</f>
        <v>0</v>
      </c>
      <c r="JW12" s="1">
        <f>SUMPRODUCT(NOT(ISBLANK(JW$3:JW$5))*(JW$3:JW$5&lt;$LF$3:$LF$5))</f>
        <v>0</v>
      </c>
      <c r="JX12" s="1">
        <f>SUMPRODUCT(NOT(ISBLANK(JX$3:JX$5))*(JX$3:JX$5&lt;$LG$3:$LG$5))</f>
        <v>0</v>
      </c>
      <c r="JY12" s="1">
        <f>SUMPRODUCT(NOT(ISBLANK(JY$3:JY$5))*(JY$3:JY$5&lt;$LH$3:$LH$5))</f>
        <v>0</v>
      </c>
      <c r="JZ12" s="1"/>
      <c r="KA12" s="1">
        <f>SUMPRODUCT(NOT(ISBLANK(KA$3:KA$5))*(KA$3:KA$5&lt;$LI$3:$LI$5))</f>
        <v>0</v>
      </c>
      <c r="KB12" s="1">
        <f>SUMPRODUCT(NOT(ISBLANK(KB$3:KB$5))*(KB$3:KB$5&lt;$LJ$3:$LJ$5))</f>
        <v>0</v>
      </c>
      <c r="KC12" s="1">
        <f>SUMPRODUCT(NOT(ISBLANK(KC$3:KC$5))*(KC$3:KC$5&lt;$LK$3:$LK$5))</f>
        <v>0</v>
      </c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</row>
    <row r="13" spans="1:340">
      <c r="A13" s="1" t="s">
        <v>38</v>
      </c>
      <c r="B13" s="1">
        <f>SUMPRODUCT((NOT(ISBLANK(B$3:B$5))*(B$3:B$5&gt;$KU$3:$KU$5))+ISBLANK(B$3:B$5))</f>
        <v>0</v>
      </c>
      <c r="C13" s="1">
        <f>SUMPRODUCT((NOT(ISBLANK(C$3:C$5))*(C$3:C$5&gt;$KV$3:$KV$5))+ISBLANK(C$3:C$5))</f>
        <v>0</v>
      </c>
      <c r="D13" s="1">
        <f>SUMPRODUCT((NOT(ISBLANK(D$3:D$5))*(D$3:D$5&gt;$KW$3:$KW$5))+ISBLANK(D$3:D$5))</f>
        <v>0</v>
      </c>
      <c r="E13" s="1">
        <f>SUMPRODUCT((NOT(ISBLANK(E$3:E$5))*(E$3:E$5&gt;$KX$3:$KX$5))+ISBLANK(E$3:E$5))</f>
        <v>0</v>
      </c>
      <c r="F13" s="1">
        <f>SUMPRODUCT((NOT(ISBLANK(F$3:F$5))*(F$3:F$5&gt;$KY$3:$KY$5))+ISBLANK(F$3:F$5))</f>
        <v>0</v>
      </c>
      <c r="G13" s="1">
        <f>SUMPRODUCT((NOT(ISBLANK(G$3:G$5))*(G$3:G$5&gt;$KZ$3:$KZ$5))+ISBLANK(G$3:G$5))</f>
        <v>0</v>
      </c>
      <c r="H13" s="1">
        <f>SUMPRODUCT((NOT(ISBLANK(H$3:H$5))*(H$3:H$5&gt;$LA$3:$LA$5))+ISBLANK(H$3:H$5))</f>
        <v>0</v>
      </c>
      <c r="I13" s="1">
        <f>SUMPRODUCT((NOT(ISBLANK(I$3:I$5))*(I$3:I$5&gt;$LB$3:$LB$5))+ISBLANK(I$3:I$5))</f>
        <v>0</v>
      </c>
      <c r="J13" s="1">
        <f>SUMPRODUCT((NOT(ISBLANK(J$3:J$5))*(J$3:J$5&gt;$LC$3:$LC$5))+ISBLANK(J$3:J$5))</f>
        <v>0</v>
      </c>
      <c r="K13" s="1">
        <f>SUMPRODUCT((NOT(ISBLANK(K$3:K$5))*(K$3:K$5&gt;$LD$3:$LD$5))+ISBLANK(K$3:K$5))</f>
        <v>0</v>
      </c>
      <c r="L13" s="1">
        <f>SUMPRODUCT((NOT(ISBLANK(L$3:L$5))*(L$3:L$5&gt;$LE$3:$LE$5))+ISBLANK(L$3:L$5))</f>
        <v>0</v>
      </c>
      <c r="M13" s="1">
        <f>SUMPRODUCT((NOT(ISBLANK(M$3:M$5))*(M$3:M$5&gt;$LF$3:$LF$5))+ISBLANK(M$3:M$5))</f>
        <v>0</v>
      </c>
      <c r="N13" s="1">
        <f>SUMPRODUCT((NOT(ISBLANK(N$3:N$5))*(N$3:N$5&gt;$LG$3:$LG$5))+ISBLANK(N$3:N$5))</f>
        <v>0</v>
      </c>
      <c r="O13" s="1">
        <f>SUMPRODUCT((NOT(ISBLANK(O$3:O$5))*(O$3:O$5&gt;$LH$3:$LH$5))+ISBLANK(O$3:O$5))</f>
        <v>0</v>
      </c>
      <c r="P13" s="1"/>
      <c r="Q13" s="1">
        <f>SUMPRODUCT((NOT(ISBLANK(Q$3:Q$5))*(Q$3:Q$5&gt;$LI$3:$LI$5))+ISBLANK(Q$3:Q$5))</f>
        <v>0</v>
      </c>
      <c r="R13" s="1">
        <f>SUMPRODUCT((NOT(ISBLANK(R$3:R$5))*(R$3:R$5&gt;$LJ$3:$LJ$5))+ISBLANK(R$3:R$5))</f>
        <v>0</v>
      </c>
      <c r="S13" s="1">
        <f>SUMPRODUCT((NOT(ISBLANK(S$3:S$5))*(S$3:S$5&gt;$LK$3:$LK$5))+ISBLANK(S$3:S$5))</f>
        <v>0</v>
      </c>
      <c r="T13" s="1">
        <f>SUMPRODUCT((NOT(ISBLANK(T$3:T$5))*(T$3:T$5&gt;$KU$3:$KU$5))+ISBLANK(T$3:T$5))</f>
        <v>0</v>
      </c>
      <c r="U13" s="1">
        <f>SUMPRODUCT((NOT(ISBLANK(U$3:U$5))*(U$3:U$5&gt;$KV$3:$KV$5))+ISBLANK(U$3:U$5))</f>
        <v>0</v>
      </c>
      <c r="V13" s="1">
        <f>SUMPRODUCT((NOT(ISBLANK(V$3:V$5))*(V$3:V$5&gt;$KW$3:$KW$5))+ISBLANK(V$3:V$5))</f>
        <v>0</v>
      </c>
      <c r="W13" s="1">
        <f>SUMPRODUCT((NOT(ISBLANK(W$3:W$5))*(W$3:W$5&gt;$KX$3:$KX$5))+ISBLANK(W$3:W$5))</f>
        <v>0</v>
      </c>
      <c r="X13" s="1">
        <f>SUMPRODUCT((NOT(ISBLANK(X$3:X$5))*(X$3:X$5&gt;$KY$3:$KY$5))+ISBLANK(X$3:X$5))</f>
        <v>0</v>
      </c>
      <c r="Y13" s="1">
        <f>SUMPRODUCT((NOT(ISBLANK(Y$3:Y$5))*(Y$3:Y$5&gt;$KZ$3:$KZ$5))+ISBLANK(Y$3:Y$5))</f>
        <v>0</v>
      </c>
      <c r="Z13" s="1">
        <f>SUMPRODUCT((NOT(ISBLANK(Z$3:Z$5))*(Z$3:Z$5&gt;$LA$3:$LA$5))+ISBLANK(Z$3:Z$5))</f>
        <v>0</v>
      </c>
      <c r="AA13" s="1">
        <f>SUMPRODUCT((NOT(ISBLANK(AA$3:AA$5))*(AA$3:AA$5&gt;$LB$3:$LB$5))+ISBLANK(AA$3:AA$5))</f>
        <v>0</v>
      </c>
      <c r="AB13" s="1">
        <f>SUMPRODUCT((NOT(ISBLANK(AB$3:AB$5))*(AB$3:AB$5&gt;$LC$3:$LC$5))+ISBLANK(AB$3:AB$5))</f>
        <v>0</v>
      </c>
      <c r="AC13" s="1">
        <f>SUMPRODUCT((NOT(ISBLANK(AC$3:AC$5))*(AC$3:AC$5&gt;$LD$3:$LD$5))+ISBLANK(AC$3:AC$5))</f>
        <v>0</v>
      </c>
      <c r="AD13" s="1">
        <f>SUMPRODUCT((NOT(ISBLANK(AD$3:AD$5))*(AD$3:AD$5&gt;$LE$3:$LE$5))+ISBLANK(AD$3:AD$5))</f>
        <v>0</v>
      </c>
      <c r="AE13" s="1">
        <f>SUMPRODUCT((NOT(ISBLANK(AE$3:AE$5))*(AE$3:AE$5&gt;$LF$3:$LF$5))+ISBLANK(AE$3:AE$5))</f>
        <v>0</v>
      </c>
      <c r="AF13" s="1">
        <f>SUMPRODUCT((NOT(ISBLANK(AF$3:AF$5))*(AF$3:AF$5&gt;$LG$3:$LG$5))+ISBLANK(AF$3:AF$5))</f>
        <v>0</v>
      </c>
      <c r="AG13" s="1">
        <f>SUMPRODUCT((NOT(ISBLANK(AG$3:AG$5))*(AG$3:AG$5&gt;$LH$3:$LH$5))+ISBLANK(AG$3:AG$5))</f>
        <v>0</v>
      </c>
      <c r="AH13" s="1"/>
      <c r="AI13" s="1">
        <f>SUMPRODUCT((NOT(ISBLANK(AI$3:AI$5))*(AI$3:AI$5&gt;$LI$3:$LI$5))+ISBLANK(AI$3:AI$5))</f>
        <v>0</v>
      </c>
      <c r="AJ13" s="1">
        <f>SUMPRODUCT((NOT(ISBLANK(AJ$3:AJ$5))*(AJ$3:AJ$5&gt;$LJ$3:$LJ$5))+ISBLANK(AJ$3:AJ$5))</f>
        <v>0</v>
      </c>
      <c r="AK13" s="1">
        <f>SUMPRODUCT((NOT(ISBLANK(AK$3:AK$5))*(AK$3:AK$5&gt;$LK$3:$LK$5))+ISBLANK(AK$3:AK$5))</f>
        <v>0</v>
      </c>
      <c r="AL13" s="1">
        <f>SUMPRODUCT((NOT(ISBLANK(AL$3:AL$5))*(AL$3:AL$5&gt;$KU$3:$KU$5))+ISBLANK(AL$3:AL$5))</f>
        <v>0</v>
      </c>
      <c r="AM13" s="1">
        <f>SUMPRODUCT((NOT(ISBLANK(AM$3:AM$5))*(AM$3:AM$5&gt;$KV$3:$KV$5))+ISBLANK(AM$3:AM$5))</f>
        <v>0</v>
      </c>
      <c r="AN13" s="1">
        <f>SUMPRODUCT((NOT(ISBLANK(AN$3:AN$5))*(AN$3:AN$5&gt;$KW$3:$KW$5))+ISBLANK(AN$3:AN$5))</f>
        <v>0</v>
      </c>
      <c r="AO13" s="1">
        <f>SUMPRODUCT((NOT(ISBLANK(AO$3:AO$5))*(AO$3:AO$5&gt;$KX$3:$KX$5))+ISBLANK(AO$3:AO$5))</f>
        <v>0</v>
      </c>
      <c r="AP13" s="1">
        <f>SUMPRODUCT((NOT(ISBLANK(AP$3:AP$5))*(AP$3:AP$5&gt;$KY$3:$KY$5))+ISBLANK(AP$3:AP$5))</f>
        <v>0</v>
      </c>
      <c r="AQ13" s="1">
        <f>SUMPRODUCT((NOT(ISBLANK(AQ$3:AQ$5))*(AQ$3:AQ$5&gt;$KZ$3:$KZ$5))+ISBLANK(AQ$3:AQ$5))</f>
        <v>0</v>
      </c>
      <c r="AR13" s="1">
        <f>SUMPRODUCT((NOT(ISBLANK(AR$3:AR$5))*(AR$3:AR$5&gt;$LA$3:$LA$5))+ISBLANK(AR$3:AR$5))</f>
        <v>0</v>
      </c>
      <c r="AS13" s="1">
        <f>SUMPRODUCT((NOT(ISBLANK(AS$3:AS$5))*(AS$3:AS$5&gt;$LB$3:$LB$5))+ISBLANK(AS$3:AS$5))</f>
        <v>0</v>
      </c>
      <c r="AT13" s="1">
        <f>SUMPRODUCT((NOT(ISBLANK(AT$3:AT$5))*(AT$3:AT$5&gt;$LC$3:$LC$5))+ISBLANK(AT$3:AT$5))</f>
        <v>0</v>
      </c>
      <c r="AU13" s="1">
        <f>SUMPRODUCT((NOT(ISBLANK(AU$3:AU$5))*(AU$3:AU$5&gt;$LD$3:$LD$5))+ISBLANK(AU$3:AU$5))</f>
        <v>0</v>
      </c>
      <c r="AV13" s="1">
        <f>SUMPRODUCT((NOT(ISBLANK(AV$3:AV$5))*(AV$3:AV$5&gt;$LE$3:$LE$5))+ISBLANK(AV$3:AV$5))</f>
        <v>0</v>
      </c>
      <c r="AW13" s="1">
        <f>SUMPRODUCT((NOT(ISBLANK(AW$3:AW$5))*(AW$3:AW$5&gt;$LF$3:$LF$5))+ISBLANK(AW$3:AW$5))</f>
        <v>0</v>
      </c>
      <c r="AX13" s="1">
        <f>SUMPRODUCT((NOT(ISBLANK(AX$3:AX$5))*(AX$3:AX$5&gt;$LG$3:$LG$5))+ISBLANK(AX$3:AX$5))</f>
        <v>0</v>
      </c>
      <c r="AY13" s="1">
        <f>SUMPRODUCT((NOT(ISBLANK(AY$3:AY$5))*(AY$3:AY$5&gt;$LH$3:$LH$5))+ISBLANK(AY$3:AY$5))</f>
        <v>0</v>
      </c>
      <c r="AZ13" s="1"/>
      <c r="BA13" s="1">
        <f>SUMPRODUCT((NOT(ISBLANK(BA$3:BA$5))*(BA$3:BA$5&gt;$LI$3:$LI$5))+ISBLANK(BA$3:BA$5))</f>
        <v>0</v>
      </c>
      <c r="BB13" s="1">
        <f>SUMPRODUCT((NOT(ISBLANK(BB$3:BB$5))*(BB$3:BB$5&gt;$LJ$3:$LJ$5))+ISBLANK(BB$3:BB$5))</f>
        <v>0</v>
      </c>
      <c r="BC13" s="1">
        <f>SUMPRODUCT((NOT(ISBLANK(BC$3:BC$5))*(BC$3:BC$5&gt;$LK$3:$LK$5))+ISBLANK(BC$3:BC$5))</f>
        <v>0</v>
      </c>
      <c r="BD13" s="1">
        <f>SUMPRODUCT((NOT(ISBLANK(BD$3:BD$5))*(BD$3:BD$5&gt;$KU$3:$KU$5))+ISBLANK(BD$3:BD$5))</f>
        <v>0</v>
      </c>
      <c r="BE13" s="1">
        <f>SUMPRODUCT((NOT(ISBLANK(BE$3:BE$5))*(BE$3:BE$5&gt;$KV$3:$KV$5))+ISBLANK(BE$3:BE$5))</f>
        <v>0</v>
      </c>
      <c r="BF13" s="1">
        <f>SUMPRODUCT((NOT(ISBLANK(BF$3:BF$5))*(BF$3:BF$5&gt;$KW$3:$KW$5))+ISBLANK(BF$3:BF$5))</f>
        <v>0</v>
      </c>
      <c r="BG13" s="1">
        <f>SUMPRODUCT((NOT(ISBLANK(BG$3:BG$5))*(BG$3:BG$5&gt;$KX$3:$KX$5))+ISBLANK(BG$3:BG$5))</f>
        <v>0</v>
      </c>
      <c r="BH13" s="1">
        <f>SUMPRODUCT((NOT(ISBLANK(BH$3:BH$5))*(BH$3:BH$5&gt;$KY$3:$KY$5))+ISBLANK(BH$3:BH$5))</f>
        <v>0</v>
      </c>
      <c r="BI13" s="1">
        <f>SUMPRODUCT((NOT(ISBLANK(BI$3:BI$5))*(BI$3:BI$5&gt;$KZ$3:$KZ$5))+ISBLANK(BI$3:BI$5))</f>
        <v>0</v>
      </c>
      <c r="BJ13" s="1">
        <f>SUMPRODUCT((NOT(ISBLANK(BJ$3:BJ$5))*(BJ$3:BJ$5&gt;$LA$3:$LA$5))+ISBLANK(BJ$3:BJ$5))</f>
        <v>0</v>
      </c>
      <c r="BK13" s="1">
        <f>SUMPRODUCT((NOT(ISBLANK(BK$3:BK$5))*(BK$3:BK$5&gt;$LB$3:$LB$5))+ISBLANK(BK$3:BK$5))</f>
        <v>0</v>
      </c>
      <c r="BL13" s="1">
        <f>SUMPRODUCT((NOT(ISBLANK(BL$3:BL$5))*(BL$3:BL$5&gt;$LC$3:$LC$5))+ISBLANK(BL$3:BL$5))</f>
        <v>0</v>
      </c>
      <c r="BM13" s="1">
        <f>SUMPRODUCT((NOT(ISBLANK(BM$3:BM$5))*(BM$3:BM$5&gt;$LD$3:$LD$5))+ISBLANK(BM$3:BM$5))</f>
        <v>0</v>
      </c>
      <c r="BN13" s="1">
        <f>SUMPRODUCT((NOT(ISBLANK(BN$3:BN$5))*(BN$3:BN$5&gt;$LE$3:$LE$5))+ISBLANK(BN$3:BN$5))</f>
        <v>0</v>
      </c>
      <c r="BO13" s="1">
        <f>SUMPRODUCT((NOT(ISBLANK(BO$3:BO$5))*(BO$3:BO$5&gt;$LF$3:$LF$5))+ISBLANK(BO$3:BO$5))</f>
        <v>0</v>
      </c>
      <c r="BP13" s="1">
        <f>SUMPRODUCT((NOT(ISBLANK(BP$3:BP$5))*(BP$3:BP$5&gt;$LG$3:$LG$5))+ISBLANK(BP$3:BP$5))</f>
        <v>0</v>
      </c>
      <c r="BQ13" s="1">
        <f>SUMPRODUCT((NOT(ISBLANK(BQ$3:BQ$5))*(BQ$3:BQ$5&gt;$LH$3:$LH$5))+ISBLANK(BQ$3:BQ$5))</f>
        <v>0</v>
      </c>
      <c r="BR13" s="1"/>
      <c r="BS13" s="1">
        <f>SUMPRODUCT((NOT(ISBLANK(BS$3:BS$5))*(BS$3:BS$5&gt;$LI$3:$LI$5))+ISBLANK(BS$3:BS$5))</f>
        <v>0</v>
      </c>
      <c r="BT13" s="1">
        <f>SUMPRODUCT((NOT(ISBLANK(BT$3:BT$5))*(BT$3:BT$5&gt;$LJ$3:$LJ$5))+ISBLANK(BT$3:BT$5))</f>
        <v>0</v>
      </c>
      <c r="BU13" s="1">
        <f>SUMPRODUCT((NOT(ISBLANK(BU$3:BU$5))*(BU$3:BU$5&gt;$LK$3:$LK$5))+ISBLANK(BU$3:BU$5))</f>
        <v>0</v>
      </c>
      <c r="BV13" s="1">
        <f>SUMPRODUCT((NOT(ISBLANK(BV$3:BV$5))*(BV$3:BV$5&gt;$KU$3:$KU$5))+ISBLANK(BV$3:BV$5))</f>
        <v>0</v>
      </c>
      <c r="BW13" s="1">
        <f>SUMPRODUCT((NOT(ISBLANK(BW$3:BW$5))*(BW$3:BW$5&gt;$KV$3:$KV$5))+ISBLANK(BW$3:BW$5))</f>
        <v>0</v>
      </c>
      <c r="BX13" s="1">
        <f>SUMPRODUCT((NOT(ISBLANK(BX$3:BX$5))*(BX$3:BX$5&gt;$KW$3:$KW$5))+ISBLANK(BX$3:BX$5))</f>
        <v>0</v>
      </c>
      <c r="BY13" s="1">
        <f>SUMPRODUCT((NOT(ISBLANK(BY$3:BY$5))*(BY$3:BY$5&gt;$KX$3:$KX$5))+ISBLANK(BY$3:BY$5))</f>
        <v>0</v>
      </c>
      <c r="BZ13" s="1">
        <f>SUMPRODUCT((NOT(ISBLANK(BZ$3:BZ$5))*(BZ$3:BZ$5&gt;$KY$3:$KY$5))+ISBLANK(BZ$3:BZ$5))</f>
        <v>0</v>
      </c>
      <c r="CA13" s="1">
        <f>SUMPRODUCT((NOT(ISBLANK(CA$3:CA$5))*(CA$3:CA$5&gt;$KZ$3:$KZ$5))+ISBLANK(CA$3:CA$5))</f>
        <v>0</v>
      </c>
      <c r="CB13" s="1">
        <f>SUMPRODUCT((NOT(ISBLANK(CB$3:CB$5))*(CB$3:CB$5&gt;$LA$3:$LA$5))+ISBLANK(CB$3:CB$5))</f>
        <v>0</v>
      </c>
      <c r="CC13" s="1">
        <f>SUMPRODUCT((NOT(ISBLANK(CC$3:CC$5))*(CC$3:CC$5&gt;$LB$3:$LB$5))+ISBLANK(CC$3:CC$5))</f>
        <v>0</v>
      </c>
      <c r="CD13" s="1">
        <f>SUMPRODUCT((NOT(ISBLANK(CD$3:CD$5))*(CD$3:CD$5&gt;$LC$3:$LC$5))+ISBLANK(CD$3:CD$5))</f>
        <v>0</v>
      </c>
      <c r="CE13" s="1">
        <f>SUMPRODUCT((NOT(ISBLANK(CE$3:CE$5))*(CE$3:CE$5&gt;$LD$3:$LD$5))+ISBLANK(CE$3:CE$5))</f>
        <v>0</v>
      </c>
      <c r="CF13" s="1">
        <f>SUMPRODUCT((NOT(ISBLANK(CF$3:CF$5))*(CF$3:CF$5&gt;$LE$3:$LE$5))+ISBLANK(CF$3:CF$5))</f>
        <v>0</v>
      </c>
      <c r="CG13" s="1">
        <f>SUMPRODUCT((NOT(ISBLANK(CG$3:CG$5))*(CG$3:CG$5&gt;$LF$3:$LF$5))+ISBLANK(CG$3:CG$5))</f>
        <v>0</v>
      </c>
      <c r="CH13" s="1">
        <f>SUMPRODUCT((NOT(ISBLANK(CH$3:CH$5))*(CH$3:CH$5&gt;$LG$3:$LG$5))+ISBLANK(CH$3:CH$5))</f>
        <v>0</v>
      </c>
      <c r="CI13" s="1">
        <f>SUMPRODUCT((NOT(ISBLANK(CI$3:CI$5))*(CI$3:CI$5&gt;$LH$3:$LH$5))+ISBLANK(CI$3:CI$5))</f>
        <v>0</v>
      </c>
      <c r="CJ13" s="1"/>
      <c r="CK13" s="1">
        <f>SUMPRODUCT((NOT(ISBLANK(CK$3:CK$5))*(CK$3:CK$5&gt;$LI$3:$LI$5))+ISBLANK(CK$3:CK$5))</f>
        <v>0</v>
      </c>
      <c r="CL13" s="1">
        <f>SUMPRODUCT((NOT(ISBLANK(CL$3:CL$5))*(CL$3:CL$5&gt;$LJ$3:$LJ$5))+ISBLANK(CL$3:CL$5))</f>
        <v>0</v>
      </c>
      <c r="CM13" s="1">
        <f>SUMPRODUCT((NOT(ISBLANK(CM$3:CM$5))*(CM$3:CM$5&gt;$LK$3:$LK$5))+ISBLANK(CM$3:CM$5))</f>
        <v>0</v>
      </c>
      <c r="CN13" s="1">
        <f>SUMPRODUCT((NOT(ISBLANK(CN$3:CN$5))*(CN$3:CN$5&gt;$KU$3:$KU$5))+ISBLANK(CN$3:CN$5))</f>
        <v>0</v>
      </c>
      <c r="CO13" s="1">
        <f>SUMPRODUCT((NOT(ISBLANK(CO$3:CO$5))*(CO$3:CO$5&gt;$KV$3:$KV$5))+ISBLANK(CO$3:CO$5))</f>
        <v>0</v>
      </c>
      <c r="CP13" s="1">
        <f>SUMPRODUCT((NOT(ISBLANK(CP$3:CP$5))*(CP$3:CP$5&gt;$KW$3:$KW$5))+ISBLANK(CP$3:CP$5))</f>
        <v>0</v>
      </c>
      <c r="CQ13" s="1">
        <f>SUMPRODUCT((NOT(ISBLANK(CQ$3:CQ$5))*(CQ$3:CQ$5&gt;$KX$3:$KX$5))+ISBLANK(CQ$3:CQ$5))</f>
        <v>0</v>
      </c>
      <c r="CR13" s="1">
        <f>SUMPRODUCT((NOT(ISBLANK(CR$3:CR$5))*(CR$3:CR$5&gt;$KY$3:$KY$5))+ISBLANK(CR$3:CR$5))</f>
        <v>0</v>
      </c>
      <c r="CS13" s="1">
        <f>SUMPRODUCT((NOT(ISBLANK(CS$3:CS$5))*(CS$3:CS$5&gt;$KZ$3:$KZ$5))+ISBLANK(CS$3:CS$5))</f>
        <v>0</v>
      </c>
      <c r="CT13" s="1">
        <f>SUMPRODUCT((NOT(ISBLANK(CT$3:CT$5))*(CT$3:CT$5&gt;$LA$3:$LA$5))+ISBLANK(CT$3:CT$5))</f>
        <v>0</v>
      </c>
      <c r="CU13" s="1">
        <f>SUMPRODUCT((NOT(ISBLANK(CU$3:CU$5))*(CU$3:CU$5&gt;$LB$3:$LB$5))+ISBLANK(CU$3:CU$5))</f>
        <v>0</v>
      </c>
      <c r="CV13" s="1">
        <f>SUMPRODUCT((NOT(ISBLANK(CV$3:CV$5))*(CV$3:CV$5&gt;$LC$3:$LC$5))+ISBLANK(CV$3:CV$5))</f>
        <v>0</v>
      </c>
      <c r="CW13" s="1">
        <f>SUMPRODUCT((NOT(ISBLANK(CW$3:CW$5))*(CW$3:CW$5&gt;$LD$3:$LD$5))+ISBLANK(CW$3:CW$5))</f>
        <v>0</v>
      </c>
      <c r="CX13" s="1">
        <f>SUMPRODUCT((NOT(ISBLANK(CX$3:CX$5))*(CX$3:CX$5&gt;$LE$3:$LE$5))+ISBLANK(CX$3:CX$5))</f>
        <v>0</v>
      </c>
      <c r="CY13" s="1">
        <f>SUMPRODUCT((NOT(ISBLANK(CY$3:CY$5))*(CY$3:CY$5&gt;$LF$3:$LF$5))+ISBLANK(CY$3:CY$5))</f>
        <v>0</v>
      </c>
      <c r="CZ13" s="1">
        <f>SUMPRODUCT((NOT(ISBLANK(CZ$3:CZ$5))*(CZ$3:CZ$5&gt;$LG$3:$LG$5))+ISBLANK(CZ$3:CZ$5))</f>
        <v>0</v>
      </c>
      <c r="DA13" s="1">
        <f>SUMPRODUCT((NOT(ISBLANK(DA$3:DA$5))*(DA$3:DA$5&gt;$LH$3:$LH$5))+ISBLANK(DA$3:DA$5))</f>
        <v>0</v>
      </c>
      <c r="DB13" s="1"/>
      <c r="DC13" s="1">
        <f>SUMPRODUCT((NOT(ISBLANK(DC$3:DC$5))*(DC$3:DC$5&gt;$LI$3:$LI$5))+ISBLANK(DC$3:DC$5))</f>
        <v>0</v>
      </c>
      <c r="DD13" s="1">
        <f>SUMPRODUCT((NOT(ISBLANK(DD$3:DD$5))*(DD$3:DD$5&gt;$LJ$3:$LJ$5))+ISBLANK(DD$3:DD$5))</f>
        <v>0</v>
      </c>
      <c r="DE13" s="1">
        <f>SUMPRODUCT((NOT(ISBLANK(DE$3:DE$5))*(DE$3:DE$5&gt;$LK$3:$LK$5))+ISBLANK(DE$3:DE$5))</f>
        <v>0</v>
      </c>
      <c r="DF13" s="1">
        <f>SUMPRODUCT((NOT(ISBLANK(DF$3:DF$5))*(DF$3:DF$5&gt;$KU$3:$KU$5))+ISBLANK(DF$3:DF$5))</f>
        <v>0</v>
      </c>
      <c r="DG13" s="1">
        <f>SUMPRODUCT((NOT(ISBLANK(DG$3:DG$5))*(DG$3:DG$5&gt;$KV$3:$KV$5))+ISBLANK(DG$3:DG$5))</f>
        <v>0</v>
      </c>
      <c r="DH13" s="1">
        <f>SUMPRODUCT((NOT(ISBLANK(DH$3:DH$5))*(DH$3:DH$5&gt;$KW$3:$KW$5))+ISBLANK(DH$3:DH$5))</f>
        <v>0</v>
      </c>
      <c r="DI13" s="1">
        <f>SUMPRODUCT((NOT(ISBLANK(DI$3:DI$5))*(DI$3:DI$5&gt;$KX$3:$KX$5))+ISBLANK(DI$3:DI$5))</f>
        <v>0</v>
      </c>
      <c r="DJ13" s="1">
        <f>SUMPRODUCT((NOT(ISBLANK(DJ$3:DJ$5))*(DJ$3:DJ$5&gt;$KY$3:$KY$5))+ISBLANK(DJ$3:DJ$5))</f>
        <v>0</v>
      </c>
      <c r="DK13" s="1">
        <f>SUMPRODUCT((NOT(ISBLANK(DK$3:DK$5))*(DK$3:DK$5&gt;$KZ$3:$KZ$5))+ISBLANK(DK$3:DK$5))</f>
        <v>0</v>
      </c>
      <c r="DL13" s="1">
        <f>SUMPRODUCT((NOT(ISBLANK(DL$3:DL$5))*(DL$3:DL$5&gt;$LA$3:$LA$5))+ISBLANK(DL$3:DL$5))</f>
        <v>0</v>
      </c>
      <c r="DM13" s="1">
        <f>SUMPRODUCT((NOT(ISBLANK(DM$3:DM$5))*(DM$3:DM$5&gt;$LB$3:$LB$5))+ISBLANK(DM$3:DM$5))</f>
        <v>0</v>
      </c>
      <c r="DN13" s="1">
        <f>SUMPRODUCT((NOT(ISBLANK(DN$3:DN$5))*(DN$3:DN$5&gt;$LC$3:$LC$5))+ISBLANK(DN$3:DN$5))</f>
        <v>0</v>
      </c>
      <c r="DO13" s="1">
        <f>SUMPRODUCT((NOT(ISBLANK(DO$3:DO$5))*(DO$3:DO$5&gt;$LD$3:$LD$5))+ISBLANK(DO$3:DO$5))</f>
        <v>0</v>
      </c>
      <c r="DP13" s="1">
        <f>SUMPRODUCT((NOT(ISBLANK(DP$3:DP$5))*(DP$3:DP$5&gt;$LE$3:$LE$5))+ISBLANK(DP$3:DP$5))</f>
        <v>0</v>
      </c>
      <c r="DQ13" s="1">
        <f>SUMPRODUCT((NOT(ISBLANK(DQ$3:DQ$5))*(DQ$3:DQ$5&gt;$LF$3:$LF$5))+ISBLANK(DQ$3:DQ$5))</f>
        <v>0</v>
      </c>
      <c r="DR13" s="1">
        <f>SUMPRODUCT((NOT(ISBLANK(DR$3:DR$5))*(DR$3:DR$5&gt;$LG$3:$LG$5))+ISBLANK(DR$3:DR$5))</f>
        <v>0</v>
      </c>
      <c r="DS13" s="1">
        <f>SUMPRODUCT((NOT(ISBLANK(DS$3:DS$5))*(DS$3:DS$5&gt;$LH$3:$LH$5))+ISBLANK(DS$3:DS$5))</f>
        <v>0</v>
      </c>
      <c r="DT13" s="1"/>
      <c r="DU13" s="1">
        <f>SUMPRODUCT((NOT(ISBLANK(DU$3:DU$5))*(DU$3:DU$5&gt;$LI$3:$LI$5))+ISBLANK(DU$3:DU$5))</f>
        <v>0</v>
      </c>
      <c r="DV13" s="1">
        <f>SUMPRODUCT((NOT(ISBLANK(DV$3:DV$5))*(DV$3:DV$5&gt;$LJ$3:$LJ$5))+ISBLANK(DV$3:DV$5))</f>
        <v>0</v>
      </c>
      <c r="DW13" s="1">
        <f>SUMPRODUCT((NOT(ISBLANK(DW$3:DW$5))*(DW$3:DW$5&gt;$LK$3:$LK$5))+ISBLANK(DW$3:DW$5))</f>
        <v>0</v>
      </c>
      <c r="DX13" s="1">
        <f>SUMPRODUCT((NOT(ISBLANK(DX$3:DX$5))*(DX$3:DX$5&gt;$KU$3:$KU$5))+ISBLANK(DX$3:DX$5))</f>
        <v>0</v>
      </c>
      <c r="DY13" s="1">
        <f>SUMPRODUCT((NOT(ISBLANK(DY$3:DY$5))*(DY$3:DY$5&gt;$KV$3:$KV$5))+ISBLANK(DY$3:DY$5))</f>
        <v>0</v>
      </c>
      <c r="DZ13" s="1">
        <f>SUMPRODUCT((NOT(ISBLANK(DZ$3:DZ$5))*(DZ$3:DZ$5&gt;$KW$3:$KW$5))+ISBLANK(DZ$3:DZ$5))</f>
        <v>0</v>
      </c>
      <c r="EA13" s="1">
        <f>SUMPRODUCT((NOT(ISBLANK(EA$3:EA$5))*(EA$3:EA$5&gt;$KX$3:$KX$5))+ISBLANK(EA$3:EA$5))</f>
        <v>0</v>
      </c>
      <c r="EB13" s="1">
        <f>SUMPRODUCT((NOT(ISBLANK(EB$3:EB$5))*(EB$3:EB$5&gt;$KY$3:$KY$5))+ISBLANK(EB$3:EB$5))</f>
        <v>0</v>
      </c>
      <c r="EC13" s="1">
        <f>SUMPRODUCT((NOT(ISBLANK(EC$3:EC$5))*(EC$3:EC$5&gt;$KZ$3:$KZ$5))+ISBLANK(EC$3:EC$5))</f>
        <v>0</v>
      </c>
      <c r="ED13" s="1">
        <f>SUMPRODUCT((NOT(ISBLANK(ED$3:ED$5))*(ED$3:ED$5&gt;$LA$3:$LA$5))+ISBLANK(ED$3:ED$5))</f>
        <v>0</v>
      </c>
      <c r="EE13" s="1">
        <f>SUMPRODUCT((NOT(ISBLANK(EE$3:EE$5))*(EE$3:EE$5&gt;$LB$3:$LB$5))+ISBLANK(EE$3:EE$5))</f>
        <v>0</v>
      </c>
      <c r="EF13" s="1">
        <f>SUMPRODUCT((NOT(ISBLANK(EF$3:EF$5))*(EF$3:EF$5&gt;$LC$3:$LC$5))+ISBLANK(EF$3:EF$5))</f>
        <v>0</v>
      </c>
      <c r="EG13" s="1">
        <f>SUMPRODUCT((NOT(ISBLANK(EG$3:EG$5))*(EG$3:EG$5&gt;$LD$3:$LD$5))+ISBLANK(EG$3:EG$5))</f>
        <v>0</v>
      </c>
      <c r="EH13" s="1">
        <f>SUMPRODUCT((NOT(ISBLANK(EH$3:EH$5))*(EH$3:EH$5&gt;$LE$3:$LE$5))+ISBLANK(EH$3:EH$5))</f>
        <v>0</v>
      </c>
      <c r="EI13" s="1">
        <f>SUMPRODUCT((NOT(ISBLANK(EI$3:EI$5))*(EI$3:EI$5&gt;$LF$3:$LF$5))+ISBLANK(EI$3:EI$5))</f>
        <v>0</v>
      </c>
      <c r="EJ13" s="1">
        <f>SUMPRODUCT((NOT(ISBLANK(EJ$3:EJ$5))*(EJ$3:EJ$5&gt;$LG$3:$LG$5))+ISBLANK(EJ$3:EJ$5))</f>
        <v>0</v>
      </c>
      <c r="EK13" s="1">
        <f>SUMPRODUCT((NOT(ISBLANK(EK$3:EK$5))*(EK$3:EK$5&gt;$LH$3:$LH$5))+ISBLANK(EK$3:EK$5))</f>
        <v>0</v>
      </c>
      <c r="EL13" s="1"/>
      <c r="EM13" s="1">
        <f>SUMPRODUCT((NOT(ISBLANK(EM$3:EM$5))*(EM$3:EM$5&gt;$LI$3:$LI$5))+ISBLANK(EM$3:EM$5))</f>
        <v>0</v>
      </c>
      <c r="EN13" s="1">
        <f>SUMPRODUCT((NOT(ISBLANK(EN$3:EN$5))*(EN$3:EN$5&gt;$LJ$3:$LJ$5))+ISBLANK(EN$3:EN$5))</f>
        <v>0</v>
      </c>
      <c r="EO13" s="1">
        <f>SUMPRODUCT((NOT(ISBLANK(EO$3:EO$5))*(EO$3:EO$5&gt;$LK$3:$LK$5))+ISBLANK(EO$3:EO$5))</f>
        <v>0</v>
      </c>
      <c r="EP13" s="1">
        <f>SUMPRODUCT((NOT(ISBLANK(EP$3:EP$5))*(EP$3:EP$5&gt;$KU$3:$KU$5))+ISBLANK(EP$3:EP$5))</f>
        <v>0</v>
      </c>
      <c r="EQ13" s="1">
        <f>SUMPRODUCT((NOT(ISBLANK(EQ$3:EQ$5))*(EQ$3:EQ$5&gt;$KV$3:$KV$5))+ISBLANK(EQ$3:EQ$5))</f>
        <v>0</v>
      </c>
      <c r="ER13" s="1">
        <f>SUMPRODUCT((NOT(ISBLANK(ER$3:ER$5))*(ER$3:ER$5&gt;$KW$3:$KW$5))+ISBLANK(ER$3:ER$5))</f>
        <v>0</v>
      </c>
      <c r="ES13" s="1">
        <f>SUMPRODUCT((NOT(ISBLANK(ES$3:ES$5))*(ES$3:ES$5&gt;$KX$3:$KX$5))+ISBLANK(ES$3:ES$5))</f>
        <v>0</v>
      </c>
      <c r="ET13" s="1">
        <f>SUMPRODUCT((NOT(ISBLANK(ET$3:ET$5))*(ET$3:ET$5&gt;$KY$3:$KY$5))+ISBLANK(ET$3:ET$5))</f>
        <v>0</v>
      </c>
      <c r="EU13" s="1">
        <f>SUMPRODUCT((NOT(ISBLANK(EU$3:EU$5))*(EU$3:EU$5&gt;$KZ$3:$KZ$5))+ISBLANK(EU$3:EU$5))</f>
        <v>0</v>
      </c>
      <c r="EV13" s="1">
        <f>SUMPRODUCT((NOT(ISBLANK(EV$3:EV$5))*(EV$3:EV$5&gt;$LA$3:$LA$5))+ISBLANK(EV$3:EV$5))</f>
        <v>0</v>
      </c>
      <c r="EW13" s="1">
        <f>SUMPRODUCT((NOT(ISBLANK(EW$3:EW$5))*(EW$3:EW$5&gt;$LB$3:$LB$5))+ISBLANK(EW$3:EW$5))</f>
        <v>0</v>
      </c>
      <c r="EX13" s="1">
        <f>SUMPRODUCT((NOT(ISBLANK(EX$3:EX$5))*(EX$3:EX$5&gt;$LC$3:$LC$5))+ISBLANK(EX$3:EX$5))</f>
        <v>0</v>
      </c>
      <c r="EY13" s="1">
        <f>SUMPRODUCT((NOT(ISBLANK(EY$3:EY$5))*(EY$3:EY$5&gt;$LD$3:$LD$5))+ISBLANK(EY$3:EY$5))</f>
        <v>0</v>
      </c>
      <c r="EZ13" s="1">
        <f>SUMPRODUCT((NOT(ISBLANK(EZ$3:EZ$5))*(EZ$3:EZ$5&gt;$LE$3:$LE$5))+ISBLANK(EZ$3:EZ$5))</f>
        <v>0</v>
      </c>
      <c r="FA13" s="1">
        <f>SUMPRODUCT((NOT(ISBLANK(FA$3:FA$5))*(FA$3:FA$5&gt;$LF$3:$LF$5))+ISBLANK(FA$3:FA$5))</f>
        <v>0</v>
      </c>
      <c r="FB13" s="1">
        <f>SUMPRODUCT((NOT(ISBLANK(FB$3:FB$5))*(FB$3:FB$5&gt;$LG$3:$LG$5))+ISBLANK(FB$3:FB$5))</f>
        <v>0</v>
      </c>
      <c r="FC13" s="1">
        <f>SUMPRODUCT((NOT(ISBLANK(FC$3:FC$5))*(FC$3:FC$5&gt;$LH$3:$LH$5))+ISBLANK(FC$3:FC$5))</f>
        <v>0</v>
      </c>
      <c r="FD13" s="1"/>
      <c r="FE13" s="1">
        <f>SUMPRODUCT((NOT(ISBLANK(FE$3:FE$5))*(FE$3:FE$5&gt;$LI$3:$LI$5))+ISBLANK(FE$3:FE$5))</f>
        <v>0</v>
      </c>
      <c r="FF13" s="1">
        <f>SUMPRODUCT((NOT(ISBLANK(FF$3:FF$5))*(FF$3:FF$5&gt;$LJ$3:$LJ$5))+ISBLANK(FF$3:FF$5))</f>
        <v>0</v>
      </c>
      <c r="FG13" s="1">
        <f>SUMPRODUCT((NOT(ISBLANK(FG$3:FG$5))*(FG$3:FG$5&gt;$LK$3:$LK$5))+ISBLANK(FG$3:FG$5))</f>
        <v>0</v>
      </c>
      <c r="FH13" s="1">
        <f>SUMPRODUCT((NOT(ISBLANK(FH$3:FH$5))*(FH$3:FH$5&gt;$KU$3:$KU$5))+ISBLANK(FH$3:FH$5))</f>
        <v>0</v>
      </c>
      <c r="FI13" s="1">
        <f>SUMPRODUCT((NOT(ISBLANK(FI$3:FI$5))*(FI$3:FI$5&gt;$KV$3:$KV$5))+ISBLANK(FI$3:FI$5))</f>
        <v>0</v>
      </c>
      <c r="FJ13" s="1">
        <f>SUMPRODUCT((NOT(ISBLANK(FJ$3:FJ$5))*(FJ$3:FJ$5&gt;$KW$3:$KW$5))+ISBLANK(FJ$3:FJ$5))</f>
        <v>0</v>
      </c>
      <c r="FK13" s="1">
        <f>SUMPRODUCT((NOT(ISBLANK(FK$3:FK$5))*(FK$3:FK$5&gt;$KX$3:$KX$5))+ISBLANK(FK$3:FK$5))</f>
        <v>0</v>
      </c>
      <c r="FL13" s="1">
        <f>SUMPRODUCT((NOT(ISBLANK(FL$3:FL$5))*(FL$3:FL$5&gt;$KY$3:$KY$5))+ISBLANK(FL$3:FL$5))</f>
        <v>0</v>
      </c>
      <c r="FM13" s="1">
        <f>SUMPRODUCT((NOT(ISBLANK(FM$3:FM$5))*(FM$3:FM$5&gt;$KZ$3:$KZ$5))+ISBLANK(FM$3:FM$5))</f>
        <v>0</v>
      </c>
      <c r="FN13" s="1">
        <f>SUMPRODUCT((NOT(ISBLANK(FN$3:FN$5))*(FN$3:FN$5&gt;$LA$3:$LA$5))+ISBLANK(FN$3:FN$5))</f>
        <v>0</v>
      </c>
      <c r="FO13" s="1">
        <f>SUMPRODUCT((NOT(ISBLANK(FO$3:FO$5))*(FO$3:FO$5&gt;$LB$3:$LB$5))+ISBLANK(FO$3:FO$5))</f>
        <v>0</v>
      </c>
      <c r="FP13" s="1">
        <f>SUMPRODUCT((NOT(ISBLANK(FP$3:FP$5))*(FP$3:FP$5&gt;$LC$3:$LC$5))+ISBLANK(FP$3:FP$5))</f>
        <v>0</v>
      </c>
      <c r="FQ13" s="1">
        <f>SUMPRODUCT((NOT(ISBLANK(FQ$3:FQ$5))*(FQ$3:FQ$5&gt;$LD$3:$LD$5))+ISBLANK(FQ$3:FQ$5))</f>
        <v>0</v>
      </c>
      <c r="FR13" s="1">
        <f>SUMPRODUCT((NOT(ISBLANK(FR$3:FR$5))*(FR$3:FR$5&gt;$LE$3:$LE$5))+ISBLANK(FR$3:FR$5))</f>
        <v>0</v>
      </c>
      <c r="FS13" s="1">
        <f>SUMPRODUCT((NOT(ISBLANK(FS$3:FS$5))*(FS$3:FS$5&gt;$LF$3:$LF$5))+ISBLANK(FS$3:FS$5))</f>
        <v>0</v>
      </c>
      <c r="FT13" s="1">
        <f>SUMPRODUCT((NOT(ISBLANK(FT$3:FT$5))*(FT$3:FT$5&gt;$LG$3:$LG$5))+ISBLANK(FT$3:FT$5))</f>
        <v>0</v>
      </c>
      <c r="FU13" s="1">
        <f>SUMPRODUCT((NOT(ISBLANK(FU$3:FU$5))*(FU$3:FU$5&gt;$LH$3:$LH$5))+ISBLANK(FU$3:FU$5))</f>
        <v>0</v>
      </c>
      <c r="FV13" s="1"/>
      <c r="FW13" s="1">
        <f>SUMPRODUCT((NOT(ISBLANK(FW$3:FW$5))*(FW$3:FW$5&gt;$LI$3:$LI$5))+ISBLANK(FW$3:FW$5))</f>
        <v>0</v>
      </c>
      <c r="FX13" s="1">
        <f>SUMPRODUCT((NOT(ISBLANK(FX$3:FX$5))*(FX$3:FX$5&gt;$LJ$3:$LJ$5))+ISBLANK(FX$3:FX$5))</f>
        <v>0</v>
      </c>
      <c r="FY13" s="1">
        <f>SUMPRODUCT((NOT(ISBLANK(FY$3:FY$5))*(FY$3:FY$5&gt;$LK$3:$LK$5))+ISBLANK(FY$3:FY$5))</f>
        <v>0</v>
      </c>
      <c r="FZ13" s="1">
        <f>SUMPRODUCT((NOT(ISBLANK(FZ$3:FZ$5))*(FZ$3:FZ$5&gt;$KU$3:$KU$5))+ISBLANK(FZ$3:FZ$5))</f>
        <v>0</v>
      </c>
      <c r="GA13" s="1">
        <f>SUMPRODUCT((NOT(ISBLANK(GA$3:GA$5))*(GA$3:GA$5&gt;$KV$3:$KV$5))+ISBLANK(GA$3:GA$5))</f>
        <v>0</v>
      </c>
      <c r="GB13" s="1">
        <f>SUMPRODUCT((NOT(ISBLANK(GB$3:GB$5))*(GB$3:GB$5&gt;$KW$3:$KW$5))+ISBLANK(GB$3:GB$5))</f>
        <v>0</v>
      </c>
      <c r="GC13" s="1">
        <f>SUMPRODUCT((NOT(ISBLANK(GC$3:GC$5))*(GC$3:GC$5&gt;$KX$3:$KX$5))+ISBLANK(GC$3:GC$5))</f>
        <v>0</v>
      </c>
      <c r="GD13" s="1">
        <f>SUMPRODUCT((NOT(ISBLANK(GD$3:GD$5))*(GD$3:GD$5&gt;$KY$3:$KY$5))+ISBLANK(GD$3:GD$5))</f>
        <v>0</v>
      </c>
      <c r="GE13" s="1">
        <f>SUMPRODUCT((NOT(ISBLANK(GE$3:GE$5))*(GE$3:GE$5&gt;$KZ$3:$KZ$5))+ISBLANK(GE$3:GE$5))</f>
        <v>0</v>
      </c>
      <c r="GF13" s="1">
        <f>SUMPRODUCT((NOT(ISBLANK(GF$3:GF$5))*(GF$3:GF$5&gt;$LA$3:$LA$5))+ISBLANK(GF$3:GF$5))</f>
        <v>0</v>
      </c>
      <c r="GG13" s="1">
        <f>SUMPRODUCT((NOT(ISBLANK(GG$3:GG$5))*(GG$3:GG$5&gt;$LB$3:$LB$5))+ISBLANK(GG$3:GG$5))</f>
        <v>0</v>
      </c>
      <c r="GH13" s="1">
        <f>SUMPRODUCT((NOT(ISBLANK(GH$3:GH$5))*(GH$3:GH$5&gt;$LC$3:$LC$5))+ISBLANK(GH$3:GH$5))</f>
        <v>0</v>
      </c>
      <c r="GI13" s="1">
        <f>SUMPRODUCT((NOT(ISBLANK(GI$3:GI$5))*(GI$3:GI$5&gt;$LD$3:$LD$5))+ISBLANK(GI$3:GI$5))</f>
        <v>0</v>
      </c>
      <c r="GJ13" s="1">
        <f>SUMPRODUCT((NOT(ISBLANK(GJ$3:GJ$5))*(GJ$3:GJ$5&gt;$LE$3:$LE$5))+ISBLANK(GJ$3:GJ$5))</f>
        <v>0</v>
      </c>
      <c r="GK13" s="1">
        <f>SUMPRODUCT((NOT(ISBLANK(GK$3:GK$5))*(GK$3:GK$5&gt;$LF$3:$LF$5))+ISBLANK(GK$3:GK$5))</f>
        <v>0</v>
      </c>
      <c r="GL13" s="1">
        <f>SUMPRODUCT((NOT(ISBLANK(GL$3:GL$5))*(GL$3:GL$5&gt;$LG$3:$LG$5))+ISBLANK(GL$3:GL$5))</f>
        <v>0</v>
      </c>
      <c r="GM13" s="1">
        <f>SUMPRODUCT((NOT(ISBLANK(GM$3:GM$5))*(GM$3:GM$5&gt;$LH$3:$LH$5))+ISBLANK(GM$3:GM$5))</f>
        <v>0</v>
      </c>
      <c r="GN13" s="1"/>
      <c r="GO13" s="1">
        <f>SUMPRODUCT((NOT(ISBLANK(GO$3:GO$5))*(GO$3:GO$5&gt;$LI$3:$LI$5))+ISBLANK(GO$3:GO$5))</f>
        <v>0</v>
      </c>
      <c r="GP13" s="1">
        <f>SUMPRODUCT((NOT(ISBLANK(GP$3:GP$5))*(GP$3:GP$5&gt;$LJ$3:$LJ$5))+ISBLANK(GP$3:GP$5))</f>
        <v>0</v>
      </c>
      <c r="GQ13" s="1">
        <f>SUMPRODUCT((NOT(ISBLANK(GQ$3:GQ$5))*(GQ$3:GQ$5&gt;$LK$3:$LK$5))+ISBLANK(GQ$3:GQ$5))</f>
        <v>0</v>
      </c>
      <c r="GR13" s="1">
        <f>SUMPRODUCT((NOT(ISBLANK(GR$3:GR$5))*(GR$3:GR$5&gt;$KU$3:$KU$5))+ISBLANK(GR$3:GR$5))</f>
        <v>0</v>
      </c>
      <c r="GS13" s="1">
        <f>SUMPRODUCT((NOT(ISBLANK(GS$3:GS$5))*(GS$3:GS$5&gt;$KV$3:$KV$5))+ISBLANK(GS$3:GS$5))</f>
        <v>0</v>
      </c>
      <c r="GT13" s="1">
        <f>SUMPRODUCT((NOT(ISBLANK(GT$3:GT$5))*(GT$3:GT$5&gt;$KW$3:$KW$5))+ISBLANK(GT$3:GT$5))</f>
        <v>0</v>
      </c>
      <c r="GU13" s="1">
        <f>SUMPRODUCT((NOT(ISBLANK(GU$3:GU$5))*(GU$3:GU$5&gt;$KX$3:$KX$5))+ISBLANK(GU$3:GU$5))</f>
        <v>0</v>
      </c>
      <c r="GV13" s="1">
        <f>SUMPRODUCT((NOT(ISBLANK(GV$3:GV$5))*(GV$3:GV$5&gt;$KY$3:$KY$5))+ISBLANK(GV$3:GV$5))</f>
        <v>0</v>
      </c>
      <c r="GW13" s="1">
        <f>SUMPRODUCT((NOT(ISBLANK(GW$3:GW$5))*(GW$3:GW$5&gt;$KZ$3:$KZ$5))+ISBLANK(GW$3:GW$5))</f>
        <v>0</v>
      </c>
      <c r="GX13" s="1">
        <f>SUMPRODUCT((NOT(ISBLANK(GX$3:GX$5))*(GX$3:GX$5&gt;$LA$3:$LA$5))+ISBLANK(GX$3:GX$5))</f>
        <v>0</v>
      </c>
      <c r="GY13" s="1">
        <f>SUMPRODUCT((NOT(ISBLANK(GY$3:GY$5))*(GY$3:GY$5&gt;$LB$3:$LB$5))+ISBLANK(GY$3:GY$5))</f>
        <v>0</v>
      </c>
      <c r="GZ13" s="1">
        <f>SUMPRODUCT((NOT(ISBLANK(GZ$3:GZ$5))*(GZ$3:GZ$5&gt;$LC$3:$LC$5))+ISBLANK(GZ$3:GZ$5))</f>
        <v>0</v>
      </c>
      <c r="HA13" s="1">
        <f>SUMPRODUCT((NOT(ISBLANK(HA$3:HA$5))*(HA$3:HA$5&gt;$LD$3:$LD$5))+ISBLANK(HA$3:HA$5))</f>
        <v>0</v>
      </c>
      <c r="HB13" s="1">
        <f>SUMPRODUCT((NOT(ISBLANK(HB$3:HB$5))*(HB$3:HB$5&gt;$LE$3:$LE$5))+ISBLANK(HB$3:HB$5))</f>
        <v>0</v>
      </c>
      <c r="HC13" s="1">
        <f>SUMPRODUCT((NOT(ISBLANK(HC$3:HC$5))*(HC$3:HC$5&gt;$LF$3:$LF$5))+ISBLANK(HC$3:HC$5))</f>
        <v>0</v>
      </c>
      <c r="HD13" s="1">
        <f>SUMPRODUCT((NOT(ISBLANK(HD$3:HD$5))*(HD$3:HD$5&gt;$LG$3:$LG$5))+ISBLANK(HD$3:HD$5))</f>
        <v>0</v>
      </c>
      <c r="HE13" s="1">
        <f>SUMPRODUCT((NOT(ISBLANK(HE$3:HE$5))*(HE$3:HE$5&gt;$LH$3:$LH$5))+ISBLANK(HE$3:HE$5))</f>
        <v>0</v>
      </c>
      <c r="HF13" s="1"/>
      <c r="HG13" s="1">
        <f>SUMPRODUCT((NOT(ISBLANK(HG$3:HG$5))*(HG$3:HG$5&gt;$LI$3:$LI$5))+ISBLANK(HG$3:HG$5))</f>
        <v>0</v>
      </c>
      <c r="HH13" s="1">
        <f>SUMPRODUCT((NOT(ISBLANK(HH$3:HH$5))*(HH$3:HH$5&gt;$LJ$3:$LJ$5))+ISBLANK(HH$3:HH$5))</f>
        <v>0</v>
      </c>
      <c r="HI13" s="1">
        <f>SUMPRODUCT((NOT(ISBLANK(HI$3:HI$5))*(HI$3:HI$5&gt;$LK$3:$LK$5))+ISBLANK(HI$3:HI$5))</f>
        <v>0</v>
      </c>
      <c r="HJ13" s="1">
        <f>SUMPRODUCT((NOT(ISBLANK(HJ$3:HJ$5))*(HJ$3:HJ$5&gt;$KU$3:$KU$5))+ISBLANK(HJ$3:HJ$5))</f>
        <v>0</v>
      </c>
      <c r="HK13" s="1">
        <f>SUMPRODUCT((NOT(ISBLANK(HK$3:HK$5))*(HK$3:HK$5&gt;$KV$3:$KV$5))+ISBLANK(HK$3:HK$5))</f>
        <v>0</v>
      </c>
      <c r="HL13" s="1">
        <f>SUMPRODUCT((NOT(ISBLANK(HL$3:HL$5))*(HL$3:HL$5&gt;$KW$3:$KW$5))+ISBLANK(HL$3:HL$5))</f>
        <v>0</v>
      </c>
      <c r="HM13" s="1">
        <f>SUMPRODUCT((NOT(ISBLANK(HM$3:HM$5))*(HM$3:HM$5&gt;$KX$3:$KX$5))+ISBLANK(HM$3:HM$5))</f>
        <v>0</v>
      </c>
      <c r="HN13" s="1">
        <f>SUMPRODUCT((NOT(ISBLANK(HN$3:HN$5))*(HN$3:HN$5&gt;$KY$3:$KY$5))+ISBLANK(HN$3:HN$5))</f>
        <v>0</v>
      </c>
      <c r="HO13" s="1">
        <f>SUMPRODUCT((NOT(ISBLANK(HO$3:HO$5))*(HO$3:HO$5&gt;$KZ$3:$KZ$5))+ISBLANK(HO$3:HO$5))</f>
        <v>0</v>
      </c>
      <c r="HP13" s="1">
        <f>SUMPRODUCT((NOT(ISBLANK(HP$3:HP$5))*(HP$3:HP$5&gt;$LA$3:$LA$5))+ISBLANK(HP$3:HP$5))</f>
        <v>0</v>
      </c>
      <c r="HQ13" s="1">
        <f>SUMPRODUCT((NOT(ISBLANK(HQ$3:HQ$5))*(HQ$3:HQ$5&gt;$LB$3:$LB$5))+ISBLANK(HQ$3:HQ$5))</f>
        <v>0</v>
      </c>
      <c r="HR13" s="1">
        <f>SUMPRODUCT((NOT(ISBLANK(HR$3:HR$5))*(HR$3:HR$5&gt;$LC$3:$LC$5))+ISBLANK(HR$3:HR$5))</f>
        <v>0</v>
      </c>
      <c r="HS13" s="1">
        <f>SUMPRODUCT((NOT(ISBLANK(HS$3:HS$5))*(HS$3:HS$5&gt;$LD$3:$LD$5))+ISBLANK(HS$3:HS$5))</f>
        <v>0</v>
      </c>
      <c r="HT13" s="1">
        <f>SUMPRODUCT((NOT(ISBLANK(HT$3:HT$5))*(HT$3:HT$5&gt;$LE$3:$LE$5))+ISBLANK(HT$3:HT$5))</f>
        <v>0</v>
      </c>
      <c r="HU13" s="1">
        <f>SUMPRODUCT((NOT(ISBLANK(HU$3:HU$5))*(HU$3:HU$5&gt;$LF$3:$LF$5))+ISBLANK(HU$3:HU$5))</f>
        <v>0</v>
      </c>
      <c r="HV13" s="1">
        <f>SUMPRODUCT((NOT(ISBLANK(HV$3:HV$5))*(HV$3:HV$5&gt;$LG$3:$LG$5))+ISBLANK(HV$3:HV$5))</f>
        <v>0</v>
      </c>
      <c r="HW13" s="1">
        <f>SUMPRODUCT((NOT(ISBLANK(HW$3:HW$5))*(HW$3:HW$5&gt;$LH$3:$LH$5))+ISBLANK(HW$3:HW$5))</f>
        <v>0</v>
      </c>
      <c r="HX13" s="1"/>
      <c r="HY13" s="1">
        <f>SUMPRODUCT((NOT(ISBLANK(HY$3:HY$5))*(HY$3:HY$5&gt;$LI$3:$LI$5))+ISBLANK(HY$3:HY$5))</f>
        <v>0</v>
      </c>
      <c r="HZ13" s="1">
        <f>SUMPRODUCT((NOT(ISBLANK(HZ$3:HZ$5))*(HZ$3:HZ$5&gt;$LJ$3:$LJ$5))+ISBLANK(HZ$3:HZ$5))</f>
        <v>0</v>
      </c>
      <c r="IA13" s="1">
        <f>SUMPRODUCT((NOT(ISBLANK(IA$3:IA$5))*(IA$3:IA$5&gt;$LK$3:$LK$5))+ISBLANK(IA$3:IA$5))</f>
        <v>0</v>
      </c>
      <c r="IB13" s="1">
        <f>SUMPRODUCT((NOT(ISBLANK(IB$3:IB$5))*(IB$3:IB$5&gt;$KU$3:$KU$5))+ISBLANK(IB$3:IB$5))</f>
        <v>0</v>
      </c>
      <c r="IC13" s="1">
        <f>SUMPRODUCT((NOT(ISBLANK(IC$3:IC$5))*(IC$3:IC$5&gt;$KV$3:$KV$5))+ISBLANK(IC$3:IC$5))</f>
        <v>0</v>
      </c>
      <c r="ID13" s="1">
        <f>SUMPRODUCT((NOT(ISBLANK(ID$3:ID$5))*(ID$3:ID$5&gt;$KW$3:$KW$5))+ISBLANK(ID$3:ID$5))</f>
        <v>0</v>
      </c>
      <c r="IE13" s="1">
        <f>SUMPRODUCT((NOT(ISBLANK(IE$3:IE$5))*(IE$3:IE$5&gt;$KX$3:$KX$5))+ISBLANK(IE$3:IE$5))</f>
        <v>0</v>
      </c>
      <c r="IF13" s="1">
        <f>SUMPRODUCT((NOT(ISBLANK(IF$3:IF$5))*(IF$3:IF$5&gt;$KY$3:$KY$5))+ISBLANK(IF$3:IF$5))</f>
        <v>0</v>
      </c>
      <c r="IG13" s="1">
        <f>SUMPRODUCT((NOT(ISBLANK(IG$3:IG$5))*(IG$3:IG$5&gt;$KZ$3:$KZ$5))+ISBLANK(IG$3:IG$5))</f>
        <v>0</v>
      </c>
      <c r="IH13" s="1">
        <f>SUMPRODUCT((NOT(ISBLANK(IH$3:IH$5))*(IH$3:IH$5&gt;$LA$3:$LA$5))+ISBLANK(IH$3:IH$5))</f>
        <v>0</v>
      </c>
      <c r="II13" s="1">
        <f>SUMPRODUCT((NOT(ISBLANK(II$3:II$5))*(II$3:II$5&gt;$LB$3:$LB$5))+ISBLANK(II$3:II$5))</f>
        <v>0</v>
      </c>
      <c r="IJ13" s="1">
        <f>SUMPRODUCT((NOT(ISBLANK(IJ$3:IJ$5))*(IJ$3:IJ$5&gt;$LC$3:$LC$5))+ISBLANK(IJ$3:IJ$5))</f>
        <v>0</v>
      </c>
      <c r="IK13" s="1">
        <f>SUMPRODUCT((NOT(ISBLANK(IK$3:IK$5))*(IK$3:IK$5&gt;$LD$3:$LD$5))+ISBLANK(IK$3:IK$5))</f>
        <v>0</v>
      </c>
      <c r="IL13" s="1">
        <f>SUMPRODUCT((NOT(ISBLANK(IL$3:IL$5))*(IL$3:IL$5&gt;$LE$3:$LE$5))+ISBLANK(IL$3:IL$5))</f>
        <v>0</v>
      </c>
      <c r="IM13" s="1">
        <f>SUMPRODUCT((NOT(ISBLANK(IM$3:IM$5))*(IM$3:IM$5&gt;$LF$3:$LF$5))+ISBLANK(IM$3:IM$5))</f>
        <v>0</v>
      </c>
      <c r="IN13" s="1">
        <f>SUMPRODUCT((NOT(ISBLANK(IN$3:IN$5))*(IN$3:IN$5&gt;$LG$3:$LG$5))+ISBLANK(IN$3:IN$5))</f>
        <v>0</v>
      </c>
      <c r="IO13" s="1">
        <f>SUMPRODUCT((NOT(ISBLANK(IO$3:IO$5))*(IO$3:IO$5&gt;$LH$3:$LH$5))+ISBLANK(IO$3:IO$5))</f>
        <v>0</v>
      </c>
      <c r="IP13" s="1"/>
      <c r="IQ13" s="1">
        <f>SUMPRODUCT((NOT(ISBLANK(IQ$3:IQ$5))*(IQ$3:IQ$5&gt;$LI$3:$LI$5))+ISBLANK(IQ$3:IQ$5))</f>
        <v>0</v>
      </c>
      <c r="IR13" s="1">
        <f>SUMPRODUCT((NOT(ISBLANK(IR$3:IR$5))*(IR$3:IR$5&gt;$LJ$3:$LJ$5))+ISBLANK(IR$3:IR$5))</f>
        <v>0</v>
      </c>
      <c r="IS13" s="1">
        <f>SUMPRODUCT((NOT(ISBLANK(IS$3:IS$5))*(IS$3:IS$5&gt;$LK$3:$LK$5))+ISBLANK(IS$3:IS$5))</f>
        <v>0</v>
      </c>
      <c r="IT13" s="1">
        <f>SUMPRODUCT((NOT(ISBLANK(IT$3:IT$5))*(IT$3:IT$5&gt;$KU$3:$KU$5))+ISBLANK(IT$3:IT$5))</f>
        <v>0</v>
      </c>
      <c r="IU13" s="1">
        <f>SUMPRODUCT((NOT(ISBLANK(IU$3:IU$5))*(IU$3:IU$5&gt;$KV$3:$KV$5))+ISBLANK(IU$3:IU$5))</f>
        <v>0</v>
      </c>
      <c r="IV13" s="1">
        <f>SUMPRODUCT((NOT(ISBLANK(IV$3:IV$5))*(IV$3:IV$5&gt;$KW$3:$KW$5))+ISBLANK(IV$3:IV$5))</f>
        <v>0</v>
      </c>
      <c r="IW13" s="1">
        <f>SUMPRODUCT((NOT(ISBLANK(IW$3:IW$5))*(IW$3:IW$5&gt;$KX$3:$KX$5))+ISBLANK(IW$3:IW$5))</f>
        <v>0</v>
      </c>
      <c r="IX13" s="1">
        <f>SUMPRODUCT((NOT(ISBLANK(IX$3:IX$5))*(IX$3:IX$5&gt;$KY$3:$KY$5))+ISBLANK(IX$3:IX$5))</f>
        <v>0</v>
      </c>
      <c r="IY13" s="1">
        <f>SUMPRODUCT((NOT(ISBLANK(IY$3:IY$5))*(IY$3:IY$5&gt;$KZ$3:$KZ$5))+ISBLANK(IY$3:IY$5))</f>
        <v>0</v>
      </c>
      <c r="IZ13" s="1">
        <f>SUMPRODUCT((NOT(ISBLANK(IZ$3:IZ$5))*(IZ$3:IZ$5&gt;$LA$3:$LA$5))+ISBLANK(IZ$3:IZ$5))</f>
        <v>0</v>
      </c>
      <c r="JA13" s="1">
        <f>SUMPRODUCT((NOT(ISBLANK(JA$3:JA$5))*(JA$3:JA$5&gt;$LB$3:$LB$5))+ISBLANK(JA$3:JA$5))</f>
        <v>0</v>
      </c>
      <c r="JB13" s="1">
        <f>SUMPRODUCT((NOT(ISBLANK(JB$3:JB$5))*(JB$3:JB$5&gt;$LC$3:$LC$5))+ISBLANK(JB$3:JB$5))</f>
        <v>0</v>
      </c>
      <c r="JC13" s="1">
        <f>SUMPRODUCT((NOT(ISBLANK(JC$3:JC$5))*(JC$3:JC$5&gt;$LD$3:$LD$5))+ISBLANK(JC$3:JC$5))</f>
        <v>0</v>
      </c>
      <c r="JD13" s="1">
        <f>SUMPRODUCT((NOT(ISBLANK(JD$3:JD$5))*(JD$3:JD$5&gt;$LE$3:$LE$5))+ISBLANK(JD$3:JD$5))</f>
        <v>0</v>
      </c>
      <c r="JE13" s="1">
        <f>SUMPRODUCT((NOT(ISBLANK(JE$3:JE$5))*(JE$3:JE$5&gt;$LF$3:$LF$5))+ISBLANK(JE$3:JE$5))</f>
        <v>0</v>
      </c>
      <c r="JF13" s="1">
        <f>SUMPRODUCT((NOT(ISBLANK(JF$3:JF$5))*(JF$3:JF$5&gt;$LG$3:$LG$5))+ISBLANK(JF$3:JF$5))</f>
        <v>0</v>
      </c>
      <c r="JG13" s="1">
        <f>SUMPRODUCT((NOT(ISBLANK(JG$3:JG$5))*(JG$3:JG$5&gt;$LH$3:$LH$5))+ISBLANK(JG$3:JG$5))</f>
        <v>0</v>
      </c>
      <c r="JH13" s="1"/>
      <c r="JI13" s="1">
        <f>SUMPRODUCT((NOT(ISBLANK(JI$3:JI$5))*(JI$3:JI$5&gt;$LI$3:$LI$5))+ISBLANK(JI$3:JI$5))</f>
        <v>0</v>
      </c>
      <c r="JJ13" s="1">
        <f>SUMPRODUCT((NOT(ISBLANK(JJ$3:JJ$5))*(JJ$3:JJ$5&gt;$LJ$3:$LJ$5))+ISBLANK(JJ$3:JJ$5))</f>
        <v>0</v>
      </c>
      <c r="JK13" s="1">
        <f>SUMPRODUCT((NOT(ISBLANK(JK$3:JK$5))*(JK$3:JK$5&gt;$LK$3:$LK$5))+ISBLANK(JK$3:JK$5))</f>
        <v>0</v>
      </c>
      <c r="JL13" s="1">
        <f>SUMPRODUCT((NOT(ISBLANK(JL$3:JL$5))*(JL$3:JL$5&gt;$KU$3:$KU$5))+ISBLANK(JL$3:JL$5))</f>
        <v>0</v>
      </c>
      <c r="JM13" s="1">
        <f>SUMPRODUCT((NOT(ISBLANK(JM$3:JM$5))*(JM$3:JM$5&gt;$KV$3:$KV$5))+ISBLANK(JM$3:JM$5))</f>
        <v>0</v>
      </c>
      <c r="JN13" s="1">
        <f>SUMPRODUCT((NOT(ISBLANK(JN$3:JN$5))*(JN$3:JN$5&gt;$KW$3:$KW$5))+ISBLANK(JN$3:JN$5))</f>
        <v>0</v>
      </c>
      <c r="JO13" s="1">
        <f>SUMPRODUCT((NOT(ISBLANK(JO$3:JO$5))*(JO$3:JO$5&gt;$KX$3:$KX$5))+ISBLANK(JO$3:JO$5))</f>
        <v>0</v>
      </c>
      <c r="JP13" s="1">
        <f>SUMPRODUCT((NOT(ISBLANK(JP$3:JP$5))*(JP$3:JP$5&gt;$KY$3:$KY$5))+ISBLANK(JP$3:JP$5))</f>
        <v>0</v>
      </c>
      <c r="JQ13" s="1">
        <f>SUMPRODUCT((NOT(ISBLANK(JQ$3:JQ$5))*(JQ$3:JQ$5&gt;$KZ$3:$KZ$5))+ISBLANK(JQ$3:JQ$5))</f>
        <v>0</v>
      </c>
      <c r="JR13" s="1">
        <f>SUMPRODUCT((NOT(ISBLANK(JR$3:JR$5))*(JR$3:JR$5&gt;$LA$3:$LA$5))+ISBLANK(JR$3:JR$5))</f>
        <v>0</v>
      </c>
      <c r="JS13" s="1">
        <f>SUMPRODUCT((NOT(ISBLANK(JS$3:JS$5))*(JS$3:JS$5&gt;$LB$3:$LB$5))+ISBLANK(JS$3:JS$5))</f>
        <v>0</v>
      </c>
      <c r="JT13" s="1">
        <f>SUMPRODUCT((NOT(ISBLANK(JT$3:JT$5))*(JT$3:JT$5&gt;$LC$3:$LC$5))+ISBLANK(JT$3:JT$5))</f>
        <v>0</v>
      </c>
      <c r="JU13" s="1">
        <f>SUMPRODUCT((NOT(ISBLANK(JU$3:JU$5))*(JU$3:JU$5&gt;$LD$3:$LD$5))+ISBLANK(JU$3:JU$5))</f>
        <v>0</v>
      </c>
      <c r="JV13" s="1">
        <f>SUMPRODUCT((NOT(ISBLANK(JV$3:JV$5))*(JV$3:JV$5&gt;$LE$3:$LE$5))+ISBLANK(JV$3:JV$5))</f>
        <v>0</v>
      </c>
      <c r="JW13" s="1">
        <f>SUMPRODUCT((NOT(ISBLANK(JW$3:JW$5))*(JW$3:JW$5&gt;$LF$3:$LF$5))+ISBLANK(JW$3:JW$5))</f>
        <v>0</v>
      </c>
      <c r="JX13" s="1">
        <f>SUMPRODUCT((NOT(ISBLANK(JX$3:JX$5))*(JX$3:JX$5&gt;$LG$3:$LG$5))+ISBLANK(JX$3:JX$5))</f>
        <v>0</v>
      </c>
      <c r="JY13" s="1">
        <f>SUMPRODUCT((NOT(ISBLANK(JY$3:JY$5))*(JY$3:JY$5&gt;$LH$3:$LH$5))+ISBLANK(JY$3:JY$5))</f>
        <v>0</v>
      </c>
      <c r="JZ13" s="1"/>
      <c r="KA13" s="1">
        <f>SUMPRODUCT((NOT(ISBLANK(KA$3:KA$5))*(KA$3:KA$5&gt;$LI$3:$LI$5))+ISBLANK(KA$3:KA$5))</f>
        <v>0</v>
      </c>
      <c r="KB13" s="1">
        <f>SUMPRODUCT((NOT(ISBLANK(KB$3:KB$5))*(KB$3:KB$5&gt;$LJ$3:$LJ$5))+ISBLANK(KB$3:KB$5))</f>
        <v>0</v>
      </c>
      <c r="KC13" s="1">
        <f>SUMPRODUCT((NOT(ISBLANK(KC$3:KC$5))*(KC$3:KC$5&gt;$LK$3:$LK$5))+ISBLANK(KC$3:KC$5))</f>
        <v>0</v>
      </c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</row>
    <row r="14" spans="1:340">
      <c r="A14" s="1" t="s">
        <v>39</v>
      </c>
      <c r="B14" s="1">
        <f>SUMPRODUCT((NOT(ISBLANK(B$3:B$5))*(B$3:B$5=$LL$3:$LL$5))+ISBLANK(B$3:B$5))</f>
        <v>0</v>
      </c>
      <c r="C14" s="1">
        <f>SUMPRODUCT((NOT(ISBLANK(C$3:C$5))*(C$3:C$5=$LM$3:$LM$5))+ISBLANK(C$3:C$5))</f>
        <v>0</v>
      </c>
      <c r="D14" s="1">
        <f>SUMPRODUCT((NOT(ISBLANK(D$3:D$5))*(D$3:D$5=$LN$3:$LN$5))+ISBLANK(D$3:D$5))</f>
        <v>0</v>
      </c>
      <c r="E14" s="1">
        <f>SUMPRODUCT((NOT(ISBLANK(E$3:E$5))*(E$3:E$5=$LO$3:$LO$5))+ISBLANK(E$3:E$5))</f>
        <v>0</v>
      </c>
      <c r="F14" s="1">
        <f>SUMPRODUCT((NOT(ISBLANK(F$3:F$5))*(F$3:F$5=$LP$3:$LP$5))+ISBLANK(F$3:F$5))</f>
        <v>0</v>
      </c>
      <c r="G14" s="1">
        <f>SUMPRODUCT((NOT(ISBLANK(G$3:G$5))*(G$3:G$5=$LQ$3:$LQ$5))+ISBLANK(G$3:G$5))</f>
        <v>0</v>
      </c>
      <c r="H14" s="1">
        <f>SUMPRODUCT((NOT(ISBLANK(H$3:H$5))*(H$3:H$5=$LR$3:$LR$5))+ISBLANK(H$3:H$5))</f>
        <v>0</v>
      </c>
      <c r="I14" s="1">
        <f>SUMPRODUCT((NOT(ISBLANK(I$3:I$5))*(I$3:I$5=$LS$3:$LS$5))+ISBLANK(I$3:I$5))</f>
        <v>0</v>
      </c>
      <c r="J14" s="1">
        <f>SUMPRODUCT((NOT(ISBLANK(J$3:J$5))*(J$3:J$5=$LT$3:$LT$5))+ISBLANK(J$3:J$5))</f>
        <v>0</v>
      </c>
      <c r="K14" s="1">
        <f>SUMPRODUCT((NOT(ISBLANK(K$3:K$5))*(K$3:K$5=$LU$3:$LU$5))+ISBLANK(K$3:K$5))</f>
        <v>0</v>
      </c>
      <c r="L14" s="1">
        <f>SUMPRODUCT((NOT(ISBLANK(L$3:L$5))*(L$3:L$5=$LV$3:$LV$5))+ISBLANK(L$3:L$5))</f>
        <v>0</v>
      </c>
      <c r="M14" s="1">
        <f>SUMPRODUCT((NOT(ISBLANK(M$3:M$5))*(M$3:M$5=$LW$3:$LW$5))+ISBLANK(M$3:M$5))</f>
        <v>0</v>
      </c>
      <c r="N14" s="1">
        <f>SUMPRODUCT((NOT(ISBLANK(N$3:N$5))*(N$3:N$5=$LX$3:$LX$5))+ISBLANK(N$3:N$5))</f>
        <v>0</v>
      </c>
      <c r="O14" s="1">
        <f>SUMPRODUCT((NOT(ISBLANK(O$3:O$5))*(O$3:O$5=$LY$3:$LY$5))+ISBLANK(O$3:O$5))</f>
        <v>0</v>
      </c>
      <c r="P14" s="1"/>
      <c r="Q14" s="1">
        <f>SUMPRODUCT((NOT(ISBLANK(Q$3:Q$5))*(Q$3:Q$5=$LZ$3:$LZ$5))+ISBLANK(Q$3:Q$5))</f>
        <v>0</v>
      </c>
      <c r="R14" s="1">
        <f>SUMPRODUCT((NOT(ISBLANK(R$3:R$5))*(R$3:R$5=$MA$3:$MA$5))+ISBLANK(R$3:R$5))</f>
        <v>0</v>
      </c>
      <c r="S14" s="1">
        <f>SUMPRODUCT((NOT(ISBLANK(S$3:S$5))*(S$3:S$5=$MB$3:$MB$5))+ISBLANK(S$3:S$5))</f>
        <v>0</v>
      </c>
      <c r="T14" s="1">
        <f>SUMPRODUCT((NOT(ISBLANK(T$3:T$5))*(T$3:T$5=$LL$3:$LL$5))+ISBLANK(T$3:T$5))</f>
        <v>0</v>
      </c>
      <c r="U14" s="1">
        <f>SUMPRODUCT((NOT(ISBLANK(U$3:U$5))*(U$3:U$5=$LM$3:$LM$5))+ISBLANK(U$3:U$5))</f>
        <v>0</v>
      </c>
      <c r="V14" s="1">
        <f>SUMPRODUCT((NOT(ISBLANK(V$3:V$5))*(V$3:V$5=$LN$3:$LN$5))+ISBLANK(V$3:V$5))</f>
        <v>0</v>
      </c>
      <c r="W14" s="1">
        <f>SUMPRODUCT((NOT(ISBLANK(W$3:W$5))*(W$3:W$5=$LO$3:$LO$5))+ISBLANK(W$3:W$5))</f>
        <v>0</v>
      </c>
      <c r="X14" s="1">
        <f>SUMPRODUCT((NOT(ISBLANK(X$3:X$5))*(X$3:X$5=$LP$3:$LP$5))+ISBLANK(X$3:X$5))</f>
        <v>0</v>
      </c>
      <c r="Y14" s="1">
        <f>SUMPRODUCT((NOT(ISBLANK(Y$3:Y$5))*(Y$3:Y$5=$LQ$3:$LQ$5))+ISBLANK(Y$3:Y$5))</f>
        <v>0</v>
      </c>
      <c r="Z14" s="1">
        <f>SUMPRODUCT((NOT(ISBLANK(Z$3:Z$5))*(Z$3:Z$5=$LR$3:$LR$5))+ISBLANK(Z$3:Z$5))</f>
        <v>0</v>
      </c>
      <c r="AA14" s="1">
        <f>SUMPRODUCT((NOT(ISBLANK(AA$3:AA$5))*(AA$3:AA$5=$LS$3:$LS$5))+ISBLANK(AA$3:AA$5))</f>
        <v>0</v>
      </c>
      <c r="AB14" s="1">
        <f>SUMPRODUCT((NOT(ISBLANK(AB$3:AB$5))*(AB$3:AB$5=$LT$3:$LT$5))+ISBLANK(AB$3:AB$5))</f>
        <v>0</v>
      </c>
      <c r="AC14" s="1">
        <f>SUMPRODUCT((NOT(ISBLANK(AC$3:AC$5))*(AC$3:AC$5=$LU$3:$LU$5))+ISBLANK(AC$3:AC$5))</f>
        <v>0</v>
      </c>
      <c r="AD14" s="1">
        <f>SUMPRODUCT((NOT(ISBLANK(AD$3:AD$5))*(AD$3:AD$5=$LV$3:$LV$5))+ISBLANK(AD$3:AD$5))</f>
        <v>0</v>
      </c>
      <c r="AE14" s="1">
        <f>SUMPRODUCT((NOT(ISBLANK(AE$3:AE$5))*(AE$3:AE$5=$LW$3:$LW$5))+ISBLANK(AE$3:AE$5))</f>
        <v>0</v>
      </c>
      <c r="AF14" s="1">
        <f>SUMPRODUCT((NOT(ISBLANK(AF$3:AF$5))*(AF$3:AF$5=$LX$3:$LX$5))+ISBLANK(AF$3:AF$5))</f>
        <v>0</v>
      </c>
      <c r="AG14" s="1">
        <f>SUMPRODUCT((NOT(ISBLANK(AG$3:AG$5))*(AG$3:AG$5=$LY$3:$LY$5))+ISBLANK(AG$3:AG$5))</f>
        <v>0</v>
      </c>
      <c r="AH14" s="1"/>
      <c r="AI14" s="1">
        <f>SUMPRODUCT((NOT(ISBLANK(AI$3:AI$5))*(AI$3:AI$5=$LZ$3:$LZ$5))+ISBLANK(AI$3:AI$5))</f>
        <v>0</v>
      </c>
      <c r="AJ14" s="1">
        <f>SUMPRODUCT((NOT(ISBLANK(AJ$3:AJ$5))*(AJ$3:AJ$5=$MA$3:$MA$5))+ISBLANK(AJ$3:AJ$5))</f>
        <v>0</v>
      </c>
      <c r="AK14" s="1">
        <f>SUMPRODUCT((NOT(ISBLANK(AK$3:AK$5))*(AK$3:AK$5=$MB$3:$MB$5))+ISBLANK(AK$3:AK$5))</f>
        <v>0</v>
      </c>
      <c r="AL14" s="1">
        <f>SUMPRODUCT((NOT(ISBLANK(AL$3:AL$5))*(AL$3:AL$5=$LL$3:$LL$5))+ISBLANK(AL$3:AL$5))</f>
        <v>0</v>
      </c>
      <c r="AM14" s="1">
        <f>SUMPRODUCT((NOT(ISBLANK(AM$3:AM$5))*(AM$3:AM$5=$LM$3:$LM$5))+ISBLANK(AM$3:AM$5))</f>
        <v>0</v>
      </c>
      <c r="AN14" s="1">
        <f>SUMPRODUCT((NOT(ISBLANK(AN$3:AN$5))*(AN$3:AN$5=$LN$3:$LN$5))+ISBLANK(AN$3:AN$5))</f>
        <v>0</v>
      </c>
      <c r="AO14" s="1">
        <f>SUMPRODUCT((NOT(ISBLANK(AO$3:AO$5))*(AO$3:AO$5=$LO$3:$LO$5))+ISBLANK(AO$3:AO$5))</f>
        <v>0</v>
      </c>
      <c r="AP14" s="1">
        <f>SUMPRODUCT((NOT(ISBLANK(AP$3:AP$5))*(AP$3:AP$5=$LP$3:$LP$5))+ISBLANK(AP$3:AP$5))</f>
        <v>0</v>
      </c>
      <c r="AQ14" s="1">
        <f>SUMPRODUCT((NOT(ISBLANK(AQ$3:AQ$5))*(AQ$3:AQ$5=$LQ$3:$LQ$5))+ISBLANK(AQ$3:AQ$5))</f>
        <v>0</v>
      </c>
      <c r="AR14" s="1">
        <f>SUMPRODUCT((NOT(ISBLANK(AR$3:AR$5))*(AR$3:AR$5=$LR$3:$LR$5))+ISBLANK(AR$3:AR$5))</f>
        <v>0</v>
      </c>
      <c r="AS14" s="1">
        <f>SUMPRODUCT((NOT(ISBLANK(AS$3:AS$5))*(AS$3:AS$5=$LS$3:$LS$5))+ISBLANK(AS$3:AS$5))</f>
        <v>0</v>
      </c>
      <c r="AT14" s="1">
        <f>SUMPRODUCT((NOT(ISBLANK(AT$3:AT$5))*(AT$3:AT$5=$LT$3:$LT$5))+ISBLANK(AT$3:AT$5))</f>
        <v>0</v>
      </c>
      <c r="AU14" s="1">
        <f>SUMPRODUCT((NOT(ISBLANK(AU$3:AU$5))*(AU$3:AU$5=$LU$3:$LU$5))+ISBLANK(AU$3:AU$5))</f>
        <v>0</v>
      </c>
      <c r="AV14" s="1">
        <f>SUMPRODUCT((NOT(ISBLANK(AV$3:AV$5))*(AV$3:AV$5=$LV$3:$LV$5))+ISBLANK(AV$3:AV$5))</f>
        <v>0</v>
      </c>
      <c r="AW14" s="1">
        <f>SUMPRODUCT((NOT(ISBLANK(AW$3:AW$5))*(AW$3:AW$5=$LW$3:$LW$5))+ISBLANK(AW$3:AW$5))</f>
        <v>0</v>
      </c>
      <c r="AX14" s="1">
        <f>SUMPRODUCT((NOT(ISBLANK(AX$3:AX$5))*(AX$3:AX$5=$LX$3:$LX$5))+ISBLANK(AX$3:AX$5))</f>
        <v>0</v>
      </c>
      <c r="AY14" s="1">
        <f>SUMPRODUCT((NOT(ISBLANK(AY$3:AY$5))*(AY$3:AY$5=$LY$3:$LY$5))+ISBLANK(AY$3:AY$5))</f>
        <v>0</v>
      </c>
      <c r="AZ14" s="1"/>
      <c r="BA14" s="1">
        <f>SUMPRODUCT((NOT(ISBLANK(BA$3:BA$5))*(BA$3:BA$5=$LZ$3:$LZ$5))+ISBLANK(BA$3:BA$5))</f>
        <v>0</v>
      </c>
      <c r="BB14" s="1">
        <f>SUMPRODUCT((NOT(ISBLANK(BB$3:BB$5))*(BB$3:BB$5=$MA$3:$MA$5))+ISBLANK(BB$3:BB$5))</f>
        <v>0</v>
      </c>
      <c r="BC14" s="1">
        <f>SUMPRODUCT((NOT(ISBLANK(BC$3:BC$5))*(BC$3:BC$5=$MB$3:$MB$5))+ISBLANK(BC$3:BC$5))</f>
        <v>0</v>
      </c>
      <c r="BD14" s="1">
        <f>SUMPRODUCT((NOT(ISBLANK(BD$3:BD$5))*(BD$3:BD$5=$LL$3:$LL$5))+ISBLANK(BD$3:BD$5))</f>
        <v>0</v>
      </c>
      <c r="BE14" s="1">
        <f>SUMPRODUCT((NOT(ISBLANK(BE$3:BE$5))*(BE$3:BE$5=$LM$3:$LM$5))+ISBLANK(BE$3:BE$5))</f>
        <v>0</v>
      </c>
      <c r="BF14" s="1">
        <f>SUMPRODUCT((NOT(ISBLANK(BF$3:BF$5))*(BF$3:BF$5=$LN$3:$LN$5))+ISBLANK(BF$3:BF$5))</f>
        <v>0</v>
      </c>
      <c r="BG14" s="1">
        <f>SUMPRODUCT((NOT(ISBLANK(BG$3:BG$5))*(BG$3:BG$5=$LO$3:$LO$5))+ISBLANK(BG$3:BG$5))</f>
        <v>0</v>
      </c>
      <c r="BH14" s="1">
        <f>SUMPRODUCT((NOT(ISBLANK(BH$3:BH$5))*(BH$3:BH$5=$LP$3:$LP$5))+ISBLANK(BH$3:BH$5))</f>
        <v>0</v>
      </c>
      <c r="BI14" s="1">
        <f>SUMPRODUCT((NOT(ISBLANK(BI$3:BI$5))*(BI$3:BI$5=$LQ$3:$LQ$5))+ISBLANK(BI$3:BI$5))</f>
        <v>0</v>
      </c>
      <c r="BJ14" s="1">
        <f>SUMPRODUCT((NOT(ISBLANK(BJ$3:BJ$5))*(BJ$3:BJ$5=$LR$3:$LR$5))+ISBLANK(BJ$3:BJ$5))</f>
        <v>0</v>
      </c>
      <c r="BK14" s="1">
        <f>SUMPRODUCT((NOT(ISBLANK(BK$3:BK$5))*(BK$3:BK$5=$LS$3:$LS$5))+ISBLANK(BK$3:BK$5))</f>
        <v>0</v>
      </c>
      <c r="BL14" s="1">
        <f>SUMPRODUCT((NOT(ISBLANK(BL$3:BL$5))*(BL$3:BL$5=$LT$3:$LT$5))+ISBLANK(BL$3:BL$5))</f>
        <v>0</v>
      </c>
      <c r="BM14" s="1">
        <f>SUMPRODUCT((NOT(ISBLANK(BM$3:BM$5))*(BM$3:BM$5=$LU$3:$LU$5))+ISBLANK(BM$3:BM$5))</f>
        <v>0</v>
      </c>
      <c r="BN14" s="1">
        <f>SUMPRODUCT((NOT(ISBLANK(BN$3:BN$5))*(BN$3:BN$5=$LV$3:$LV$5))+ISBLANK(BN$3:BN$5))</f>
        <v>0</v>
      </c>
      <c r="BO14" s="1">
        <f>SUMPRODUCT((NOT(ISBLANK(BO$3:BO$5))*(BO$3:BO$5=$LW$3:$LW$5))+ISBLANK(BO$3:BO$5))</f>
        <v>0</v>
      </c>
      <c r="BP14" s="1">
        <f>SUMPRODUCT((NOT(ISBLANK(BP$3:BP$5))*(BP$3:BP$5=$LX$3:$LX$5))+ISBLANK(BP$3:BP$5))</f>
        <v>0</v>
      </c>
      <c r="BQ14" s="1">
        <f>SUMPRODUCT((NOT(ISBLANK(BQ$3:BQ$5))*(BQ$3:BQ$5=$LY$3:$LY$5))+ISBLANK(BQ$3:BQ$5))</f>
        <v>0</v>
      </c>
      <c r="BR14" s="1"/>
      <c r="BS14" s="1">
        <f>SUMPRODUCT((NOT(ISBLANK(BS$3:BS$5))*(BS$3:BS$5=$LZ$3:$LZ$5))+ISBLANK(BS$3:BS$5))</f>
        <v>0</v>
      </c>
      <c r="BT14" s="1">
        <f>SUMPRODUCT((NOT(ISBLANK(BT$3:BT$5))*(BT$3:BT$5=$MA$3:$MA$5))+ISBLANK(BT$3:BT$5))</f>
        <v>0</v>
      </c>
      <c r="BU14" s="1">
        <f>SUMPRODUCT((NOT(ISBLANK(BU$3:BU$5))*(BU$3:BU$5=$MB$3:$MB$5))+ISBLANK(BU$3:BU$5))</f>
        <v>0</v>
      </c>
      <c r="BV14" s="1">
        <f>SUMPRODUCT((NOT(ISBLANK(BV$3:BV$5))*(BV$3:BV$5=$LL$3:$LL$5))+ISBLANK(BV$3:BV$5))</f>
        <v>0</v>
      </c>
      <c r="BW14" s="1">
        <f>SUMPRODUCT((NOT(ISBLANK(BW$3:BW$5))*(BW$3:BW$5=$LM$3:$LM$5))+ISBLANK(BW$3:BW$5))</f>
        <v>0</v>
      </c>
      <c r="BX14" s="1">
        <f>SUMPRODUCT((NOT(ISBLANK(BX$3:BX$5))*(BX$3:BX$5=$LN$3:$LN$5))+ISBLANK(BX$3:BX$5))</f>
        <v>0</v>
      </c>
      <c r="BY14" s="1">
        <f>SUMPRODUCT((NOT(ISBLANK(BY$3:BY$5))*(BY$3:BY$5=$LO$3:$LO$5))+ISBLANK(BY$3:BY$5))</f>
        <v>0</v>
      </c>
      <c r="BZ14" s="1">
        <f>SUMPRODUCT((NOT(ISBLANK(BZ$3:BZ$5))*(BZ$3:BZ$5=$LP$3:$LP$5))+ISBLANK(BZ$3:BZ$5))</f>
        <v>0</v>
      </c>
      <c r="CA14" s="1">
        <f>SUMPRODUCT((NOT(ISBLANK(CA$3:CA$5))*(CA$3:CA$5=$LQ$3:$LQ$5))+ISBLANK(CA$3:CA$5))</f>
        <v>0</v>
      </c>
      <c r="CB14" s="1">
        <f>SUMPRODUCT((NOT(ISBLANK(CB$3:CB$5))*(CB$3:CB$5=$LR$3:$LR$5))+ISBLANK(CB$3:CB$5))</f>
        <v>0</v>
      </c>
      <c r="CC14" s="1">
        <f>SUMPRODUCT((NOT(ISBLANK(CC$3:CC$5))*(CC$3:CC$5=$LS$3:$LS$5))+ISBLANK(CC$3:CC$5))</f>
        <v>0</v>
      </c>
      <c r="CD14" s="1">
        <f>SUMPRODUCT((NOT(ISBLANK(CD$3:CD$5))*(CD$3:CD$5=$LT$3:$LT$5))+ISBLANK(CD$3:CD$5))</f>
        <v>0</v>
      </c>
      <c r="CE14" s="1">
        <f>SUMPRODUCT((NOT(ISBLANK(CE$3:CE$5))*(CE$3:CE$5=$LU$3:$LU$5))+ISBLANK(CE$3:CE$5))</f>
        <v>0</v>
      </c>
      <c r="CF14" s="1">
        <f>SUMPRODUCT((NOT(ISBLANK(CF$3:CF$5))*(CF$3:CF$5=$LV$3:$LV$5))+ISBLANK(CF$3:CF$5))</f>
        <v>0</v>
      </c>
      <c r="CG14" s="1">
        <f>SUMPRODUCT((NOT(ISBLANK(CG$3:CG$5))*(CG$3:CG$5=$LW$3:$LW$5))+ISBLANK(CG$3:CG$5))</f>
        <v>0</v>
      </c>
      <c r="CH14" s="1">
        <f>SUMPRODUCT((NOT(ISBLANK(CH$3:CH$5))*(CH$3:CH$5=$LX$3:$LX$5))+ISBLANK(CH$3:CH$5))</f>
        <v>0</v>
      </c>
      <c r="CI14" s="1">
        <f>SUMPRODUCT((NOT(ISBLANK(CI$3:CI$5))*(CI$3:CI$5=$LY$3:$LY$5))+ISBLANK(CI$3:CI$5))</f>
        <v>0</v>
      </c>
      <c r="CJ14" s="1"/>
      <c r="CK14" s="1">
        <f>SUMPRODUCT((NOT(ISBLANK(CK$3:CK$5))*(CK$3:CK$5=$LZ$3:$LZ$5))+ISBLANK(CK$3:CK$5))</f>
        <v>0</v>
      </c>
      <c r="CL14" s="1">
        <f>SUMPRODUCT((NOT(ISBLANK(CL$3:CL$5))*(CL$3:CL$5=$MA$3:$MA$5))+ISBLANK(CL$3:CL$5))</f>
        <v>0</v>
      </c>
      <c r="CM14" s="1">
        <f>SUMPRODUCT((NOT(ISBLANK(CM$3:CM$5))*(CM$3:CM$5=$MB$3:$MB$5))+ISBLANK(CM$3:CM$5))</f>
        <v>0</v>
      </c>
      <c r="CN14" s="1">
        <f>SUMPRODUCT((NOT(ISBLANK(CN$3:CN$5))*(CN$3:CN$5=$LL$3:$LL$5))+ISBLANK(CN$3:CN$5))</f>
        <v>0</v>
      </c>
      <c r="CO14" s="1">
        <f>SUMPRODUCT((NOT(ISBLANK(CO$3:CO$5))*(CO$3:CO$5=$LM$3:$LM$5))+ISBLANK(CO$3:CO$5))</f>
        <v>0</v>
      </c>
      <c r="CP14" s="1">
        <f>SUMPRODUCT((NOT(ISBLANK(CP$3:CP$5))*(CP$3:CP$5=$LN$3:$LN$5))+ISBLANK(CP$3:CP$5))</f>
        <v>0</v>
      </c>
      <c r="CQ14" s="1">
        <f>SUMPRODUCT((NOT(ISBLANK(CQ$3:CQ$5))*(CQ$3:CQ$5=$LO$3:$LO$5))+ISBLANK(CQ$3:CQ$5))</f>
        <v>0</v>
      </c>
      <c r="CR14" s="1">
        <f>SUMPRODUCT((NOT(ISBLANK(CR$3:CR$5))*(CR$3:CR$5=$LP$3:$LP$5))+ISBLANK(CR$3:CR$5))</f>
        <v>0</v>
      </c>
      <c r="CS14" s="1">
        <f>SUMPRODUCT((NOT(ISBLANK(CS$3:CS$5))*(CS$3:CS$5=$LQ$3:$LQ$5))+ISBLANK(CS$3:CS$5))</f>
        <v>0</v>
      </c>
      <c r="CT14" s="1">
        <f>SUMPRODUCT((NOT(ISBLANK(CT$3:CT$5))*(CT$3:CT$5=$LR$3:$LR$5))+ISBLANK(CT$3:CT$5))</f>
        <v>0</v>
      </c>
      <c r="CU14" s="1">
        <f>SUMPRODUCT((NOT(ISBLANK(CU$3:CU$5))*(CU$3:CU$5=$LS$3:$LS$5))+ISBLANK(CU$3:CU$5))</f>
        <v>0</v>
      </c>
      <c r="CV14" s="1">
        <f>SUMPRODUCT((NOT(ISBLANK(CV$3:CV$5))*(CV$3:CV$5=$LT$3:$LT$5))+ISBLANK(CV$3:CV$5))</f>
        <v>0</v>
      </c>
      <c r="CW14" s="1">
        <f>SUMPRODUCT((NOT(ISBLANK(CW$3:CW$5))*(CW$3:CW$5=$LU$3:$LU$5))+ISBLANK(CW$3:CW$5))</f>
        <v>0</v>
      </c>
      <c r="CX14" s="1">
        <f>SUMPRODUCT((NOT(ISBLANK(CX$3:CX$5))*(CX$3:CX$5=$LV$3:$LV$5))+ISBLANK(CX$3:CX$5))</f>
        <v>0</v>
      </c>
      <c r="CY14" s="1">
        <f>SUMPRODUCT((NOT(ISBLANK(CY$3:CY$5))*(CY$3:CY$5=$LW$3:$LW$5))+ISBLANK(CY$3:CY$5))</f>
        <v>0</v>
      </c>
      <c r="CZ14" s="1">
        <f>SUMPRODUCT((NOT(ISBLANK(CZ$3:CZ$5))*(CZ$3:CZ$5=$LX$3:$LX$5))+ISBLANK(CZ$3:CZ$5))</f>
        <v>0</v>
      </c>
      <c r="DA14" s="1">
        <f>SUMPRODUCT((NOT(ISBLANK(DA$3:DA$5))*(DA$3:DA$5=$LY$3:$LY$5))+ISBLANK(DA$3:DA$5))</f>
        <v>0</v>
      </c>
      <c r="DB14" s="1"/>
      <c r="DC14" s="1">
        <f>SUMPRODUCT((NOT(ISBLANK(DC$3:DC$5))*(DC$3:DC$5=$LZ$3:$LZ$5))+ISBLANK(DC$3:DC$5))</f>
        <v>0</v>
      </c>
      <c r="DD14" s="1">
        <f>SUMPRODUCT((NOT(ISBLANK(DD$3:DD$5))*(DD$3:DD$5=$MA$3:$MA$5))+ISBLANK(DD$3:DD$5))</f>
        <v>0</v>
      </c>
      <c r="DE14" s="1">
        <f>SUMPRODUCT((NOT(ISBLANK(DE$3:DE$5))*(DE$3:DE$5=$MB$3:$MB$5))+ISBLANK(DE$3:DE$5))</f>
        <v>0</v>
      </c>
      <c r="DF14" s="1">
        <f>SUMPRODUCT((NOT(ISBLANK(DF$3:DF$5))*(DF$3:DF$5=$LL$3:$LL$5))+ISBLANK(DF$3:DF$5))</f>
        <v>0</v>
      </c>
      <c r="DG14" s="1">
        <f>SUMPRODUCT((NOT(ISBLANK(DG$3:DG$5))*(DG$3:DG$5=$LM$3:$LM$5))+ISBLANK(DG$3:DG$5))</f>
        <v>0</v>
      </c>
      <c r="DH14" s="1">
        <f>SUMPRODUCT((NOT(ISBLANK(DH$3:DH$5))*(DH$3:DH$5=$LN$3:$LN$5))+ISBLANK(DH$3:DH$5))</f>
        <v>0</v>
      </c>
      <c r="DI14" s="1">
        <f>SUMPRODUCT((NOT(ISBLANK(DI$3:DI$5))*(DI$3:DI$5=$LO$3:$LO$5))+ISBLANK(DI$3:DI$5))</f>
        <v>0</v>
      </c>
      <c r="DJ14" s="1">
        <f>SUMPRODUCT((NOT(ISBLANK(DJ$3:DJ$5))*(DJ$3:DJ$5=$LP$3:$LP$5))+ISBLANK(DJ$3:DJ$5))</f>
        <v>0</v>
      </c>
      <c r="DK14" s="1">
        <f>SUMPRODUCT((NOT(ISBLANK(DK$3:DK$5))*(DK$3:DK$5=$LQ$3:$LQ$5))+ISBLANK(DK$3:DK$5))</f>
        <v>0</v>
      </c>
      <c r="DL14" s="1">
        <f>SUMPRODUCT((NOT(ISBLANK(DL$3:DL$5))*(DL$3:DL$5=$LR$3:$LR$5))+ISBLANK(DL$3:DL$5))</f>
        <v>0</v>
      </c>
      <c r="DM14" s="1">
        <f>SUMPRODUCT((NOT(ISBLANK(DM$3:DM$5))*(DM$3:DM$5=$LS$3:$LS$5))+ISBLANK(DM$3:DM$5))</f>
        <v>0</v>
      </c>
      <c r="DN14" s="1">
        <f>SUMPRODUCT((NOT(ISBLANK(DN$3:DN$5))*(DN$3:DN$5=$LT$3:$LT$5))+ISBLANK(DN$3:DN$5))</f>
        <v>0</v>
      </c>
      <c r="DO14" s="1">
        <f>SUMPRODUCT((NOT(ISBLANK(DO$3:DO$5))*(DO$3:DO$5=$LU$3:$LU$5))+ISBLANK(DO$3:DO$5))</f>
        <v>0</v>
      </c>
      <c r="DP14" s="1">
        <f>SUMPRODUCT((NOT(ISBLANK(DP$3:DP$5))*(DP$3:DP$5=$LV$3:$LV$5))+ISBLANK(DP$3:DP$5))</f>
        <v>0</v>
      </c>
      <c r="DQ14" s="1">
        <f>SUMPRODUCT((NOT(ISBLANK(DQ$3:DQ$5))*(DQ$3:DQ$5=$LW$3:$LW$5))+ISBLANK(DQ$3:DQ$5))</f>
        <v>0</v>
      </c>
      <c r="DR14" s="1">
        <f>SUMPRODUCT((NOT(ISBLANK(DR$3:DR$5))*(DR$3:DR$5=$LX$3:$LX$5))+ISBLANK(DR$3:DR$5))</f>
        <v>0</v>
      </c>
      <c r="DS14" s="1">
        <f>SUMPRODUCT((NOT(ISBLANK(DS$3:DS$5))*(DS$3:DS$5=$LY$3:$LY$5))+ISBLANK(DS$3:DS$5))</f>
        <v>0</v>
      </c>
      <c r="DT14" s="1"/>
      <c r="DU14" s="1">
        <f>SUMPRODUCT((NOT(ISBLANK(DU$3:DU$5))*(DU$3:DU$5=$LZ$3:$LZ$5))+ISBLANK(DU$3:DU$5))</f>
        <v>0</v>
      </c>
      <c r="DV14" s="1">
        <f>SUMPRODUCT((NOT(ISBLANK(DV$3:DV$5))*(DV$3:DV$5=$MA$3:$MA$5))+ISBLANK(DV$3:DV$5))</f>
        <v>0</v>
      </c>
      <c r="DW14" s="1">
        <f>SUMPRODUCT((NOT(ISBLANK(DW$3:DW$5))*(DW$3:DW$5=$MB$3:$MB$5))+ISBLANK(DW$3:DW$5))</f>
        <v>0</v>
      </c>
      <c r="DX14" s="1">
        <f>SUMPRODUCT((NOT(ISBLANK(DX$3:DX$5))*(DX$3:DX$5=$LL$3:$LL$5))+ISBLANK(DX$3:DX$5))</f>
        <v>0</v>
      </c>
      <c r="DY14" s="1">
        <f>SUMPRODUCT((NOT(ISBLANK(DY$3:DY$5))*(DY$3:DY$5=$LM$3:$LM$5))+ISBLANK(DY$3:DY$5))</f>
        <v>0</v>
      </c>
      <c r="DZ14" s="1">
        <f>SUMPRODUCT((NOT(ISBLANK(DZ$3:DZ$5))*(DZ$3:DZ$5=$LN$3:$LN$5))+ISBLANK(DZ$3:DZ$5))</f>
        <v>0</v>
      </c>
      <c r="EA14" s="1">
        <f>SUMPRODUCT((NOT(ISBLANK(EA$3:EA$5))*(EA$3:EA$5=$LO$3:$LO$5))+ISBLANK(EA$3:EA$5))</f>
        <v>0</v>
      </c>
      <c r="EB14" s="1">
        <f>SUMPRODUCT((NOT(ISBLANK(EB$3:EB$5))*(EB$3:EB$5=$LP$3:$LP$5))+ISBLANK(EB$3:EB$5))</f>
        <v>0</v>
      </c>
      <c r="EC14" s="1">
        <f>SUMPRODUCT((NOT(ISBLANK(EC$3:EC$5))*(EC$3:EC$5=$LQ$3:$LQ$5))+ISBLANK(EC$3:EC$5))</f>
        <v>0</v>
      </c>
      <c r="ED14" s="1">
        <f>SUMPRODUCT((NOT(ISBLANK(ED$3:ED$5))*(ED$3:ED$5=$LR$3:$LR$5))+ISBLANK(ED$3:ED$5))</f>
        <v>0</v>
      </c>
      <c r="EE14" s="1">
        <f>SUMPRODUCT((NOT(ISBLANK(EE$3:EE$5))*(EE$3:EE$5=$LS$3:$LS$5))+ISBLANK(EE$3:EE$5))</f>
        <v>0</v>
      </c>
      <c r="EF14" s="1">
        <f>SUMPRODUCT((NOT(ISBLANK(EF$3:EF$5))*(EF$3:EF$5=$LT$3:$LT$5))+ISBLANK(EF$3:EF$5))</f>
        <v>0</v>
      </c>
      <c r="EG14" s="1">
        <f>SUMPRODUCT((NOT(ISBLANK(EG$3:EG$5))*(EG$3:EG$5=$LU$3:$LU$5))+ISBLANK(EG$3:EG$5))</f>
        <v>0</v>
      </c>
      <c r="EH14" s="1">
        <f>SUMPRODUCT((NOT(ISBLANK(EH$3:EH$5))*(EH$3:EH$5=$LV$3:$LV$5))+ISBLANK(EH$3:EH$5))</f>
        <v>0</v>
      </c>
      <c r="EI14" s="1">
        <f>SUMPRODUCT((NOT(ISBLANK(EI$3:EI$5))*(EI$3:EI$5=$LW$3:$LW$5))+ISBLANK(EI$3:EI$5))</f>
        <v>0</v>
      </c>
      <c r="EJ14" s="1">
        <f>SUMPRODUCT((NOT(ISBLANK(EJ$3:EJ$5))*(EJ$3:EJ$5=$LX$3:$LX$5))+ISBLANK(EJ$3:EJ$5))</f>
        <v>0</v>
      </c>
      <c r="EK14" s="1">
        <f>SUMPRODUCT((NOT(ISBLANK(EK$3:EK$5))*(EK$3:EK$5=$LY$3:$LY$5))+ISBLANK(EK$3:EK$5))</f>
        <v>0</v>
      </c>
      <c r="EL14" s="1"/>
      <c r="EM14" s="1">
        <f>SUMPRODUCT((NOT(ISBLANK(EM$3:EM$5))*(EM$3:EM$5=$LZ$3:$LZ$5))+ISBLANK(EM$3:EM$5))</f>
        <v>0</v>
      </c>
      <c r="EN14" s="1">
        <f>SUMPRODUCT((NOT(ISBLANK(EN$3:EN$5))*(EN$3:EN$5=$MA$3:$MA$5))+ISBLANK(EN$3:EN$5))</f>
        <v>0</v>
      </c>
      <c r="EO14" s="1">
        <f>SUMPRODUCT((NOT(ISBLANK(EO$3:EO$5))*(EO$3:EO$5=$MB$3:$MB$5))+ISBLANK(EO$3:EO$5))</f>
        <v>0</v>
      </c>
      <c r="EP14" s="1">
        <f>SUMPRODUCT((NOT(ISBLANK(EP$3:EP$5))*(EP$3:EP$5=$LL$3:$LL$5))+ISBLANK(EP$3:EP$5))</f>
        <v>0</v>
      </c>
      <c r="EQ14" s="1">
        <f>SUMPRODUCT((NOT(ISBLANK(EQ$3:EQ$5))*(EQ$3:EQ$5=$LM$3:$LM$5))+ISBLANK(EQ$3:EQ$5))</f>
        <v>0</v>
      </c>
      <c r="ER14" s="1">
        <f>SUMPRODUCT((NOT(ISBLANK(ER$3:ER$5))*(ER$3:ER$5=$LN$3:$LN$5))+ISBLANK(ER$3:ER$5))</f>
        <v>0</v>
      </c>
      <c r="ES14" s="1">
        <f>SUMPRODUCT((NOT(ISBLANK(ES$3:ES$5))*(ES$3:ES$5=$LO$3:$LO$5))+ISBLANK(ES$3:ES$5))</f>
        <v>0</v>
      </c>
      <c r="ET14" s="1">
        <f>SUMPRODUCT((NOT(ISBLANK(ET$3:ET$5))*(ET$3:ET$5=$LP$3:$LP$5))+ISBLANK(ET$3:ET$5))</f>
        <v>0</v>
      </c>
      <c r="EU14" s="1">
        <f>SUMPRODUCT((NOT(ISBLANK(EU$3:EU$5))*(EU$3:EU$5=$LQ$3:$LQ$5))+ISBLANK(EU$3:EU$5))</f>
        <v>0</v>
      </c>
      <c r="EV14" s="1">
        <f>SUMPRODUCT((NOT(ISBLANK(EV$3:EV$5))*(EV$3:EV$5=$LR$3:$LR$5))+ISBLANK(EV$3:EV$5))</f>
        <v>0</v>
      </c>
      <c r="EW14" s="1">
        <f>SUMPRODUCT((NOT(ISBLANK(EW$3:EW$5))*(EW$3:EW$5=$LS$3:$LS$5))+ISBLANK(EW$3:EW$5))</f>
        <v>0</v>
      </c>
      <c r="EX14" s="1">
        <f>SUMPRODUCT((NOT(ISBLANK(EX$3:EX$5))*(EX$3:EX$5=$LT$3:$LT$5))+ISBLANK(EX$3:EX$5))</f>
        <v>0</v>
      </c>
      <c r="EY14" s="1">
        <f>SUMPRODUCT((NOT(ISBLANK(EY$3:EY$5))*(EY$3:EY$5=$LU$3:$LU$5))+ISBLANK(EY$3:EY$5))</f>
        <v>0</v>
      </c>
      <c r="EZ14" s="1">
        <f>SUMPRODUCT((NOT(ISBLANK(EZ$3:EZ$5))*(EZ$3:EZ$5=$LV$3:$LV$5))+ISBLANK(EZ$3:EZ$5))</f>
        <v>0</v>
      </c>
      <c r="FA14" s="1">
        <f>SUMPRODUCT((NOT(ISBLANK(FA$3:FA$5))*(FA$3:FA$5=$LW$3:$LW$5))+ISBLANK(FA$3:FA$5))</f>
        <v>0</v>
      </c>
      <c r="FB14" s="1">
        <f>SUMPRODUCT((NOT(ISBLANK(FB$3:FB$5))*(FB$3:FB$5=$LX$3:$LX$5))+ISBLANK(FB$3:FB$5))</f>
        <v>0</v>
      </c>
      <c r="FC14" s="1">
        <f>SUMPRODUCT((NOT(ISBLANK(FC$3:FC$5))*(FC$3:FC$5=$LY$3:$LY$5))+ISBLANK(FC$3:FC$5))</f>
        <v>0</v>
      </c>
      <c r="FD14" s="1"/>
      <c r="FE14" s="1">
        <f>SUMPRODUCT((NOT(ISBLANK(FE$3:FE$5))*(FE$3:FE$5=$LZ$3:$LZ$5))+ISBLANK(FE$3:FE$5))</f>
        <v>0</v>
      </c>
      <c r="FF14" s="1">
        <f>SUMPRODUCT((NOT(ISBLANK(FF$3:FF$5))*(FF$3:FF$5=$MA$3:$MA$5))+ISBLANK(FF$3:FF$5))</f>
        <v>0</v>
      </c>
      <c r="FG14" s="1">
        <f>SUMPRODUCT((NOT(ISBLANK(FG$3:FG$5))*(FG$3:FG$5=$MB$3:$MB$5))+ISBLANK(FG$3:FG$5))</f>
        <v>0</v>
      </c>
      <c r="FH14" s="1">
        <f>SUMPRODUCT((NOT(ISBLANK(FH$3:FH$5))*(FH$3:FH$5=$LL$3:$LL$5))+ISBLANK(FH$3:FH$5))</f>
        <v>0</v>
      </c>
      <c r="FI14" s="1">
        <f>SUMPRODUCT((NOT(ISBLANK(FI$3:FI$5))*(FI$3:FI$5=$LM$3:$LM$5))+ISBLANK(FI$3:FI$5))</f>
        <v>0</v>
      </c>
      <c r="FJ14" s="1">
        <f>SUMPRODUCT((NOT(ISBLANK(FJ$3:FJ$5))*(FJ$3:FJ$5=$LN$3:$LN$5))+ISBLANK(FJ$3:FJ$5))</f>
        <v>0</v>
      </c>
      <c r="FK14" s="1">
        <f>SUMPRODUCT((NOT(ISBLANK(FK$3:FK$5))*(FK$3:FK$5=$LO$3:$LO$5))+ISBLANK(FK$3:FK$5))</f>
        <v>0</v>
      </c>
      <c r="FL14" s="1">
        <f>SUMPRODUCT((NOT(ISBLANK(FL$3:FL$5))*(FL$3:FL$5=$LP$3:$LP$5))+ISBLANK(FL$3:FL$5))</f>
        <v>0</v>
      </c>
      <c r="FM14" s="1">
        <f>SUMPRODUCT((NOT(ISBLANK(FM$3:FM$5))*(FM$3:FM$5=$LQ$3:$LQ$5))+ISBLANK(FM$3:FM$5))</f>
        <v>0</v>
      </c>
      <c r="FN14" s="1">
        <f>SUMPRODUCT((NOT(ISBLANK(FN$3:FN$5))*(FN$3:FN$5=$LR$3:$LR$5))+ISBLANK(FN$3:FN$5))</f>
        <v>0</v>
      </c>
      <c r="FO14" s="1">
        <f>SUMPRODUCT((NOT(ISBLANK(FO$3:FO$5))*(FO$3:FO$5=$LS$3:$LS$5))+ISBLANK(FO$3:FO$5))</f>
        <v>0</v>
      </c>
      <c r="FP14" s="1">
        <f>SUMPRODUCT((NOT(ISBLANK(FP$3:FP$5))*(FP$3:FP$5=$LT$3:$LT$5))+ISBLANK(FP$3:FP$5))</f>
        <v>0</v>
      </c>
      <c r="FQ14" s="1">
        <f>SUMPRODUCT((NOT(ISBLANK(FQ$3:FQ$5))*(FQ$3:FQ$5=$LU$3:$LU$5))+ISBLANK(FQ$3:FQ$5))</f>
        <v>0</v>
      </c>
      <c r="FR14" s="1">
        <f>SUMPRODUCT((NOT(ISBLANK(FR$3:FR$5))*(FR$3:FR$5=$LV$3:$LV$5))+ISBLANK(FR$3:FR$5))</f>
        <v>0</v>
      </c>
      <c r="FS14" s="1">
        <f>SUMPRODUCT((NOT(ISBLANK(FS$3:FS$5))*(FS$3:FS$5=$LW$3:$LW$5))+ISBLANK(FS$3:FS$5))</f>
        <v>0</v>
      </c>
      <c r="FT14" s="1">
        <f>SUMPRODUCT((NOT(ISBLANK(FT$3:FT$5))*(FT$3:FT$5=$LX$3:$LX$5))+ISBLANK(FT$3:FT$5))</f>
        <v>0</v>
      </c>
      <c r="FU14" s="1">
        <f>SUMPRODUCT((NOT(ISBLANK(FU$3:FU$5))*(FU$3:FU$5=$LY$3:$LY$5))+ISBLANK(FU$3:FU$5))</f>
        <v>0</v>
      </c>
      <c r="FV14" s="1"/>
      <c r="FW14" s="1">
        <f>SUMPRODUCT((NOT(ISBLANK(FW$3:FW$5))*(FW$3:FW$5=$LZ$3:$LZ$5))+ISBLANK(FW$3:FW$5))</f>
        <v>0</v>
      </c>
      <c r="FX14" s="1">
        <f>SUMPRODUCT((NOT(ISBLANK(FX$3:FX$5))*(FX$3:FX$5=$MA$3:$MA$5))+ISBLANK(FX$3:FX$5))</f>
        <v>0</v>
      </c>
      <c r="FY14" s="1">
        <f>SUMPRODUCT((NOT(ISBLANK(FY$3:FY$5))*(FY$3:FY$5=$MB$3:$MB$5))+ISBLANK(FY$3:FY$5))</f>
        <v>0</v>
      </c>
      <c r="FZ14" s="1">
        <f>SUMPRODUCT((NOT(ISBLANK(FZ$3:FZ$5))*(FZ$3:FZ$5=$LL$3:$LL$5))+ISBLANK(FZ$3:FZ$5))</f>
        <v>0</v>
      </c>
      <c r="GA14" s="1">
        <f>SUMPRODUCT((NOT(ISBLANK(GA$3:GA$5))*(GA$3:GA$5=$LM$3:$LM$5))+ISBLANK(GA$3:GA$5))</f>
        <v>0</v>
      </c>
      <c r="GB14" s="1">
        <f>SUMPRODUCT((NOT(ISBLANK(GB$3:GB$5))*(GB$3:GB$5=$LN$3:$LN$5))+ISBLANK(GB$3:GB$5))</f>
        <v>0</v>
      </c>
      <c r="GC14" s="1">
        <f>SUMPRODUCT((NOT(ISBLANK(GC$3:GC$5))*(GC$3:GC$5=$LO$3:$LO$5))+ISBLANK(GC$3:GC$5))</f>
        <v>0</v>
      </c>
      <c r="GD14" s="1">
        <f>SUMPRODUCT((NOT(ISBLANK(GD$3:GD$5))*(GD$3:GD$5=$LP$3:$LP$5))+ISBLANK(GD$3:GD$5))</f>
        <v>0</v>
      </c>
      <c r="GE14" s="1">
        <f>SUMPRODUCT((NOT(ISBLANK(GE$3:GE$5))*(GE$3:GE$5=$LQ$3:$LQ$5))+ISBLANK(GE$3:GE$5))</f>
        <v>0</v>
      </c>
      <c r="GF14" s="1">
        <f>SUMPRODUCT((NOT(ISBLANK(GF$3:GF$5))*(GF$3:GF$5=$LR$3:$LR$5))+ISBLANK(GF$3:GF$5))</f>
        <v>0</v>
      </c>
      <c r="GG14" s="1">
        <f>SUMPRODUCT((NOT(ISBLANK(GG$3:GG$5))*(GG$3:GG$5=$LS$3:$LS$5))+ISBLANK(GG$3:GG$5))</f>
        <v>0</v>
      </c>
      <c r="GH14" s="1">
        <f>SUMPRODUCT((NOT(ISBLANK(GH$3:GH$5))*(GH$3:GH$5=$LT$3:$LT$5))+ISBLANK(GH$3:GH$5))</f>
        <v>0</v>
      </c>
      <c r="GI14" s="1">
        <f>SUMPRODUCT((NOT(ISBLANK(GI$3:GI$5))*(GI$3:GI$5=$LU$3:$LU$5))+ISBLANK(GI$3:GI$5))</f>
        <v>0</v>
      </c>
      <c r="GJ14" s="1">
        <f>SUMPRODUCT((NOT(ISBLANK(GJ$3:GJ$5))*(GJ$3:GJ$5=$LV$3:$LV$5))+ISBLANK(GJ$3:GJ$5))</f>
        <v>0</v>
      </c>
      <c r="GK14" s="1">
        <f>SUMPRODUCT((NOT(ISBLANK(GK$3:GK$5))*(GK$3:GK$5=$LW$3:$LW$5))+ISBLANK(GK$3:GK$5))</f>
        <v>0</v>
      </c>
      <c r="GL14" s="1">
        <f>SUMPRODUCT((NOT(ISBLANK(GL$3:GL$5))*(GL$3:GL$5=$LX$3:$LX$5))+ISBLANK(GL$3:GL$5))</f>
        <v>0</v>
      </c>
      <c r="GM14" s="1">
        <f>SUMPRODUCT((NOT(ISBLANK(GM$3:GM$5))*(GM$3:GM$5=$LY$3:$LY$5))+ISBLANK(GM$3:GM$5))</f>
        <v>0</v>
      </c>
      <c r="GN14" s="1"/>
      <c r="GO14" s="1">
        <f>SUMPRODUCT((NOT(ISBLANK(GO$3:GO$5))*(GO$3:GO$5=$LZ$3:$LZ$5))+ISBLANK(GO$3:GO$5))</f>
        <v>0</v>
      </c>
      <c r="GP14" s="1">
        <f>SUMPRODUCT((NOT(ISBLANK(GP$3:GP$5))*(GP$3:GP$5=$MA$3:$MA$5))+ISBLANK(GP$3:GP$5))</f>
        <v>0</v>
      </c>
      <c r="GQ14" s="1">
        <f>SUMPRODUCT((NOT(ISBLANK(GQ$3:GQ$5))*(GQ$3:GQ$5=$MB$3:$MB$5))+ISBLANK(GQ$3:GQ$5))</f>
        <v>0</v>
      </c>
      <c r="GR14" s="1">
        <f>SUMPRODUCT((NOT(ISBLANK(GR$3:GR$5))*(GR$3:GR$5=$LL$3:$LL$5))+ISBLANK(GR$3:GR$5))</f>
        <v>0</v>
      </c>
      <c r="GS14" s="1">
        <f>SUMPRODUCT((NOT(ISBLANK(GS$3:GS$5))*(GS$3:GS$5=$LM$3:$LM$5))+ISBLANK(GS$3:GS$5))</f>
        <v>0</v>
      </c>
      <c r="GT14" s="1">
        <f>SUMPRODUCT((NOT(ISBLANK(GT$3:GT$5))*(GT$3:GT$5=$LN$3:$LN$5))+ISBLANK(GT$3:GT$5))</f>
        <v>0</v>
      </c>
      <c r="GU14" s="1">
        <f>SUMPRODUCT((NOT(ISBLANK(GU$3:GU$5))*(GU$3:GU$5=$LO$3:$LO$5))+ISBLANK(GU$3:GU$5))</f>
        <v>0</v>
      </c>
      <c r="GV14" s="1">
        <f>SUMPRODUCT((NOT(ISBLANK(GV$3:GV$5))*(GV$3:GV$5=$LP$3:$LP$5))+ISBLANK(GV$3:GV$5))</f>
        <v>0</v>
      </c>
      <c r="GW14" s="1">
        <f>SUMPRODUCT((NOT(ISBLANK(GW$3:GW$5))*(GW$3:GW$5=$LQ$3:$LQ$5))+ISBLANK(GW$3:GW$5))</f>
        <v>0</v>
      </c>
      <c r="GX14" s="1">
        <f>SUMPRODUCT((NOT(ISBLANK(GX$3:GX$5))*(GX$3:GX$5=$LR$3:$LR$5))+ISBLANK(GX$3:GX$5))</f>
        <v>0</v>
      </c>
      <c r="GY14" s="1">
        <f>SUMPRODUCT((NOT(ISBLANK(GY$3:GY$5))*(GY$3:GY$5=$LS$3:$LS$5))+ISBLANK(GY$3:GY$5))</f>
        <v>0</v>
      </c>
      <c r="GZ14" s="1">
        <f>SUMPRODUCT((NOT(ISBLANK(GZ$3:GZ$5))*(GZ$3:GZ$5=$LT$3:$LT$5))+ISBLANK(GZ$3:GZ$5))</f>
        <v>0</v>
      </c>
      <c r="HA14" s="1">
        <f>SUMPRODUCT((NOT(ISBLANK(HA$3:HA$5))*(HA$3:HA$5=$LU$3:$LU$5))+ISBLANK(HA$3:HA$5))</f>
        <v>0</v>
      </c>
      <c r="HB14" s="1">
        <f>SUMPRODUCT((NOT(ISBLANK(HB$3:HB$5))*(HB$3:HB$5=$LV$3:$LV$5))+ISBLANK(HB$3:HB$5))</f>
        <v>0</v>
      </c>
      <c r="HC14" s="1">
        <f>SUMPRODUCT((NOT(ISBLANK(HC$3:HC$5))*(HC$3:HC$5=$LW$3:$LW$5))+ISBLANK(HC$3:HC$5))</f>
        <v>0</v>
      </c>
      <c r="HD14" s="1">
        <f>SUMPRODUCT((NOT(ISBLANK(HD$3:HD$5))*(HD$3:HD$5=$LX$3:$LX$5))+ISBLANK(HD$3:HD$5))</f>
        <v>0</v>
      </c>
      <c r="HE14" s="1">
        <f>SUMPRODUCT((NOT(ISBLANK(HE$3:HE$5))*(HE$3:HE$5=$LY$3:$LY$5))+ISBLANK(HE$3:HE$5))</f>
        <v>0</v>
      </c>
      <c r="HF14" s="1"/>
      <c r="HG14" s="1">
        <f>SUMPRODUCT((NOT(ISBLANK(HG$3:HG$5))*(HG$3:HG$5=$LZ$3:$LZ$5))+ISBLANK(HG$3:HG$5))</f>
        <v>0</v>
      </c>
      <c r="HH14" s="1">
        <f>SUMPRODUCT((NOT(ISBLANK(HH$3:HH$5))*(HH$3:HH$5=$MA$3:$MA$5))+ISBLANK(HH$3:HH$5))</f>
        <v>0</v>
      </c>
      <c r="HI14" s="1">
        <f>SUMPRODUCT((NOT(ISBLANK(HI$3:HI$5))*(HI$3:HI$5=$MB$3:$MB$5))+ISBLANK(HI$3:HI$5))</f>
        <v>0</v>
      </c>
      <c r="HJ14" s="1">
        <f>SUMPRODUCT((NOT(ISBLANK(HJ$3:HJ$5))*(HJ$3:HJ$5=$LL$3:$LL$5))+ISBLANK(HJ$3:HJ$5))</f>
        <v>0</v>
      </c>
      <c r="HK14" s="1">
        <f>SUMPRODUCT((NOT(ISBLANK(HK$3:HK$5))*(HK$3:HK$5=$LM$3:$LM$5))+ISBLANK(HK$3:HK$5))</f>
        <v>0</v>
      </c>
      <c r="HL14" s="1">
        <f>SUMPRODUCT((NOT(ISBLANK(HL$3:HL$5))*(HL$3:HL$5=$LN$3:$LN$5))+ISBLANK(HL$3:HL$5))</f>
        <v>0</v>
      </c>
      <c r="HM14" s="1">
        <f>SUMPRODUCT((NOT(ISBLANK(HM$3:HM$5))*(HM$3:HM$5=$LO$3:$LO$5))+ISBLANK(HM$3:HM$5))</f>
        <v>0</v>
      </c>
      <c r="HN14" s="1">
        <f>SUMPRODUCT((NOT(ISBLANK(HN$3:HN$5))*(HN$3:HN$5=$LP$3:$LP$5))+ISBLANK(HN$3:HN$5))</f>
        <v>0</v>
      </c>
      <c r="HO14" s="1">
        <f>SUMPRODUCT((NOT(ISBLANK(HO$3:HO$5))*(HO$3:HO$5=$LQ$3:$LQ$5))+ISBLANK(HO$3:HO$5))</f>
        <v>0</v>
      </c>
      <c r="HP14" s="1">
        <f>SUMPRODUCT((NOT(ISBLANK(HP$3:HP$5))*(HP$3:HP$5=$LR$3:$LR$5))+ISBLANK(HP$3:HP$5))</f>
        <v>0</v>
      </c>
      <c r="HQ14" s="1">
        <f>SUMPRODUCT((NOT(ISBLANK(HQ$3:HQ$5))*(HQ$3:HQ$5=$LS$3:$LS$5))+ISBLANK(HQ$3:HQ$5))</f>
        <v>0</v>
      </c>
      <c r="HR14" s="1">
        <f>SUMPRODUCT((NOT(ISBLANK(HR$3:HR$5))*(HR$3:HR$5=$LT$3:$LT$5))+ISBLANK(HR$3:HR$5))</f>
        <v>0</v>
      </c>
      <c r="HS14" s="1">
        <f>SUMPRODUCT((NOT(ISBLANK(HS$3:HS$5))*(HS$3:HS$5=$LU$3:$LU$5))+ISBLANK(HS$3:HS$5))</f>
        <v>0</v>
      </c>
      <c r="HT14" s="1">
        <f>SUMPRODUCT((NOT(ISBLANK(HT$3:HT$5))*(HT$3:HT$5=$LV$3:$LV$5))+ISBLANK(HT$3:HT$5))</f>
        <v>0</v>
      </c>
      <c r="HU14" s="1">
        <f>SUMPRODUCT((NOT(ISBLANK(HU$3:HU$5))*(HU$3:HU$5=$LW$3:$LW$5))+ISBLANK(HU$3:HU$5))</f>
        <v>0</v>
      </c>
      <c r="HV14" s="1">
        <f>SUMPRODUCT((NOT(ISBLANK(HV$3:HV$5))*(HV$3:HV$5=$LX$3:$LX$5))+ISBLANK(HV$3:HV$5))</f>
        <v>0</v>
      </c>
      <c r="HW14" s="1">
        <f>SUMPRODUCT((NOT(ISBLANK(HW$3:HW$5))*(HW$3:HW$5=$LY$3:$LY$5))+ISBLANK(HW$3:HW$5))</f>
        <v>0</v>
      </c>
      <c r="HX14" s="1"/>
      <c r="HY14" s="1">
        <f>SUMPRODUCT((NOT(ISBLANK(HY$3:HY$5))*(HY$3:HY$5=$LZ$3:$LZ$5))+ISBLANK(HY$3:HY$5))</f>
        <v>0</v>
      </c>
      <c r="HZ14" s="1">
        <f>SUMPRODUCT((NOT(ISBLANK(HZ$3:HZ$5))*(HZ$3:HZ$5=$MA$3:$MA$5))+ISBLANK(HZ$3:HZ$5))</f>
        <v>0</v>
      </c>
      <c r="IA14" s="1">
        <f>SUMPRODUCT((NOT(ISBLANK(IA$3:IA$5))*(IA$3:IA$5=$MB$3:$MB$5))+ISBLANK(IA$3:IA$5))</f>
        <v>0</v>
      </c>
      <c r="IB14" s="1">
        <f>SUMPRODUCT((NOT(ISBLANK(IB$3:IB$5))*(IB$3:IB$5=$LL$3:$LL$5))+ISBLANK(IB$3:IB$5))</f>
        <v>0</v>
      </c>
      <c r="IC14" s="1">
        <f>SUMPRODUCT((NOT(ISBLANK(IC$3:IC$5))*(IC$3:IC$5=$LM$3:$LM$5))+ISBLANK(IC$3:IC$5))</f>
        <v>0</v>
      </c>
      <c r="ID14" s="1">
        <f>SUMPRODUCT((NOT(ISBLANK(ID$3:ID$5))*(ID$3:ID$5=$LN$3:$LN$5))+ISBLANK(ID$3:ID$5))</f>
        <v>0</v>
      </c>
      <c r="IE14" s="1">
        <f>SUMPRODUCT((NOT(ISBLANK(IE$3:IE$5))*(IE$3:IE$5=$LO$3:$LO$5))+ISBLANK(IE$3:IE$5))</f>
        <v>0</v>
      </c>
      <c r="IF14" s="1">
        <f>SUMPRODUCT((NOT(ISBLANK(IF$3:IF$5))*(IF$3:IF$5=$LP$3:$LP$5))+ISBLANK(IF$3:IF$5))</f>
        <v>0</v>
      </c>
      <c r="IG14" s="1">
        <f>SUMPRODUCT((NOT(ISBLANK(IG$3:IG$5))*(IG$3:IG$5=$LQ$3:$LQ$5))+ISBLANK(IG$3:IG$5))</f>
        <v>0</v>
      </c>
      <c r="IH14" s="1">
        <f>SUMPRODUCT((NOT(ISBLANK(IH$3:IH$5))*(IH$3:IH$5=$LR$3:$LR$5))+ISBLANK(IH$3:IH$5))</f>
        <v>0</v>
      </c>
      <c r="II14" s="1">
        <f>SUMPRODUCT((NOT(ISBLANK(II$3:II$5))*(II$3:II$5=$LS$3:$LS$5))+ISBLANK(II$3:II$5))</f>
        <v>0</v>
      </c>
      <c r="IJ14" s="1">
        <f>SUMPRODUCT((NOT(ISBLANK(IJ$3:IJ$5))*(IJ$3:IJ$5=$LT$3:$LT$5))+ISBLANK(IJ$3:IJ$5))</f>
        <v>0</v>
      </c>
      <c r="IK14" s="1">
        <f>SUMPRODUCT((NOT(ISBLANK(IK$3:IK$5))*(IK$3:IK$5=$LU$3:$LU$5))+ISBLANK(IK$3:IK$5))</f>
        <v>0</v>
      </c>
      <c r="IL14" s="1">
        <f>SUMPRODUCT((NOT(ISBLANK(IL$3:IL$5))*(IL$3:IL$5=$LV$3:$LV$5))+ISBLANK(IL$3:IL$5))</f>
        <v>0</v>
      </c>
      <c r="IM14" s="1">
        <f>SUMPRODUCT((NOT(ISBLANK(IM$3:IM$5))*(IM$3:IM$5=$LW$3:$LW$5))+ISBLANK(IM$3:IM$5))</f>
        <v>0</v>
      </c>
      <c r="IN14" s="1">
        <f>SUMPRODUCT((NOT(ISBLANK(IN$3:IN$5))*(IN$3:IN$5=$LX$3:$LX$5))+ISBLANK(IN$3:IN$5))</f>
        <v>0</v>
      </c>
      <c r="IO14" s="1">
        <f>SUMPRODUCT((NOT(ISBLANK(IO$3:IO$5))*(IO$3:IO$5=$LY$3:$LY$5))+ISBLANK(IO$3:IO$5))</f>
        <v>0</v>
      </c>
      <c r="IP14" s="1"/>
      <c r="IQ14" s="1">
        <f>SUMPRODUCT((NOT(ISBLANK(IQ$3:IQ$5))*(IQ$3:IQ$5=$LZ$3:$LZ$5))+ISBLANK(IQ$3:IQ$5))</f>
        <v>0</v>
      </c>
      <c r="IR14" s="1">
        <f>SUMPRODUCT((NOT(ISBLANK(IR$3:IR$5))*(IR$3:IR$5=$MA$3:$MA$5))+ISBLANK(IR$3:IR$5))</f>
        <v>0</v>
      </c>
      <c r="IS14" s="1">
        <f>SUMPRODUCT((NOT(ISBLANK(IS$3:IS$5))*(IS$3:IS$5=$MB$3:$MB$5))+ISBLANK(IS$3:IS$5))</f>
        <v>0</v>
      </c>
      <c r="IT14" s="1">
        <f>SUMPRODUCT((NOT(ISBLANK(IT$3:IT$5))*(IT$3:IT$5=$LL$3:$LL$5))+ISBLANK(IT$3:IT$5))</f>
        <v>0</v>
      </c>
      <c r="IU14" s="1">
        <f>SUMPRODUCT((NOT(ISBLANK(IU$3:IU$5))*(IU$3:IU$5=$LM$3:$LM$5))+ISBLANK(IU$3:IU$5))</f>
        <v>0</v>
      </c>
      <c r="IV14" s="1">
        <f>SUMPRODUCT((NOT(ISBLANK(IV$3:IV$5))*(IV$3:IV$5=$LN$3:$LN$5))+ISBLANK(IV$3:IV$5))</f>
        <v>0</v>
      </c>
      <c r="IW14" s="1">
        <f>SUMPRODUCT((NOT(ISBLANK(IW$3:IW$5))*(IW$3:IW$5=$LO$3:$LO$5))+ISBLANK(IW$3:IW$5))</f>
        <v>0</v>
      </c>
      <c r="IX14" s="1">
        <f>SUMPRODUCT((NOT(ISBLANK(IX$3:IX$5))*(IX$3:IX$5=$LP$3:$LP$5))+ISBLANK(IX$3:IX$5))</f>
        <v>0</v>
      </c>
      <c r="IY14" s="1">
        <f>SUMPRODUCT((NOT(ISBLANK(IY$3:IY$5))*(IY$3:IY$5=$LQ$3:$LQ$5))+ISBLANK(IY$3:IY$5))</f>
        <v>0</v>
      </c>
      <c r="IZ14" s="1">
        <f>SUMPRODUCT((NOT(ISBLANK(IZ$3:IZ$5))*(IZ$3:IZ$5=$LR$3:$LR$5))+ISBLANK(IZ$3:IZ$5))</f>
        <v>0</v>
      </c>
      <c r="JA14" s="1">
        <f>SUMPRODUCT((NOT(ISBLANK(JA$3:JA$5))*(JA$3:JA$5=$LS$3:$LS$5))+ISBLANK(JA$3:JA$5))</f>
        <v>0</v>
      </c>
      <c r="JB14" s="1">
        <f>SUMPRODUCT((NOT(ISBLANK(JB$3:JB$5))*(JB$3:JB$5=$LT$3:$LT$5))+ISBLANK(JB$3:JB$5))</f>
        <v>0</v>
      </c>
      <c r="JC14" s="1">
        <f>SUMPRODUCT((NOT(ISBLANK(JC$3:JC$5))*(JC$3:JC$5=$LU$3:$LU$5))+ISBLANK(JC$3:JC$5))</f>
        <v>0</v>
      </c>
      <c r="JD14" s="1">
        <f>SUMPRODUCT((NOT(ISBLANK(JD$3:JD$5))*(JD$3:JD$5=$LV$3:$LV$5))+ISBLANK(JD$3:JD$5))</f>
        <v>0</v>
      </c>
      <c r="JE14" s="1">
        <f>SUMPRODUCT((NOT(ISBLANK(JE$3:JE$5))*(JE$3:JE$5=$LW$3:$LW$5))+ISBLANK(JE$3:JE$5))</f>
        <v>0</v>
      </c>
      <c r="JF14" s="1">
        <f>SUMPRODUCT((NOT(ISBLANK(JF$3:JF$5))*(JF$3:JF$5=$LX$3:$LX$5))+ISBLANK(JF$3:JF$5))</f>
        <v>0</v>
      </c>
      <c r="JG14" s="1">
        <f>SUMPRODUCT((NOT(ISBLANK(JG$3:JG$5))*(JG$3:JG$5=$LY$3:$LY$5))+ISBLANK(JG$3:JG$5))</f>
        <v>0</v>
      </c>
      <c r="JH14" s="1"/>
      <c r="JI14" s="1">
        <f>SUMPRODUCT((NOT(ISBLANK(JI$3:JI$5))*(JI$3:JI$5=$LZ$3:$LZ$5))+ISBLANK(JI$3:JI$5))</f>
        <v>0</v>
      </c>
      <c r="JJ14" s="1">
        <f>SUMPRODUCT((NOT(ISBLANK(JJ$3:JJ$5))*(JJ$3:JJ$5=$MA$3:$MA$5))+ISBLANK(JJ$3:JJ$5))</f>
        <v>0</v>
      </c>
      <c r="JK14" s="1">
        <f>SUMPRODUCT((NOT(ISBLANK(JK$3:JK$5))*(JK$3:JK$5=$MB$3:$MB$5))+ISBLANK(JK$3:JK$5))</f>
        <v>0</v>
      </c>
      <c r="JL14" s="1">
        <f>SUMPRODUCT((NOT(ISBLANK(JL$3:JL$5))*(JL$3:JL$5=$LL$3:$LL$5))+ISBLANK(JL$3:JL$5))</f>
        <v>0</v>
      </c>
      <c r="JM14" s="1">
        <f>SUMPRODUCT((NOT(ISBLANK(JM$3:JM$5))*(JM$3:JM$5=$LM$3:$LM$5))+ISBLANK(JM$3:JM$5))</f>
        <v>0</v>
      </c>
      <c r="JN14" s="1">
        <f>SUMPRODUCT((NOT(ISBLANK(JN$3:JN$5))*(JN$3:JN$5=$LN$3:$LN$5))+ISBLANK(JN$3:JN$5))</f>
        <v>0</v>
      </c>
      <c r="JO14" s="1">
        <f>SUMPRODUCT((NOT(ISBLANK(JO$3:JO$5))*(JO$3:JO$5=$LO$3:$LO$5))+ISBLANK(JO$3:JO$5))</f>
        <v>0</v>
      </c>
      <c r="JP14" s="1">
        <f>SUMPRODUCT((NOT(ISBLANK(JP$3:JP$5))*(JP$3:JP$5=$LP$3:$LP$5))+ISBLANK(JP$3:JP$5))</f>
        <v>0</v>
      </c>
      <c r="JQ14" s="1">
        <f>SUMPRODUCT((NOT(ISBLANK(JQ$3:JQ$5))*(JQ$3:JQ$5=$LQ$3:$LQ$5))+ISBLANK(JQ$3:JQ$5))</f>
        <v>0</v>
      </c>
      <c r="JR14" s="1">
        <f>SUMPRODUCT((NOT(ISBLANK(JR$3:JR$5))*(JR$3:JR$5=$LR$3:$LR$5))+ISBLANK(JR$3:JR$5))</f>
        <v>0</v>
      </c>
      <c r="JS14" s="1">
        <f>SUMPRODUCT((NOT(ISBLANK(JS$3:JS$5))*(JS$3:JS$5=$LS$3:$LS$5))+ISBLANK(JS$3:JS$5))</f>
        <v>0</v>
      </c>
      <c r="JT14" s="1">
        <f>SUMPRODUCT((NOT(ISBLANK(JT$3:JT$5))*(JT$3:JT$5=$LT$3:$LT$5))+ISBLANK(JT$3:JT$5))</f>
        <v>0</v>
      </c>
      <c r="JU14" s="1">
        <f>SUMPRODUCT((NOT(ISBLANK(JU$3:JU$5))*(JU$3:JU$5=$LU$3:$LU$5))+ISBLANK(JU$3:JU$5))</f>
        <v>0</v>
      </c>
      <c r="JV14" s="1">
        <f>SUMPRODUCT((NOT(ISBLANK(JV$3:JV$5))*(JV$3:JV$5=$LV$3:$LV$5))+ISBLANK(JV$3:JV$5))</f>
        <v>0</v>
      </c>
      <c r="JW14" s="1">
        <f>SUMPRODUCT((NOT(ISBLANK(JW$3:JW$5))*(JW$3:JW$5=$LW$3:$LW$5))+ISBLANK(JW$3:JW$5))</f>
        <v>0</v>
      </c>
      <c r="JX14" s="1">
        <f>SUMPRODUCT((NOT(ISBLANK(JX$3:JX$5))*(JX$3:JX$5=$LX$3:$LX$5))+ISBLANK(JX$3:JX$5))</f>
        <v>0</v>
      </c>
      <c r="JY14" s="1">
        <f>SUMPRODUCT((NOT(ISBLANK(JY$3:JY$5))*(JY$3:JY$5=$LY$3:$LY$5))+ISBLANK(JY$3:JY$5))</f>
        <v>0</v>
      </c>
      <c r="JZ14" s="1"/>
      <c r="KA14" s="1">
        <f>SUMPRODUCT((NOT(ISBLANK(KA$3:KA$5))*(KA$3:KA$5=$LZ$3:$LZ$5))+ISBLANK(KA$3:KA$5))</f>
        <v>0</v>
      </c>
      <c r="KB14" s="1">
        <f>SUMPRODUCT((NOT(ISBLANK(KB$3:KB$5))*(KB$3:KB$5=$MA$3:$MA$5))+ISBLANK(KB$3:KB$5))</f>
        <v>0</v>
      </c>
      <c r="KC14" s="1">
        <f>SUMPRODUCT((NOT(ISBLANK(KC$3:KC$5))*(KC$3:KC$5=$MB$3:$MB$5))+ISBLANK(KC$3:KC$5))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GR235"/>
  <sheetViews>
    <sheetView workbookViewId="0"/>
  </sheetViews>
  <sheetFormatPr defaultRowHeight="15"/>
  <sheetData>
    <row r="2" spans="1:200">
      <c r="A2" t="s">
        <v>41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S2">
        <f>E2</f>
        <v>0</v>
      </c>
      <c r="BW2">
        <f>I2</f>
        <v>0</v>
      </c>
      <c r="CA2">
        <f>M2</f>
        <v>0</v>
      </c>
      <c r="CE2">
        <f>Q2</f>
        <v>0</v>
      </c>
      <c r="CI2">
        <f>U2</f>
        <v>0</v>
      </c>
      <c r="CM2">
        <f>Y2</f>
        <v>0</v>
      </c>
      <c r="CQ2">
        <f>AC2</f>
        <v>0</v>
      </c>
      <c r="CU2">
        <f>AG2</f>
        <v>0</v>
      </c>
      <c r="CY2">
        <f>AK2</f>
        <v>0</v>
      </c>
      <c r="DC2">
        <f>AO2</f>
        <v>0</v>
      </c>
      <c r="DG2">
        <f>AS2</f>
        <v>0</v>
      </c>
      <c r="DK2">
        <f>AW2</f>
        <v>0</v>
      </c>
      <c r="DO2">
        <f>BA2</f>
        <v>0</v>
      </c>
      <c r="DS2">
        <f>BE2</f>
        <v>0</v>
      </c>
      <c r="DW2">
        <f>BI2</f>
        <v>0</v>
      </c>
      <c r="EA2">
        <f>BM2</f>
        <v>0</v>
      </c>
      <c r="EG2">
        <f>VLOOKUP(Charts!$F$3,A2:B18,2,FALSE)</f>
        <v>0</v>
      </c>
      <c r="EK2">
        <f>E2+18</f>
        <v>0</v>
      </c>
      <c r="EO2">
        <f>E2+36</f>
        <v>0</v>
      </c>
      <c r="ES2">
        <f>E2+54</f>
        <v>0</v>
      </c>
      <c r="EW2">
        <f>E2+72</f>
        <v>0</v>
      </c>
      <c r="FA2">
        <f>E2+90</f>
        <v>0</v>
      </c>
      <c r="FE2">
        <f>E2+108</f>
        <v>0</v>
      </c>
      <c r="FI2">
        <f>E2+126</f>
        <v>0</v>
      </c>
      <c r="FM2">
        <f>E2+144</f>
        <v>0</v>
      </c>
      <c r="FQ2">
        <f>E2+162</f>
        <v>0</v>
      </c>
      <c r="FU2">
        <f>E2+180</f>
        <v>0</v>
      </c>
      <c r="FY2">
        <f>E2+198</f>
        <v>0</v>
      </c>
      <c r="GC2">
        <f>E2+216</f>
        <v>0</v>
      </c>
      <c r="GG2">
        <f>E2+234</f>
        <v>0</v>
      </c>
      <c r="GK2">
        <f>E2+252</f>
        <v>0</v>
      </c>
      <c r="GO2">
        <f>E2+270</f>
        <v>0</v>
      </c>
    </row>
    <row r="3" spans="1:200">
      <c r="A3" t="s">
        <v>42</v>
      </c>
      <c r="B3">
        <v>2</v>
      </c>
      <c r="D3" t="s">
        <v>81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R3" t="s">
        <v>81</v>
      </c>
      <c r="BS3">
        <f>E3</f>
        <v>0</v>
      </c>
      <c r="BW3">
        <f>I3</f>
        <v>0</v>
      </c>
      <c r="CA3">
        <f>M3</f>
        <v>0</v>
      </c>
      <c r="CE3">
        <f>Q3</f>
        <v>0</v>
      </c>
      <c r="CI3">
        <f>U3</f>
        <v>0</v>
      </c>
      <c r="CM3">
        <f>Y3</f>
        <v>0</v>
      </c>
      <c r="CQ3">
        <f>AC3</f>
        <v>0</v>
      </c>
      <c r="CU3">
        <f>AG3</f>
        <v>0</v>
      </c>
      <c r="CY3">
        <f>AK3</f>
        <v>0</v>
      </c>
      <c r="DC3">
        <f>AO3</f>
        <v>0</v>
      </c>
      <c r="DG3">
        <f>AS3</f>
        <v>0</v>
      </c>
      <c r="DK3">
        <f>AW3</f>
        <v>0</v>
      </c>
      <c r="DO3">
        <f>BA3</f>
        <v>0</v>
      </c>
      <c r="DS3">
        <f>BE3</f>
        <v>0</v>
      </c>
      <c r="DW3">
        <f>BI3</f>
        <v>0</v>
      </c>
      <c r="EA3">
        <f>BM3</f>
        <v>0</v>
      </c>
      <c r="EG3">
        <f>Instances!B1</f>
        <v>0</v>
      </c>
      <c r="EK3">
        <f>Instances!T1</f>
        <v>0</v>
      </c>
      <c r="EO3">
        <f>Instances!AL1</f>
        <v>0</v>
      </c>
      <c r="ES3">
        <f>Instances!BD1</f>
        <v>0</v>
      </c>
      <c r="EW3">
        <f>Instances!BV1</f>
        <v>0</v>
      </c>
      <c r="FA3">
        <f>Instances!CN1</f>
        <v>0</v>
      </c>
      <c r="FE3">
        <f>Instances!DF1</f>
        <v>0</v>
      </c>
      <c r="FI3">
        <f>Instances!DX1</f>
        <v>0</v>
      </c>
      <c r="FM3">
        <f>Instances!EP1</f>
        <v>0</v>
      </c>
      <c r="FQ3">
        <f>Instances!FH1</f>
        <v>0</v>
      </c>
      <c r="FU3">
        <f>Instances!FZ1</f>
        <v>0</v>
      </c>
      <c r="FY3">
        <f>Instances!GR1</f>
        <v>0</v>
      </c>
      <c r="GC3">
        <f>Instances!HJ1</f>
        <v>0</v>
      </c>
      <c r="GG3">
        <f>Instances!IB1</f>
        <v>0</v>
      </c>
      <c r="GK3">
        <f>Instances!IT1</f>
        <v>0</v>
      </c>
      <c r="GO3">
        <f>Instances!JL1</f>
        <v>0</v>
      </c>
    </row>
    <row r="4" spans="1:200">
      <c r="A4" t="s">
        <v>43</v>
      </c>
      <c r="B4">
        <v>3</v>
      </c>
      <c r="D4" t="s">
        <v>82</v>
      </c>
      <c r="E4" t="s">
        <v>86</v>
      </c>
      <c r="F4" t="s">
        <v>87</v>
      </c>
      <c r="H4" t="s">
        <v>88</v>
      </c>
      <c r="I4" t="s">
        <v>86</v>
      </c>
      <c r="J4" t="s">
        <v>87</v>
      </c>
      <c r="L4" t="s">
        <v>88</v>
      </c>
      <c r="M4" t="s">
        <v>86</v>
      </c>
      <c r="N4" t="s">
        <v>87</v>
      </c>
      <c r="P4" t="s">
        <v>88</v>
      </c>
      <c r="Q4" t="s">
        <v>86</v>
      </c>
      <c r="R4" t="s">
        <v>87</v>
      </c>
      <c r="T4" t="s">
        <v>88</v>
      </c>
      <c r="U4" t="s">
        <v>86</v>
      </c>
      <c r="V4" t="s">
        <v>87</v>
      </c>
      <c r="X4" t="s">
        <v>88</v>
      </c>
      <c r="Y4" t="s">
        <v>86</v>
      </c>
      <c r="Z4" t="s">
        <v>87</v>
      </c>
      <c r="AB4" t="s">
        <v>88</v>
      </c>
      <c r="AC4" t="s">
        <v>86</v>
      </c>
      <c r="AD4" t="s">
        <v>87</v>
      </c>
      <c r="AF4" t="s">
        <v>88</v>
      </c>
      <c r="AG4" t="s">
        <v>86</v>
      </c>
      <c r="AH4" t="s">
        <v>87</v>
      </c>
      <c r="AJ4" t="s">
        <v>88</v>
      </c>
      <c r="AK4" t="s">
        <v>86</v>
      </c>
      <c r="AL4" t="s">
        <v>87</v>
      </c>
      <c r="AN4" t="s">
        <v>88</v>
      </c>
      <c r="AO4" t="s">
        <v>86</v>
      </c>
      <c r="AP4" t="s">
        <v>87</v>
      </c>
      <c r="AR4" t="s">
        <v>88</v>
      </c>
      <c r="AS4" t="s">
        <v>86</v>
      </c>
      <c r="AT4" t="s">
        <v>87</v>
      </c>
      <c r="AV4" t="s">
        <v>88</v>
      </c>
      <c r="AW4" t="s">
        <v>86</v>
      </c>
      <c r="AX4" t="s">
        <v>87</v>
      </c>
      <c r="AZ4" t="s">
        <v>88</v>
      </c>
      <c r="BA4" t="s">
        <v>86</v>
      </c>
      <c r="BB4" t="s">
        <v>87</v>
      </c>
      <c r="BD4" t="s">
        <v>88</v>
      </c>
      <c r="BE4" t="s">
        <v>86</v>
      </c>
      <c r="BF4" t="s">
        <v>87</v>
      </c>
      <c r="BH4" t="s">
        <v>88</v>
      </c>
      <c r="BI4" t="s">
        <v>86</v>
      </c>
      <c r="BJ4" t="s">
        <v>87</v>
      </c>
      <c r="BL4" t="s">
        <v>88</v>
      </c>
      <c r="BM4" t="s">
        <v>86</v>
      </c>
      <c r="BN4" t="s">
        <v>87</v>
      </c>
      <c r="BP4" t="s">
        <v>88</v>
      </c>
      <c r="BR4" t="s">
        <v>82</v>
      </c>
      <c r="BS4" t="s">
        <v>86</v>
      </c>
      <c r="BT4" t="s">
        <v>87</v>
      </c>
      <c r="BV4" t="s">
        <v>88</v>
      </c>
      <c r="BW4" t="s">
        <v>86</v>
      </c>
      <c r="BX4" t="s">
        <v>87</v>
      </c>
      <c r="BZ4" t="s">
        <v>88</v>
      </c>
      <c r="CA4" t="s">
        <v>86</v>
      </c>
      <c r="CB4" t="s">
        <v>87</v>
      </c>
      <c r="CD4" t="s">
        <v>88</v>
      </c>
      <c r="CE4" t="s">
        <v>86</v>
      </c>
      <c r="CF4" t="s">
        <v>87</v>
      </c>
      <c r="CH4" t="s">
        <v>88</v>
      </c>
      <c r="CI4" t="s">
        <v>86</v>
      </c>
      <c r="CJ4" t="s">
        <v>87</v>
      </c>
      <c r="CL4" t="s">
        <v>88</v>
      </c>
      <c r="CM4" t="s">
        <v>86</v>
      </c>
      <c r="CN4" t="s">
        <v>87</v>
      </c>
      <c r="CP4" t="s">
        <v>88</v>
      </c>
      <c r="CQ4" t="s">
        <v>86</v>
      </c>
      <c r="CR4" t="s">
        <v>87</v>
      </c>
      <c r="CT4" t="s">
        <v>88</v>
      </c>
      <c r="CU4" t="s">
        <v>86</v>
      </c>
      <c r="CV4" t="s">
        <v>87</v>
      </c>
      <c r="CX4" t="s">
        <v>88</v>
      </c>
      <c r="CY4" t="s">
        <v>86</v>
      </c>
      <c r="CZ4" t="s">
        <v>87</v>
      </c>
      <c r="DB4" t="s">
        <v>88</v>
      </c>
      <c r="DC4" t="s">
        <v>86</v>
      </c>
      <c r="DD4" t="s">
        <v>87</v>
      </c>
      <c r="DF4" t="s">
        <v>88</v>
      </c>
      <c r="DG4" t="s">
        <v>86</v>
      </c>
      <c r="DH4" t="s">
        <v>87</v>
      </c>
      <c r="DJ4" t="s">
        <v>88</v>
      </c>
      <c r="DK4" t="s">
        <v>86</v>
      </c>
      <c r="DL4" t="s">
        <v>87</v>
      </c>
      <c r="DN4" t="s">
        <v>88</v>
      </c>
      <c r="DO4" t="s">
        <v>86</v>
      </c>
      <c r="DP4" t="s">
        <v>87</v>
      </c>
      <c r="DR4" t="s">
        <v>88</v>
      </c>
      <c r="DS4" t="s">
        <v>86</v>
      </c>
      <c r="DT4" t="s">
        <v>87</v>
      </c>
      <c r="DV4" t="s">
        <v>88</v>
      </c>
      <c r="DW4" t="s">
        <v>86</v>
      </c>
      <c r="DX4" t="s">
        <v>87</v>
      </c>
      <c r="DZ4" t="s">
        <v>88</v>
      </c>
      <c r="EA4" t="s">
        <v>86</v>
      </c>
      <c r="EB4" t="s">
        <v>87</v>
      </c>
      <c r="ED4" t="s">
        <v>88</v>
      </c>
      <c r="EF4" t="s">
        <v>89</v>
      </c>
      <c r="EG4" t="s">
        <v>82</v>
      </c>
      <c r="EH4" t="s">
        <v>87</v>
      </c>
      <c r="EI4" t="s">
        <v>82</v>
      </c>
      <c r="EJ4" t="s">
        <v>88</v>
      </c>
      <c r="EK4" t="s">
        <v>82</v>
      </c>
      <c r="EL4" t="s">
        <v>87</v>
      </c>
      <c r="EM4" t="s">
        <v>82</v>
      </c>
      <c r="EN4" t="s">
        <v>88</v>
      </c>
      <c r="EO4" t="s">
        <v>82</v>
      </c>
      <c r="EP4" t="s">
        <v>87</v>
      </c>
      <c r="EQ4" t="s">
        <v>82</v>
      </c>
      <c r="ER4" t="s">
        <v>88</v>
      </c>
      <c r="ES4" t="s">
        <v>82</v>
      </c>
      <c r="ET4" t="s">
        <v>87</v>
      </c>
      <c r="EU4" t="s">
        <v>82</v>
      </c>
      <c r="EV4" t="s">
        <v>88</v>
      </c>
      <c r="EW4" t="s">
        <v>82</v>
      </c>
      <c r="EX4" t="s">
        <v>87</v>
      </c>
      <c r="EY4" t="s">
        <v>82</v>
      </c>
      <c r="EZ4" t="s">
        <v>88</v>
      </c>
      <c r="FA4" t="s">
        <v>82</v>
      </c>
      <c r="FB4" t="s">
        <v>87</v>
      </c>
      <c r="FC4" t="s">
        <v>82</v>
      </c>
      <c r="FD4" t="s">
        <v>88</v>
      </c>
      <c r="FE4" t="s">
        <v>82</v>
      </c>
      <c r="FF4" t="s">
        <v>87</v>
      </c>
      <c r="FG4" t="s">
        <v>82</v>
      </c>
      <c r="FH4" t="s">
        <v>88</v>
      </c>
      <c r="FI4" t="s">
        <v>82</v>
      </c>
      <c r="FJ4" t="s">
        <v>87</v>
      </c>
      <c r="FK4" t="s">
        <v>82</v>
      </c>
      <c r="FL4" t="s">
        <v>88</v>
      </c>
      <c r="FM4" t="s">
        <v>82</v>
      </c>
      <c r="FN4" t="s">
        <v>87</v>
      </c>
      <c r="FO4" t="s">
        <v>82</v>
      </c>
      <c r="FP4" t="s">
        <v>88</v>
      </c>
      <c r="FQ4" t="s">
        <v>82</v>
      </c>
      <c r="FR4" t="s">
        <v>87</v>
      </c>
      <c r="FS4" t="s">
        <v>82</v>
      </c>
      <c r="FT4" t="s">
        <v>88</v>
      </c>
      <c r="FU4" t="s">
        <v>82</v>
      </c>
      <c r="FV4" t="s">
        <v>87</v>
      </c>
      <c r="FW4" t="s">
        <v>82</v>
      </c>
      <c r="FX4" t="s">
        <v>88</v>
      </c>
      <c r="FY4" t="s">
        <v>82</v>
      </c>
      <c r="FZ4" t="s">
        <v>87</v>
      </c>
      <c r="GA4" t="s">
        <v>82</v>
      </c>
      <c r="GB4" t="s">
        <v>88</v>
      </c>
      <c r="GC4" t="s">
        <v>82</v>
      </c>
      <c r="GD4" t="s">
        <v>87</v>
      </c>
      <c r="GE4" t="s">
        <v>82</v>
      </c>
      <c r="GF4" t="s">
        <v>88</v>
      </c>
      <c r="GG4" t="s">
        <v>82</v>
      </c>
      <c r="GH4" t="s">
        <v>87</v>
      </c>
      <c r="GI4" t="s">
        <v>82</v>
      </c>
      <c r="GJ4" t="s">
        <v>88</v>
      </c>
      <c r="GK4" t="s">
        <v>82</v>
      </c>
      <c r="GL4" t="s">
        <v>87</v>
      </c>
      <c r="GM4" t="s">
        <v>82</v>
      </c>
      <c r="GN4" t="s">
        <v>88</v>
      </c>
      <c r="GO4" t="s">
        <v>82</v>
      </c>
      <c r="GP4" t="s">
        <v>87</v>
      </c>
      <c r="GQ4" t="s">
        <v>82</v>
      </c>
      <c r="GR4" t="s">
        <v>88</v>
      </c>
    </row>
    <row r="5" spans="1:200">
      <c r="A5" t="s">
        <v>44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IFERROR(SMALL(E5:E36,ROW()-ROW($F$5)+1),"")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IFERROR(SMALL(I5:I36,ROW()-ROW($J$5)+1),"")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IFERROR(SMALL(M5:M36,ROW()-ROW($N$5)+1),"")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IFERROR(SMALL(Q5:Q36,ROW()-ROW($R$5)+1),"")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IFERROR(SMALL(U5:U36,ROW()-ROW($V$5)+1),"")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IFERROR(SMALL(Y5:Y36,ROW()-ROW($Z$5)+1),"")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IFERROR(SMALL(AC5:AC36,ROW()-ROW($AD$5)+1),"")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IFERROR(SMALL(AG5:AG36,ROW()-ROW($AH$5)+1),"")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IFERROR(SMALL(AK5:AK36,ROW()-ROW($AL$5)+1),"")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IFERROR(SMALL(AO5:AO36,ROW()-ROW($AP$5)+1),"")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IFERROR(SMALL(AS5:AS36,ROW()-ROW($AT$5)+1),"")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IFERROR(SMALL(AW5:AW36,ROW()-ROW($AX$5)+1),"")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IFERROR(SMALL(BA5:BA36,ROW()-ROW($BB$5)+1),"")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IFERROR(SMALL(BE5:BE36,ROW()-ROW($BF$5)+1),"")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IFERROR(SMALL(BI5:BI36,ROW()-ROW($BJ$5)+1),"")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IFERROR(SMALL(BM5:BM36,ROW()-ROW($BN$5)+1),"")</f>
        <v>0</v>
      </c>
      <c r="BP5">
        <f>IFERROR(SUM(BN5:BN5),"")</f>
        <v>0</v>
      </c>
      <c r="BR5">
        <v>1</v>
      </c>
      <c r="BS5" cm="1">
        <f t="array" ref="BS5">_xlfn.SWITCH(Charts!$B$3,"average", AVERAGE(INDIRECT(ADDRESS(0+3,BS$2+1,,,"Instances") &amp; ":" &amp; ADDRESS(0+3,BS$2+1))),"median", MEDIAN(INDIRECT(ADDRESS(0+3,BS$2+1,,,"Instances") &amp; ":" &amp; ADDRESS(0+3,BS$2+1))),"min", MIN(INDIRECT(ADDRESS(0+3,BS$2+1,,,"Instances") &amp; ":" &amp; ADDRESS(0+3,BS$2+1))),"max", MAX(INDIRECT(ADDRESS(0+3,BS$2+1,,,"Instances") &amp; ":" &amp; ADDRESS(0+3,BS$2+1))),"diff", MAX(INDIRECT(ADDRESS(0+3,BS$2+1,,,"Instances") &amp; ":" &amp; ADDRESS(0+3,BS$2+1)))-MIN(INDIRECT(ADDRESS(0+3,BS$2+1,,,"Instances") &amp; ":" &amp; ADDRESS(0+3,BS$2+1))))</f>
        <v>0</v>
      </c>
      <c r="BT5">
        <f>IFERROR(SMALL(BS5:BS36,ROW()-ROW($BT$5)+1),"")</f>
        <v>0</v>
      </c>
      <c r="BV5">
        <f>IFERROR(SUM(BT5:BT5),"")</f>
        <v>0</v>
      </c>
      <c r="BW5" cm="1">
        <f t="array" ref="BW5">_xlfn.SWITCH(Charts!$B$3,"average", AVERAGE(INDIRECT(ADDRESS(0+3,BW$2+1,,,"Instances") &amp; ":" &amp; ADDRESS(0+3,BW$2+1))),"median", MEDIAN(INDIRECT(ADDRESS(0+3,BW$2+1,,,"Instances") &amp; ":" &amp; ADDRESS(0+3,BW$2+1))),"min", MIN(INDIRECT(ADDRESS(0+3,BW$2+1,,,"Instances") &amp; ":" &amp; ADDRESS(0+3,BW$2+1))),"max", MAX(INDIRECT(ADDRESS(0+3,BW$2+1,,,"Instances") &amp; ":" &amp; ADDRESS(0+3,BW$2+1))),"diff", MAX(INDIRECT(ADDRESS(0+3,BW$2+1,,,"Instances") &amp; ":" &amp; ADDRESS(0+3,BW$2+1)))-MIN(INDIRECT(ADDRESS(0+3,BW$2+1,,,"Instances") &amp; ":" &amp; ADDRESS(0+3,BW$2+1))))</f>
        <v>0</v>
      </c>
      <c r="BX5">
        <f>IFERROR(SMALL(BW5:BW36,ROW()-ROW($BX$5)+1),"")</f>
        <v>0</v>
      </c>
      <c r="BZ5">
        <f>IFERROR(SUM(BX5:BX5),"")</f>
        <v>0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IFERROR(SMALL(CA5:CA36,ROW()-ROW($CB$5)+1),"")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IFERROR(SMALL(CE5:CE36,ROW()-ROW($CF$5)+1),"")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IFERROR(SMALL(CI5:CI36,ROW()-ROW($CJ$5)+1),"")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IFERROR(SMALL(CM5:CM36,ROW()-ROW($CN$5)+1),"")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IFERROR(SMALL(CQ5:CQ36,ROW()-ROW($CR$5)+1),"")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IFERROR(SMALL(CU5:CU36,ROW()-ROW($CV$5)+1),"")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IFERROR(SMALL(CY5:CY36,ROW()-ROW($CZ$5)+1),"")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IFERROR(SMALL(DC5:DC36,ROW()-ROW($DD$5)+1),"")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IFERROR(SMALL(DG5:DG36,ROW()-ROW($DH$5)+1),"")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IFERROR(SMALL(DK5:DK36,ROW()-ROW($DL$5)+1),"")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IFERROR(SMALL(DO5:DO36,ROW()-ROW($DP$5)+1),"")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IFERROR(SMALL(DS5:DS36,ROW()-ROW($DT$5)+1),"")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IFERROR(SMALL(DW5:DW36,ROW()-ROW($DX$5)+1),"")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IFERROR(SMALL(EA5:EA36,ROW()-ROW($EB$5)+1),"")</f>
        <v>0</v>
      </c>
      <c r="ED5">
        <f>IFERROR(SUM(EB5:EB5),"")</f>
        <v>0</v>
      </c>
      <c r="EG5">
        <f>IF(Charts!$B$3="none",E172,IF(BS172="",NA(),BS172))</f>
        <v>0</v>
      </c>
      <c r="EH5">
        <f>IF(Charts!$B$3="none",F172,IF(BT172="",NA(),BT172))</f>
        <v>0</v>
      </c>
      <c r="EI5">
        <f>IF(Charts!$B$3="none",G172,IF(BU172="",NA(),BU172))</f>
        <v>0</v>
      </c>
      <c r="EJ5">
        <f>IF(Charts!$B$3="none",H172,IF(BV172="",NA(),BV172))</f>
        <v>0</v>
      </c>
      <c r="EK5">
        <f>IF(Charts!$B$3="none",I172,IF(BW172="",NA(),BW172))</f>
        <v>0</v>
      </c>
      <c r="EL5">
        <f>IF(Charts!$B$3="none",J172,IF(BX172="",NA(),BX172))</f>
        <v>0</v>
      </c>
      <c r="EM5">
        <f>IF(Charts!$B$3="none",K172,IF(BY172="",NA(),BY172))</f>
        <v>0</v>
      </c>
      <c r="EN5">
        <f>IF(Charts!$B$3="none",L172,IF(BZ172="",NA(),BZ172))</f>
        <v>0</v>
      </c>
      <c r="EO5">
        <f>IF(Charts!$B$3="none",M172,IF(CA172="",NA(),CA172))</f>
        <v>0</v>
      </c>
      <c r="EP5">
        <f>IF(Charts!$B$3="none",N172,IF(CB172="",NA(),CB172))</f>
        <v>0</v>
      </c>
      <c r="EQ5">
        <f>IF(Charts!$B$3="none",O172,IF(CC172="",NA(),CC172))</f>
        <v>0</v>
      </c>
      <c r="ER5">
        <f>IF(Charts!$B$3="none",P172,IF(CD172="",NA(),CD172))</f>
        <v>0</v>
      </c>
      <c r="ES5">
        <f>IF(Charts!$B$3="none",Q172,IF(CE172="",NA(),CE172))</f>
        <v>0</v>
      </c>
      <c r="ET5">
        <f>IF(Charts!$B$3="none",R172,IF(CF172="",NA(),CF172))</f>
        <v>0</v>
      </c>
      <c r="EU5">
        <f>IF(Charts!$B$3="none",S172,IF(CG172="",NA(),CG172))</f>
        <v>0</v>
      </c>
      <c r="EV5">
        <f>IF(Charts!$B$3="none",T172,IF(CH172="",NA(),CH172))</f>
        <v>0</v>
      </c>
      <c r="EW5">
        <f>IF(Charts!$B$3="none",U172,IF(CI172="",NA(),CI172))</f>
        <v>0</v>
      </c>
      <c r="EX5">
        <f>IF(Charts!$B$3="none",V172,IF(CJ172="",NA(),CJ172))</f>
        <v>0</v>
      </c>
      <c r="EY5">
        <f>IF(Charts!$B$3="none",W172,IF(CK172="",NA(),CK172))</f>
        <v>0</v>
      </c>
      <c r="EZ5">
        <f>IF(Charts!$B$3="none",X172,IF(CL172="",NA(),CL172))</f>
        <v>0</v>
      </c>
      <c r="FA5">
        <f>IF(Charts!$B$3="none",Y172,IF(CM172="",NA(),CM172))</f>
        <v>0</v>
      </c>
      <c r="FB5">
        <f>IF(Charts!$B$3="none",Z172,IF(CN172="",NA(),CN172))</f>
        <v>0</v>
      </c>
      <c r="FC5">
        <f>IF(Charts!$B$3="none",AA172,IF(CO172="",NA(),CO172))</f>
        <v>0</v>
      </c>
      <c r="FD5">
        <f>IF(Charts!$B$3="none",AB172,IF(CP172="",NA(),CP172))</f>
        <v>0</v>
      </c>
      <c r="FE5">
        <f>IF(Charts!$B$3="none",AC172,IF(CQ172="",NA(),CQ172))</f>
        <v>0</v>
      </c>
      <c r="FF5">
        <f>IF(Charts!$B$3="none",AD172,IF(CR172="",NA(),CR172))</f>
        <v>0</v>
      </c>
      <c r="FG5">
        <f>IF(Charts!$B$3="none",AE172,IF(CS172="",NA(),CS172))</f>
        <v>0</v>
      </c>
      <c r="FH5">
        <f>IF(Charts!$B$3="none",AF172,IF(CT172="",NA(),CT172))</f>
        <v>0</v>
      </c>
      <c r="FI5">
        <f>IF(Charts!$B$3="none",AG172,IF(CU172="",NA(),CU172))</f>
        <v>0</v>
      </c>
      <c r="FJ5">
        <f>IF(Charts!$B$3="none",AH172,IF(CV172="",NA(),CV172))</f>
        <v>0</v>
      </c>
      <c r="FK5">
        <f>IF(Charts!$B$3="none",AI172,IF(CW172="",NA(),CW172))</f>
        <v>0</v>
      </c>
      <c r="FL5">
        <f>IF(Charts!$B$3="none",AJ172,IF(CX172="",NA(),CX172))</f>
        <v>0</v>
      </c>
      <c r="FM5">
        <f>IF(Charts!$B$3="none",AK172,IF(CY172="",NA(),CY172))</f>
        <v>0</v>
      </c>
      <c r="FN5">
        <f>IF(Charts!$B$3="none",AL172,IF(CZ172="",NA(),CZ172))</f>
        <v>0</v>
      </c>
      <c r="FO5">
        <f>IF(Charts!$B$3="none",AM172,IF(DA172="",NA(),DA172))</f>
        <v>0</v>
      </c>
      <c r="FP5">
        <f>IF(Charts!$B$3="none",AN172,IF(DB172="",NA(),DB172))</f>
        <v>0</v>
      </c>
      <c r="FQ5">
        <f>IF(Charts!$B$3="none",AO172,IF(DC172="",NA(),DC172))</f>
        <v>0</v>
      </c>
      <c r="FR5">
        <f>IF(Charts!$B$3="none",AP172,IF(DD172="",NA(),DD172))</f>
        <v>0</v>
      </c>
      <c r="FS5">
        <f>IF(Charts!$B$3="none",AQ172,IF(DE172="",NA(),DE172))</f>
        <v>0</v>
      </c>
      <c r="FT5">
        <f>IF(Charts!$B$3="none",AR172,IF(DF172="",NA(),DF172))</f>
        <v>0</v>
      </c>
      <c r="FU5">
        <f>IF(Charts!$B$3="none",AS172,IF(DG172="",NA(),DG172))</f>
        <v>0</v>
      </c>
      <c r="FV5">
        <f>IF(Charts!$B$3="none",AT172,IF(DH172="",NA(),DH172))</f>
        <v>0</v>
      </c>
      <c r="FW5">
        <f>IF(Charts!$B$3="none",AU172,IF(DI172="",NA(),DI172))</f>
        <v>0</v>
      </c>
      <c r="FX5">
        <f>IF(Charts!$B$3="none",AV172,IF(DJ172="",NA(),DJ172))</f>
        <v>0</v>
      </c>
      <c r="FY5">
        <f>IF(Charts!$B$3="none",AW172,IF(DK172="",NA(),DK172))</f>
        <v>0</v>
      </c>
      <c r="FZ5">
        <f>IF(Charts!$B$3="none",AX172,IF(DL172="",NA(),DL172))</f>
        <v>0</v>
      </c>
      <c r="GA5">
        <f>IF(Charts!$B$3="none",AY172,IF(DM172="",NA(),DM172))</f>
        <v>0</v>
      </c>
      <c r="GB5">
        <f>IF(Charts!$B$3="none",AZ172,IF(DN172="",NA(),DN172))</f>
        <v>0</v>
      </c>
      <c r="GC5">
        <f>IF(Charts!$B$3="none",BA172,IF(DO172="",NA(),DO172))</f>
        <v>0</v>
      </c>
      <c r="GD5">
        <f>IF(Charts!$B$3="none",BB172,IF(DP172="",NA(),DP172))</f>
        <v>0</v>
      </c>
      <c r="GE5">
        <f>IF(Charts!$B$3="none",BC172,IF(DQ172="",NA(),DQ172))</f>
        <v>0</v>
      </c>
      <c r="GF5">
        <f>IF(Charts!$B$3="none",BD172,IF(DR172="",NA(),DR172))</f>
        <v>0</v>
      </c>
      <c r="GG5">
        <f>IF(Charts!$B$3="none",BE172,IF(DS172="",NA(),DS172))</f>
        <v>0</v>
      </c>
      <c r="GH5">
        <f>IF(Charts!$B$3="none",BF172,IF(DT172="",NA(),DT172))</f>
        <v>0</v>
      </c>
      <c r="GI5">
        <f>IF(Charts!$B$3="none",BG172,IF(DU172="",NA(),DU172))</f>
        <v>0</v>
      </c>
      <c r="GJ5">
        <f>IF(Charts!$B$3="none",BH172,IF(DV172="",NA(),DV172))</f>
        <v>0</v>
      </c>
      <c r="GK5">
        <f>IF(Charts!$B$3="none",BI172,IF(DW172="",NA(),DW172))</f>
        <v>0</v>
      </c>
      <c r="GL5">
        <f>IF(Charts!$B$3="none",BJ172,IF(DX172="",NA(),DX172))</f>
        <v>0</v>
      </c>
      <c r="GM5">
        <f>IF(Charts!$B$3="none",BK172,IF(DY172="",NA(),DY172))</f>
        <v>0</v>
      </c>
      <c r="GN5">
        <f>IF(Charts!$B$3="none",BL172,IF(DZ172="",NA(),DZ172))</f>
        <v>0</v>
      </c>
      <c r="GO5">
        <f>IF(Charts!$B$3="none",BM172,IF(EA172="",NA(),EA172))</f>
        <v>0</v>
      </c>
      <c r="GP5">
        <f>IF(Charts!$B$3="none",BN172,IF(EB172="",NA(),EB172))</f>
        <v>0</v>
      </c>
      <c r="GQ5">
        <f>IF(Charts!$B$3="none",BO172,IF(EC172="",NA(),EC172))</f>
        <v>0</v>
      </c>
      <c r="GR5">
        <f>IF(Charts!$B$3="none",BP172,IF(ED172="",NA(),ED172))</f>
        <v>0</v>
      </c>
    </row>
    <row r="6" spans="1:200">
      <c r="A6" t="s">
        <v>45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IFERROR(SMALL(E5:E36,ROW()-ROW($F$5)+1),"")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IFERROR(SMALL(I5:I36,ROW()-ROW($J$5)+1),"")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IFERROR(SMALL(M5:M36,ROW()-ROW($N$5)+1),"")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IFERROR(SMALL(Q5:Q36,ROW()-ROW($R$5)+1),"")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IFERROR(SMALL(U5:U36,ROW()-ROW($V$5)+1),"")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IFERROR(SMALL(Y5:Y36,ROW()-ROW($Z$5)+1),"")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IFERROR(SMALL(AC5:AC36,ROW()-ROW($AD$5)+1),"")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IFERROR(SMALL(AG5:AG36,ROW()-ROW($AH$5)+1),"")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IFERROR(SMALL(AK5:AK36,ROW()-ROW($AL$5)+1),"")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IFERROR(SMALL(AO5:AO36,ROW()-ROW($AP$5)+1),"")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IFERROR(SMALL(AS5:AS36,ROW()-ROW($AT$5)+1),"")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IFERROR(SMALL(AW5:AW36,ROW()-ROW($AX$5)+1),"")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IFERROR(SMALL(BA5:BA36,ROW()-ROW($BB$5)+1),"")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IFERROR(SMALL(BE5:BE36,ROW()-ROW($BF$5)+1),"")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IFERROR(SMALL(BI5:BI36,ROW()-ROW($BJ$5)+1),"")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IFERROR(SMALL(BM5:BM36,ROW()-ROW($BN$5)+1),"")</f>
        <v>0</v>
      </c>
      <c r="BP6">
        <f>IFERROR(SUM(BN5:BN6),"")</f>
        <v>0</v>
      </c>
      <c r="BR6">
        <v>2</v>
      </c>
      <c r="BS6" cm="1">
        <f t="array" ref="BS6">_xlfn.SWITCH(Charts!$B$3,"average", AVERAGE(INDIRECT(ADDRESS(1+3,BS$2+1,,,"Instances") &amp; ":" &amp; ADDRESS(1+3,BS$2+1))),"median", MEDIAN(INDIRECT(ADDRESS(1+3,BS$2+1,,,"Instances") &amp; ":" &amp; ADDRESS(1+3,BS$2+1))),"min", MIN(INDIRECT(ADDRESS(1+3,BS$2+1,,,"Instances") &amp; ":" &amp; ADDRESS(1+3,BS$2+1))),"max", MAX(INDIRECT(ADDRESS(1+3,BS$2+1,,,"Instances") &amp; ":" &amp; ADDRESS(1+3,BS$2+1))),"diff", MAX(INDIRECT(ADDRESS(1+3,BS$2+1,,,"Instances") &amp; ":" &amp; ADDRESS(1+3,BS$2+1)))-MIN(INDIRECT(ADDRESS(1+3,BS$2+1,,,"Instances") &amp; ":" &amp; ADDRESS(1+3,BS$2+1))))</f>
        <v>0</v>
      </c>
      <c r="BT6">
        <f>IFERROR(SMALL(BS5:BS36,ROW()-ROW($BT$5)+1),"")</f>
        <v>0</v>
      </c>
      <c r="BV6">
        <f>IFERROR(SUM(BT5:BT6),"")</f>
        <v>0</v>
      </c>
      <c r="BW6" cm="1">
        <f t="array" ref="BW6">_xlfn.SWITCH(Charts!$B$3,"average", AVERAGE(INDIRECT(ADDRESS(1+3,BW$2+1,,,"Instances") &amp; ":" &amp; ADDRESS(1+3,BW$2+1))),"median", MEDIAN(INDIRECT(ADDRESS(1+3,BW$2+1,,,"Instances") &amp; ":" &amp; ADDRESS(1+3,BW$2+1))),"min", MIN(INDIRECT(ADDRESS(1+3,BW$2+1,,,"Instances") &amp; ":" &amp; ADDRESS(1+3,BW$2+1))),"max", MAX(INDIRECT(ADDRESS(1+3,BW$2+1,,,"Instances") &amp; ":" &amp; ADDRESS(1+3,BW$2+1))),"diff", MAX(INDIRECT(ADDRESS(1+3,BW$2+1,,,"Instances") &amp; ":" &amp; ADDRESS(1+3,BW$2+1)))-MIN(INDIRECT(ADDRESS(1+3,BW$2+1,,,"Instances") &amp; ":" &amp; ADDRESS(1+3,BW$2+1))))</f>
        <v>0</v>
      </c>
      <c r="BX6">
        <f>IFERROR(SMALL(BW5:BW36,ROW()-ROW($BX$5)+1),"")</f>
        <v>0</v>
      </c>
      <c r="BZ6">
        <f>IFERROR(SUM(BX5:BX6),"")</f>
        <v>0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IFERROR(SMALL(CA5:CA36,ROW()-ROW($CB$5)+1),"")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IFERROR(SMALL(CE5:CE36,ROW()-ROW($CF$5)+1),"")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IFERROR(SMALL(CI5:CI36,ROW()-ROW($CJ$5)+1),"")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IFERROR(SMALL(CM5:CM36,ROW()-ROW($CN$5)+1),"")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IFERROR(SMALL(CQ5:CQ36,ROW()-ROW($CR$5)+1),"")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IFERROR(SMALL(CU5:CU36,ROW()-ROW($CV$5)+1),"")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IFERROR(SMALL(CY5:CY36,ROW()-ROW($CZ$5)+1),"")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IFERROR(SMALL(DC5:DC36,ROW()-ROW($DD$5)+1),"")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IFERROR(SMALL(DG5:DG36,ROW()-ROW($DH$5)+1),"")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IFERROR(SMALL(DK5:DK36,ROW()-ROW($DL$5)+1),"")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IFERROR(SMALL(DO5:DO36,ROW()-ROW($DP$5)+1),"")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IFERROR(SMALL(DS5:DS36,ROW()-ROW($DT$5)+1),"")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IFERROR(SMALL(DW5:DW36,ROW()-ROW($DX$5)+1),"")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IFERROR(SMALL(EA5:EA36,ROW()-ROW($EB$5)+1),"")</f>
        <v>0</v>
      </c>
      <c r="ED6">
        <f>IFERROR(SUM(EB5:EB6),"")</f>
        <v>0</v>
      </c>
      <c r="EG6">
        <f>IF(Charts!$B$3="none",E173,IF(BS173="",NA(),BS173))</f>
        <v>0</v>
      </c>
      <c r="EH6">
        <f>IF(Charts!$B$3="none",F173,IF(BT173="",NA(),BT173))</f>
        <v>0</v>
      </c>
      <c r="EI6">
        <f>IF(Charts!$B$3="none",G173,IF(BU173="",NA(),BU173))</f>
        <v>0</v>
      </c>
      <c r="EJ6">
        <f>IF(Charts!$B$3="none",H173,IF(BV173="",NA(),BV173))</f>
        <v>0</v>
      </c>
      <c r="EK6">
        <f>IF(Charts!$B$3="none",I173,IF(BW173="",NA(),BW173))</f>
        <v>0</v>
      </c>
      <c r="EL6">
        <f>IF(Charts!$B$3="none",J173,IF(BX173="",NA(),BX173))</f>
        <v>0</v>
      </c>
      <c r="EM6">
        <f>IF(Charts!$B$3="none",K173,IF(BY173="",NA(),BY173))</f>
        <v>0</v>
      </c>
      <c r="EN6">
        <f>IF(Charts!$B$3="none",L173,IF(BZ173="",NA(),BZ173))</f>
        <v>0</v>
      </c>
      <c r="EO6">
        <f>IF(Charts!$B$3="none",M173,IF(CA173="",NA(),CA173))</f>
        <v>0</v>
      </c>
      <c r="EP6">
        <f>IF(Charts!$B$3="none",N173,IF(CB173="",NA(),CB173))</f>
        <v>0</v>
      </c>
      <c r="EQ6">
        <f>IF(Charts!$B$3="none",O173,IF(CC173="",NA(),CC173))</f>
        <v>0</v>
      </c>
      <c r="ER6">
        <f>IF(Charts!$B$3="none",P173,IF(CD173="",NA(),CD173))</f>
        <v>0</v>
      </c>
      <c r="ES6">
        <f>IF(Charts!$B$3="none",Q173,IF(CE173="",NA(),CE173))</f>
        <v>0</v>
      </c>
      <c r="ET6">
        <f>IF(Charts!$B$3="none",R173,IF(CF173="",NA(),CF173))</f>
        <v>0</v>
      </c>
      <c r="EU6">
        <f>IF(Charts!$B$3="none",S173,IF(CG173="",NA(),CG173))</f>
        <v>0</v>
      </c>
      <c r="EV6">
        <f>IF(Charts!$B$3="none",T173,IF(CH173="",NA(),CH173))</f>
        <v>0</v>
      </c>
      <c r="EW6">
        <f>IF(Charts!$B$3="none",U173,IF(CI173="",NA(),CI173))</f>
        <v>0</v>
      </c>
      <c r="EX6">
        <f>IF(Charts!$B$3="none",V173,IF(CJ173="",NA(),CJ173))</f>
        <v>0</v>
      </c>
      <c r="EY6">
        <f>IF(Charts!$B$3="none",W173,IF(CK173="",NA(),CK173))</f>
        <v>0</v>
      </c>
      <c r="EZ6">
        <f>IF(Charts!$B$3="none",X173,IF(CL173="",NA(),CL173))</f>
        <v>0</v>
      </c>
      <c r="FA6">
        <f>IF(Charts!$B$3="none",Y173,IF(CM173="",NA(),CM173))</f>
        <v>0</v>
      </c>
      <c r="FB6">
        <f>IF(Charts!$B$3="none",Z173,IF(CN173="",NA(),CN173))</f>
        <v>0</v>
      </c>
      <c r="FC6">
        <f>IF(Charts!$B$3="none",AA173,IF(CO173="",NA(),CO173))</f>
        <v>0</v>
      </c>
      <c r="FD6">
        <f>IF(Charts!$B$3="none",AB173,IF(CP173="",NA(),CP173))</f>
        <v>0</v>
      </c>
      <c r="FE6">
        <f>IF(Charts!$B$3="none",AC173,IF(CQ173="",NA(),CQ173))</f>
        <v>0</v>
      </c>
      <c r="FF6">
        <f>IF(Charts!$B$3="none",AD173,IF(CR173="",NA(),CR173))</f>
        <v>0</v>
      </c>
      <c r="FG6">
        <f>IF(Charts!$B$3="none",AE173,IF(CS173="",NA(),CS173))</f>
        <v>0</v>
      </c>
      <c r="FH6">
        <f>IF(Charts!$B$3="none",AF173,IF(CT173="",NA(),CT173))</f>
        <v>0</v>
      </c>
      <c r="FI6">
        <f>IF(Charts!$B$3="none",AG173,IF(CU173="",NA(),CU173))</f>
        <v>0</v>
      </c>
      <c r="FJ6">
        <f>IF(Charts!$B$3="none",AH173,IF(CV173="",NA(),CV173))</f>
        <v>0</v>
      </c>
      <c r="FK6">
        <f>IF(Charts!$B$3="none",AI173,IF(CW173="",NA(),CW173))</f>
        <v>0</v>
      </c>
      <c r="FL6">
        <f>IF(Charts!$B$3="none",AJ173,IF(CX173="",NA(),CX173))</f>
        <v>0</v>
      </c>
      <c r="FM6">
        <f>IF(Charts!$B$3="none",AK173,IF(CY173="",NA(),CY173))</f>
        <v>0</v>
      </c>
      <c r="FN6">
        <f>IF(Charts!$B$3="none",AL173,IF(CZ173="",NA(),CZ173))</f>
        <v>0</v>
      </c>
      <c r="FO6">
        <f>IF(Charts!$B$3="none",AM173,IF(DA173="",NA(),DA173))</f>
        <v>0</v>
      </c>
      <c r="FP6">
        <f>IF(Charts!$B$3="none",AN173,IF(DB173="",NA(),DB173))</f>
        <v>0</v>
      </c>
      <c r="FQ6">
        <f>IF(Charts!$B$3="none",AO173,IF(DC173="",NA(),DC173))</f>
        <v>0</v>
      </c>
      <c r="FR6">
        <f>IF(Charts!$B$3="none",AP173,IF(DD173="",NA(),DD173))</f>
        <v>0</v>
      </c>
      <c r="FS6">
        <f>IF(Charts!$B$3="none",AQ173,IF(DE173="",NA(),DE173))</f>
        <v>0</v>
      </c>
      <c r="FT6">
        <f>IF(Charts!$B$3="none",AR173,IF(DF173="",NA(),DF173))</f>
        <v>0</v>
      </c>
      <c r="FU6">
        <f>IF(Charts!$B$3="none",AS173,IF(DG173="",NA(),DG173))</f>
        <v>0</v>
      </c>
      <c r="FV6">
        <f>IF(Charts!$B$3="none",AT173,IF(DH173="",NA(),DH173))</f>
        <v>0</v>
      </c>
      <c r="FW6">
        <f>IF(Charts!$B$3="none",AU173,IF(DI173="",NA(),DI173))</f>
        <v>0</v>
      </c>
      <c r="FX6">
        <f>IF(Charts!$B$3="none",AV173,IF(DJ173="",NA(),DJ173))</f>
        <v>0</v>
      </c>
      <c r="FY6">
        <f>IF(Charts!$B$3="none",AW173,IF(DK173="",NA(),DK173))</f>
        <v>0</v>
      </c>
      <c r="FZ6">
        <f>IF(Charts!$B$3="none",AX173,IF(DL173="",NA(),DL173))</f>
        <v>0</v>
      </c>
      <c r="GA6">
        <f>IF(Charts!$B$3="none",AY173,IF(DM173="",NA(),DM173))</f>
        <v>0</v>
      </c>
      <c r="GB6">
        <f>IF(Charts!$B$3="none",AZ173,IF(DN173="",NA(),DN173))</f>
        <v>0</v>
      </c>
      <c r="GC6">
        <f>IF(Charts!$B$3="none",BA173,IF(DO173="",NA(),DO173))</f>
        <v>0</v>
      </c>
      <c r="GD6">
        <f>IF(Charts!$B$3="none",BB173,IF(DP173="",NA(),DP173))</f>
        <v>0</v>
      </c>
      <c r="GE6">
        <f>IF(Charts!$B$3="none",BC173,IF(DQ173="",NA(),DQ173))</f>
        <v>0</v>
      </c>
      <c r="GF6">
        <f>IF(Charts!$B$3="none",BD173,IF(DR173="",NA(),DR173))</f>
        <v>0</v>
      </c>
      <c r="GG6">
        <f>IF(Charts!$B$3="none",BE173,IF(DS173="",NA(),DS173))</f>
        <v>0</v>
      </c>
      <c r="GH6">
        <f>IF(Charts!$B$3="none",BF173,IF(DT173="",NA(),DT173))</f>
        <v>0</v>
      </c>
      <c r="GI6">
        <f>IF(Charts!$B$3="none",BG173,IF(DU173="",NA(),DU173))</f>
        <v>0</v>
      </c>
      <c r="GJ6">
        <f>IF(Charts!$B$3="none",BH173,IF(DV173="",NA(),DV173))</f>
        <v>0</v>
      </c>
      <c r="GK6">
        <f>IF(Charts!$B$3="none",BI173,IF(DW173="",NA(),DW173))</f>
        <v>0</v>
      </c>
      <c r="GL6">
        <f>IF(Charts!$B$3="none",BJ173,IF(DX173="",NA(),DX173))</f>
        <v>0</v>
      </c>
      <c r="GM6">
        <f>IF(Charts!$B$3="none",BK173,IF(DY173="",NA(),DY173))</f>
        <v>0</v>
      </c>
      <c r="GN6">
        <f>IF(Charts!$B$3="none",BL173,IF(DZ173="",NA(),DZ173))</f>
        <v>0</v>
      </c>
      <c r="GO6">
        <f>IF(Charts!$B$3="none",BM173,IF(EA173="",NA(),EA173))</f>
        <v>0</v>
      </c>
      <c r="GP6">
        <f>IF(Charts!$B$3="none",BN173,IF(EB173="",NA(),EB173))</f>
        <v>0</v>
      </c>
      <c r="GQ6">
        <f>IF(Charts!$B$3="none",BO173,IF(EC173="",NA(),EC173))</f>
        <v>0</v>
      </c>
      <c r="GR6">
        <f>IF(Charts!$B$3="none",BP173,IF(ED173="",NA(),ED173))</f>
        <v>0</v>
      </c>
    </row>
    <row r="7" spans="1:200">
      <c r="A7" t="s">
        <v>46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IFERROR(SMALL(E5:E36,ROW()-ROW($F$5)+1),"")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IFERROR(SMALL(I5:I36,ROW()-ROW($J$5)+1),"")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IFERROR(SMALL(M5:M36,ROW()-ROW($N$5)+1),"")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IFERROR(SMALL(Q5:Q36,ROW()-ROW($R$5)+1),"")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IFERROR(SMALL(U5:U36,ROW()-ROW($V$5)+1),"")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IFERROR(SMALL(Y5:Y36,ROW()-ROW($Z$5)+1),"")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IFERROR(SMALL(AC5:AC36,ROW()-ROW($AD$5)+1),"")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IFERROR(SMALL(AG5:AG36,ROW()-ROW($AH$5)+1),"")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IFERROR(SMALL(AK5:AK36,ROW()-ROW($AL$5)+1),"")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IFERROR(SMALL(AO5:AO36,ROW()-ROW($AP$5)+1),"")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IFERROR(SMALL(AS5:AS36,ROW()-ROW($AT$5)+1),"")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IFERROR(SMALL(AW5:AW36,ROW()-ROW($AX$5)+1),"")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IFERROR(SMALL(BA5:BA36,ROW()-ROW($BB$5)+1),"")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IFERROR(SMALL(BE5:BE36,ROW()-ROW($BF$5)+1),"")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IFERROR(SMALL(BI5:BI36,ROW()-ROW($BJ$5)+1),"")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IFERROR(SMALL(BM5:BM36,ROW()-ROW($BN$5)+1),"")</f>
        <v>0</v>
      </c>
      <c r="BP7">
        <f>IFERROR(SUM(BN5:BN7),"")</f>
        <v>0</v>
      </c>
      <c r="BR7">
        <v>3</v>
      </c>
      <c r="BS7" cm="1">
        <f t="array" ref="BS7">_xlfn.SWITCH(Charts!$B$3,"average", AVERAGE(INDIRECT(ADDRESS(2+3,BS$2+1,,,"Instances") &amp; ":" &amp; ADDRESS(2+3,BS$2+1))),"median", MEDIAN(INDIRECT(ADDRESS(2+3,BS$2+1,,,"Instances") &amp; ":" &amp; ADDRESS(2+3,BS$2+1))),"min", MIN(INDIRECT(ADDRESS(2+3,BS$2+1,,,"Instances") &amp; ":" &amp; ADDRESS(2+3,BS$2+1))),"max", MAX(INDIRECT(ADDRESS(2+3,BS$2+1,,,"Instances") &amp; ":" &amp; ADDRESS(2+3,BS$2+1))),"diff", MAX(INDIRECT(ADDRESS(2+3,BS$2+1,,,"Instances") &amp; ":" &amp; ADDRESS(2+3,BS$2+1)))-MIN(INDIRECT(ADDRESS(2+3,BS$2+1,,,"Instances") &amp; ":" &amp; ADDRESS(2+3,BS$2+1))))</f>
        <v>0</v>
      </c>
      <c r="BT7">
        <f>IFERROR(SMALL(BS5:BS36,ROW()-ROW($BT$5)+1),"")</f>
        <v>0</v>
      </c>
      <c r="BV7">
        <f>IFERROR(SUM(BT5:BT7),"")</f>
        <v>0</v>
      </c>
      <c r="BW7" cm="1">
        <f t="array" ref="BW7">_xlfn.SWITCH(Charts!$B$3,"average", AVERAGE(INDIRECT(ADDRESS(2+3,BW$2+1,,,"Instances") &amp; ":" &amp; ADDRESS(2+3,BW$2+1))),"median", MEDIAN(INDIRECT(ADDRESS(2+3,BW$2+1,,,"Instances") &amp; ":" &amp; ADDRESS(2+3,BW$2+1))),"min", MIN(INDIRECT(ADDRESS(2+3,BW$2+1,,,"Instances") &amp; ":" &amp; ADDRESS(2+3,BW$2+1))),"max", MAX(INDIRECT(ADDRESS(2+3,BW$2+1,,,"Instances") &amp; ":" &amp; ADDRESS(2+3,BW$2+1))),"diff", MAX(INDIRECT(ADDRESS(2+3,BW$2+1,,,"Instances") &amp; ":" &amp; ADDRESS(2+3,BW$2+1)))-MIN(INDIRECT(ADDRESS(2+3,BW$2+1,,,"Instances") &amp; ":" &amp; ADDRESS(2+3,BW$2+1))))</f>
        <v>0</v>
      </c>
      <c r="BX7">
        <f>IFERROR(SMALL(BW5:BW36,ROW()-ROW($BX$5)+1),"")</f>
        <v>0</v>
      </c>
      <c r="BZ7">
        <f>IFERROR(SUM(BX5:BX7),"")</f>
        <v>0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IFERROR(SMALL(CA5:CA36,ROW()-ROW($CB$5)+1),"")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IFERROR(SMALL(CE5:CE36,ROW()-ROW($CF$5)+1),"")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IFERROR(SMALL(CI5:CI36,ROW()-ROW($CJ$5)+1),"")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IFERROR(SMALL(CM5:CM36,ROW()-ROW($CN$5)+1),"")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IFERROR(SMALL(CQ5:CQ36,ROW()-ROW($CR$5)+1),"")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IFERROR(SMALL(CU5:CU36,ROW()-ROW($CV$5)+1),"")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IFERROR(SMALL(CY5:CY36,ROW()-ROW($CZ$5)+1),"")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IFERROR(SMALL(DC5:DC36,ROW()-ROW($DD$5)+1),"")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IFERROR(SMALL(DG5:DG36,ROW()-ROW($DH$5)+1),"")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IFERROR(SMALL(DK5:DK36,ROW()-ROW($DL$5)+1),"")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IFERROR(SMALL(DO5:DO36,ROW()-ROW($DP$5)+1),"")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IFERROR(SMALL(DS5:DS36,ROW()-ROW($DT$5)+1),"")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IFERROR(SMALL(DW5:DW36,ROW()-ROW($DX$5)+1),"")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IFERROR(SMALL(EA5:EA36,ROW()-ROW($EB$5)+1),"")</f>
        <v>0</v>
      </c>
      <c r="ED7">
        <f>IFERROR(SUM(EB5:EB7),"")</f>
        <v>0</v>
      </c>
      <c r="EG7">
        <f>IF(Charts!$B$3="none",E174,IF(BS174="",NA(),BS174))</f>
        <v>0</v>
      </c>
      <c r="EH7">
        <f>IF(Charts!$B$3="none",F174,IF(BT174="",NA(),BT174))</f>
        <v>0</v>
      </c>
      <c r="EI7">
        <f>IF(Charts!$B$3="none",G174,IF(BU174="",NA(),BU174))</f>
        <v>0</v>
      </c>
      <c r="EJ7">
        <f>IF(Charts!$B$3="none",H174,IF(BV174="",NA(),BV174))</f>
        <v>0</v>
      </c>
      <c r="EK7">
        <f>IF(Charts!$B$3="none",I174,IF(BW174="",NA(),BW174))</f>
        <v>0</v>
      </c>
      <c r="EL7">
        <f>IF(Charts!$B$3="none",J174,IF(BX174="",NA(),BX174))</f>
        <v>0</v>
      </c>
      <c r="EM7">
        <f>IF(Charts!$B$3="none",K174,IF(BY174="",NA(),BY174))</f>
        <v>0</v>
      </c>
      <c r="EN7">
        <f>IF(Charts!$B$3="none",L174,IF(BZ174="",NA(),BZ174))</f>
        <v>0</v>
      </c>
      <c r="EO7">
        <f>IF(Charts!$B$3="none",M174,IF(CA174="",NA(),CA174))</f>
        <v>0</v>
      </c>
      <c r="EP7">
        <f>IF(Charts!$B$3="none",N174,IF(CB174="",NA(),CB174))</f>
        <v>0</v>
      </c>
      <c r="EQ7">
        <f>IF(Charts!$B$3="none",O174,IF(CC174="",NA(),CC174))</f>
        <v>0</v>
      </c>
      <c r="ER7">
        <f>IF(Charts!$B$3="none",P174,IF(CD174="",NA(),CD174))</f>
        <v>0</v>
      </c>
      <c r="ES7">
        <f>IF(Charts!$B$3="none",Q174,IF(CE174="",NA(),CE174))</f>
        <v>0</v>
      </c>
      <c r="ET7">
        <f>IF(Charts!$B$3="none",R174,IF(CF174="",NA(),CF174))</f>
        <v>0</v>
      </c>
      <c r="EU7">
        <f>IF(Charts!$B$3="none",S174,IF(CG174="",NA(),CG174))</f>
        <v>0</v>
      </c>
      <c r="EV7">
        <f>IF(Charts!$B$3="none",T174,IF(CH174="",NA(),CH174))</f>
        <v>0</v>
      </c>
      <c r="EW7">
        <f>IF(Charts!$B$3="none",U174,IF(CI174="",NA(),CI174))</f>
        <v>0</v>
      </c>
      <c r="EX7">
        <f>IF(Charts!$B$3="none",V174,IF(CJ174="",NA(),CJ174))</f>
        <v>0</v>
      </c>
      <c r="EY7">
        <f>IF(Charts!$B$3="none",W174,IF(CK174="",NA(),CK174))</f>
        <v>0</v>
      </c>
      <c r="EZ7">
        <f>IF(Charts!$B$3="none",X174,IF(CL174="",NA(),CL174))</f>
        <v>0</v>
      </c>
      <c r="FA7">
        <f>IF(Charts!$B$3="none",Y174,IF(CM174="",NA(),CM174))</f>
        <v>0</v>
      </c>
      <c r="FB7">
        <f>IF(Charts!$B$3="none",Z174,IF(CN174="",NA(),CN174))</f>
        <v>0</v>
      </c>
      <c r="FC7">
        <f>IF(Charts!$B$3="none",AA174,IF(CO174="",NA(),CO174))</f>
        <v>0</v>
      </c>
      <c r="FD7">
        <f>IF(Charts!$B$3="none",AB174,IF(CP174="",NA(),CP174))</f>
        <v>0</v>
      </c>
      <c r="FE7">
        <f>IF(Charts!$B$3="none",AC174,IF(CQ174="",NA(),CQ174))</f>
        <v>0</v>
      </c>
      <c r="FF7">
        <f>IF(Charts!$B$3="none",AD174,IF(CR174="",NA(),CR174))</f>
        <v>0</v>
      </c>
      <c r="FG7">
        <f>IF(Charts!$B$3="none",AE174,IF(CS174="",NA(),CS174))</f>
        <v>0</v>
      </c>
      <c r="FH7">
        <f>IF(Charts!$B$3="none",AF174,IF(CT174="",NA(),CT174))</f>
        <v>0</v>
      </c>
      <c r="FI7">
        <f>IF(Charts!$B$3="none",AG174,IF(CU174="",NA(),CU174))</f>
        <v>0</v>
      </c>
      <c r="FJ7">
        <f>IF(Charts!$B$3="none",AH174,IF(CV174="",NA(),CV174))</f>
        <v>0</v>
      </c>
      <c r="FK7">
        <f>IF(Charts!$B$3="none",AI174,IF(CW174="",NA(),CW174))</f>
        <v>0</v>
      </c>
      <c r="FL7">
        <f>IF(Charts!$B$3="none",AJ174,IF(CX174="",NA(),CX174))</f>
        <v>0</v>
      </c>
      <c r="FM7">
        <f>IF(Charts!$B$3="none",AK174,IF(CY174="",NA(),CY174))</f>
        <v>0</v>
      </c>
      <c r="FN7">
        <f>IF(Charts!$B$3="none",AL174,IF(CZ174="",NA(),CZ174))</f>
        <v>0</v>
      </c>
      <c r="FO7">
        <f>IF(Charts!$B$3="none",AM174,IF(DA174="",NA(),DA174))</f>
        <v>0</v>
      </c>
      <c r="FP7">
        <f>IF(Charts!$B$3="none",AN174,IF(DB174="",NA(),DB174))</f>
        <v>0</v>
      </c>
      <c r="FQ7">
        <f>IF(Charts!$B$3="none",AO174,IF(DC174="",NA(),DC174))</f>
        <v>0</v>
      </c>
      <c r="FR7">
        <f>IF(Charts!$B$3="none",AP174,IF(DD174="",NA(),DD174))</f>
        <v>0</v>
      </c>
      <c r="FS7">
        <f>IF(Charts!$B$3="none",AQ174,IF(DE174="",NA(),DE174))</f>
        <v>0</v>
      </c>
      <c r="FT7">
        <f>IF(Charts!$B$3="none",AR174,IF(DF174="",NA(),DF174))</f>
        <v>0</v>
      </c>
      <c r="FU7">
        <f>IF(Charts!$B$3="none",AS174,IF(DG174="",NA(),DG174))</f>
        <v>0</v>
      </c>
      <c r="FV7">
        <f>IF(Charts!$B$3="none",AT174,IF(DH174="",NA(),DH174))</f>
        <v>0</v>
      </c>
      <c r="FW7">
        <f>IF(Charts!$B$3="none",AU174,IF(DI174="",NA(),DI174))</f>
        <v>0</v>
      </c>
      <c r="FX7">
        <f>IF(Charts!$B$3="none",AV174,IF(DJ174="",NA(),DJ174))</f>
        <v>0</v>
      </c>
      <c r="FY7">
        <f>IF(Charts!$B$3="none",AW174,IF(DK174="",NA(),DK174))</f>
        <v>0</v>
      </c>
      <c r="FZ7">
        <f>IF(Charts!$B$3="none",AX174,IF(DL174="",NA(),DL174))</f>
        <v>0</v>
      </c>
      <c r="GA7">
        <f>IF(Charts!$B$3="none",AY174,IF(DM174="",NA(),DM174))</f>
        <v>0</v>
      </c>
      <c r="GB7">
        <f>IF(Charts!$B$3="none",AZ174,IF(DN174="",NA(),DN174))</f>
        <v>0</v>
      </c>
      <c r="GC7">
        <f>IF(Charts!$B$3="none",BA174,IF(DO174="",NA(),DO174))</f>
        <v>0</v>
      </c>
      <c r="GD7">
        <f>IF(Charts!$B$3="none",BB174,IF(DP174="",NA(),DP174))</f>
        <v>0</v>
      </c>
      <c r="GE7">
        <f>IF(Charts!$B$3="none",BC174,IF(DQ174="",NA(),DQ174))</f>
        <v>0</v>
      </c>
      <c r="GF7">
        <f>IF(Charts!$B$3="none",BD174,IF(DR174="",NA(),DR174))</f>
        <v>0</v>
      </c>
      <c r="GG7">
        <f>IF(Charts!$B$3="none",BE174,IF(DS174="",NA(),DS174))</f>
        <v>0</v>
      </c>
      <c r="GH7">
        <f>IF(Charts!$B$3="none",BF174,IF(DT174="",NA(),DT174))</f>
        <v>0</v>
      </c>
      <c r="GI7">
        <f>IF(Charts!$B$3="none",BG174,IF(DU174="",NA(),DU174))</f>
        <v>0</v>
      </c>
      <c r="GJ7">
        <f>IF(Charts!$B$3="none",BH174,IF(DV174="",NA(),DV174))</f>
        <v>0</v>
      </c>
      <c r="GK7">
        <f>IF(Charts!$B$3="none",BI174,IF(DW174="",NA(),DW174))</f>
        <v>0</v>
      </c>
      <c r="GL7">
        <f>IF(Charts!$B$3="none",BJ174,IF(DX174="",NA(),DX174))</f>
        <v>0</v>
      </c>
      <c r="GM7">
        <f>IF(Charts!$B$3="none",BK174,IF(DY174="",NA(),DY174))</f>
        <v>0</v>
      </c>
      <c r="GN7">
        <f>IF(Charts!$B$3="none",BL174,IF(DZ174="",NA(),DZ174))</f>
        <v>0</v>
      </c>
      <c r="GO7">
        <f>IF(Charts!$B$3="none",BM174,IF(EA174="",NA(),EA174))</f>
        <v>0</v>
      </c>
      <c r="GP7">
        <f>IF(Charts!$B$3="none",BN174,IF(EB174="",NA(),EB174))</f>
        <v>0</v>
      </c>
      <c r="GQ7">
        <f>IF(Charts!$B$3="none",BO174,IF(EC174="",NA(),EC174))</f>
        <v>0</v>
      </c>
      <c r="GR7">
        <f>IF(Charts!$B$3="none",BP174,IF(ED174="",NA(),ED174))</f>
        <v>0</v>
      </c>
    </row>
    <row r="8" spans="1:200">
      <c r="A8" t="s">
        <v>47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IFERROR(SMALL(E5:E36,ROW()-ROW($F$5)+1),"")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IFERROR(SMALL(I5:I36,ROW()-ROW($J$5)+1),"")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IFERROR(SMALL(M5:M36,ROW()-ROW($N$5)+1),"")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IFERROR(SMALL(Q5:Q36,ROW()-ROW($R$5)+1),"")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IFERROR(SMALL(U5:U36,ROW()-ROW($V$5)+1),"")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IFERROR(SMALL(Y5:Y36,ROW()-ROW($Z$5)+1),"")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IFERROR(SMALL(AC5:AC36,ROW()-ROW($AD$5)+1),"")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IFERROR(SMALL(AG5:AG36,ROW()-ROW($AH$5)+1),"")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IFERROR(SMALL(AK5:AK36,ROW()-ROW($AL$5)+1),"")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IFERROR(SMALL(AO5:AO36,ROW()-ROW($AP$5)+1),"")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IFERROR(SMALL(AS5:AS36,ROW()-ROW($AT$5)+1),"")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IFERROR(SMALL(AW5:AW36,ROW()-ROW($AX$5)+1),"")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IFERROR(SMALL(BA5:BA36,ROW()-ROW($BB$5)+1),"")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IFERROR(SMALL(BE5:BE36,ROW()-ROW($BF$5)+1),"")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IFERROR(SMALL(BI5:BI36,ROW()-ROW($BJ$5)+1),"")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IFERROR(SMALL(BM5:BM36,ROW()-ROW($BN$5)+1),"")</f>
        <v>0</v>
      </c>
      <c r="BP8">
        <f>IFERROR(SUM(BN5:BN8),"")</f>
        <v>0</v>
      </c>
      <c r="BR8">
        <v>4</v>
      </c>
      <c r="BS8" cm="1">
        <f t="array" ref="BS8">_xlfn.SWITCH(Charts!$B$3,"average", AVERAGE(INDIRECT(ADDRESS(3+3,BS$2+1,,,"Instances") &amp; ":" &amp; ADDRESS(3+3,BS$2+1))),"median", MEDIAN(INDIRECT(ADDRESS(3+3,BS$2+1,,,"Instances") &amp; ":" &amp; ADDRESS(3+3,BS$2+1))),"min", MIN(INDIRECT(ADDRESS(3+3,BS$2+1,,,"Instances") &amp; ":" &amp; ADDRESS(3+3,BS$2+1))),"max", MAX(INDIRECT(ADDRESS(3+3,BS$2+1,,,"Instances") &amp; ":" &amp; ADDRESS(3+3,BS$2+1))),"diff", MAX(INDIRECT(ADDRESS(3+3,BS$2+1,,,"Instances") &amp; ":" &amp; ADDRESS(3+3,BS$2+1)))-MIN(INDIRECT(ADDRESS(3+3,BS$2+1,,,"Instances") &amp; ":" &amp; ADDRESS(3+3,BS$2+1))))</f>
        <v>0</v>
      </c>
      <c r="BT8">
        <f>IFERROR(SMALL(BS5:BS36,ROW()-ROW($BT$5)+1),"")</f>
        <v>0</v>
      </c>
      <c r="BV8">
        <f>IFERROR(SUM(BT5:BT8),"")</f>
        <v>0</v>
      </c>
      <c r="BW8" cm="1">
        <f t="array" ref="BW8">_xlfn.SWITCH(Charts!$B$3,"average", AVERAGE(INDIRECT(ADDRESS(3+3,BW$2+1,,,"Instances") &amp; ":" &amp; ADDRESS(3+3,BW$2+1))),"median", MEDIAN(INDIRECT(ADDRESS(3+3,BW$2+1,,,"Instances") &amp; ":" &amp; ADDRESS(3+3,BW$2+1))),"min", MIN(INDIRECT(ADDRESS(3+3,BW$2+1,,,"Instances") &amp; ":" &amp; ADDRESS(3+3,BW$2+1))),"max", MAX(INDIRECT(ADDRESS(3+3,BW$2+1,,,"Instances") &amp; ":" &amp; ADDRESS(3+3,BW$2+1))),"diff", MAX(INDIRECT(ADDRESS(3+3,BW$2+1,,,"Instances") &amp; ":" &amp; ADDRESS(3+3,BW$2+1)))-MIN(INDIRECT(ADDRESS(3+3,BW$2+1,,,"Instances") &amp; ":" &amp; ADDRESS(3+3,BW$2+1))))</f>
        <v>0</v>
      </c>
      <c r="BX8">
        <f>IFERROR(SMALL(BW5:BW36,ROW()-ROW($BX$5)+1),"")</f>
        <v>0</v>
      </c>
      <c r="BZ8">
        <f>IFERROR(SUM(BX5:BX8),"")</f>
        <v>0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IFERROR(SMALL(CA5:CA36,ROW()-ROW($CB$5)+1),"")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IFERROR(SMALL(CE5:CE36,ROW()-ROW($CF$5)+1),"")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IFERROR(SMALL(CI5:CI36,ROW()-ROW($CJ$5)+1),"")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IFERROR(SMALL(CM5:CM36,ROW()-ROW($CN$5)+1),"")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IFERROR(SMALL(CQ5:CQ36,ROW()-ROW($CR$5)+1),"")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IFERROR(SMALL(CU5:CU36,ROW()-ROW($CV$5)+1),"")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IFERROR(SMALL(CY5:CY36,ROW()-ROW($CZ$5)+1),"")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IFERROR(SMALL(DC5:DC36,ROW()-ROW($DD$5)+1),"")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IFERROR(SMALL(DG5:DG36,ROW()-ROW($DH$5)+1),"")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IFERROR(SMALL(DK5:DK36,ROW()-ROW($DL$5)+1),"")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IFERROR(SMALL(DO5:DO36,ROW()-ROW($DP$5)+1),"")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IFERROR(SMALL(DS5:DS36,ROW()-ROW($DT$5)+1),"")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IFERROR(SMALL(DW5:DW36,ROW()-ROW($DX$5)+1),"")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IFERROR(SMALL(EA5:EA36,ROW()-ROW($EB$5)+1),"")</f>
        <v>0</v>
      </c>
      <c r="ED8">
        <f>IFERROR(SUM(EB5:EB8),"")</f>
        <v>0</v>
      </c>
      <c r="EG8">
        <f>IF(Charts!$B$3="none",E175,IF(BS175="",NA(),BS175))</f>
        <v>0</v>
      </c>
      <c r="EH8">
        <f>IF(Charts!$B$3="none",F175,IF(BT175="",NA(),BT175))</f>
        <v>0</v>
      </c>
      <c r="EI8">
        <f>IF(Charts!$B$3="none",G175,IF(BU175="",NA(),BU175))</f>
        <v>0</v>
      </c>
      <c r="EJ8">
        <f>IF(Charts!$B$3="none",H175,IF(BV175="",NA(),BV175))</f>
        <v>0</v>
      </c>
      <c r="EK8">
        <f>IF(Charts!$B$3="none",I175,IF(BW175="",NA(),BW175))</f>
        <v>0</v>
      </c>
      <c r="EL8">
        <f>IF(Charts!$B$3="none",J175,IF(BX175="",NA(),BX175))</f>
        <v>0</v>
      </c>
      <c r="EM8">
        <f>IF(Charts!$B$3="none",K175,IF(BY175="",NA(),BY175))</f>
        <v>0</v>
      </c>
      <c r="EN8">
        <f>IF(Charts!$B$3="none",L175,IF(BZ175="",NA(),BZ175))</f>
        <v>0</v>
      </c>
      <c r="EO8">
        <f>IF(Charts!$B$3="none",M175,IF(CA175="",NA(),CA175))</f>
        <v>0</v>
      </c>
      <c r="EP8">
        <f>IF(Charts!$B$3="none",N175,IF(CB175="",NA(),CB175))</f>
        <v>0</v>
      </c>
      <c r="EQ8">
        <f>IF(Charts!$B$3="none",O175,IF(CC175="",NA(),CC175))</f>
        <v>0</v>
      </c>
      <c r="ER8">
        <f>IF(Charts!$B$3="none",P175,IF(CD175="",NA(),CD175))</f>
        <v>0</v>
      </c>
      <c r="ES8">
        <f>IF(Charts!$B$3="none",Q175,IF(CE175="",NA(),CE175))</f>
        <v>0</v>
      </c>
      <c r="ET8">
        <f>IF(Charts!$B$3="none",R175,IF(CF175="",NA(),CF175))</f>
        <v>0</v>
      </c>
      <c r="EU8">
        <f>IF(Charts!$B$3="none",S175,IF(CG175="",NA(),CG175))</f>
        <v>0</v>
      </c>
      <c r="EV8">
        <f>IF(Charts!$B$3="none",T175,IF(CH175="",NA(),CH175))</f>
        <v>0</v>
      </c>
      <c r="EW8">
        <f>IF(Charts!$B$3="none",U175,IF(CI175="",NA(),CI175))</f>
        <v>0</v>
      </c>
      <c r="EX8">
        <f>IF(Charts!$B$3="none",V175,IF(CJ175="",NA(),CJ175))</f>
        <v>0</v>
      </c>
      <c r="EY8">
        <f>IF(Charts!$B$3="none",W175,IF(CK175="",NA(),CK175))</f>
        <v>0</v>
      </c>
      <c r="EZ8">
        <f>IF(Charts!$B$3="none",X175,IF(CL175="",NA(),CL175))</f>
        <v>0</v>
      </c>
      <c r="FA8">
        <f>IF(Charts!$B$3="none",Y175,IF(CM175="",NA(),CM175))</f>
        <v>0</v>
      </c>
      <c r="FB8">
        <f>IF(Charts!$B$3="none",Z175,IF(CN175="",NA(),CN175))</f>
        <v>0</v>
      </c>
      <c r="FC8">
        <f>IF(Charts!$B$3="none",AA175,IF(CO175="",NA(),CO175))</f>
        <v>0</v>
      </c>
      <c r="FD8">
        <f>IF(Charts!$B$3="none",AB175,IF(CP175="",NA(),CP175))</f>
        <v>0</v>
      </c>
      <c r="FE8">
        <f>IF(Charts!$B$3="none",AC175,IF(CQ175="",NA(),CQ175))</f>
        <v>0</v>
      </c>
      <c r="FF8">
        <f>IF(Charts!$B$3="none",AD175,IF(CR175="",NA(),CR175))</f>
        <v>0</v>
      </c>
      <c r="FG8">
        <f>IF(Charts!$B$3="none",AE175,IF(CS175="",NA(),CS175))</f>
        <v>0</v>
      </c>
      <c r="FH8">
        <f>IF(Charts!$B$3="none",AF175,IF(CT175="",NA(),CT175))</f>
        <v>0</v>
      </c>
      <c r="FI8">
        <f>IF(Charts!$B$3="none",AG175,IF(CU175="",NA(),CU175))</f>
        <v>0</v>
      </c>
      <c r="FJ8">
        <f>IF(Charts!$B$3="none",AH175,IF(CV175="",NA(),CV175))</f>
        <v>0</v>
      </c>
      <c r="FK8">
        <f>IF(Charts!$B$3="none",AI175,IF(CW175="",NA(),CW175))</f>
        <v>0</v>
      </c>
      <c r="FL8">
        <f>IF(Charts!$B$3="none",AJ175,IF(CX175="",NA(),CX175))</f>
        <v>0</v>
      </c>
      <c r="FM8">
        <f>IF(Charts!$B$3="none",AK175,IF(CY175="",NA(),CY175))</f>
        <v>0</v>
      </c>
      <c r="FN8">
        <f>IF(Charts!$B$3="none",AL175,IF(CZ175="",NA(),CZ175))</f>
        <v>0</v>
      </c>
      <c r="FO8">
        <f>IF(Charts!$B$3="none",AM175,IF(DA175="",NA(),DA175))</f>
        <v>0</v>
      </c>
      <c r="FP8">
        <f>IF(Charts!$B$3="none",AN175,IF(DB175="",NA(),DB175))</f>
        <v>0</v>
      </c>
      <c r="FQ8">
        <f>IF(Charts!$B$3="none",AO175,IF(DC175="",NA(),DC175))</f>
        <v>0</v>
      </c>
      <c r="FR8">
        <f>IF(Charts!$B$3="none",AP175,IF(DD175="",NA(),DD175))</f>
        <v>0</v>
      </c>
      <c r="FS8">
        <f>IF(Charts!$B$3="none",AQ175,IF(DE175="",NA(),DE175))</f>
        <v>0</v>
      </c>
      <c r="FT8">
        <f>IF(Charts!$B$3="none",AR175,IF(DF175="",NA(),DF175))</f>
        <v>0</v>
      </c>
      <c r="FU8">
        <f>IF(Charts!$B$3="none",AS175,IF(DG175="",NA(),DG175))</f>
        <v>0</v>
      </c>
      <c r="FV8">
        <f>IF(Charts!$B$3="none",AT175,IF(DH175="",NA(),DH175))</f>
        <v>0</v>
      </c>
      <c r="FW8">
        <f>IF(Charts!$B$3="none",AU175,IF(DI175="",NA(),DI175))</f>
        <v>0</v>
      </c>
      <c r="FX8">
        <f>IF(Charts!$B$3="none",AV175,IF(DJ175="",NA(),DJ175))</f>
        <v>0</v>
      </c>
      <c r="FY8">
        <f>IF(Charts!$B$3="none",AW175,IF(DK175="",NA(),DK175))</f>
        <v>0</v>
      </c>
      <c r="FZ8">
        <f>IF(Charts!$B$3="none",AX175,IF(DL175="",NA(),DL175))</f>
        <v>0</v>
      </c>
      <c r="GA8">
        <f>IF(Charts!$B$3="none",AY175,IF(DM175="",NA(),DM175))</f>
        <v>0</v>
      </c>
      <c r="GB8">
        <f>IF(Charts!$B$3="none",AZ175,IF(DN175="",NA(),DN175))</f>
        <v>0</v>
      </c>
      <c r="GC8">
        <f>IF(Charts!$B$3="none",BA175,IF(DO175="",NA(),DO175))</f>
        <v>0</v>
      </c>
      <c r="GD8">
        <f>IF(Charts!$B$3="none",BB175,IF(DP175="",NA(),DP175))</f>
        <v>0</v>
      </c>
      <c r="GE8">
        <f>IF(Charts!$B$3="none",BC175,IF(DQ175="",NA(),DQ175))</f>
        <v>0</v>
      </c>
      <c r="GF8">
        <f>IF(Charts!$B$3="none",BD175,IF(DR175="",NA(),DR175))</f>
        <v>0</v>
      </c>
      <c r="GG8">
        <f>IF(Charts!$B$3="none",BE175,IF(DS175="",NA(),DS175))</f>
        <v>0</v>
      </c>
      <c r="GH8">
        <f>IF(Charts!$B$3="none",BF175,IF(DT175="",NA(),DT175))</f>
        <v>0</v>
      </c>
      <c r="GI8">
        <f>IF(Charts!$B$3="none",BG175,IF(DU175="",NA(),DU175))</f>
        <v>0</v>
      </c>
      <c r="GJ8">
        <f>IF(Charts!$B$3="none",BH175,IF(DV175="",NA(),DV175))</f>
        <v>0</v>
      </c>
      <c r="GK8">
        <f>IF(Charts!$B$3="none",BI175,IF(DW175="",NA(),DW175))</f>
        <v>0</v>
      </c>
      <c r="GL8">
        <f>IF(Charts!$B$3="none",BJ175,IF(DX175="",NA(),DX175))</f>
        <v>0</v>
      </c>
      <c r="GM8">
        <f>IF(Charts!$B$3="none",BK175,IF(DY175="",NA(),DY175))</f>
        <v>0</v>
      </c>
      <c r="GN8">
        <f>IF(Charts!$B$3="none",BL175,IF(DZ175="",NA(),DZ175))</f>
        <v>0</v>
      </c>
      <c r="GO8">
        <f>IF(Charts!$B$3="none",BM175,IF(EA175="",NA(),EA175))</f>
        <v>0</v>
      </c>
      <c r="GP8">
        <f>IF(Charts!$B$3="none",BN175,IF(EB175="",NA(),EB175))</f>
        <v>0</v>
      </c>
      <c r="GQ8">
        <f>IF(Charts!$B$3="none",BO175,IF(EC175="",NA(),EC175))</f>
        <v>0</v>
      </c>
      <c r="GR8">
        <f>IF(Charts!$B$3="none",BP175,IF(ED175="",NA(),ED175))</f>
        <v>0</v>
      </c>
    </row>
    <row r="9" spans="1:200">
      <c r="A9" t="s">
        <v>48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IFERROR(SMALL(E5:E36,ROW()-ROW($F$5)+1),"")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IFERROR(SMALL(I5:I36,ROW()-ROW($J$5)+1),"")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IFERROR(SMALL(M5:M36,ROW()-ROW($N$5)+1),"")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IFERROR(SMALL(Q5:Q36,ROW()-ROW($R$5)+1),"")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IFERROR(SMALL(U5:U36,ROW()-ROW($V$5)+1),"")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IFERROR(SMALL(Y5:Y36,ROW()-ROW($Z$5)+1),"")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IFERROR(SMALL(AC5:AC36,ROW()-ROW($AD$5)+1),"")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IFERROR(SMALL(AG5:AG36,ROW()-ROW($AH$5)+1),"")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IFERROR(SMALL(AK5:AK36,ROW()-ROW($AL$5)+1),"")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IFERROR(SMALL(AO5:AO36,ROW()-ROW($AP$5)+1),"")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IFERROR(SMALL(AS5:AS36,ROW()-ROW($AT$5)+1),"")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IFERROR(SMALL(AW5:AW36,ROW()-ROW($AX$5)+1),"")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IFERROR(SMALL(BA5:BA36,ROW()-ROW($BB$5)+1),"")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IFERROR(SMALL(BE5:BE36,ROW()-ROW($BF$5)+1),"")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IFERROR(SMALL(BI5:BI36,ROW()-ROW($BJ$5)+1),"")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IFERROR(SMALL(BM5:BM36,ROW()-ROW($BN$5)+1),"")</f>
        <v>0</v>
      </c>
      <c r="BP9">
        <f>IFERROR(SUM(BN5:BN9),"")</f>
        <v>0</v>
      </c>
      <c r="BR9">
        <v>5</v>
      </c>
      <c r="BS9" cm="1">
        <f t="array" ref="BS9">_xlfn.SWITCH(Charts!$B$3,"average", AVERAGE(INDIRECT(ADDRESS(4+3,BS$2+1,,,"Instances") &amp; ":" &amp; ADDRESS(4+3,BS$2+1))),"median", MEDIAN(INDIRECT(ADDRESS(4+3,BS$2+1,,,"Instances") &amp; ":" &amp; ADDRESS(4+3,BS$2+1))),"min", MIN(INDIRECT(ADDRESS(4+3,BS$2+1,,,"Instances") &amp; ":" &amp; ADDRESS(4+3,BS$2+1))),"max", MAX(INDIRECT(ADDRESS(4+3,BS$2+1,,,"Instances") &amp; ":" &amp; ADDRESS(4+3,BS$2+1))),"diff", MAX(INDIRECT(ADDRESS(4+3,BS$2+1,,,"Instances") &amp; ":" &amp; ADDRESS(4+3,BS$2+1)))-MIN(INDIRECT(ADDRESS(4+3,BS$2+1,,,"Instances") &amp; ":" &amp; ADDRESS(4+3,BS$2+1))))</f>
        <v>0</v>
      </c>
      <c r="BT9">
        <f>IFERROR(SMALL(BS5:BS36,ROW()-ROW($BT$5)+1),"")</f>
        <v>0</v>
      </c>
      <c r="BV9">
        <f>IFERROR(SUM(BT5:BT9),"")</f>
        <v>0</v>
      </c>
      <c r="BW9" cm="1">
        <f t="array" ref="BW9">_xlfn.SWITCH(Charts!$B$3,"average", AVERAGE(INDIRECT(ADDRESS(4+3,BW$2+1,,,"Instances") &amp; ":" &amp; ADDRESS(4+3,BW$2+1))),"median", MEDIAN(INDIRECT(ADDRESS(4+3,BW$2+1,,,"Instances") &amp; ":" &amp; ADDRESS(4+3,BW$2+1))),"min", MIN(INDIRECT(ADDRESS(4+3,BW$2+1,,,"Instances") &amp; ":" &amp; ADDRESS(4+3,BW$2+1))),"max", MAX(INDIRECT(ADDRESS(4+3,BW$2+1,,,"Instances") &amp; ":" &amp; ADDRESS(4+3,BW$2+1))),"diff", MAX(INDIRECT(ADDRESS(4+3,BW$2+1,,,"Instances") &amp; ":" &amp; ADDRESS(4+3,BW$2+1)))-MIN(INDIRECT(ADDRESS(4+3,BW$2+1,,,"Instances") &amp; ":" &amp; ADDRESS(4+3,BW$2+1))))</f>
        <v>0</v>
      </c>
      <c r="BX9">
        <f>IFERROR(SMALL(BW5:BW36,ROW()-ROW($BX$5)+1),"")</f>
        <v>0</v>
      </c>
      <c r="BZ9">
        <f>IFERROR(SUM(BX5:BX9),"")</f>
        <v>0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IFERROR(SMALL(CA5:CA36,ROW()-ROW($CB$5)+1),"")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IFERROR(SMALL(CE5:CE36,ROW()-ROW($CF$5)+1),"")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IFERROR(SMALL(CI5:CI36,ROW()-ROW($CJ$5)+1),"")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IFERROR(SMALL(CM5:CM36,ROW()-ROW($CN$5)+1),"")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IFERROR(SMALL(CQ5:CQ36,ROW()-ROW($CR$5)+1),"")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IFERROR(SMALL(CU5:CU36,ROW()-ROW($CV$5)+1),"")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IFERROR(SMALL(CY5:CY36,ROW()-ROW($CZ$5)+1),"")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IFERROR(SMALL(DC5:DC36,ROW()-ROW($DD$5)+1),"")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IFERROR(SMALL(DG5:DG36,ROW()-ROW($DH$5)+1),"")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IFERROR(SMALL(DK5:DK36,ROW()-ROW($DL$5)+1),"")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IFERROR(SMALL(DO5:DO36,ROW()-ROW($DP$5)+1),"")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IFERROR(SMALL(DS5:DS36,ROW()-ROW($DT$5)+1),"")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IFERROR(SMALL(DW5:DW36,ROW()-ROW($DX$5)+1),"")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IFERROR(SMALL(EA5:EA36,ROW()-ROW($EB$5)+1),"")</f>
        <v>0</v>
      </c>
      <c r="ED9">
        <f>IFERROR(SUM(EB5:EB9),"")</f>
        <v>0</v>
      </c>
      <c r="EG9">
        <f>IF(Charts!$B$3="none",E176,IF(BS176="",NA(),BS176))</f>
        <v>0</v>
      </c>
      <c r="EH9">
        <f>IF(Charts!$B$3="none",F176,IF(BT176="",NA(),BT176))</f>
        <v>0</v>
      </c>
      <c r="EI9">
        <f>IF(Charts!$B$3="none",G176,IF(BU176="",NA(),BU176))</f>
        <v>0</v>
      </c>
      <c r="EJ9">
        <f>IF(Charts!$B$3="none",H176,IF(BV176="",NA(),BV176))</f>
        <v>0</v>
      </c>
      <c r="EK9">
        <f>IF(Charts!$B$3="none",I176,IF(BW176="",NA(),BW176))</f>
        <v>0</v>
      </c>
      <c r="EL9">
        <f>IF(Charts!$B$3="none",J176,IF(BX176="",NA(),BX176))</f>
        <v>0</v>
      </c>
      <c r="EM9">
        <f>IF(Charts!$B$3="none",K176,IF(BY176="",NA(),BY176))</f>
        <v>0</v>
      </c>
      <c r="EN9">
        <f>IF(Charts!$B$3="none",L176,IF(BZ176="",NA(),BZ176))</f>
        <v>0</v>
      </c>
      <c r="EO9">
        <f>IF(Charts!$B$3="none",M176,IF(CA176="",NA(),CA176))</f>
        <v>0</v>
      </c>
      <c r="EP9">
        <f>IF(Charts!$B$3="none",N176,IF(CB176="",NA(),CB176))</f>
        <v>0</v>
      </c>
      <c r="EQ9">
        <f>IF(Charts!$B$3="none",O176,IF(CC176="",NA(),CC176))</f>
        <v>0</v>
      </c>
      <c r="ER9">
        <f>IF(Charts!$B$3="none",P176,IF(CD176="",NA(),CD176))</f>
        <v>0</v>
      </c>
      <c r="ES9">
        <f>IF(Charts!$B$3="none",Q176,IF(CE176="",NA(),CE176))</f>
        <v>0</v>
      </c>
      <c r="ET9">
        <f>IF(Charts!$B$3="none",R176,IF(CF176="",NA(),CF176))</f>
        <v>0</v>
      </c>
      <c r="EU9">
        <f>IF(Charts!$B$3="none",S176,IF(CG176="",NA(),CG176))</f>
        <v>0</v>
      </c>
      <c r="EV9">
        <f>IF(Charts!$B$3="none",T176,IF(CH176="",NA(),CH176))</f>
        <v>0</v>
      </c>
      <c r="EW9">
        <f>IF(Charts!$B$3="none",U176,IF(CI176="",NA(),CI176))</f>
        <v>0</v>
      </c>
      <c r="EX9">
        <f>IF(Charts!$B$3="none",V176,IF(CJ176="",NA(),CJ176))</f>
        <v>0</v>
      </c>
      <c r="EY9">
        <f>IF(Charts!$B$3="none",W176,IF(CK176="",NA(),CK176))</f>
        <v>0</v>
      </c>
      <c r="EZ9">
        <f>IF(Charts!$B$3="none",X176,IF(CL176="",NA(),CL176))</f>
        <v>0</v>
      </c>
      <c r="FA9">
        <f>IF(Charts!$B$3="none",Y176,IF(CM176="",NA(),CM176))</f>
        <v>0</v>
      </c>
      <c r="FB9">
        <f>IF(Charts!$B$3="none",Z176,IF(CN176="",NA(),CN176))</f>
        <v>0</v>
      </c>
      <c r="FC9">
        <f>IF(Charts!$B$3="none",AA176,IF(CO176="",NA(),CO176))</f>
        <v>0</v>
      </c>
      <c r="FD9">
        <f>IF(Charts!$B$3="none",AB176,IF(CP176="",NA(),CP176))</f>
        <v>0</v>
      </c>
      <c r="FE9">
        <f>IF(Charts!$B$3="none",AC176,IF(CQ176="",NA(),CQ176))</f>
        <v>0</v>
      </c>
      <c r="FF9">
        <f>IF(Charts!$B$3="none",AD176,IF(CR176="",NA(),CR176))</f>
        <v>0</v>
      </c>
      <c r="FG9">
        <f>IF(Charts!$B$3="none",AE176,IF(CS176="",NA(),CS176))</f>
        <v>0</v>
      </c>
      <c r="FH9">
        <f>IF(Charts!$B$3="none",AF176,IF(CT176="",NA(),CT176))</f>
        <v>0</v>
      </c>
      <c r="FI9">
        <f>IF(Charts!$B$3="none",AG176,IF(CU176="",NA(),CU176))</f>
        <v>0</v>
      </c>
      <c r="FJ9">
        <f>IF(Charts!$B$3="none",AH176,IF(CV176="",NA(),CV176))</f>
        <v>0</v>
      </c>
      <c r="FK9">
        <f>IF(Charts!$B$3="none",AI176,IF(CW176="",NA(),CW176))</f>
        <v>0</v>
      </c>
      <c r="FL9">
        <f>IF(Charts!$B$3="none",AJ176,IF(CX176="",NA(),CX176))</f>
        <v>0</v>
      </c>
      <c r="FM9">
        <f>IF(Charts!$B$3="none",AK176,IF(CY176="",NA(),CY176))</f>
        <v>0</v>
      </c>
      <c r="FN9">
        <f>IF(Charts!$B$3="none",AL176,IF(CZ176="",NA(),CZ176))</f>
        <v>0</v>
      </c>
      <c r="FO9">
        <f>IF(Charts!$B$3="none",AM176,IF(DA176="",NA(),DA176))</f>
        <v>0</v>
      </c>
      <c r="FP9">
        <f>IF(Charts!$B$3="none",AN176,IF(DB176="",NA(),DB176))</f>
        <v>0</v>
      </c>
      <c r="FQ9">
        <f>IF(Charts!$B$3="none",AO176,IF(DC176="",NA(),DC176))</f>
        <v>0</v>
      </c>
      <c r="FR9">
        <f>IF(Charts!$B$3="none",AP176,IF(DD176="",NA(),DD176))</f>
        <v>0</v>
      </c>
      <c r="FS9">
        <f>IF(Charts!$B$3="none",AQ176,IF(DE176="",NA(),DE176))</f>
        <v>0</v>
      </c>
      <c r="FT9">
        <f>IF(Charts!$B$3="none",AR176,IF(DF176="",NA(),DF176))</f>
        <v>0</v>
      </c>
      <c r="FU9">
        <f>IF(Charts!$B$3="none",AS176,IF(DG176="",NA(),DG176))</f>
        <v>0</v>
      </c>
      <c r="FV9">
        <f>IF(Charts!$B$3="none",AT176,IF(DH176="",NA(),DH176))</f>
        <v>0</v>
      </c>
      <c r="FW9">
        <f>IF(Charts!$B$3="none",AU176,IF(DI176="",NA(),DI176))</f>
        <v>0</v>
      </c>
      <c r="FX9">
        <f>IF(Charts!$B$3="none",AV176,IF(DJ176="",NA(),DJ176))</f>
        <v>0</v>
      </c>
      <c r="FY9">
        <f>IF(Charts!$B$3="none",AW176,IF(DK176="",NA(),DK176))</f>
        <v>0</v>
      </c>
      <c r="FZ9">
        <f>IF(Charts!$B$3="none",AX176,IF(DL176="",NA(),DL176))</f>
        <v>0</v>
      </c>
      <c r="GA9">
        <f>IF(Charts!$B$3="none",AY176,IF(DM176="",NA(),DM176))</f>
        <v>0</v>
      </c>
      <c r="GB9">
        <f>IF(Charts!$B$3="none",AZ176,IF(DN176="",NA(),DN176))</f>
        <v>0</v>
      </c>
      <c r="GC9">
        <f>IF(Charts!$B$3="none",BA176,IF(DO176="",NA(),DO176))</f>
        <v>0</v>
      </c>
      <c r="GD9">
        <f>IF(Charts!$B$3="none",BB176,IF(DP176="",NA(),DP176))</f>
        <v>0</v>
      </c>
      <c r="GE9">
        <f>IF(Charts!$B$3="none",BC176,IF(DQ176="",NA(),DQ176))</f>
        <v>0</v>
      </c>
      <c r="GF9">
        <f>IF(Charts!$B$3="none",BD176,IF(DR176="",NA(),DR176))</f>
        <v>0</v>
      </c>
      <c r="GG9">
        <f>IF(Charts!$B$3="none",BE176,IF(DS176="",NA(),DS176))</f>
        <v>0</v>
      </c>
      <c r="GH9">
        <f>IF(Charts!$B$3="none",BF176,IF(DT176="",NA(),DT176))</f>
        <v>0</v>
      </c>
      <c r="GI9">
        <f>IF(Charts!$B$3="none",BG176,IF(DU176="",NA(),DU176))</f>
        <v>0</v>
      </c>
      <c r="GJ9">
        <f>IF(Charts!$B$3="none",BH176,IF(DV176="",NA(),DV176))</f>
        <v>0</v>
      </c>
      <c r="GK9">
        <f>IF(Charts!$B$3="none",BI176,IF(DW176="",NA(),DW176))</f>
        <v>0</v>
      </c>
      <c r="GL9">
        <f>IF(Charts!$B$3="none",BJ176,IF(DX176="",NA(),DX176))</f>
        <v>0</v>
      </c>
      <c r="GM9">
        <f>IF(Charts!$B$3="none",BK176,IF(DY176="",NA(),DY176))</f>
        <v>0</v>
      </c>
      <c r="GN9">
        <f>IF(Charts!$B$3="none",BL176,IF(DZ176="",NA(),DZ176))</f>
        <v>0</v>
      </c>
      <c r="GO9">
        <f>IF(Charts!$B$3="none",BM176,IF(EA176="",NA(),EA176))</f>
        <v>0</v>
      </c>
      <c r="GP9">
        <f>IF(Charts!$B$3="none",BN176,IF(EB176="",NA(),EB176))</f>
        <v>0</v>
      </c>
      <c r="GQ9">
        <f>IF(Charts!$B$3="none",BO176,IF(EC176="",NA(),EC176))</f>
        <v>0</v>
      </c>
      <c r="GR9">
        <f>IF(Charts!$B$3="none",BP176,IF(ED176="",NA(),ED176))</f>
        <v>0</v>
      </c>
    </row>
    <row r="10" spans="1:200">
      <c r="A10" t="s">
        <v>49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IFERROR(SMALL(E5:E36,ROW()-ROW($F$5)+1),"")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IFERROR(SMALL(I5:I36,ROW()-ROW($J$5)+1),"")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IFERROR(SMALL(M5:M36,ROW()-ROW($N$5)+1),"")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IFERROR(SMALL(Q5:Q36,ROW()-ROW($R$5)+1),"")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IFERROR(SMALL(U5:U36,ROW()-ROW($V$5)+1),"")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IFERROR(SMALL(Y5:Y36,ROW()-ROW($Z$5)+1),"")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IFERROR(SMALL(AC5:AC36,ROW()-ROW($AD$5)+1),"")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IFERROR(SMALL(AG5:AG36,ROW()-ROW($AH$5)+1),"")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IFERROR(SMALL(AK5:AK36,ROW()-ROW($AL$5)+1),"")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IFERROR(SMALL(AO5:AO36,ROW()-ROW($AP$5)+1),"")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IFERROR(SMALL(AS5:AS36,ROW()-ROW($AT$5)+1),"")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IFERROR(SMALL(AW5:AW36,ROW()-ROW($AX$5)+1),"")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IFERROR(SMALL(BA5:BA36,ROW()-ROW($BB$5)+1),"")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IFERROR(SMALL(BE5:BE36,ROW()-ROW($BF$5)+1),"")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IFERROR(SMALL(BI5:BI36,ROW()-ROW($BJ$5)+1),"")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IFERROR(SMALL(BM5:BM36,ROW()-ROW($BN$5)+1),"")</f>
        <v>0</v>
      </c>
      <c r="BP10">
        <f>IFERROR(SUM(BN5:BN10),"")</f>
        <v>0</v>
      </c>
      <c r="BR10">
        <v>6</v>
      </c>
      <c r="BS10" cm="1">
        <f t="array" ref="BS10">_xlfn.SWITCH(Charts!$B$3,"average", AVERAGE(INDIRECT(ADDRESS(5+3,BS$2+1,,,"Instances") &amp; ":" &amp; ADDRESS(5+3,BS$2+1))),"median", MEDIAN(INDIRECT(ADDRESS(5+3,BS$2+1,,,"Instances") &amp; ":" &amp; ADDRESS(5+3,BS$2+1))),"min", MIN(INDIRECT(ADDRESS(5+3,BS$2+1,,,"Instances") &amp; ":" &amp; ADDRESS(5+3,BS$2+1))),"max", MAX(INDIRECT(ADDRESS(5+3,BS$2+1,,,"Instances") &amp; ":" &amp; ADDRESS(5+3,BS$2+1))),"diff", MAX(INDIRECT(ADDRESS(5+3,BS$2+1,,,"Instances") &amp; ":" &amp; ADDRESS(5+3,BS$2+1)))-MIN(INDIRECT(ADDRESS(5+3,BS$2+1,,,"Instances") &amp; ":" &amp; ADDRESS(5+3,BS$2+1))))</f>
        <v>0</v>
      </c>
      <c r="BT10">
        <f>IFERROR(SMALL(BS5:BS36,ROW()-ROW($BT$5)+1),"")</f>
        <v>0</v>
      </c>
      <c r="BV10">
        <f>IFERROR(SUM(BT5:BT10),"")</f>
        <v>0</v>
      </c>
      <c r="BW10" cm="1">
        <f t="array" ref="BW10">_xlfn.SWITCH(Charts!$B$3,"average", AVERAGE(INDIRECT(ADDRESS(5+3,BW$2+1,,,"Instances") &amp; ":" &amp; ADDRESS(5+3,BW$2+1))),"median", MEDIAN(INDIRECT(ADDRESS(5+3,BW$2+1,,,"Instances") &amp; ":" &amp; ADDRESS(5+3,BW$2+1))),"min", MIN(INDIRECT(ADDRESS(5+3,BW$2+1,,,"Instances") &amp; ":" &amp; ADDRESS(5+3,BW$2+1))),"max", MAX(INDIRECT(ADDRESS(5+3,BW$2+1,,,"Instances") &amp; ":" &amp; ADDRESS(5+3,BW$2+1))),"diff", MAX(INDIRECT(ADDRESS(5+3,BW$2+1,,,"Instances") &amp; ":" &amp; ADDRESS(5+3,BW$2+1)))-MIN(INDIRECT(ADDRESS(5+3,BW$2+1,,,"Instances") &amp; ":" &amp; ADDRESS(5+3,BW$2+1))))</f>
        <v>0</v>
      </c>
      <c r="BX10">
        <f>IFERROR(SMALL(BW5:BW36,ROW()-ROW($BX$5)+1),"")</f>
        <v>0</v>
      </c>
      <c r="BZ10">
        <f>IFERROR(SUM(BX5:BX10),"")</f>
        <v>0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IFERROR(SMALL(CA5:CA36,ROW()-ROW($CB$5)+1),"")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IFERROR(SMALL(CE5:CE36,ROW()-ROW($CF$5)+1),"")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IFERROR(SMALL(CI5:CI36,ROW()-ROW($CJ$5)+1),"")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IFERROR(SMALL(CM5:CM36,ROW()-ROW($CN$5)+1),"")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IFERROR(SMALL(CQ5:CQ36,ROW()-ROW($CR$5)+1),"")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IFERROR(SMALL(CU5:CU36,ROW()-ROW($CV$5)+1),"")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IFERROR(SMALL(CY5:CY36,ROW()-ROW($CZ$5)+1),"")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IFERROR(SMALL(DC5:DC36,ROW()-ROW($DD$5)+1),"")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IFERROR(SMALL(DG5:DG36,ROW()-ROW($DH$5)+1),"")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IFERROR(SMALL(DK5:DK36,ROW()-ROW($DL$5)+1),"")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IFERROR(SMALL(DO5:DO36,ROW()-ROW($DP$5)+1),"")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IFERROR(SMALL(DS5:DS36,ROW()-ROW($DT$5)+1),"")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IFERROR(SMALL(DW5:DW36,ROW()-ROW($DX$5)+1),"")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IFERROR(SMALL(EA5:EA36,ROW()-ROW($EB$5)+1),"")</f>
        <v>0</v>
      </c>
      <c r="ED10">
        <f>IFERROR(SUM(EB5:EB10),"")</f>
        <v>0</v>
      </c>
      <c r="EG10">
        <f>IF(Charts!$B$3="none",E177,IF(BS177="",NA(),BS177))</f>
        <v>0</v>
      </c>
      <c r="EH10">
        <f>IF(Charts!$B$3="none",F177,IF(BT177="",NA(),BT177))</f>
        <v>0</v>
      </c>
      <c r="EI10">
        <f>IF(Charts!$B$3="none",G177,IF(BU177="",NA(),BU177))</f>
        <v>0</v>
      </c>
      <c r="EJ10">
        <f>IF(Charts!$B$3="none",H177,IF(BV177="",NA(),BV177))</f>
        <v>0</v>
      </c>
      <c r="EK10">
        <f>IF(Charts!$B$3="none",I177,IF(BW177="",NA(),BW177))</f>
        <v>0</v>
      </c>
      <c r="EL10">
        <f>IF(Charts!$B$3="none",J177,IF(BX177="",NA(),BX177))</f>
        <v>0</v>
      </c>
      <c r="EM10">
        <f>IF(Charts!$B$3="none",K177,IF(BY177="",NA(),BY177))</f>
        <v>0</v>
      </c>
      <c r="EN10">
        <f>IF(Charts!$B$3="none",L177,IF(BZ177="",NA(),BZ177))</f>
        <v>0</v>
      </c>
      <c r="EO10">
        <f>IF(Charts!$B$3="none",M177,IF(CA177="",NA(),CA177))</f>
        <v>0</v>
      </c>
      <c r="EP10">
        <f>IF(Charts!$B$3="none",N177,IF(CB177="",NA(),CB177))</f>
        <v>0</v>
      </c>
      <c r="EQ10">
        <f>IF(Charts!$B$3="none",O177,IF(CC177="",NA(),CC177))</f>
        <v>0</v>
      </c>
      <c r="ER10">
        <f>IF(Charts!$B$3="none",P177,IF(CD177="",NA(),CD177))</f>
        <v>0</v>
      </c>
      <c r="ES10">
        <f>IF(Charts!$B$3="none",Q177,IF(CE177="",NA(),CE177))</f>
        <v>0</v>
      </c>
      <c r="ET10">
        <f>IF(Charts!$B$3="none",R177,IF(CF177="",NA(),CF177))</f>
        <v>0</v>
      </c>
      <c r="EU10">
        <f>IF(Charts!$B$3="none",S177,IF(CG177="",NA(),CG177))</f>
        <v>0</v>
      </c>
      <c r="EV10">
        <f>IF(Charts!$B$3="none",T177,IF(CH177="",NA(),CH177))</f>
        <v>0</v>
      </c>
      <c r="EW10">
        <f>IF(Charts!$B$3="none",U177,IF(CI177="",NA(),CI177))</f>
        <v>0</v>
      </c>
      <c r="EX10">
        <f>IF(Charts!$B$3="none",V177,IF(CJ177="",NA(),CJ177))</f>
        <v>0</v>
      </c>
      <c r="EY10">
        <f>IF(Charts!$B$3="none",W177,IF(CK177="",NA(),CK177))</f>
        <v>0</v>
      </c>
      <c r="EZ10">
        <f>IF(Charts!$B$3="none",X177,IF(CL177="",NA(),CL177))</f>
        <v>0</v>
      </c>
      <c r="FA10">
        <f>IF(Charts!$B$3="none",Y177,IF(CM177="",NA(),CM177))</f>
        <v>0</v>
      </c>
      <c r="FB10">
        <f>IF(Charts!$B$3="none",Z177,IF(CN177="",NA(),CN177))</f>
        <v>0</v>
      </c>
      <c r="FC10">
        <f>IF(Charts!$B$3="none",AA177,IF(CO177="",NA(),CO177))</f>
        <v>0</v>
      </c>
      <c r="FD10">
        <f>IF(Charts!$B$3="none",AB177,IF(CP177="",NA(),CP177))</f>
        <v>0</v>
      </c>
      <c r="FE10">
        <f>IF(Charts!$B$3="none",AC177,IF(CQ177="",NA(),CQ177))</f>
        <v>0</v>
      </c>
      <c r="FF10">
        <f>IF(Charts!$B$3="none",AD177,IF(CR177="",NA(),CR177))</f>
        <v>0</v>
      </c>
      <c r="FG10">
        <f>IF(Charts!$B$3="none",AE177,IF(CS177="",NA(),CS177))</f>
        <v>0</v>
      </c>
      <c r="FH10">
        <f>IF(Charts!$B$3="none",AF177,IF(CT177="",NA(),CT177))</f>
        <v>0</v>
      </c>
      <c r="FI10">
        <f>IF(Charts!$B$3="none",AG177,IF(CU177="",NA(),CU177))</f>
        <v>0</v>
      </c>
      <c r="FJ10">
        <f>IF(Charts!$B$3="none",AH177,IF(CV177="",NA(),CV177))</f>
        <v>0</v>
      </c>
      <c r="FK10">
        <f>IF(Charts!$B$3="none",AI177,IF(CW177="",NA(),CW177))</f>
        <v>0</v>
      </c>
      <c r="FL10">
        <f>IF(Charts!$B$3="none",AJ177,IF(CX177="",NA(),CX177))</f>
        <v>0</v>
      </c>
      <c r="FM10">
        <f>IF(Charts!$B$3="none",AK177,IF(CY177="",NA(),CY177))</f>
        <v>0</v>
      </c>
      <c r="FN10">
        <f>IF(Charts!$B$3="none",AL177,IF(CZ177="",NA(),CZ177))</f>
        <v>0</v>
      </c>
      <c r="FO10">
        <f>IF(Charts!$B$3="none",AM177,IF(DA177="",NA(),DA177))</f>
        <v>0</v>
      </c>
      <c r="FP10">
        <f>IF(Charts!$B$3="none",AN177,IF(DB177="",NA(),DB177))</f>
        <v>0</v>
      </c>
      <c r="FQ10">
        <f>IF(Charts!$B$3="none",AO177,IF(DC177="",NA(),DC177))</f>
        <v>0</v>
      </c>
      <c r="FR10">
        <f>IF(Charts!$B$3="none",AP177,IF(DD177="",NA(),DD177))</f>
        <v>0</v>
      </c>
      <c r="FS10">
        <f>IF(Charts!$B$3="none",AQ177,IF(DE177="",NA(),DE177))</f>
        <v>0</v>
      </c>
      <c r="FT10">
        <f>IF(Charts!$B$3="none",AR177,IF(DF177="",NA(),DF177))</f>
        <v>0</v>
      </c>
      <c r="FU10">
        <f>IF(Charts!$B$3="none",AS177,IF(DG177="",NA(),DG177))</f>
        <v>0</v>
      </c>
      <c r="FV10">
        <f>IF(Charts!$B$3="none",AT177,IF(DH177="",NA(),DH177))</f>
        <v>0</v>
      </c>
      <c r="FW10">
        <f>IF(Charts!$B$3="none",AU177,IF(DI177="",NA(),DI177))</f>
        <v>0</v>
      </c>
      <c r="FX10">
        <f>IF(Charts!$B$3="none",AV177,IF(DJ177="",NA(),DJ177))</f>
        <v>0</v>
      </c>
      <c r="FY10">
        <f>IF(Charts!$B$3="none",AW177,IF(DK177="",NA(),DK177))</f>
        <v>0</v>
      </c>
      <c r="FZ10">
        <f>IF(Charts!$B$3="none",AX177,IF(DL177="",NA(),DL177))</f>
        <v>0</v>
      </c>
      <c r="GA10">
        <f>IF(Charts!$B$3="none",AY177,IF(DM177="",NA(),DM177))</f>
        <v>0</v>
      </c>
      <c r="GB10">
        <f>IF(Charts!$B$3="none",AZ177,IF(DN177="",NA(),DN177))</f>
        <v>0</v>
      </c>
      <c r="GC10">
        <f>IF(Charts!$B$3="none",BA177,IF(DO177="",NA(),DO177))</f>
        <v>0</v>
      </c>
      <c r="GD10">
        <f>IF(Charts!$B$3="none",BB177,IF(DP177="",NA(),DP177))</f>
        <v>0</v>
      </c>
      <c r="GE10">
        <f>IF(Charts!$B$3="none",BC177,IF(DQ177="",NA(),DQ177))</f>
        <v>0</v>
      </c>
      <c r="GF10">
        <f>IF(Charts!$B$3="none",BD177,IF(DR177="",NA(),DR177))</f>
        <v>0</v>
      </c>
      <c r="GG10">
        <f>IF(Charts!$B$3="none",BE177,IF(DS177="",NA(),DS177))</f>
        <v>0</v>
      </c>
      <c r="GH10">
        <f>IF(Charts!$B$3="none",BF177,IF(DT177="",NA(),DT177))</f>
        <v>0</v>
      </c>
      <c r="GI10">
        <f>IF(Charts!$B$3="none",BG177,IF(DU177="",NA(),DU177))</f>
        <v>0</v>
      </c>
      <c r="GJ10">
        <f>IF(Charts!$B$3="none",BH177,IF(DV177="",NA(),DV177))</f>
        <v>0</v>
      </c>
      <c r="GK10">
        <f>IF(Charts!$B$3="none",BI177,IF(DW177="",NA(),DW177))</f>
        <v>0</v>
      </c>
      <c r="GL10">
        <f>IF(Charts!$B$3="none",BJ177,IF(DX177="",NA(),DX177))</f>
        <v>0</v>
      </c>
      <c r="GM10">
        <f>IF(Charts!$B$3="none",BK177,IF(DY177="",NA(),DY177))</f>
        <v>0</v>
      </c>
      <c r="GN10">
        <f>IF(Charts!$B$3="none",BL177,IF(DZ177="",NA(),DZ177))</f>
        <v>0</v>
      </c>
      <c r="GO10">
        <f>IF(Charts!$B$3="none",BM177,IF(EA177="",NA(),EA177))</f>
        <v>0</v>
      </c>
      <c r="GP10">
        <f>IF(Charts!$B$3="none",BN177,IF(EB177="",NA(),EB177))</f>
        <v>0</v>
      </c>
      <c r="GQ10">
        <f>IF(Charts!$B$3="none",BO177,IF(EC177="",NA(),EC177))</f>
        <v>0</v>
      </c>
      <c r="GR10">
        <f>IF(Charts!$B$3="none",BP177,IF(ED177="",NA(),ED177))</f>
        <v>0</v>
      </c>
    </row>
    <row r="11" spans="1:200">
      <c r="A11" t="s">
        <v>50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IFERROR(SMALL(E5:E36,ROW()-ROW($F$5)+1),"")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IFERROR(SMALL(I5:I36,ROW()-ROW($J$5)+1),"")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IFERROR(SMALL(M5:M36,ROW()-ROW($N$5)+1),"")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IFERROR(SMALL(Q5:Q36,ROW()-ROW($R$5)+1),"")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IFERROR(SMALL(U5:U36,ROW()-ROW($V$5)+1),"")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IFERROR(SMALL(Y5:Y36,ROW()-ROW($Z$5)+1),"")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IFERROR(SMALL(AC5:AC36,ROW()-ROW($AD$5)+1),"")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IFERROR(SMALL(AG5:AG36,ROW()-ROW($AH$5)+1),"")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IFERROR(SMALL(AK5:AK36,ROW()-ROW($AL$5)+1),"")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IFERROR(SMALL(AO5:AO36,ROW()-ROW($AP$5)+1),"")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IFERROR(SMALL(AS5:AS36,ROW()-ROW($AT$5)+1),"")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IFERROR(SMALL(AW5:AW36,ROW()-ROW($AX$5)+1),"")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IFERROR(SMALL(BA5:BA36,ROW()-ROW($BB$5)+1),"")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IFERROR(SMALL(BE5:BE36,ROW()-ROW($BF$5)+1),"")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IFERROR(SMALL(BI5:BI36,ROW()-ROW($BJ$5)+1),"")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IFERROR(SMALL(BM5:BM36,ROW()-ROW($BN$5)+1),"")</f>
        <v>0</v>
      </c>
      <c r="BP11">
        <f>IFERROR(SUM(BN5:BN11),"")</f>
        <v>0</v>
      </c>
      <c r="BR11">
        <v>7</v>
      </c>
      <c r="BS11" cm="1">
        <f t="array" ref="BS11">_xlfn.SWITCH(Charts!$B$3,"average", AVERAGE(INDIRECT(ADDRESS(6+3,BS$2+1,,,"Instances") &amp; ":" &amp; ADDRESS(6+3,BS$2+1))),"median", MEDIAN(INDIRECT(ADDRESS(6+3,BS$2+1,,,"Instances") &amp; ":" &amp; ADDRESS(6+3,BS$2+1))),"min", MIN(INDIRECT(ADDRESS(6+3,BS$2+1,,,"Instances") &amp; ":" &amp; ADDRESS(6+3,BS$2+1))),"max", MAX(INDIRECT(ADDRESS(6+3,BS$2+1,,,"Instances") &amp; ":" &amp; ADDRESS(6+3,BS$2+1))),"diff", MAX(INDIRECT(ADDRESS(6+3,BS$2+1,,,"Instances") &amp; ":" &amp; ADDRESS(6+3,BS$2+1)))-MIN(INDIRECT(ADDRESS(6+3,BS$2+1,,,"Instances") &amp; ":" &amp; ADDRESS(6+3,BS$2+1))))</f>
        <v>0</v>
      </c>
      <c r="BT11">
        <f>IFERROR(SMALL(BS5:BS36,ROW()-ROW($BT$5)+1),"")</f>
        <v>0</v>
      </c>
      <c r="BV11">
        <f>IFERROR(SUM(BT5:BT11),"")</f>
        <v>0</v>
      </c>
      <c r="BW11" cm="1">
        <f t="array" ref="BW11">_xlfn.SWITCH(Charts!$B$3,"average", AVERAGE(INDIRECT(ADDRESS(6+3,BW$2+1,,,"Instances") &amp; ":" &amp; ADDRESS(6+3,BW$2+1))),"median", MEDIAN(INDIRECT(ADDRESS(6+3,BW$2+1,,,"Instances") &amp; ":" &amp; ADDRESS(6+3,BW$2+1))),"min", MIN(INDIRECT(ADDRESS(6+3,BW$2+1,,,"Instances") &amp; ":" &amp; ADDRESS(6+3,BW$2+1))),"max", MAX(INDIRECT(ADDRESS(6+3,BW$2+1,,,"Instances") &amp; ":" &amp; ADDRESS(6+3,BW$2+1))),"diff", MAX(INDIRECT(ADDRESS(6+3,BW$2+1,,,"Instances") &amp; ":" &amp; ADDRESS(6+3,BW$2+1)))-MIN(INDIRECT(ADDRESS(6+3,BW$2+1,,,"Instances") &amp; ":" &amp; ADDRESS(6+3,BW$2+1))))</f>
        <v>0</v>
      </c>
      <c r="BX11">
        <f>IFERROR(SMALL(BW5:BW36,ROW()-ROW($BX$5)+1),"")</f>
        <v>0</v>
      </c>
      <c r="BZ11">
        <f>IFERROR(SUM(BX5:BX11),"")</f>
        <v>0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IFERROR(SMALL(CA5:CA36,ROW()-ROW($CB$5)+1),"")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IFERROR(SMALL(CE5:CE36,ROW()-ROW($CF$5)+1),"")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IFERROR(SMALL(CI5:CI36,ROW()-ROW($CJ$5)+1),"")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IFERROR(SMALL(CM5:CM36,ROW()-ROW($CN$5)+1),"")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IFERROR(SMALL(CQ5:CQ36,ROW()-ROW($CR$5)+1),"")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IFERROR(SMALL(CU5:CU36,ROW()-ROW($CV$5)+1),"")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IFERROR(SMALL(CY5:CY36,ROW()-ROW($CZ$5)+1),"")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IFERROR(SMALL(DC5:DC36,ROW()-ROW($DD$5)+1),"")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IFERROR(SMALL(DG5:DG36,ROW()-ROW($DH$5)+1),"")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IFERROR(SMALL(DK5:DK36,ROW()-ROW($DL$5)+1),"")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IFERROR(SMALL(DO5:DO36,ROW()-ROW($DP$5)+1),"")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IFERROR(SMALL(DS5:DS36,ROW()-ROW($DT$5)+1),"")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IFERROR(SMALL(DW5:DW36,ROW()-ROW($DX$5)+1),"")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IFERROR(SMALL(EA5:EA36,ROW()-ROW($EB$5)+1),"")</f>
        <v>0</v>
      </c>
      <c r="ED11">
        <f>IFERROR(SUM(EB5:EB11),"")</f>
        <v>0</v>
      </c>
      <c r="EG11">
        <f>IF(Charts!$B$3="none",E178,IF(BS178="",NA(),BS178))</f>
        <v>0</v>
      </c>
      <c r="EH11">
        <f>IF(Charts!$B$3="none",F178,IF(BT178="",NA(),BT178))</f>
        <v>0</v>
      </c>
      <c r="EI11">
        <f>IF(Charts!$B$3="none",G178,IF(BU178="",NA(),BU178))</f>
        <v>0</v>
      </c>
      <c r="EJ11">
        <f>IF(Charts!$B$3="none",H178,IF(BV178="",NA(),BV178))</f>
        <v>0</v>
      </c>
      <c r="EK11">
        <f>IF(Charts!$B$3="none",I178,IF(BW178="",NA(),BW178))</f>
        <v>0</v>
      </c>
      <c r="EL11">
        <f>IF(Charts!$B$3="none",J178,IF(BX178="",NA(),BX178))</f>
        <v>0</v>
      </c>
      <c r="EM11">
        <f>IF(Charts!$B$3="none",K178,IF(BY178="",NA(),BY178))</f>
        <v>0</v>
      </c>
      <c r="EN11">
        <f>IF(Charts!$B$3="none",L178,IF(BZ178="",NA(),BZ178))</f>
        <v>0</v>
      </c>
      <c r="EO11">
        <f>IF(Charts!$B$3="none",M178,IF(CA178="",NA(),CA178))</f>
        <v>0</v>
      </c>
      <c r="EP11">
        <f>IF(Charts!$B$3="none",N178,IF(CB178="",NA(),CB178))</f>
        <v>0</v>
      </c>
      <c r="EQ11">
        <f>IF(Charts!$B$3="none",O178,IF(CC178="",NA(),CC178))</f>
        <v>0</v>
      </c>
      <c r="ER11">
        <f>IF(Charts!$B$3="none",P178,IF(CD178="",NA(),CD178))</f>
        <v>0</v>
      </c>
      <c r="ES11">
        <f>IF(Charts!$B$3="none",Q178,IF(CE178="",NA(),CE178))</f>
        <v>0</v>
      </c>
      <c r="ET11">
        <f>IF(Charts!$B$3="none",R178,IF(CF178="",NA(),CF178))</f>
        <v>0</v>
      </c>
      <c r="EU11">
        <f>IF(Charts!$B$3="none",S178,IF(CG178="",NA(),CG178))</f>
        <v>0</v>
      </c>
      <c r="EV11">
        <f>IF(Charts!$B$3="none",T178,IF(CH178="",NA(),CH178))</f>
        <v>0</v>
      </c>
      <c r="EW11">
        <f>IF(Charts!$B$3="none",U178,IF(CI178="",NA(),CI178))</f>
        <v>0</v>
      </c>
      <c r="EX11">
        <f>IF(Charts!$B$3="none",V178,IF(CJ178="",NA(),CJ178))</f>
        <v>0</v>
      </c>
      <c r="EY11">
        <f>IF(Charts!$B$3="none",W178,IF(CK178="",NA(),CK178))</f>
        <v>0</v>
      </c>
      <c r="EZ11">
        <f>IF(Charts!$B$3="none",X178,IF(CL178="",NA(),CL178))</f>
        <v>0</v>
      </c>
      <c r="FA11">
        <f>IF(Charts!$B$3="none",Y178,IF(CM178="",NA(),CM178))</f>
        <v>0</v>
      </c>
      <c r="FB11">
        <f>IF(Charts!$B$3="none",Z178,IF(CN178="",NA(),CN178))</f>
        <v>0</v>
      </c>
      <c r="FC11">
        <f>IF(Charts!$B$3="none",AA178,IF(CO178="",NA(),CO178))</f>
        <v>0</v>
      </c>
      <c r="FD11">
        <f>IF(Charts!$B$3="none",AB178,IF(CP178="",NA(),CP178))</f>
        <v>0</v>
      </c>
      <c r="FE11">
        <f>IF(Charts!$B$3="none",AC178,IF(CQ178="",NA(),CQ178))</f>
        <v>0</v>
      </c>
      <c r="FF11">
        <f>IF(Charts!$B$3="none",AD178,IF(CR178="",NA(),CR178))</f>
        <v>0</v>
      </c>
      <c r="FG11">
        <f>IF(Charts!$B$3="none",AE178,IF(CS178="",NA(),CS178))</f>
        <v>0</v>
      </c>
      <c r="FH11">
        <f>IF(Charts!$B$3="none",AF178,IF(CT178="",NA(),CT178))</f>
        <v>0</v>
      </c>
      <c r="FI11">
        <f>IF(Charts!$B$3="none",AG178,IF(CU178="",NA(),CU178))</f>
        <v>0</v>
      </c>
      <c r="FJ11">
        <f>IF(Charts!$B$3="none",AH178,IF(CV178="",NA(),CV178))</f>
        <v>0</v>
      </c>
      <c r="FK11">
        <f>IF(Charts!$B$3="none",AI178,IF(CW178="",NA(),CW178))</f>
        <v>0</v>
      </c>
      <c r="FL11">
        <f>IF(Charts!$B$3="none",AJ178,IF(CX178="",NA(),CX178))</f>
        <v>0</v>
      </c>
      <c r="FM11">
        <f>IF(Charts!$B$3="none",AK178,IF(CY178="",NA(),CY178))</f>
        <v>0</v>
      </c>
      <c r="FN11">
        <f>IF(Charts!$B$3="none",AL178,IF(CZ178="",NA(),CZ178))</f>
        <v>0</v>
      </c>
      <c r="FO11">
        <f>IF(Charts!$B$3="none",AM178,IF(DA178="",NA(),DA178))</f>
        <v>0</v>
      </c>
      <c r="FP11">
        <f>IF(Charts!$B$3="none",AN178,IF(DB178="",NA(),DB178))</f>
        <v>0</v>
      </c>
      <c r="FQ11">
        <f>IF(Charts!$B$3="none",AO178,IF(DC178="",NA(),DC178))</f>
        <v>0</v>
      </c>
      <c r="FR11">
        <f>IF(Charts!$B$3="none",AP178,IF(DD178="",NA(),DD178))</f>
        <v>0</v>
      </c>
      <c r="FS11">
        <f>IF(Charts!$B$3="none",AQ178,IF(DE178="",NA(),DE178))</f>
        <v>0</v>
      </c>
      <c r="FT11">
        <f>IF(Charts!$B$3="none",AR178,IF(DF178="",NA(),DF178))</f>
        <v>0</v>
      </c>
      <c r="FU11">
        <f>IF(Charts!$B$3="none",AS178,IF(DG178="",NA(),DG178))</f>
        <v>0</v>
      </c>
      <c r="FV11">
        <f>IF(Charts!$B$3="none",AT178,IF(DH178="",NA(),DH178))</f>
        <v>0</v>
      </c>
      <c r="FW11">
        <f>IF(Charts!$B$3="none",AU178,IF(DI178="",NA(),DI178))</f>
        <v>0</v>
      </c>
      <c r="FX11">
        <f>IF(Charts!$B$3="none",AV178,IF(DJ178="",NA(),DJ178))</f>
        <v>0</v>
      </c>
      <c r="FY11">
        <f>IF(Charts!$B$3="none",AW178,IF(DK178="",NA(),DK178))</f>
        <v>0</v>
      </c>
      <c r="FZ11">
        <f>IF(Charts!$B$3="none",AX178,IF(DL178="",NA(),DL178))</f>
        <v>0</v>
      </c>
      <c r="GA11">
        <f>IF(Charts!$B$3="none",AY178,IF(DM178="",NA(),DM178))</f>
        <v>0</v>
      </c>
      <c r="GB11">
        <f>IF(Charts!$B$3="none",AZ178,IF(DN178="",NA(),DN178))</f>
        <v>0</v>
      </c>
      <c r="GC11">
        <f>IF(Charts!$B$3="none",BA178,IF(DO178="",NA(),DO178))</f>
        <v>0</v>
      </c>
      <c r="GD11">
        <f>IF(Charts!$B$3="none",BB178,IF(DP178="",NA(),DP178))</f>
        <v>0</v>
      </c>
      <c r="GE11">
        <f>IF(Charts!$B$3="none",BC178,IF(DQ178="",NA(),DQ178))</f>
        <v>0</v>
      </c>
      <c r="GF11">
        <f>IF(Charts!$B$3="none",BD178,IF(DR178="",NA(),DR178))</f>
        <v>0</v>
      </c>
      <c r="GG11">
        <f>IF(Charts!$B$3="none",BE178,IF(DS178="",NA(),DS178))</f>
        <v>0</v>
      </c>
      <c r="GH11">
        <f>IF(Charts!$B$3="none",BF178,IF(DT178="",NA(),DT178))</f>
        <v>0</v>
      </c>
      <c r="GI11">
        <f>IF(Charts!$B$3="none",BG178,IF(DU178="",NA(),DU178))</f>
        <v>0</v>
      </c>
      <c r="GJ11">
        <f>IF(Charts!$B$3="none",BH178,IF(DV178="",NA(),DV178))</f>
        <v>0</v>
      </c>
      <c r="GK11">
        <f>IF(Charts!$B$3="none",BI178,IF(DW178="",NA(),DW178))</f>
        <v>0</v>
      </c>
      <c r="GL11">
        <f>IF(Charts!$B$3="none",BJ178,IF(DX178="",NA(),DX178))</f>
        <v>0</v>
      </c>
      <c r="GM11">
        <f>IF(Charts!$B$3="none",BK178,IF(DY178="",NA(),DY178))</f>
        <v>0</v>
      </c>
      <c r="GN11">
        <f>IF(Charts!$B$3="none",BL178,IF(DZ178="",NA(),DZ178))</f>
        <v>0</v>
      </c>
      <c r="GO11">
        <f>IF(Charts!$B$3="none",BM178,IF(EA178="",NA(),EA178))</f>
        <v>0</v>
      </c>
      <c r="GP11">
        <f>IF(Charts!$B$3="none",BN178,IF(EB178="",NA(),EB178))</f>
        <v>0</v>
      </c>
      <c r="GQ11">
        <f>IF(Charts!$B$3="none",BO178,IF(EC178="",NA(),EC178))</f>
        <v>0</v>
      </c>
      <c r="GR11">
        <f>IF(Charts!$B$3="none",BP178,IF(ED178="",NA(),ED178))</f>
        <v>0</v>
      </c>
    </row>
    <row r="12" spans="1:200">
      <c r="A12" t="s">
        <v>51</v>
      </c>
      <c r="B12">
        <v>11</v>
      </c>
      <c r="D12">
        <v>8</v>
      </c>
      <c r="E12">
        <f>IF(INDIRECT(ADDRESS($D12+2,E$2+1,,,"Instances"))="","",INDIRECT(ADDRESS($D12+2,E$2+1,,,"Instances")))</f>
        <v>0</v>
      </c>
      <c r="F12">
        <f>IFERROR(SMALL(E5:E36,ROW()-ROW($F$5)+1),"")</f>
        <v>0</v>
      </c>
      <c r="H12">
        <f>IFERROR(SUM(F5:F12),"")</f>
        <v>0</v>
      </c>
      <c r="I12">
        <f>IF(INDIRECT(ADDRESS($D12+2,I$2+1,,,"Instances"))="","",INDIRECT(ADDRESS($D12+2,I$2+1,,,"Instances")))</f>
        <v>0</v>
      </c>
      <c r="J12">
        <f>IFERROR(SMALL(I5:I36,ROW()-ROW($J$5)+1),"")</f>
        <v>0</v>
      </c>
      <c r="L12">
        <f>IFERROR(SUM(J5:J12),"")</f>
        <v>0</v>
      </c>
      <c r="M12">
        <f>IF(INDIRECT(ADDRESS($D12+2,M$2+1,,,"Instances"))="","",INDIRECT(ADDRESS($D12+2,M$2+1,,,"Instances")))</f>
        <v>0</v>
      </c>
      <c r="N12">
        <f>IFERROR(SMALL(M5:M36,ROW()-ROW($N$5)+1),"")</f>
        <v>0</v>
      </c>
      <c r="P12">
        <f>IFERROR(SUM(N5:N12),"")</f>
        <v>0</v>
      </c>
      <c r="Q12">
        <f>IF(INDIRECT(ADDRESS($D12+2,Q$2+1,,,"Instances"))="","",INDIRECT(ADDRESS($D12+2,Q$2+1,,,"Instances")))</f>
        <v>0</v>
      </c>
      <c r="R12">
        <f>IFERROR(SMALL(Q5:Q36,ROW()-ROW($R$5)+1),"")</f>
        <v>0</v>
      </c>
      <c r="T12">
        <f>IFERROR(SUM(R5:R12),"")</f>
        <v>0</v>
      </c>
      <c r="U12">
        <f>IF(INDIRECT(ADDRESS($D12+2,U$2+1,,,"Instances"))="","",INDIRECT(ADDRESS($D12+2,U$2+1,,,"Instances")))</f>
        <v>0</v>
      </c>
      <c r="V12">
        <f>IFERROR(SMALL(U5:U36,ROW()-ROW($V$5)+1),"")</f>
        <v>0</v>
      </c>
      <c r="X12">
        <f>IFERROR(SUM(V5:V12),"")</f>
        <v>0</v>
      </c>
      <c r="Y12">
        <f>IF(INDIRECT(ADDRESS($D12+2,Y$2+1,,,"Instances"))="","",INDIRECT(ADDRESS($D12+2,Y$2+1,,,"Instances")))</f>
        <v>0</v>
      </c>
      <c r="Z12">
        <f>IFERROR(SMALL(Y5:Y36,ROW()-ROW($Z$5)+1),"")</f>
        <v>0</v>
      </c>
      <c r="AB12">
        <f>IFERROR(SUM(Z5:Z12),"")</f>
        <v>0</v>
      </c>
      <c r="AC12">
        <f>IF(INDIRECT(ADDRESS($D12+2,AC$2+1,,,"Instances"))="","",INDIRECT(ADDRESS($D12+2,AC$2+1,,,"Instances")))</f>
        <v>0</v>
      </c>
      <c r="AD12">
        <f>IFERROR(SMALL(AC5:AC36,ROW()-ROW($AD$5)+1),"")</f>
        <v>0</v>
      </c>
      <c r="AF12">
        <f>IFERROR(SUM(AD5:AD12),"")</f>
        <v>0</v>
      </c>
      <c r="AG12">
        <f>IF(INDIRECT(ADDRESS($D12+2,AG$2+1,,,"Instances"))="","",INDIRECT(ADDRESS($D12+2,AG$2+1,,,"Instances")))</f>
        <v>0</v>
      </c>
      <c r="AH12">
        <f>IFERROR(SMALL(AG5:AG36,ROW()-ROW($AH$5)+1),"")</f>
        <v>0</v>
      </c>
      <c r="AJ12">
        <f>IFERROR(SUM(AH5:AH12),"")</f>
        <v>0</v>
      </c>
      <c r="AK12">
        <f>IF(INDIRECT(ADDRESS($D12+2,AK$2+1,,,"Instances"))="","",INDIRECT(ADDRESS($D12+2,AK$2+1,,,"Instances")))</f>
        <v>0</v>
      </c>
      <c r="AL12">
        <f>IFERROR(SMALL(AK5:AK36,ROW()-ROW($AL$5)+1),"")</f>
        <v>0</v>
      </c>
      <c r="AN12">
        <f>IFERROR(SUM(AL5:AL12),"")</f>
        <v>0</v>
      </c>
      <c r="AO12">
        <f>IF(INDIRECT(ADDRESS($D12+2,AO$2+1,,,"Instances"))="","",INDIRECT(ADDRESS($D12+2,AO$2+1,,,"Instances")))</f>
        <v>0</v>
      </c>
      <c r="AP12">
        <f>IFERROR(SMALL(AO5:AO36,ROW()-ROW($AP$5)+1),"")</f>
        <v>0</v>
      </c>
      <c r="AR12">
        <f>IFERROR(SUM(AP5:AP12),"")</f>
        <v>0</v>
      </c>
      <c r="AS12">
        <f>IF(INDIRECT(ADDRESS($D12+2,AS$2+1,,,"Instances"))="","",INDIRECT(ADDRESS($D12+2,AS$2+1,,,"Instances")))</f>
        <v>0</v>
      </c>
      <c r="AT12">
        <f>IFERROR(SMALL(AS5:AS36,ROW()-ROW($AT$5)+1),"")</f>
        <v>0</v>
      </c>
      <c r="AV12">
        <f>IFERROR(SUM(AT5:AT12),"")</f>
        <v>0</v>
      </c>
      <c r="AW12">
        <f>IF(INDIRECT(ADDRESS($D12+2,AW$2+1,,,"Instances"))="","",INDIRECT(ADDRESS($D12+2,AW$2+1,,,"Instances")))</f>
        <v>0</v>
      </c>
      <c r="AX12">
        <f>IFERROR(SMALL(AW5:AW36,ROW()-ROW($AX$5)+1),"")</f>
        <v>0</v>
      </c>
      <c r="AZ12">
        <f>IFERROR(SUM(AX5:AX12),"")</f>
        <v>0</v>
      </c>
      <c r="BA12">
        <f>IF(INDIRECT(ADDRESS($D12+2,BA$2+1,,,"Instances"))="","",INDIRECT(ADDRESS($D12+2,BA$2+1,,,"Instances")))</f>
        <v>0</v>
      </c>
      <c r="BB12">
        <f>IFERROR(SMALL(BA5:BA36,ROW()-ROW($BB$5)+1),"")</f>
        <v>0</v>
      </c>
      <c r="BD12">
        <f>IFERROR(SUM(BB5:BB12),"")</f>
        <v>0</v>
      </c>
      <c r="BE12">
        <f>IF(INDIRECT(ADDRESS($D12+2,BE$2+1,,,"Instances"))="","",INDIRECT(ADDRESS($D12+2,BE$2+1,,,"Instances")))</f>
        <v>0</v>
      </c>
      <c r="BF12">
        <f>IFERROR(SMALL(BE5:BE36,ROW()-ROW($BF$5)+1),"")</f>
        <v>0</v>
      </c>
      <c r="BH12">
        <f>IFERROR(SUM(BF5:BF12),"")</f>
        <v>0</v>
      </c>
      <c r="BI12">
        <f>IF(INDIRECT(ADDRESS($D12+2,BI$2+1,,,"Instances"))="","",INDIRECT(ADDRESS($D12+2,BI$2+1,,,"Instances")))</f>
        <v>0</v>
      </c>
      <c r="BJ12">
        <f>IFERROR(SMALL(BI5:BI36,ROW()-ROW($BJ$5)+1),"")</f>
        <v>0</v>
      </c>
      <c r="BL12">
        <f>IFERROR(SUM(BJ5:BJ12),"")</f>
        <v>0</v>
      </c>
      <c r="BM12">
        <f>IF(INDIRECT(ADDRESS($D12+2,BM$2+1,,,"Instances"))="","",INDIRECT(ADDRESS($D12+2,BM$2+1,,,"Instances")))</f>
        <v>0</v>
      </c>
      <c r="BN12">
        <f>IFERROR(SMALL(BM5:BM36,ROW()-ROW($BN$5)+1),"")</f>
        <v>0</v>
      </c>
      <c r="BP12">
        <f>IFERROR(SUM(BN5:BN12),"")</f>
        <v>0</v>
      </c>
      <c r="BR12">
        <v>8</v>
      </c>
      <c r="BS12" cm="1">
        <f t="array" ref="BS12">_xlfn.SWITCH(Charts!$B$3,"average", AVERAGE(INDIRECT(ADDRESS(7+3,BS$2+1,,,"Instances") &amp; ":" &amp; ADDRESS(7+3,BS$2+1))),"median", MEDIAN(INDIRECT(ADDRESS(7+3,BS$2+1,,,"Instances") &amp; ":" &amp; ADDRESS(7+3,BS$2+1))),"min", MIN(INDIRECT(ADDRESS(7+3,BS$2+1,,,"Instances") &amp; ":" &amp; ADDRESS(7+3,BS$2+1))),"max", MAX(INDIRECT(ADDRESS(7+3,BS$2+1,,,"Instances") &amp; ":" &amp; ADDRESS(7+3,BS$2+1))),"diff", MAX(INDIRECT(ADDRESS(7+3,BS$2+1,,,"Instances") &amp; ":" &amp; ADDRESS(7+3,BS$2+1)))-MIN(INDIRECT(ADDRESS(7+3,BS$2+1,,,"Instances") &amp; ":" &amp; ADDRESS(7+3,BS$2+1))))</f>
        <v>0</v>
      </c>
      <c r="BT12">
        <f>IFERROR(SMALL(BS5:BS36,ROW()-ROW($BT$5)+1),"")</f>
        <v>0</v>
      </c>
      <c r="BV12">
        <f>IFERROR(SUM(BT5:BT12),"")</f>
        <v>0</v>
      </c>
      <c r="BW12" cm="1">
        <f t="array" ref="BW12">_xlfn.SWITCH(Charts!$B$3,"average", AVERAGE(INDIRECT(ADDRESS(7+3,BW$2+1,,,"Instances") &amp; ":" &amp; ADDRESS(7+3,BW$2+1))),"median", MEDIAN(INDIRECT(ADDRESS(7+3,BW$2+1,,,"Instances") &amp; ":" &amp; ADDRESS(7+3,BW$2+1))),"min", MIN(INDIRECT(ADDRESS(7+3,BW$2+1,,,"Instances") &amp; ":" &amp; ADDRESS(7+3,BW$2+1))),"max", MAX(INDIRECT(ADDRESS(7+3,BW$2+1,,,"Instances") &amp; ":" &amp; ADDRESS(7+3,BW$2+1))),"diff", MAX(INDIRECT(ADDRESS(7+3,BW$2+1,,,"Instances") &amp; ":" &amp; ADDRESS(7+3,BW$2+1)))-MIN(INDIRECT(ADDRESS(7+3,BW$2+1,,,"Instances") &amp; ":" &amp; ADDRESS(7+3,BW$2+1))))</f>
        <v>0</v>
      </c>
      <c r="BX12">
        <f>IFERROR(SMALL(BW5:BW36,ROW()-ROW($BX$5)+1),"")</f>
        <v>0</v>
      </c>
      <c r="BZ12">
        <f>IFERROR(SUM(BX5:BX12),"")</f>
        <v>0</v>
      </c>
      <c r="CA12" cm="1">
        <f t="array" ref="CA12">_xlfn.SWITCH(Charts!$B$3,"average", AVERAGE(INDIRECT(ADDRESS(7+3,CA$2+1,,,"Instances") &amp; ":" &amp; ADDRESS(7+3,CA$2+1))),"median", MEDIAN(INDIRECT(ADDRESS(7+3,CA$2+1,,,"Instances") &amp; ":" &amp; ADDRESS(7+3,CA$2+1))),"min", MIN(INDIRECT(ADDRESS(7+3,CA$2+1,,,"Instances") &amp; ":" &amp; ADDRESS(7+3,CA$2+1))),"max", MAX(INDIRECT(ADDRESS(7+3,CA$2+1,,,"Instances") &amp; ":" &amp; ADDRESS(7+3,CA$2+1))),"diff", MAX(INDIRECT(ADDRESS(7+3,CA$2+1,,,"Instances") &amp; ":" &amp; ADDRESS(7+3,CA$2+1)))-MIN(INDIRECT(ADDRESS(7+3,CA$2+1,,,"Instances") &amp; ":" &amp; ADDRESS(7+3,CA$2+1))))</f>
        <v>0</v>
      </c>
      <c r="CB12">
        <f>IFERROR(SMALL(CA5:CA36,ROW()-ROW($CB$5)+1),"")</f>
        <v>0</v>
      </c>
      <c r="CD12">
        <f>IFERROR(SUM(CB5:CB12),"")</f>
        <v>0</v>
      </c>
      <c r="CE12" cm="1">
        <f t="array" ref="CE12">_xlfn.SWITCH(Charts!$B$3,"average", AVERAGE(INDIRECT(ADDRESS(7+3,CE$2+1,,,"Instances") &amp; ":" &amp; ADDRESS(7+3,CE$2+1))),"median", MEDIAN(INDIRECT(ADDRESS(7+3,CE$2+1,,,"Instances") &amp; ":" &amp; ADDRESS(7+3,CE$2+1))),"min", MIN(INDIRECT(ADDRESS(7+3,CE$2+1,,,"Instances") &amp; ":" &amp; ADDRESS(7+3,CE$2+1))),"max", MAX(INDIRECT(ADDRESS(7+3,CE$2+1,,,"Instances") &amp; ":" &amp; ADDRESS(7+3,CE$2+1))),"diff", MAX(INDIRECT(ADDRESS(7+3,CE$2+1,,,"Instances") &amp; ":" &amp; ADDRESS(7+3,CE$2+1)))-MIN(INDIRECT(ADDRESS(7+3,CE$2+1,,,"Instances") &amp; ":" &amp; ADDRESS(7+3,CE$2+1))))</f>
        <v>0</v>
      </c>
      <c r="CF12">
        <f>IFERROR(SMALL(CE5:CE36,ROW()-ROW($CF$5)+1),"")</f>
        <v>0</v>
      </c>
      <c r="CH12">
        <f>IFERROR(SUM(CF5:CF12),"")</f>
        <v>0</v>
      </c>
      <c r="CI12" cm="1">
        <f t="array" ref="CI12">_xlfn.SWITCH(Charts!$B$3,"average", AVERAGE(INDIRECT(ADDRESS(7+3,CI$2+1,,,"Instances") &amp; ":" &amp; ADDRESS(7+3,CI$2+1))),"median", MEDIAN(INDIRECT(ADDRESS(7+3,CI$2+1,,,"Instances") &amp; ":" &amp; ADDRESS(7+3,CI$2+1))),"min", MIN(INDIRECT(ADDRESS(7+3,CI$2+1,,,"Instances") &amp; ":" &amp; ADDRESS(7+3,CI$2+1))),"max", MAX(INDIRECT(ADDRESS(7+3,CI$2+1,,,"Instances") &amp; ":" &amp; ADDRESS(7+3,CI$2+1))),"diff", MAX(INDIRECT(ADDRESS(7+3,CI$2+1,,,"Instances") &amp; ":" &amp; ADDRESS(7+3,CI$2+1)))-MIN(INDIRECT(ADDRESS(7+3,CI$2+1,,,"Instances") &amp; ":" &amp; ADDRESS(7+3,CI$2+1))))</f>
        <v>0</v>
      </c>
      <c r="CJ12">
        <f>IFERROR(SMALL(CI5:CI36,ROW()-ROW($CJ$5)+1),"")</f>
        <v>0</v>
      </c>
      <c r="CL12">
        <f>IFERROR(SUM(CJ5:CJ12),"")</f>
        <v>0</v>
      </c>
      <c r="CM12" cm="1">
        <f t="array" ref="CM12">_xlfn.SWITCH(Charts!$B$3,"average", AVERAGE(INDIRECT(ADDRESS(7+3,CM$2+1,,,"Instances") &amp; ":" &amp; ADDRESS(7+3,CM$2+1))),"median", MEDIAN(INDIRECT(ADDRESS(7+3,CM$2+1,,,"Instances") &amp; ":" &amp; ADDRESS(7+3,CM$2+1))),"min", MIN(INDIRECT(ADDRESS(7+3,CM$2+1,,,"Instances") &amp; ":" &amp; ADDRESS(7+3,CM$2+1))),"max", MAX(INDIRECT(ADDRESS(7+3,CM$2+1,,,"Instances") &amp; ":" &amp; ADDRESS(7+3,CM$2+1))),"diff", MAX(INDIRECT(ADDRESS(7+3,CM$2+1,,,"Instances") &amp; ":" &amp; ADDRESS(7+3,CM$2+1)))-MIN(INDIRECT(ADDRESS(7+3,CM$2+1,,,"Instances") &amp; ":" &amp; ADDRESS(7+3,CM$2+1))))</f>
        <v>0</v>
      </c>
      <c r="CN12">
        <f>IFERROR(SMALL(CM5:CM36,ROW()-ROW($CN$5)+1),"")</f>
        <v>0</v>
      </c>
      <c r="CP12">
        <f>IFERROR(SUM(CN5:CN12),"")</f>
        <v>0</v>
      </c>
      <c r="CQ12" cm="1">
        <f t="array" ref="CQ12">_xlfn.SWITCH(Charts!$B$3,"average", AVERAGE(INDIRECT(ADDRESS(7+3,CQ$2+1,,,"Instances") &amp; ":" &amp; ADDRESS(7+3,CQ$2+1))),"median", MEDIAN(INDIRECT(ADDRESS(7+3,CQ$2+1,,,"Instances") &amp; ":" &amp; ADDRESS(7+3,CQ$2+1))),"min", MIN(INDIRECT(ADDRESS(7+3,CQ$2+1,,,"Instances") &amp; ":" &amp; ADDRESS(7+3,CQ$2+1))),"max", MAX(INDIRECT(ADDRESS(7+3,CQ$2+1,,,"Instances") &amp; ":" &amp; ADDRESS(7+3,CQ$2+1))),"diff", MAX(INDIRECT(ADDRESS(7+3,CQ$2+1,,,"Instances") &amp; ":" &amp; ADDRESS(7+3,CQ$2+1)))-MIN(INDIRECT(ADDRESS(7+3,CQ$2+1,,,"Instances") &amp; ":" &amp; ADDRESS(7+3,CQ$2+1))))</f>
        <v>0</v>
      </c>
      <c r="CR12">
        <f>IFERROR(SMALL(CQ5:CQ36,ROW()-ROW($CR$5)+1),"")</f>
        <v>0</v>
      </c>
      <c r="CT12">
        <f>IFERROR(SUM(CR5:CR12),"")</f>
        <v>0</v>
      </c>
      <c r="CU12" cm="1">
        <f t="array" ref="CU12">_xlfn.SWITCH(Charts!$B$3,"average", AVERAGE(INDIRECT(ADDRESS(7+3,CU$2+1,,,"Instances") &amp; ":" &amp; ADDRESS(7+3,CU$2+1))),"median", MEDIAN(INDIRECT(ADDRESS(7+3,CU$2+1,,,"Instances") &amp; ":" &amp; ADDRESS(7+3,CU$2+1))),"min", MIN(INDIRECT(ADDRESS(7+3,CU$2+1,,,"Instances") &amp; ":" &amp; ADDRESS(7+3,CU$2+1))),"max", MAX(INDIRECT(ADDRESS(7+3,CU$2+1,,,"Instances") &amp; ":" &amp; ADDRESS(7+3,CU$2+1))),"diff", MAX(INDIRECT(ADDRESS(7+3,CU$2+1,,,"Instances") &amp; ":" &amp; ADDRESS(7+3,CU$2+1)))-MIN(INDIRECT(ADDRESS(7+3,CU$2+1,,,"Instances") &amp; ":" &amp; ADDRESS(7+3,CU$2+1))))</f>
        <v>0</v>
      </c>
      <c r="CV12">
        <f>IFERROR(SMALL(CU5:CU36,ROW()-ROW($CV$5)+1),"")</f>
        <v>0</v>
      </c>
      <c r="CX12">
        <f>IFERROR(SUM(CV5:CV12),"")</f>
        <v>0</v>
      </c>
      <c r="CY12" cm="1">
        <f t="array" ref="CY12">_xlfn.SWITCH(Charts!$B$3,"average", AVERAGE(INDIRECT(ADDRESS(7+3,CY$2+1,,,"Instances") &amp; ":" &amp; ADDRESS(7+3,CY$2+1))),"median", MEDIAN(INDIRECT(ADDRESS(7+3,CY$2+1,,,"Instances") &amp; ":" &amp; ADDRESS(7+3,CY$2+1))),"min", MIN(INDIRECT(ADDRESS(7+3,CY$2+1,,,"Instances") &amp; ":" &amp; ADDRESS(7+3,CY$2+1))),"max", MAX(INDIRECT(ADDRESS(7+3,CY$2+1,,,"Instances") &amp; ":" &amp; ADDRESS(7+3,CY$2+1))),"diff", MAX(INDIRECT(ADDRESS(7+3,CY$2+1,,,"Instances") &amp; ":" &amp; ADDRESS(7+3,CY$2+1)))-MIN(INDIRECT(ADDRESS(7+3,CY$2+1,,,"Instances") &amp; ":" &amp; ADDRESS(7+3,CY$2+1))))</f>
        <v>0</v>
      </c>
      <c r="CZ12">
        <f>IFERROR(SMALL(CY5:CY36,ROW()-ROW($CZ$5)+1),"")</f>
        <v>0</v>
      </c>
      <c r="DB12">
        <f>IFERROR(SUM(CZ5:CZ12),"")</f>
        <v>0</v>
      </c>
      <c r="DC12" cm="1">
        <f t="array" ref="DC12">_xlfn.SWITCH(Charts!$B$3,"average", AVERAGE(INDIRECT(ADDRESS(7+3,DC$2+1,,,"Instances") &amp; ":" &amp; ADDRESS(7+3,DC$2+1))),"median", MEDIAN(INDIRECT(ADDRESS(7+3,DC$2+1,,,"Instances") &amp; ":" &amp; ADDRESS(7+3,DC$2+1))),"min", MIN(INDIRECT(ADDRESS(7+3,DC$2+1,,,"Instances") &amp; ":" &amp; ADDRESS(7+3,DC$2+1))),"max", MAX(INDIRECT(ADDRESS(7+3,DC$2+1,,,"Instances") &amp; ":" &amp; ADDRESS(7+3,DC$2+1))),"diff", MAX(INDIRECT(ADDRESS(7+3,DC$2+1,,,"Instances") &amp; ":" &amp; ADDRESS(7+3,DC$2+1)))-MIN(INDIRECT(ADDRESS(7+3,DC$2+1,,,"Instances") &amp; ":" &amp; ADDRESS(7+3,DC$2+1))))</f>
        <v>0</v>
      </c>
      <c r="DD12">
        <f>IFERROR(SMALL(DC5:DC36,ROW()-ROW($DD$5)+1),"")</f>
        <v>0</v>
      </c>
      <c r="DF12">
        <f>IFERROR(SUM(DD5:DD12),"")</f>
        <v>0</v>
      </c>
      <c r="DG12" cm="1">
        <f t="array" ref="DG12">_xlfn.SWITCH(Charts!$B$3,"average", AVERAGE(INDIRECT(ADDRESS(7+3,DG$2+1,,,"Instances") &amp; ":" &amp; ADDRESS(7+3,DG$2+1))),"median", MEDIAN(INDIRECT(ADDRESS(7+3,DG$2+1,,,"Instances") &amp; ":" &amp; ADDRESS(7+3,DG$2+1))),"min", MIN(INDIRECT(ADDRESS(7+3,DG$2+1,,,"Instances") &amp; ":" &amp; ADDRESS(7+3,DG$2+1))),"max", MAX(INDIRECT(ADDRESS(7+3,DG$2+1,,,"Instances") &amp; ":" &amp; ADDRESS(7+3,DG$2+1))),"diff", MAX(INDIRECT(ADDRESS(7+3,DG$2+1,,,"Instances") &amp; ":" &amp; ADDRESS(7+3,DG$2+1)))-MIN(INDIRECT(ADDRESS(7+3,DG$2+1,,,"Instances") &amp; ":" &amp; ADDRESS(7+3,DG$2+1))))</f>
        <v>0</v>
      </c>
      <c r="DH12">
        <f>IFERROR(SMALL(DG5:DG36,ROW()-ROW($DH$5)+1),"")</f>
        <v>0</v>
      </c>
      <c r="DJ12">
        <f>IFERROR(SUM(DH5:DH12),"")</f>
        <v>0</v>
      </c>
      <c r="DK12" cm="1">
        <f t="array" ref="DK12">_xlfn.SWITCH(Charts!$B$3,"average", AVERAGE(INDIRECT(ADDRESS(7+3,DK$2+1,,,"Instances") &amp; ":" &amp; ADDRESS(7+3,DK$2+1))),"median", MEDIAN(INDIRECT(ADDRESS(7+3,DK$2+1,,,"Instances") &amp; ":" &amp; ADDRESS(7+3,DK$2+1))),"min", MIN(INDIRECT(ADDRESS(7+3,DK$2+1,,,"Instances") &amp; ":" &amp; ADDRESS(7+3,DK$2+1))),"max", MAX(INDIRECT(ADDRESS(7+3,DK$2+1,,,"Instances") &amp; ":" &amp; ADDRESS(7+3,DK$2+1))),"diff", MAX(INDIRECT(ADDRESS(7+3,DK$2+1,,,"Instances") &amp; ":" &amp; ADDRESS(7+3,DK$2+1)))-MIN(INDIRECT(ADDRESS(7+3,DK$2+1,,,"Instances") &amp; ":" &amp; ADDRESS(7+3,DK$2+1))))</f>
        <v>0</v>
      </c>
      <c r="DL12">
        <f>IFERROR(SMALL(DK5:DK36,ROW()-ROW($DL$5)+1),"")</f>
        <v>0</v>
      </c>
      <c r="DN12">
        <f>IFERROR(SUM(DL5:DL12),"")</f>
        <v>0</v>
      </c>
      <c r="DO12" cm="1">
        <f t="array" ref="DO12">_xlfn.SWITCH(Charts!$B$3,"average", AVERAGE(INDIRECT(ADDRESS(7+3,DO$2+1,,,"Instances") &amp; ":" &amp; ADDRESS(7+3,DO$2+1))),"median", MEDIAN(INDIRECT(ADDRESS(7+3,DO$2+1,,,"Instances") &amp; ":" &amp; ADDRESS(7+3,DO$2+1))),"min", MIN(INDIRECT(ADDRESS(7+3,DO$2+1,,,"Instances") &amp; ":" &amp; ADDRESS(7+3,DO$2+1))),"max", MAX(INDIRECT(ADDRESS(7+3,DO$2+1,,,"Instances") &amp; ":" &amp; ADDRESS(7+3,DO$2+1))),"diff", MAX(INDIRECT(ADDRESS(7+3,DO$2+1,,,"Instances") &amp; ":" &amp; ADDRESS(7+3,DO$2+1)))-MIN(INDIRECT(ADDRESS(7+3,DO$2+1,,,"Instances") &amp; ":" &amp; ADDRESS(7+3,DO$2+1))))</f>
        <v>0</v>
      </c>
      <c r="DP12">
        <f>IFERROR(SMALL(DO5:DO36,ROW()-ROW($DP$5)+1),"")</f>
        <v>0</v>
      </c>
      <c r="DR12">
        <f>IFERROR(SUM(DP5:DP12),"")</f>
        <v>0</v>
      </c>
      <c r="DS12" cm="1">
        <f t="array" ref="DS12">_xlfn.SWITCH(Charts!$B$3,"average", AVERAGE(INDIRECT(ADDRESS(7+3,DS$2+1,,,"Instances") &amp; ":" &amp; ADDRESS(7+3,DS$2+1))),"median", MEDIAN(INDIRECT(ADDRESS(7+3,DS$2+1,,,"Instances") &amp; ":" &amp; ADDRESS(7+3,DS$2+1))),"min", MIN(INDIRECT(ADDRESS(7+3,DS$2+1,,,"Instances") &amp; ":" &amp; ADDRESS(7+3,DS$2+1))),"max", MAX(INDIRECT(ADDRESS(7+3,DS$2+1,,,"Instances") &amp; ":" &amp; ADDRESS(7+3,DS$2+1))),"diff", MAX(INDIRECT(ADDRESS(7+3,DS$2+1,,,"Instances") &amp; ":" &amp; ADDRESS(7+3,DS$2+1)))-MIN(INDIRECT(ADDRESS(7+3,DS$2+1,,,"Instances") &amp; ":" &amp; ADDRESS(7+3,DS$2+1))))</f>
        <v>0</v>
      </c>
      <c r="DT12">
        <f>IFERROR(SMALL(DS5:DS36,ROW()-ROW($DT$5)+1),"")</f>
        <v>0</v>
      </c>
      <c r="DV12">
        <f>IFERROR(SUM(DT5:DT12),"")</f>
        <v>0</v>
      </c>
      <c r="DW12" cm="1">
        <f t="array" ref="DW12">_xlfn.SWITCH(Charts!$B$3,"average", AVERAGE(INDIRECT(ADDRESS(7+3,DW$2+1,,,"Instances") &amp; ":" &amp; ADDRESS(7+3,DW$2+1))),"median", MEDIAN(INDIRECT(ADDRESS(7+3,DW$2+1,,,"Instances") &amp; ":" &amp; ADDRESS(7+3,DW$2+1))),"min", MIN(INDIRECT(ADDRESS(7+3,DW$2+1,,,"Instances") &amp; ":" &amp; ADDRESS(7+3,DW$2+1))),"max", MAX(INDIRECT(ADDRESS(7+3,DW$2+1,,,"Instances") &amp; ":" &amp; ADDRESS(7+3,DW$2+1))),"diff", MAX(INDIRECT(ADDRESS(7+3,DW$2+1,,,"Instances") &amp; ":" &amp; ADDRESS(7+3,DW$2+1)))-MIN(INDIRECT(ADDRESS(7+3,DW$2+1,,,"Instances") &amp; ":" &amp; ADDRESS(7+3,DW$2+1))))</f>
        <v>0</v>
      </c>
      <c r="DX12">
        <f>IFERROR(SMALL(DW5:DW36,ROW()-ROW($DX$5)+1),"")</f>
        <v>0</v>
      </c>
      <c r="DZ12">
        <f>IFERROR(SUM(DX5:DX12),"")</f>
        <v>0</v>
      </c>
      <c r="EA12" cm="1">
        <f t="array" ref="EA12">_xlfn.SWITCH(Charts!$B$3,"average", AVERAGE(INDIRECT(ADDRESS(7+3,EA$2+1,,,"Instances") &amp; ":" &amp; ADDRESS(7+3,EA$2+1))),"median", MEDIAN(INDIRECT(ADDRESS(7+3,EA$2+1,,,"Instances") &amp; ":" &amp; ADDRESS(7+3,EA$2+1))),"min", MIN(INDIRECT(ADDRESS(7+3,EA$2+1,,,"Instances") &amp; ":" &amp; ADDRESS(7+3,EA$2+1))),"max", MAX(INDIRECT(ADDRESS(7+3,EA$2+1,,,"Instances") &amp; ":" &amp; ADDRESS(7+3,EA$2+1))),"diff", MAX(INDIRECT(ADDRESS(7+3,EA$2+1,,,"Instances") &amp; ":" &amp; ADDRESS(7+3,EA$2+1)))-MIN(INDIRECT(ADDRESS(7+3,EA$2+1,,,"Instances") &amp; ":" &amp; ADDRESS(7+3,EA$2+1))))</f>
        <v>0</v>
      </c>
      <c r="EB12">
        <f>IFERROR(SMALL(EA5:EA36,ROW()-ROW($EB$5)+1),"")</f>
        <v>0</v>
      </c>
      <c r="ED12">
        <f>IFERROR(SUM(EB5:EB12),"")</f>
        <v>0</v>
      </c>
      <c r="EG12">
        <f>IF(Charts!$B$3="none",E179,IF(BS179="",NA(),BS179))</f>
        <v>0</v>
      </c>
      <c r="EH12">
        <f>IF(Charts!$B$3="none",F179,IF(BT179="",NA(),BT179))</f>
        <v>0</v>
      </c>
      <c r="EI12">
        <f>IF(Charts!$B$3="none",G179,IF(BU179="",NA(),BU179))</f>
        <v>0</v>
      </c>
      <c r="EJ12">
        <f>IF(Charts!$B$3="none",H179,IF(BV179="",NA(),BV179))</f>
        <v>0</v>
      </c>
      <c r="EK12">
        <f>IF(Charts!$B$3="none",I179,IF(BW179="",NA(),BW179))</f>
        <v>0</v>
      </c>
      <c r="EL12">
        <f>IF(Charts!$B$3="none",J179,IF(BX179="",NA(),BX179))</f>
        <v>0</v>
      </c>
      <c r="EM12">
        <f>IF(Charts!$B$3="none",K179,IF(BY179="",NA(),BY179))</f>
        <v>0</v>
      </c>
      <c r="EN12">
        <f>IF(Charts!$B$3="none",L179,IF(BZ179="",NA(),BZ179))</f>
        <v>0</v>
      </c>
      <c r="EO12">
        <f>IF(Charts!$B$3="none",M179,IF(CA179="",NA(),CA179))</f>
        <v>0</v>
      </c>
      <c r="EP12">
        <f>IF(Charts!$B$3="none",N179,IF(CB179="",NA(),CB179))</f>
        <v>0</v>
      </c>
      <c r="EQ12">
        <f>IF(Charts!$B$3="none",O179,IF(CC179="",NA(),CC179))</f>
        <v>0</v>
      </c>
      <c r="ER12">
        <f>IF(Charts!$B$3="none",P179,IF(CD179="",NA(),CD179))</f>
        <v>0</v>
      </c>
      <c r="ES12">
        <f>IF(Charts!$B$3="none",Q179,IF(CE179="",NA(),CE179))</f>
        <v>0</v>
      </c>
      <c r="ET12">
        <f>IF(Charts!$B$3="none",R179,IF(CF179="",NA(),CF179))</f>
        <v>0</v>
      </c>
      <c r="EU12">
        <f>IF(Charts!$B$3="none",S179,IF(CG179="",NA(),CG179))</f>
        <v>0</v>
      </c>
      <c r="EV12">
        <f>IF(Charts!$B$3="none",T179,IF(CH179="",NA(),CH179))</f>
        <v>0</v>
      </c>
      <c r="EW12">
        <f>IF(Charts!$B$3="none",U179,IF(CI179="",NA(),CI179))</f>
        <v>0</v>
      </c>
      <c r="EX12">
        <f>IF(Charts!$B$3="none",V179,IF(CJ179="",NA(),CJ179))</f>
        <v>0</v>
      </c>
      <c r="EY12">
        <f>IF(Charts!$B$3="none",W179,IF(CK179="",NA(),CK179))</f>
        <v>0</v>
      </c>
      <c r="EZ12">
        <f>IF(Charts!$B$3="none",X179,IF(CL179="",NA(),CL179))</f>
        <v>0</v>
      </c>
      <c r="FA12">
        <f>IF(Charts!$B$3="none",Y179,IF(CM179="",NA(),CM179))</f>
        <v>0</v>
      </c>
      <c r="FB12">
        <f>IF(Charts!$B$3="none",Z179,IF(CN179="",NA(),CN179))</f>
        <v>0</v>
      </c>
      <c r="FC12">
        <f>IF(Charts!$B$3="none",AA179,IF(CO179="",NA(),CO179))</f>
        <v>0</v>
      </c>
      <c r="FD12">
        <f>IF(Charts!$B$3="none",AB179,IF(CP179="",NA(),CP179))</f>
        <v>0</v>
      </c>
      <c r="FE12">
        <f>IF(Charts!$B$3="none",AC179,IF(CQ179="",NA(),CQ179))</f>
        <v>0</v>
      </c>
      <c r="FF12">
        <f>IF(Charts!$B$3="none",AD179,IF(CR179="",NA(),CR179))</f>
        <v>0</v>
      </c>
      <c r="FG12">
        <f>IF(Charts!$B$3="none",AE179,IF(CS179="",NA(),CS179))</f>
        <v>0</v>
      </c>
      <c r="FH12">
        <f>IF(Charts!$B$3="none",AF179,IF(CT179="",NA(),CT179))</f>
        <v>0</v>
      </c>
      <c r="FI12">
        <f>IF(Charts!$B$3="none",AG179,IF(CU179="",NA(),CU179))</f>
        <v>0</v>
      </c>
      <c r="FJ12">
        <f>IF(Charts!$B$3="none",AH179,IF(CV179="",NA(),CV179))</f>
        <v>0</v>
      </c>
      <c r="FK12">
        <f>IF(Charts!$B$3="none",AI179,IF(CW179="",NA(),CW179))</f>
        <v>0</v>
      </c>
      <c r="FL12">
        <f>IF(Charts!$B$3="none",AJ179,IF(CX179="",NA(),CX179))</f>
        <v>0</v>
      </c>
      <c r="FM12">
        <f>IF(Charts!$B$3="none",AK179,IF(CY179="",NA(),CY179))</f>
        <v>0</v>
      </c>
      <c r="FN12">
        <f>IF(Charts!$B$3="none",AL179,IF(CZ179="",NA(),CZ179))</f>
        <v>0</v>
      </c>
      <c r="FO12">
        <f>IF(Charts!$B$3="none",AM179,IF(DA179="",NA(),DA179))</f>
        <v>0</v>
      </c>
      <c r="FP12">
        <f>IF(Charts!$B$3="none",AN179,IF(DB179="",NA(),DB179))</f>
        <v>0</v>
      </c>
      <c r="FQ12">
        <f>IF(Charts!$B$3="none",AO179,IF(DC179="",NA(),DC179))</f>
        <v>0</v>
      </c>
      <c r="FR12">
        <f>IF(Charts!$B$3="none",AP179,IF(DD179="",NA(),DD179))</f>
        <v>0</v>
      </c>
      <c r="FS12">
        <f>IF(Charts!$B$3="none",AQ179,IF(DE179="",NA(),DE179))</f>
        <v>0</v>
      </c>
      <c r="FT12">
        <f>IF(Charts!$B$3="none",AR179,IF(DF179="",NA(),DF179))</f>
        <v>0</v>
      </c>
      <c r="FU12">
        <f>IF(Charts!$B$3="none",AS179,IF(DG179="",NA(),DG179))</f>
        <v>0</v>
      </c>
      <c r="FV12">
        <f>IF(Charts!$B$3="none",AT179,IF(DH179="",NA(),DH179))</f>
        <v>0</v>
      </c>
      <c r="FW12">
        <f>IF(Charts!$B$3="none",AU179,IF(DI179="",NA(),DI179))</f>
        <v>0</v>
      </c>
      <c r="FX12">
        <f>IF(Charts!$B$3="none",AV179,IF(DJ179="",NA(),DJ179))</f>
        <v>0</v>
      </c>
      <c r="FY12">
        <f>IF(Charts!$B$3="none",AW179,IF(DK179="",NA(),DK179))</f>
        <v>0</v>
      </c>
      <c r="FZ12">
        <f>IF(Charts!$B$3="none",AX179,IF(DL179="",NA(),DL179))</f>
        <v>0</v>
      </c>
      <c r="GA12">
        <f>IF(Charts!$B$3="none",AY179,IF(DM179="",NA(),DM179))</f>
        <v>0</v>
      </c>
      <c r="GB12">
        <f>IF(Charts!$B$3="none",AZ179,IF(DN179="",NA(),DN179))</f>
        <v>0</v>
      </c>
      <c r="GC12">
        <f>IF(Charts!$B$3="none",BA179,IF(DO179="",NA(),DO179))</f>
        <v>0</v>
      </c>
      <c r="GD12">
        <f>IF(Charts!$B$3="none",BB179,IF(DP179="",NA(),DP179))</f>
        <v>0</v>
      </c>
      <c r="GE12">
        <f>IF(Charts!$B$3="none",BC179,IF(DQ179="",NA(),DQ179))</f>
        <v>0</v>
      </c>
      <c r="GF12">
        <f>IF(Charts!$B$3="none",BD179,IF(DR179="",NA(),DR179))</f>
        <v>0</v>
      </c>
      <c r="GG12">
        <f>IF(Charts!$B$3="none",BE179,IF(DS179="",NA(),DS179))</f>
        <v>0</v>
      </c>
      <c r="GH12">
        <f>IF(Charts!$B$3="none",BF179,IF(DT179="",NA(),DT179))</f>
        <v>0</v>
      </c>
      <c r="GI12">
        <f>IF(Charts!$B$3="none",BG179,IF(DU179="",NA(),DU179))</f>
        <v>0</v>
      </c>
      <c r="GJ12">
        <f>IF(Charts!$B$3="none",BH179,IF(DV179="",NA(),DV179))</f>
        <v>0</v>
      </c>
      <c r="GK12">
        <f>IF(Charts!$B$3="none",BI179,IF(DW179="",NA(),DW179))</f>
        <v>0</v>
      </c>
      <c r="GL12">
        <f>IF(Charts!$B$3="none",BJ179,IF(DX179="",NA(),DX179))</f>
        <v>0</v>
      </c>
      <c r="GM12">
        <f>IF(Charts!$B$3="none",BK179,IF(DY179="",NA(),DY179))</f>
        <v>0</v>
      </c>
      <c r="GN12">
        <f>IF(Charts!$B$3="none",BL179,IF(DZ179="",NA(),DZ179))</f>
        <v>0</v>
      </c>
      <c r="GO12">
        <f>IF(Charts!$B$3="none",BM179,IF(EA179="",NA(),EA179))</f>
        <v>0</v>
      </c>
      <c r="GP12">
        <f>IF(Charts!$B$3="none",BN179,IF(EB179="",NA(),EB179))</f>
        <v>0</v>
      </c>
      <c r="GQ12">
        <f>IF(Charts!$B$3="none",BO179,IF(EC179="",NA(),EC179))</f>
        <v>0</v>
      </c>
      <c r="GR12">
        <f>IF(Charts!$B$3="none",BP179,IF(ED179="",NA(),ED179))</f>
        <v>0</v>
      </c>
    </row>
    <row r="13" spans="1:200">
      <c r="A13" t="s">
        <v>52</v>
      </c>
      <c r="B13">
        <v>12</v>
      </c>
      <c r="D13">
        <v>9</v>
      </c>
      <c r="E13">
        <f>IF(INDIRECT(ADDRESS($D13+2,E$2+1,,,"Instances"))="","",INDIRECT(ADDRESS($D13+2,E$2+1,,,"Instances")))</f>
        <v>0</v>
      </c>
      <c r="F13">
        <f>IFERROR(SMALL(E5:E36,ROW()-ROW($F$5)+1),"")</f>
        <v>0</v>
      </c>
      <c r="H13">
        <f>IFERROR(SUM(F5:F13),"")</f>
        <v>0</v>
      </c>
      <c r="I13">
        <f>IF(INDIRECT(ADDRESS($D13+2,I$2+1,,,"Instances"))="","",INDIRECT(ADDRESS($D13+2,I$2+1,,,"Instances")))</f>
        <v>0</v>
      </c>
      <c r="J13">
        <f>IFERROR(SMALL(I5:I36,ROW()-ROW($J$5)+1),"")</f>
        <v>0</v>
      </c>
      <c r="L13">
        <f>IFERROR(SUM(J5:J13),"")</f>
        <v>0</v>
      </c>
      <c r="M13">
        <f>IF(INDIRECT(ADDRESS($D13+2,M$2+1,,,"Instances"))="","",INDIRECT(ADDRESS($D13+2,M$2+1,,,"Instances")))</f>
        <v>0</v>
      </c>
      <c r="N13">
        <f>IFERROR(SMALL(M5:M36,ROW()-ROW($N$5)+1),"")</f>
        <v>0</v>
      </c>
      <c r="P13">
        <f>IFERROR(SUM(N5:N13),"")</f>
        <v>0</v>
      </c>
      <c r="Q13">
        <f>IF(INDIRECT(ADDRESS($D13+2,Q$2+1,,,"Instances"))="","",INDIRECT(ADDRESS($D13+2,Q$2+1,,,"Instances")))</f>
        <v>0</v>
      </c>
      <c r="R13">
        <f>IFERROR(SMALL(Q5:Q36,ROW()-ROW($R$5)+1),"")</f>
        <v>0</v>
      </c>
      <c r="T13">
        <f>IFERROR(SUM(R5:R13),"")</f>
        <v>0</v>
      </c>
      <c r="U13">
        <f>IF(INDIRECT(ADDRESS($D13+2,U$2+1,,,"Instances"))="","",INDIRECT(ADDRESS($D13+2,U$2+1,,,"Instances")))</f>
        <v>0</v>
      </c>
      <c r="V13">
        <f>IFERROR(SMALL(U5:U36,ROW()-ROW($V$5)+1),"")</f>
        <v>0</v>
      </c>
      <c r="X13">
        <f>IFERROR(SUM(V5:V13),"")</f>
        <v>0</v>
      </c>
      <c r="Y13">
        <f>IF(INDIRECT(ADDRESS($D13+2,Y$2+1,,,"Instances"))="","",INDIRECT(ADDRESS($D13+2,Y$2+1,,,"Instances")))</f>
        <v>0</v>
      </c>
      <c r="Z13">
        <f>IFERROR(SMALL(Y5:Y36,ROW()-ROW($Z$5)+1),"")</f>
        <v>0</v>
      </c>
      <c r="AB13">
        <f>IFERROR(SUM(Z5:Z13),"")</f>
        <v>0</v>
      </c>
      <c r="AC13">
        <f>IF(INDIRECT(ADDRESS($D13+2,AC$2+1,,,"Instances"))="","",INDIRECT(ADDRESS($D13+2,AC$2+1,,,"Instances")))</f>
        <v>0</v>
      </c>
      <c r="AD13">
        <f>IFERROR(SMALL(AC5:AC36,ROW()-ROW($AD$5)+1),"")</f>
        <v>0</v>
      </c>
      <c r="AF13">
        <f>IFERROR(SUM(AD5:AD13),"")</f>
        <v>0</v>
      </c>
      <c r="AG13">
        <f>IF(INDIRECT(ADDRESS($D13+2,AG$2+1,,,"Instances"))="","",INDIRECT(ADDRESS($D13+2,AG$2+1,,,"Instances")))</f>
        <v>0</v>
      </c>
      <c r="AH13">
        <f>IFERROR(SMALL(AG5:AG36,ROW()-ROW($AH$5)+1),"")</f>
        <v>0</v>
      </c>
      <c r="AJ13">
        <f>IFERROR(SUM(AH5:AH13),"")</f>
        <v>0</v>
      </c>
      <c r="AK13">
        <f>IF(INDIRECT(ADDRESS($D13+2,AK$2+1,,,"Instances"))="","",INDIRECT(ADDRESS($D13+2,AK$2+1,,,"Instances")))</f>
        <v>0</v>
      </c>
      <c r="AL13">
        <f>IFERROR(SMALL(AK5:AK36,ROW()-ROW($AL$5)+1),"")</f>
        <v>0</v>
      </c>
      <c r="AN13">
        <f>IFERROR(SUM(AL5:AL13),"")</f>
        <v>0</v>
      </c>
      <c r="AO13">
        <f>IF(INDIRECT(ADDRESS($D13+2,AO$2+1,,,"Instances"))="","",INDIRECT(ADDRESS($D13+2,AO$2+1,,,"Instances")))</f>
        <v>0</v>
      </c>
      <c r="AP13">
        <f>IFERROR(SMALL(AO5:AO36,ROW()-ROW($AP$5)+1),"")</f>
        <v>0</v>
      </c>
      <c r="AR13">
        <f>IFERROR(SUM(AP5:AP13),"")</f>
        <v>0</v>
      </c>
      <c r="AS13">
        <f>IF(INDIRECT(ADDRESS($D13+2,AS$2+1,,,"Instances"))="","",INDIRECT(ADDRESS($D13+2,AS$2+1,,,"Instances")))</f>
        <v>0</v>
      </c>
      <c r="AT13">
        <f>IFERROR(SMALL(AS5:AS36,ROW()-ROW($AT$5)+1),"")</f>
        <v>0</v>
      </c>
      <c r="AV13">
        <f>IFERROR(SUM(AT5:AT13),"")</f>
        <v>0</v>
      </c>
      <c r="AW13">
        <f>IF(INDIRECT(ADDRESS($D13+2,AW$2+1,,,"Instances"))="","",INDIRECT(ADDRESS($D13+2,AW$2+1,,,"Instances")))</f>
        <v>0</v>
      </c>
      <c r="AX13">
        <f>IFERROR(SMALL(AW5:AW36,ROW()-ROW($AX$5)+1),"")</f>
        <v>0</v>
      </c>
      <c r="AZ13">
        <f>IFERROR(SUM(AX5:AX13),"")</f>
        <v>0</v>
      </c>
      <c r="BA13">
        <f>IF(INDIRECT(ADDRESS($D13+2,BA$2+1,,,"Instances"))="","",INDIRECT(ADDRESS($D13+2,BA$2+1,,,"Instances")))</f>
        <v>0</v>
      </c>
      <c r="BB13">
        <f>IFERROR(SMALL(BA5:BA36,ROW()-ROW($BB$5)+1),"")</f>
        <v>0</v>
      </c>
      <c r="BD13">
        <f>IFERROR(SUM(BB5:BB13),"")</f>
        <v>0</v>
      </c>
      <c r="BE13">
        <f>IF(INDIRECT(ADDRESS($D13+2,BE$2+1,,,"Instances"))="","",INDIRECT(ADDRESS($D13+2,BE$2+1,,,"Instances")))</f>
        <v>0</v>
      </c>
      <c r="BF13">
        <f>IFERROR(SMALL(BE5:BE36,ROW()-ROW($BF$5)+1),"")</f>
        <v>0</v>
      </c>
      <c r="BH13">
        <f>IFERROR(SUM(BF5:BF13),"")</f>
        <v>0</v>
      </c>
      <c r="BI13">
        <f>IF(INDIRECT(ADDRESS($D13+2,BI$2+1,,,"Instances"))="","",INDIRECT(ADDRESS($D13+2,BI$2+1,,,"Instances")))</f>
        <v>0</v>
      </c>
      <c r="BJ13">
        <f>IFERROR(SMALL(BI5:BI36,ROW()-ROW($BJ$5)+1),"")</f>
        <v>0</v>
      </c>
      <c r="BL13">
        <f>IFERROR(SUM(BJ5:BJ13),"")</f>
        <v>0</v>
      </c>
      <c r="BM13">
        <f>IF(INDIRECT(ADDRESS($D13+2,BM$2+1,,,"Instances"))="","",INDIRECT(ADDRESS($D13+2,BM$2+1,,,"Instances")))</f>
        <v>0</v>
      </c>
      <c r="BN13">
        <f>IFERROR(SMALL(BM5:BM36,ROW()-ROW($BN$5)+1),"")</f>
        <v>0</v>
      </c>
      <c r="BP13">
        <f>IFERROR(SUM(BN5:BN13),"")</f>
        <v>0</v>
      </c>
      <c r="BR13">
        <v>9</v>
      </c>
      <c r="BS13" cm="1">
        <f t="array" ref="BS13">_xlfn.SWITCH(Charts!$B$3,"average", AVERAGE(INDIRECT(ADDRESS(8+3,BS$2+1,,,"Instances") &amp; ":" &amp; ADDRESS(8+3,BS$2+1))),"median", MEDIAN(INDIRECT(ADDRESS(8+3,BS$2+1,,,"Instances") &amp; ":" &amp; ADDRESS(8+3,BS$2+1))),"min", MIN(INDIRECT(ADDRESS(8+3,BS$2+1,,,"Instances") &amp; ":" &amp; ADDRESS(8+3,BS$2+1))),"max", MAX(INDIRECT(ADDRESS(8+3,BS$2+1,,,"Instances") &amp; ":" &amp; ADDRESS(8+3,BS$2+1))),"diff", MAX(INDIRECT(ADDRESS(8+3,BS$2+1,,,"Instances") &amp; ":" &amp; ADDRESS(8+3,BS$2+1)))-MIN(INDIRECT(ADDRESS(8+3,BS$2+1,,,"Instances") &amp; ":" &amp; ADDRESS(8+3,BS$2+1))))</f>
        <v>0</v>
      </c>
      <c r="BT13">
        <f>IFERROR(SMALL(BS5:BS36,ROW()-ROW($BT$5)+1),"")</f>
        <v>0</v>
      </c>
      <c r="BV13">
        <f>IFERROR(SUM(BT5:BT13),"")</f>
        <v>0</v>
      </c>
      <c r="BW13" cm="1">
        <f t="array" ref="BW13">_xlfn.SWITCH(Charts!$B$3,"average", AVERAGE(INDIRECT(ADDRESS(8+3,BW$2+1,,,"Instances") &amp; ":" &amp; ADDRESS(8+3,BW$2+1))),"median", MEDIAN(INDIRECT(ADDRESS(8+3,BW$2+1,,,"Instances") &amp; ":" &amp; ADDRESS(8+3,BW$2+1))),"min", MIN(INDIRECT(ADDRESS(8+3,BW$2+1,,,"Instances") &amp; ":" &amp; ADDRESS(8+3,BW$2+1))),"max", MAX(INDIRECT(ADDRESS(8+3,BW$2+1,,,"Instances") &amp; ":" &amp; ADDRESS(8+3,BW$2+1))),"diff", MAX(INDIRECT(ADDRESS(8+3,BW$2+1,,,"Instances") &amp; ":" &amp; ADDRESS(8+3,BW$2+1)))-MIN(INDIRECT(ADDRESS(8+3,BW$2+1,,,"Instances") &amp; ":" &amp; ADDRESS(8+3,BW$2+1))))</f>
        <v>0</v>
      </c>
      <c r="BX13">
        <f>IFERROR(SMALL(BW5:BW36,ROW()-ROW($BX$5)+1),"")</f>
        <v>0</v>
      </c>
      <c r="BZ13">
        <f>IFERROR(SUM(BX5:BX13),"")</f>
        <v>0</v>
      </c>
      <c r="CA13" cm="1">
        <f t="array" ref="CA13">_xlfn.SWITCH(Charts!$B$3,"average", AVERAGE(INDIRECT(ADDRESS(8+3,CA$2+1,,,"Instances") &amp; ":" &amp; ADDRESS(8+3,CA$2+1))),"median", MEDIAN(INDIRECT(ADDRESS(8+3,CA$2+1,,,"Instances") &amp; ":" &amp; ADDRESS(8+3,CA$2+1))),"min", MIN(INDIRECT(ADDRESS(8+3,CA$2+1,,,"Instances") &amp; ":" &amp; ADDRESS(8+3,CA$2+1))),"max", MAX(INDIRECT(ADDRESS(8+3,CA$2+1,,,"Instances") &amp; ":" &amp; ADDRESS(8+3,CA$2+1))),"diff", MAX(INDIRECT(ADDRESS(8+3,CA$2+1,,,"Instances") &amp; ":" &amp; ADDRESS(8+3,CA$2+1)))-MIN(INDIRECT(ADDRESS(8+3,CA$2+1,,,"Instances") &amp; ":" &amp; ADDRESS(8+3,CA$2+1))))</f>
        <v>0</v>
      </c>
      <c r="CB13">
        <f>IFERROR(SMALL(CA5:CA36,ROW()-ROW($CB$5)+1),"")</f>
        <v>0</v>
      </c>
      <c r="CD13">
        <f>IFERROR(SUM(CB5:CB13),"")</f>
        <v>0</v>
      </c>
      <c r="CE13" cm="1">
        <f t="array" ref="CE13">_xlfn.SWITCH(Charts!$B$3,"average", AVERAGE(INDIRECT(ADDRESS(8+3,CE$2+1,,,"Instances") &amp; ":" &amp; ADDRESS(8+3,CE$2+1))),"median", MEDIAN(INDIRECT(ADDRESS(8+3,CE$2+1,,,"Instances") &amp; ":" &amp; ADDRESS(8+3,CE$2+1))),"min", MIN(INDIRECT(ADDRESS(8+3,CE$2+1,,,"Instances") &amp; ":" &amp; ADDRESS(8+3,CE$2+1))),"max", MAX(INDIRECT(ADDRESS(8+3,CE$2+1,,,"Instances") &amp; ":" &amp; ADDRESS(8+3,CE$2+1))),"diff", MAX(INDIRECT(ADDRESS(8+3,CE$2+1,,,"Instances") &amp; ":" &amp; ADDRESS(8+3,CE$2+1)))-MIN(INDIRECT(ADDRESS(8+3,CE$2+1,,,"Instances") &amp; ":" &amp; ADDRESS(8+3,CE$2+1))))</f>
        <v>0</v>
      </c>
      <c r="CF13">
        <f>IFERROR(SMALL(CE5:CE36,ROW()-ROW($CF$5)+1),"")</f>
        <v>0</v>
      </c>
      <c r="CH13">
        <f>IFERROR(SUM(CF5:CF13),"")</f>
        <v>0</v>
      </c>
      <c r="CI13" cm="1">
        <f t="array" ref="CI13">_xlfn.SWITCH(Charts!$B$3,"average", AVERAGE(INDIRECT(ADDRESS(8+3,CI$2+1,,,"Instances") &amp; ":" &amp; ADDRESS(8+3,CI$2+1))),"median", MEDIAN(INDIRECT(ADDRESS(8+3,CI$2+1,,,"Instances") &amp; ":" &amp; ADDRESS(8+3,CI$2+1))),"min", MIN(INDIRECT(ADDRESS(8+3,CI$2+1,,,"Instances") &amp; ":" &amp; ADDRESS(8+3,CI$2+1))),"max", MAX(INDIRECT(ADDRESS(8+3,CI$2+1,,,"Instances") &amp; ":" &amp; ADDRESS(8+3,CI$2+1))),"diff", MAX(INDIRECT(ADDRESS(8+3,CI$2+1,,,"Instances") &amp; ":" &amp; ADDRESS(8+3,CI$2+1)))-MIN(INDIRECT(ADDRESS(8+3,CI$2+1,,,"Instances") &amp; ":" &amp; ADDRESS(8+3,CI$2+1))))</f>
        <v>0</v>
      </c>
      <c r="CJ13">
        <f>IFERROR(SMALL(CI5:CI36,ROW()-ROW($CJ$5)+1),"")</f>
        <v>0</v>
      </c>
      <c r="CL13">
        <f>IFERROR(SUM(CJ5:CJ13),"")</f>
        <v>0</v>
      </c>
      <c r="CM13" cm="1">
        <f t="array" ref="CM13">_xlfn.SWITCH(Charts!$B$3,"average", AVERAGE(INDIRECT(ADDRESS(8+3,CM$2+1,,,"Instances") &amp; ":" &amp; ADDRESS(8+3,CM$2+1))),"median", MEDIAN(INDIRECT(ADDRESS(8+3,CM$2+1,,,"Instances") &amp; ":" &amp; ADDRESS(8+3,CM$2+1))),"min", MIN(INDIRECT(ADDRESS(8+3,CM$2+1,,,"Instances") &amp; ":" &amp; ADDRESS(8+3,CM$2+1))),"max", MAX(INDIRECT(ADDRESS(8+3,CM$2+1,,,"Instances") &amp; ":" &amp; ADDRESS(8+3,CM$2+1))),"diff", MAX(INDIRECT(ADDRESS(8+3,CM$2+1,,,"Instances") &amp; ":" &amp; ADDRESS(8+3,CM$2+1)))-MIN(INDIRECT(ADDRESS(8+3,CM$2+1,,,"Instances") &amp; ":" &amp; ADDRESS(8+3,CM$2+1))))</f>
        <v>0</v>
      </c>
      <c r="CN13">
        <f>IFERROR(SMALL(CM5:CM36,ROW()-ROW($CN$5)+1),"")</f>
        <v>0</v>
      </c>
      <c r="CP13">
        <f>IFERROR(SUM(CN5:CN13),"")</f>
        <v>0</v>
      </c>
      <c r="CQ13" cm="1">
        <f t="array" ref="CQ13">_xlfn.SWITCH(Charts!$B$3,"average", AVERAGE(INDIRECT(ADDRESS(8+3,CQ$2+1,,,"Instances") &amp; ":" &amp; ADDRESS(8+3,CQ$2+1))),"median", MEDIAN(INDIRECT(ADDRESS(8+3,CQ$2+1,,,"Instances") &amp; ":" &amp; ADDRESS(8+3,CQ$2+1))),"min", MIN(INDIRECT(ADDRESS(8+3,CQ$2+1,,,"Instances") &amp; ":" &amp; ADDRESS(8+3,CQ$2+1))),"max", MAX(INDIRECT(ADDRESS(8+3,CQ$2+1,,,"Instances") &amp; ":" &amp; ADDRESS(8+3,CQ$2+1))),"diff", MAX(INDIRECT(ADDRESS(8+3,CQ$2+1,,,"Instances") &amp; ":" &amp; ADDRESS(8+3,CQ$2+1)))-MIN(INDIRECT(ADDRESS(8+3,CQ$2+1,,,"Instances") &amp; ":" &amp; ADDRESS(8+3,CQ$2+1))))</f>
        <v>0</v>
      </c>
      <c r="CR13">
        <f>IFERROR(SMALL(CQ5:CQ36,ROW()-ROW($CR$5)+1),"")</f>
        <v>0</v>
      </c>
      <c r="CT13">
        <f>IFERROR(SUM(CR5:CR13),"")</f>
        <v>0</v>
      </c>
      <c r="CU13" cm="1">
        <f t="array" ref="CU13">_xlfn.SWITCH(Charts!$B$3,"average", AVERAGE(INDIRECT(ADDRESS(8+3,CU$2+1,,,"Instances") &amp; ":" &amp; ADDRESS(8+3,CU$2+1))),"median", MEDIAN(INDIRECT(ADDRESS(8+3,CU$2+1,,,"Instances") &amp; ":" &amp; ADDRESS(8+3,CU$2+1))),"min", MIN(INDIRECT(ADDRESS(8+3,CU$2+1,,,"Instances") &amp; ":" &amp; ADDRESS(8+3,CU$2+1))),"max", MAX(INDIRECT(ADDRESS(8+3,CU$2+1,,,"Instances") &amp; ":" &amp; ADDRESS(8+3,CU$2+1))),"diff", MAX(INDIRECT(ADDRESS(8+3,CU$2+1,,,"Instances") &amp; ":" &amp; ADDRESS(8+3,CU$2+1)))-MIN(INDIRECT(ADDRESS(8+3,CU$2+1,,,"Instances") &amp; ":" &amp; ADDRESS(8+3,CU$2+1))))</f>
        <v>0</v>
      </c>
      <c r="CV13">
        <f>IFERROR(SMALL(CU5:CU36,ROW()-ROW($CV$5)+1),"")</f>
        <v>0</v>
      </c>
      <c r="CX13">
        <f>IFERROR(SUM(CV5:CV13),"")</f>
        <v>0</v>
      </c>
      <c r="CY13" cm="1">
        <f t="array" ref="CY13">_xlfn.SWITCH(Charts!$B$3,"average", AVERAGE(INDIRECT(ADDRESS(8+3,CY$2+1,,,"Instances") &amp; ":" &amp; ADDRESS(8+3,CY$2+1))),"median", MEDIAN(INDIRECT(ADDRESS(8+3,CY$2+1,,,"Instances") &amp; ":" &amp; ADDRESS(8+3,CY$2+1))),"min", MIN(INDIRECT(ADDRESS(8+3,CY$2+1,,,"Instances") &amp; ":" &amp; ADDRESS(8+3,CY$2+1))),"max", MAX(INDIRECT(ADDRESS(8+3,CY$2+1,,,"Instances") &amp; ":" &amp; ADDRESS(8+3,CY$2+1))),"diff", MAX(INDIRECT(ADDRESS(8+3,CY$2+1,,,"Instances") &amp; ":" &amp; ADDRESS(8+3,CY$2+1)))-MIN(INDIRECT(ADDRESS(8+3,CY$2+1,,,"Instances") &amp; ":" &amp; ADDRESS(8+3,CY$2+1))))</f>
        <v>0</v>
      </c>
      <c r="CZ13">
        <f>IFERROR(SMALL(CY5:CY36,ROW()-ROW($CZ$5)+1),"")</f>
        <v>0</v>
      </c>
      <c r="DB13">
        <f>IFERROR(SUM(CZ5:CZ13),"")</f>
        <v>0</v>
      </c>
      <c r="DC13" cm="1">
        <f t="array" ref="DC13">_xlfn.SWITCH(Charts!$B$3,"average", AVERAGE(INDIRECT(ADDRESS(8+3,DC$2+1,,,"Instances") &amp; ":" &amp; ADDRESS(8+3,DC$2+1))),"median", MEDIAN(INDIRECT(ADDRESS(8+3,DC$2+1,,,"Instances") &amp; ":" &amp; ADDRESS(8+3,DC$2+1))),"min", MIN(INDIRECT(ADDRESS(8+3,DC$2+1,,,"Instances") &amp; ":" &amp; ADDRESS(8+3,DC$2+1))),"max", MAX(INDIRECT(ADDRESS(8+3,DC$2+1,,,"Instances") &amp; ":" &amp; ADDRESS(8+3,DC$2+1))),"diff", MAX(INDIRECT(ADDRESS(8+3,DC$2+1,,,"Instances") &amp; ":" &amp; ADDRESS(8+3,DC$2+1)))-MIN(INDIRECT(ADDRESS(8+3,DC$2+1,,,"Instances") &amp; ":" &amp; ADDRESS(8+3,DC$2+1))))</f>
        <v>0</v>
      </c>
      <c r="DD13">
        <f>IFERROR(SMALL(DC5:DC36,ROW()-ROW($DD$5)+1),"")</f>
        <v>0</v>
      </c>
      <c r="DF13">
        <f>IFERROR(SUM(DD5:DD13),"")</f>
        <v>0</v>
      </c>
      <c r="DG13" cm="1">
        <f t="array" ref="DG13">_xlfn.SWITCH(Charts!$B$3,"average", AVERAGE(INDIRECT(ADDRESS(8+3,DG$2+1,,,"Instances") &amp; ":" &amp; ADDRESS(8+3,DG$2+1))),"median", MEDIAN(INDIRECT(ADDRESS(8+3,DG$2+1,,,"Instances") &amp; ":" &amp; ADDRESS(8+3,DG$2+1))),"min", MIN(INDIRECT(ADDRESS(8+3,DG$2+1,,,"Instances") &amp; ":" &amp; ADDRESS(8+3,DG$2+1))),"max", MAX(INDIRECT(ADDRESS(8+3,DG$2+1,,,"Instances") &amp; ":" &amp; ADDRESS(8+3,DG$2+1))),"diff", MAX(INDIRECT(ADDRESS(8+3,DG$2+1,,,"Instances") &amp; ":" &amp; ADDRESS(8+3,DG$2+1)))-MIN(INDIRECT(ADDRESS(8+3,DG$2+1,,,"Instances") &amp; ":" &amp; ADDRESS(8+3,DG$2+1))))</f>
        <v>0</v>
      </c>
      <c r="DH13">
        <f>IFERROR(SMALL(DG5:DG36,ROW()-ROW($DH$5)+1),"")</f>
        <v>0</v>
      </c>
      <c r="DJ13">
        <f>IFERROR(SUM(DH5:DH13),"")</f>
        <v>0</v>
      </c>
      <c r="DK13" cm="1">
        <f t="array" ref="DK13">_xlfn.SWITCH(Charts!$B$3,"average", AVERAGE(INDIRECT(ADDRESS(8+3,DK$2+1,,,"Instances") &amp; ":" &amp; ADDRESS(8+3,DK$2+1))),"median", MEDIAN(INDIRECT(ADDRESS(8+3,DK$2+1,,,"Instances") &amp; ":" &amp; ADDRESS(8+3,DK$2+1))),"min", MIN(INDIRECT(ADDRESS(8+3,DK$2+1,,,"Instances") &amp; ":" &amp; ADDRESS(8+3,DK$2+1))),"max", MAX(INDIRECT(ADDRESS(8+3,DK$2+1,,,"Instances") &amp; ":" &amp; ADDRESS(8+3,DK$2+1))),"diff", MAX(INDIRECT(ADDRESS(8+3,DK$2+1,,,"Instances") &amp; ":" &amp; ADDRESS(8+3,DK$2+1)))-MIN(INDIRECT(ADDRESS(8+3,DK$2+1,,,"Instances") &amp; ":" &amp; ADDRESS(8+3,DK$2+1))))</f>
        <v>0</v>
      </c>
      <c r="DL13">
        <f>IFERROR(SMALL(DK5:DK36,ROW()-ROW($DL$5)+1),"")</f>
        <v>0</v>
      </c>
      <c r="DN13">
        <f>IFERROR(SUM(DL5:DL13),"")</f>
        <v>0</v>
      </c>
      <c r="DO13" cm="1">
        <f t="array" ref="DO13">_xlfn.SWITCH(Charts!$B$3,"average", AVERAGE(INDIRECT(ADDRESS(8+3,DO$2+1,,,"Instances") &amp; ":" &amp; ADDRESS(8+3,DO$2+1))),"median", MEDIAN(INDIRECT(ADDRESS(8+3,DO$2+1,,,"Instances") &amp; ":" &amp; ADDRESS(8+3,DO$2+1))),"min", MIN(INDIRECT(ADDRESS(8+3,DO$2+1,,,"Instances") &amp; ":" &amp; ADDRESS(8+3,DO$2+1))),"max", MAX(INDIRECT(ADDRESS(8+3,DO$2+1,,,"Instances") &amp; ":" &amp; ADDRESS(8+3,DO$2+1))),"diff", MAX(INDIRECT(ADDRESS(8+3,DO$2+1,,,"Instances") &amp; ":" &amp; ADDRESS(8+3,DO$2+1)))-MIN(INDIRECT(ADDRESS(8+3,DO$2+1,,,"Instances") &amp; ":" &amp; ADDRESS(8+3,DO$2+1))))</f>
        <v>0</v>
      </c>
      <c r="DP13">
        <f>IFERROR(SMALL(DO5:DO36,ROW()-ROW($DP$5)+1),"")</f>
        <v>0</v>
      </c>
      <c r="DR13">
        <f>IFERROR(SUM(DP5:DP13),"")</f>
        <v>0</v>
      </c>
      <c r="DS13" cm="1">
        <f t="array" ref="DS13">_xlfn.SWITCH(Charts!$B$3,"average", AVERAGE(INDIRECT(ADDRESS(8+3,DS$2+1,,,"Instances") &amp; ":" &amp; ADDRESS(8+3,DS$2+1))),"median", MEDIAN(INDIRECT(ADDRESS(8+3,DS$2+1,,,"Instances") &amp; ":" &amp; ADDRESS(8+3,DS$2+1))),"min", MIN(INDIRECT(ADDRESS(8+3,DS$2+1,,,"Instances") &amp; ":" &amp; ADDRESS(8+3,DS$2+1))),"max", MAX(INDIRECT(ADDRESS(8+3,DS$2+1,,,"Instances") &amp; ":" &amp; ADDRESS(8+3,DS$2+1))),"diff", MAX(INDIRECT(ADDRESS(8+3,DS$2+1,,,"Instances") &amp; ":" &amp; ADDRESS(8+3,DS$2+1)))-MIN(INDIRECT(ADDRESS(8+3,DS$2+1,,,"Instances") &amp; ":" &amp; ADDRESS(8+3,DS$2+1))))</f>
        <v>0</v>
      </c>
      <c r="DT13">
        <f>IFERROR(SMALL(DS5:DS36,ROW()-ROW($DT$5)+1),"")</f>
        <v>0</v>
      </c>
      <c r="DV13">
        <f>IFERROR(SUM(DT5:DT13),"")</f>
        <v>0</v>
      </c>
      <c r="DW13" cm="1">
        <f t="array" ref="DW13">_xlfn.SWITCH(Charts!$B$3,"average", AVERAGE(INDIRECT(ADDRESS(8+3,DW$2+1,,,"Instances") &amp; ":" &amp; ADDRESS(8+3,DW$2+1))),"median", MEDIAN(INDIRECT(ADDRESS(8+3,DW$2+1,,,"Instances") &amp; ":" &amp; ADDRESS(8+3,DW$2+1))),"min", MIN(INDIRECT(ADDRESS(8+3,DW$2+1,,,"Instances") &amp; ":" &amp; ADDRESS(8+3,DW$2+1))),"max", MAX(INDIRECT(ADDRESS(8+3,DW$2+1,,,"Instances") &amp; ":" &amp; ADDRESS(8+3,DW$2+1))),"diff", MAX(INDIRECT(ADDRESS(8+3,DW$2+1,,,"Instances") &amp; ":" &amp; ADDRESS(8+3,DW$2+1)))-MIN(INDIRECT(ADDRESS(8+3,DW$2+1,,,"Instances") &amp; ":" &amp; ADDRESS(8+3,DW$2+1))))</f>
        <v>0</v>
      </c>
      <c r="DX13">
        <f>IFERROR(SMALL(DW5:DW36,ROW()-ROW($DX$5)+1),"")</f>
        <v>0</v>
      </c>
      <c r="DZ13">
        <f>IFERROR(SUM(DX5:DX13),"")</f>
        <v>0</v>
      </c>
      <c r="EA13" cm="1">
        <f t="array" ref="EA13">_xlfn.SWITCH(Charts!$B$3,"average", AVERAGE(INDIRECT(ADDRESS(8+3,EA$2+1,,,"Instances") &amp; ":" &amp; ADDRESS(8+3,EA$2+1))),"median", MEDIAN(INDIRECT(ADDRESS(8+3,EA$2+1,,,"Instances") &amp; ":" &amp; ADDRESS(8+3,EA$2+1))),"min", MIN(INDIRECT(ADDRESS(8+3,EA$2+1,,,"Instances") &amp; ":" &amp; ADDRESS(8+3,EA$2+1))),"max", MAX(INDIRECT(ADDRESS(8+3,EA$2+1,,,"Instances") &amp; ":" &amp; ADDRESS(8+3,EA$2+1))),"diff", MAX(INDIRECT(ADDRESS(8+3,EA$2+1,,,"Instances") &amp; ":" &amp; ADDRESS(8+3,EA$2+1)))-MIN(INDIRECT(ADDRESS(8+3,EA$2+1,,,"Instances") &amp; ":" &amp; ADDRESS(8+3,EA$2+1))))</f>
        <v>0</v>
      </c>
      <c r="EB13">
        <f>IFERROR(SMALL(EA5:EA36,ROW()-ROW($EB$5)+1),"")</f>
        <v>0</v>
      </c>
      <c r="ED13">
        <f>IFERROR(SUM(EB5:EB13),"")</f>
        <v>0</v>
      </c>
      <c r="EG13">
        <f>IF(Charts!$B$3="none",E180,IF(BS180="",NA(),BS180))</f>
        <v>0</v>
      </c>
      <c r="EH13">
        <f>IF(Charts!$B$3="none",F180,IF(BT180="",NA(),BT180))</f>
        <v>0</v>
      </c>
      <c r="EI13">
        <f>IF(Charts!$B$3="none",G180,IF(BU180="",NA(),BU180))</f>
        <v>0</v>
      </c>
      <c r="EJ13">
        <f>IF(Charts!$B$3="none",H180,IF(BV180="",NA(),BV180))</f>
        <v>0</v>
      </c>
      <c r="EK13">
        <f>IF(Charts!$B$3="none",I180,IF(BW180="",NA(),BW180))</f>
        <v>0</v>
      </c>
      <c r="EL13">
        <f>IF(Charts!$B$3="none",J180,IF(BX180="",NA(),BX180))</f>
        <v>0</v>
      </c>
      <c r="EM13">
        <f>IF(Charts!$B$3="none",K180,IF(BY180="",NA(),BY180))</f>
        <v>0</v>
      </c>
      <c r="EN13">
        <f>IF(Charts!$B$3="none",L180,IF(BZ180="",NA(),BZ180))</f>
        <v>0</v>
      </c>
      <c r="EO13">
        <f>IF(Charts!$B$3="none",M180,IF(CA180="",NA(),CA180))</f>
        <v>0</v>
      </c>
      <c r="EP13">
        <f>IF(Charts!$B$3="none",N180,IF(CB180="",NA(),CB180))</f>
        <v>0</v>
      </c>
      <c r="EQ13">
        <f>IF(Charts!$B$3="none",O180,IF(CC180="",NA(),CC180))</f>
        <v>0</v>
      </c>
      <c r="ER13">
        <f>IF(Charts!$B$3="none",P180,IF(CD180="",NA(),CD180))</f>
        <v>0</v>
      </c>
      <c r="ES13">
        <f>IF(Charts!$B$3="none",Q180,IF(CE180="",NA(),CE180))</f>
        <v>0</v>
      </c>
      <c r="ET13">
        <f>IF(Charts!$B$3="none",R180,IF(CF180="",NA(),CF180))</f>
        <v>0</v>
      </c>
      <c r="EU13">
        <f>IF(Charts!$B$3="none",S180,IF(CG180="",NA(),CG180))</f>
        <v>0</v>
      </c>
      <c r="EV13">
        <f>IF(Charts!$B$3="none",T180,IF(CH180="",NA(),CH180))</f>
        <v>0</v>
      </c>
      <c r="EW13">
        <f>IF(Charts!$B$3="none",U180,IF(CI180="",NA(),CI180))</f>
        <v>0</v>
      </c>
      <c r="EX13">
        <f>IF(Charts!$B$3="none",V180,IF(CJ180="",NA(),CJ180))</f>
        <v>0</v>
      </c>
      <c r="EY13">
        <f>IF(Charts!$B$3="none",W180,IF(CK180="",NA(),CK180))</f>
        <v>0</v>
      </c>
      <c r="EZ13">
        <f>IF(Charts!$B$3="none",X180,IF(CL180="",NA(),CL180))</f>
        <v>0</v>
      </c>
      <c r="FA13">
        <f>IF(Charts!$B$3="none",Y180,IF(CM180="",NA(),CM180))</f>
        <v>0</v>
      </c>
      <c r="FB13">
        <f>IF(Charts!$B$3="none",Z180,IF(CN180="",NA(),CN180))</f>
        <v>0</v>
      </c>
      <c r="FC13">
        <f>IF(Charts!$B$3="none",AA180,IF(CO180="",NA(),CO180))</f>
        <v>0</v>
      </c>
      <c r="FD13">
        <f>IF(Charts!$B$3="none",AB180,IF(CP180="",NA(),CP180))</f>
        <v>0</v>
      </c>
      <c r="FE13">
        <f>IF(Charts!$B$3="none",AC180,IF(CQ180="",NA(),CQ180))</f>
        <v>0</v>
      </c>
      <c r="FF13">
        <f>IF(Charts!$B$3="none",AD180,IF(CR180="",NA(),CR180))</f>
        <v>0</v>
      </c>
      <c r="FG13">
        <f>IF(Charts!$B$3="none",AE180,IF(CS180="",NA(),CS180))</f>
        <v>0</v>
      </c>
      <c r="FH13">
        <f>IF(Charts!$B$3="none",AF180,IF(CT180="",NA(),CT180))</f>
        <v>0</v>
      </c>
      <c r="FI13">
        <f>IF(Charts!$B$3="none",AG180,IF(CU180="",NA(),CU180))</f>
        <v>0</v>
      </c>
      <c r="FJ13">
        <f>IF(Charts!$B$3="none",AH180,IF(CV180="",NA(),CV180))</f>
        <v>0</v>
      </c>
      <c r="FK13">
        <f>IF(Charts!$B$3="none",AI180,IF(CW180="",NA(),CW180))</f>
        <v>0</v>
      </c>
      <c r="FL13">
        <f>IF(Charts!$B$3="none",AJ180,IF(CX180="",NA(),CX180))</f>
        <v>0</v>
      </c>
      <c r="FM13">
        <f>IF(Charts!$B$3="none",AK180,IF(CY180="",NA(),CY180))</f>
        <v>0</v>
      </c>
      <c r="FN13">
        <f>IF(Charts!$B$3="none",AL180,IF(CZ180="",NA(),CZ180))</f>
        <v>0</v>
      </c>
      <c r="FO13">
        <f>IF(Charts!$B$3="none",AM180,IF(DA180="",NA(),DA180))</f>
        <v>0</v>
      </c>
      <c r="FP13">
        <f>IF(Charts!$B$3="none",AN180,IF(DB180="",NA(),DB180))</f>
        <v>0</v>
      </c>
      <c r="FQ13">
        <f>IF(Charts!$B$3="none",AO180,IF(DC180="",NA(),DC180))</f>
        <v>0</v>
      </c>
      <c r="FR13">
        <f>IF(Charts!$B$3="none",AP180,IF(DD180="",NA(),DD180))</f>
        <v>0</v>
      </c>
      <c r="FS13">
        <f>IF(Charts!$B$3="none",AQ180,IF(DE180="",NA(),DE180))</f>
        <v>0</v>
      </c>
      <c r="FT13">
        <f>IF(Charts!$B$3="none",AR180,IF(DF180="",NA(),DF180))</f>
        <v>0</v>
      </c>
      <c r="FU13">
        <f>IF(Charts!$B$3="none",AS180,IF(DG180="",NA(),DG180))</f>
        <v>0</v>
      </c>
      <c r="FV13">
        <f>IF(Charts!$B$3="none",AT180,IF(DH180="",NA(),DH180))</f>
        <v>0</v>
      </c>
      <c r="FW13">
        <f>IF(Charts!$B$3="none",AU180,IF(DI180="",NA(),DI180))</f>
        <v>0</v>
      </c>
      <c r="FX13">
        <f>IF(Charts!$B$3="none",AV180,IF(DJ180="",NA(),DJ180))</f>
        <v>0</v>
      </c>
      <c r="FY13">
        <f>IF(Charts!$B$3="none",AW180,IF(DK180="",NA(),DK180))</f>
        <v>0</v>
      </c>
      <c r="FZ13">
        <f>IF(Charts!$B$3="none",AX180,IF(DL180="",NA(),DL180))</f>
        <v>0</v>
      </c>
      <c r="GA13">
        <f>IF(Charts!$B$3="none",AY180,IF(DM180="",NA(),DM180))</f>
        <v>0</v>
      </c>
      <c r="GB13">
        <f>IF(Charts!$B$3="none",AZ180,IF(DN180="",NA(),DN180))</f>
        <v>0</v>
      </c>
      <c r="GC13">
        <f>IF(Charts!$B$3="none",BA180,IF(DO180="",NA(),DO180))</f>
        <v>0</v>
      </c>
      <c r="GD13">
        <f>IF(Charts!$B$3="none",BB180,IF(DP180="",NA(),DP180))</f>
        <v>0</v>
      </c>
      <c r="GE13">
        <f>IF(Charts!$B$3="none",BC180,IF(DQ180="",NA(),DQ180))</f>
        <v>0</v>
      </c>
      <c r="GF13">
        <f>IF(Charts!$B$3="none",BD180,IF(DR180="",NA(),DR180))</f>
        <v>0</v>
      </c>
      <c r="GG13">
        <f>IF(Charts!$B$3="none",BE180,IF(DS180="",NA(),DS180))</f>
        <v>0</v>
      </c>
      <c r="GH13">
        <f>IF(Charts!$B$3="none",BF180,IF(DT180="",NA(),DT180))</f>
        <v>0</v>
      </c>
      <c r="GI13">
        <f>IF(Charts!$B$3="none",BG180,IF(DU180="",NA(),DU180))</f>
        <v>0</v>
      </c>
      <c r="GJ13">
        <f>IF(Charts!$B$3="none",BH180,IF(DV180="",NA(),DV180))</f>
        <v>0</v>
      </c>
      <c r="GK13">
        <f>IF(Charts!$B$3="none",BI180,IF(DW180="",NA(),DW180))</f>
        <v>0</v>
      </c>
      <c r="GL13">
        <f>IF(Charts!$B$3="none",BJ180,IF(DX180="",NA(),DX180))</f>
        <v>0</v>
      </c>
      <c r="GM13">
        <f>IF(Charts!$B$3="none",BK180,IF(DY180="",NA(),DY180))</f>
        <v>0</v>
      </c>
      <c r="GN13">
        <f>IF(Charts!$B$3="none",BL180,IF(DZ180="",NA(),DZ180))</f>
        <v>0</v>
      </c>
      <c r="GO13">
        <f>IF(Charts!$B$3="none",BM180,IF(EA180="",NA(),EA180))</f>
        <v>0</v>
      </c>
      <c r="GP13">
        <f>IF(Charts!$B$3="none",BN180,IF(EB180="",NA(),EB180))</f>
        <v>0</v>
      </c>
      <c r="GQ13">
        <f>IF(Charts!$B$3="none",BO180,IF(EC180="",NA(),EC180))</f>
        <v>0</v>
      </c>
      <c r="GR13">
        <f>IF(Charts!$B$3="none",BP180,IF(ED180="",NA(),ED180))</f>
        <v>0</v>
      </c>
    </row>
    <row r="14" spans="1:200">
      <c r="A14" t="s">
        <v>53</v>
      </c>
      <c r="B14">
        <v>13</v>
      </c>
      <c r="D14">
        <v>10</v>
      </c>
      <c r="E14">
        <f>IF(INDIRECT(ADDRESS($D14+2,E$2+1,,,"Instances"))="","",INDIRECT(ADDRESS($D14+2,E$2+1,,,"Instances")))</f>
        <v>0</v>
      </c>
      <c r="F14">
        <f>IFERROR(SMALL(E5:E36,ROW()-ROW($F$5)+1),"")</f>
        <v>0</v>
      </c>
      <c r="H14">
        <f>IFERROR(SUM(F5:F14),"")</f>
        <v>0</v>
      </c>
      <c r="I14">
        <f>IF(INDIRECT(ADDRESS($D14+2,I$2+1,,,"Instances"))="","",INDIRECT(ADDRESS($D14+2,I$2+1,,,"Instances")))</f>
        <v>0</v>
      </c>
      <c r="J14">
        <f>IFERROR(SMALL(I5:I36,ROW()-ROW($J$5)+1),"")</f>
        <v>0</v>
      </c>
      <c r="L14">
        <f>IFERROR(SUM(J5:J14),"")</f>
        <v>0</v>
      </c>
      <c r="M14">
        <f>IF(INDIRECT(ADDRESS($D14+2,M$2+1,,,"Instances"))="","",INDIRECT(ADDRESS($D14+2,M$2+1,,,"Instances")))</f>
        <v>0</v>
      </c>
      <c r="N14">
        <f>IFERROR(SMALL(M5:M36,ROW()-ROW($N$5)+1),"")</f>
        <v>0</v>
      </c>
      <c r="P14">
        <f>IFERROR(SUM(N5:N14),"")</f>
        <v>0</v>
      </c>
      <c r="Q14">
        <f>IF(INDIRECT(ADDRESS($D14+2,Q$2+1,,,"Instances"))="","",INDIRECT(ADDRESS($D14+2,Q$2+1,,,"Instances")))</f>
        <v>0</v>
      </c>
      <c r="R14">
        <f>IFERROR(SMALL(Q5:Q36,ROW()-ROW($R$5)+1),"")</f>
        <v>0</v>
      </c>
      <c r="T14">
        <f>IFERROR(SUM(R5:R14),"")</f>
        <v>0</v>
      </c>
      <c r="U14">
        <f>IF(INDIRECT(ADDRESS($D14+2,U$2+1,,,"Instances"))="","",INDIRECT(ADDRESS($D14+2,U$2+1,,,"Instances")))</f>
        <v>0</v>
      </c>
      <c r="V14">
        <f>IFERROR(SMALL(U5:U36,ROW()-ROW($V$5)+1),"")</f>
        <v>0</v>
      </c>
      <c r="X14">
        <f>IFERROR(SUM(V5:V14),"")</f>
        <v>0</v>
      </c>
      <c r="Y14">
        <f>IF(INDIRECT(ADDRESS($D14+2,Y$2+1,,,"Instances"))="","",INDIRECT(ADDRESS($D14+2,Y$2+1,,,"Instances")))</f>
        <v>0</v>
      </c>
      <c r="Z14">
        <f>IFERROR(SMALL(Y5:Y36,ROW()-ROW($Z$5)+1),"")</f>
        <v>0</v>
      </c>
      <c r="AB14">
        <f>IFERROR(SUM(Z5:Z14),"")</f>
        <v>0</v>
      </c>
      <c r="AC14">
        <f>IF(INDIRECT(ADDRESS($D14+2,AC$2+1,,,"Instances"))="","",INDIRECT(ADDRESS($D14+2,AC$2+1,,,"Instances")))</f>
        <v>0</v>
      </c>
      <c r="AD14">
        <f>IFERROR(SMALL(AC5:AC36,ROW()-ROW($AD$5)+1),"")</f>
        <v>0</v>
      </c>
      <c r="AF14">
        <f>IFERROR(SUM(AD5:AD14),"")</f>
        <v>0</v>
      </c>
      <c r="AG14">
        <f>IF(INDIRECT(ADDRESS($D14+2,AG$2+1,,,"Instances"))="","",INDIRECT(ADDRESS($D14+2,AG$2+1,,,"Instances")))</f>
        <v>0</v>
      </c>
      <c r="AH14">
        <f>IFERROR(SMALL(AG5:AG36,ROW()-ROW($AH$5)+1),"")</f>
        <v>0</v>
      </c>
      <c r="AJ14">
        <f>IFERROR(SUM(AH5:AH14),"")</f>
        <v>0</v>
      </c>
      <c r="AK14">
        <f>IF(INDIRECT(ADDRESS($D14+2,AK$2+1,,,"Instances"))="","",INDIRECT(ADDRESS($D14+2,AK$2+1,,,"Instances")))</f>
        <v>0</v>
      </c>
      <c r="AL14">
        <f>IFERROR(SMALL(AK5:AK36,ROW()-ROW($AL$5)+1),"")</f>
        <v>0</v>
      </c>
      <c r="AN14">
        <f>IFERROR(SUM(AL5:AL14),"")</f>
        <v>0</v>
      </c>
      <c r="AO14">
        <f>IF(INDIRECT(ADDRESS($D14+2,AO$2+1,,,"Instances"))="","",INDIRECT(ADDRESS($D14+2,AO$2+1,,,"Instances")))</f>
        <v>0</v>
      </c>
      <c r="AP14">
        <f>IFERROR(SMALL(AO5:AO36,ROW()-ROW($AP$5)+1),"")</f>
        <v>0</v>
      </c>
      <c r="AR14">
        <f>IFERROR(SUM(AP5:AP14),"")</f>
        <v>0</v>
      </c>
      <c r="AS14">
        <f>IF(INDIRECT(ADDRESS($D14+2,AS$2+1,,,"Instances"))="","",INDIRECT(ADDRESS($D14+2,AS$2+1,,,"Instances")))</f>
        <v>0</v>
      </c>
      <c r="AT14">
        <f>IFERROR(SMALL(AS5:AS36,ROW()-ROW($AT$5)+1),"")</f>
        <v>0</v>
      </c>
      <c r="AV14">
        <f>IFERROR(SUM(AT5:AT14),"")</f>
        <v>0</v>
      </c>
      <c r="AW14">
        <f>IF(INDIRECT(ADDRESS($D14+2,AW$2+1,,,"Instances"))="","",INDIRECT(ADDRESS($D14+2,AW$2+1,,,"Instances")))</f>
        <v>0</v>
      </c>
      <c r="AX14">
        <f>IFERROR(SMALL(AW5:AW36,ROW()-ROW($AX$5)+1),"")</f>
        <v>0</v>
      </c>
      <c r="AZ14">
        <f>IFERROR(SUM(AX5:AX14),"")</f>
        <v>0</v>
      </c>
      <c r="BA14">
        <f>IF(INDIRECT(ADDRESS($D14+2,BA$2+1,,,"Instances"))="","",INDIRECT(ADDRESS($D14+2,BA$2+1,,,"Instances")))</f>
        <v>0</v>
      </c>
      <c r="BB14">
        <f>IFERROR(SMALL(BA5:BA36,ROW()-ROW($BB$5)+1),"")</f>
        <v>0</v>
      </c>
      <c r="BD14">
        <f>IFERROR(SUM(BB5:BB14),"")</f>
        <v>0</v>
      </c>
      <c r="BE14">
        <f>IF(INDIRECT(ADDRESS($D14+2,BE$2+1,,,"Instances"))="","",INDIRECT(ADDRESS($D14+2,BE$2+1,,,"Instances")))</f>
        <v>0</v>
      </c>
      <c r="BF14">
        <f>IFERROR(SMALL(BE5:BE36,ROW()-ROW($BF$5)+1),"")</f>
        <v>0</v>
      </c>
      <c r="BH14">
        <f>IFERROR(SUM(BF5:BF14),"")</f>
        <v>0</v>
      </c>
      <c r="BI14">
        <f>IF(INDIRECT(ADDRESS($D14+2,BI$2+1,,,"Instances"))="","",INDIRECT(ADDRESS($D14+2,BI$2+1,,,"Instances")))</f>
        <v>0</v>
      </c>
      <c r="BJ14">
        <f>IFERROR(SMALL(BI5:BI36,ROW()-ROW($BJ$5)+1),"")</f>
        <v>0</v>
      </c>
      <c r="BL14">
        <f>IFERROR(SUM(BJ5:BJ14),"")</f>
        <v>0</v>
      </c>
      <c r="BM14">
        <f>IF(INDIRECT(ADDRESS($D14+2,BM$2+1,,,"Instances"))="","",INDIRECT(ADDRESS($D14+2,BM$2+1,,,"Instances")))</f>
        <v>0</v>
      </c>
      <c r="BN14">
        <f>IFERROR(SMALL(BM5:BM36,ROW()-ROW($BN$5)+1),"")</f>
        <v>0</v>
      </c>
      <c r="BP14">
        <f>IFERROR(SUM(BN5:BN14),"")</f>
        <v>0</v>
      </c>
      <c r="BR14">
        <v>10</v>
      </c>
      <c r="BS14" cm="1">
        <f t="array" ref="BS14">_xlfn.SWITCH(Charts!$B$3,"average", AVERAGE(INDIRECT(ADDRESS(9+3,BS$2+1,,,"Instances") &amp; ":" &amp; ADDRESS(9+3,BS$2+1))),"median", MEDIAN(INDIRECT(ADDRESS(9+3,BS$2+1,,,"Instances") &amp; ":" &amp; ADDRESS(9+3,BS$2+1))),"min", MIN(INDIRECT(ADDRESS(9+3,BS$2+1,,,"Instances") &amp; ":" &amp; ADDRESS(9+3,BS$2+1))),"max", MAX(INDIRECT(ADDRESS(9+3,BS$2+1,,,"Instances") &amp; ":" &amp; ADDRESS(9+3,BS$2+1))),"diff", MAX(INDIRECT(ADDRESS(9+3,BS$2+1,,,"Instances") &amp; ":" &amp; ADDRESS(9+3,BS$2+1)))-MIN(INDIRECT(ADDRESS(9+3,BS$2+1,,,"Instances") &amp; ":" &amp; ADDRESS(9+3,BS$2+1))))</f>
        <v>0</v>
      </c>
      <c r="BT14">
        <f>IFERROR(SMALL(BS5:BS36,ROW()-ROW($BT$5)+1),"")</f>
        <v>0</v>
      </c>
      <c r="BV14">
        <f>IFERROR(SUM(BT5:BT14),"")</f>
        <v>0</v>
      </c>
      <c r="BW14" cm="1">
        <f t="array" ref="BW14">_xlfn.SWITCH(Charts!$B$3,"average", AVERAGE(INDIRECT(ADDRESS(9+3,BW$2+1,,,"Instances") &amp; ":" &amp; ADDRESS(9+3,BW$2+1))),"median", MEDIAN(INDIRECT(ADDRESS(9+3,BW$2+1,,,"Instances") &amp; ":" &amp; ADDRESS(9+3,BW$2+1))),"min", MIN(INDIRECT(ADDRESS(9+3,BW$2+1,,,"Instances") &amp; ":" &amp; ADDRESS(9+3,BW$2+1))),"max", MAX(INDIRECT(ADDRESS(9+3,BW$2+1,,,"Instances") &amp; ":" &amp; ADDRESS(9+3,BW$2+1))),"diff", MAX(INDIRECT(ADDRESS(9+3,BW$2+1,,,"Instances") &amp; ":" &amp; ADDRESS(9+3,BW$2+1)))-MIN(INDIRECT(ADDRESS(9+3,BW$2+1,,,"Instances") &amp; ":" &amp; ADDRESS(9+3,BW$2+1))))</f>
        <v>0</v>
      </c>
      <c r="BX14">
        <f>IFERROR(SMALL(BW5:BW36,ROW()-ROW($BX$5)+1),"")</f>
        <v>0</v>
      </c>
      <c r="BZ14">
        <f>IFERROR(SUM(BX5:BX14),"")</f>
        <v>0</v>
      </c>
      <c r="CA14" cm="1">
        <f t="array" ref="CA14">_xlfn.SWITCH(Charts!$B$3,"average", AVERAGE(INDIRECT(ADDRESS(9+3,CA$2+1,,,"Instances") &amp; ":" &amp; ADDRESS(9+3,CA$2+1))),"median", MEDIAN(INDIRECT(ADDRESS(9+3,CA$2+1,,,"Instances") &amp; ":" &amp; ADDRESS(9+3,CA$2+1))),"min", MIN(INDIRECT(ADDRESS(9+3,CA$2+1,,,"Instances") &amp; ":" &amp; ADDRESS(9+3,CA$2+1))),"max", MAX(INDIRECT(ADDRESS(9+3,CA$2+1,,,"Instances") &amp; ":" &amp; ADDRESS(9+3,CA$2+1))),"diff", MAX(INDIRECT(ADDRESS(9+3,CA$2+1,,,"Instances") &amp; ":" &amp; ADDRESS(9+3,CA$2+1)))-MIN(INDIRECT(ADDRESS(9+3,CA$2+1,,,"Instances") &amp; ":" &amp; ADDRESS(9+3,CA$2+1))))</f>
        <v>0</v>
      </c>
      <c r="CB14">
        <f>IFERROR(SMALL(CA5:CA36,ROW()-ROW($CB$5)+1),"")</f>
        <v>0</v>
      </c>
      <c r="CD14">
        <f>IFERROR(SUM(CB5:CB14),"")</f>
        <v>0</v>
      </c>
      <c r="CE14" cm="1">
        <f t="array" ref="CE14">_xlfn.SWITCH(Charts!$B$3,"average", AVERAGE(INDIRECT(ADDRESS(9+3,CE$2+1,,,"Instances") &amp; ":" &amp; ADDRESS(9+3,CE$2+1))),"median", MEDIAN(INDIRECT(ADDRESS(9+3,CE$2+1,,,"Instances") &amp; ":" &amp; ADDRESS(9+3,CE$2+1))),"min", MIN(INDIRECT(ADDRESS(9+3,CE$2+1,,,"Instances") &amp; ":" &amp; ADDRESS(9+3,CE$2+1))),"max", MAX(INDIRECT(ADDRESS(9+3,CE$2+1,,,"Instances") &amp; ":" &amp; ADDRESS(9+3,CE$2+1))),"diff", MAX(INDIRECT(ADDRESS(9+3,CE$2+1,,,"Instances") &amp; ":" &amp; ADDRESS(9+3,CE$2+1)))-MIN(INDIRECT(ADDRESS(9+3,CE$2+1,,,"Instances") &amp; ":" &amp; ADDRESS(9+3,CE$2+1))))</f>
        <v>0</v>
      </c>
      <c r="CF14">
        <f>IFERROR(SMALL(CE5:CE36,ROW()-ROW($CF$5)+1),"")</f>
        <v>0</v>
      </c>
      <c r="CH14">
        <f>IFERROR(SUM(CF5:CF14),"")</f>
        <v>0</v>
      </c>
      <c r="CI14" cm="1">
        <f t="array" ref="CI14">_xlfn.SWITCH(Charts!$B$3,"average", AVERAGE(INDIRECT(ADDRESS(9+3,CI$2+1,,,"Instances") &amp; ":" &amp; ADDRESS(9+3,CI$2+1))),"median", MEDIAN(INDIRECT(ADDRESS(9+3,CI$2+1,,,"Instances") &amp; ":" &amp; ADDRESS(9+3,CI$2+1))),"min", MIN(INDIRECT(ADDRESS(9+3,CI$2+1,,,"Instances") &amp; ":" &amp; ADDRESS(9+3,CI$2+1))),"max", MAX(INDIRECT(ADDRESS(9+3,CI$2+1,,,"Instances") &amp; ":" &amp; ADDRESS(9+3,CI$2+1))),"diff", MAX(INDIRECT(ADDRESS(9+3,CI$2+1,,,"Instances") &amp; ":" &amp; ADDRESS(9+3,CI$2+1)))-MIN(INDIRECT(ADDRESS(9+3,CI$2+1,,,"Instances") &amp; ":" &amp; ADDRESS(9+3,CI$2+1))))</f>
        <v>0</v>
      </c>
      <c r="CJ14">
        <f>IFERROR(SMALL(CI5:CI36,ROW()-ROW($CJ$5)+1),"")</f>
        <v>0</v>
      </c>
      <c r="CL14">
        <f>IFERROR(SUM(CJ5:CJ14),"")</f>
        <v>0</v>
      </c>
      <c r="CM14" cm="1">
        <f t="array" ref="CM14">_xlfn.SWITCH(Charts!$B$3,"average", AVERAGE(INDIRECT(ADDRESS(9+3,CM$2+1,,,"Instances") &amp; ":" &amp; ADDRESS(9+3,CM$2+1))),"median", MEDIAN(INDIRECT(ADDRESS(9+3,CM$2+1,,,"Instances") &amp; ":" &amp; ADDRESS(9+3,CM$2+1))),"min", MIN(INDIRECT(ADDRESS(9+3,CM$2+1,,,"Instances") &amp; ":" &amp; ADDRESS(9+3,CM$2+1))),"max", MAX(INDIRECT(ADDRESS(9+3,CM$2+1,,,"Instances") &amp; ":" &amp; ADDRESS(9+3,CM$2+1))),"diff", MAX(INDIRECT(ADDRESS(9+3,CM$2+1,,,"Instances") &amp; ":" &amp; ADDRESS(9+3,CM$2+1)))-MIN(INDIRECT(ADDRESS(9+3,CM$2+1,,,"Instances") &amp; ":" &amp; ADDRESS(9+3,CM$2+1))))</f>
        <v>0</v>
      </c>
      <c r="CN14">
        <f>IFERROR(SMALL(CM5:CM36,ROW()-ROW($CN$5)+1),"")</f>
        <v>0</v>
      </c>
      <c r="CP14">
        <f>IFERROR(SUM(CN5:CN14),"")</f>
        <v>0</v>
      </c>
      <c r="CQ14" cm="1">
        <f t="array" ref="CQ14">_xlfn.SWITCH(Charts!$B$3,"average", AVERAGE(INDIRECT(ADDRESS(9+3,CQ$2+1,,,"Instances") &amp; ":" &amp; ADDRESS(9+3,CQ$2+1))),"median", MEDIAN(INDIRECT(ADDRESS(9+3,CQ$2+1,,,"Instances") &amp; ":" &amp; ADDRESS(9+3,CQ$2+1))),"min", MIN(INDIRECT(ADDRESS(9+3,CQ$2+1,,,"Instances") &amp; ":" &amp; ADDRESS(9+3,CQ$2+1))),"max", MAX(INDIRECT(ADDRESS(9+3,CQ$2+1,,,"Instances") &amp; ":" &amp; ADDRESS(9+3,CQ$2+1))),"diff", MAX(INDIRECT(ADDRESS(9+3,CQ$2+1,,,"Instances") &amp; ":" &amp; ADDRESS(9+3,CQ$2+1)))-MIN(INDIRECT(ADDRESS(9+3,CQ$2+1,,,"Instances") &amp; ":" &amp; ADDRESS(9+3,CQ$2+1))))</f>
        <v>0</v>
      </c>
      <c r="CR14">
        <f>IFERROR(SMALL(CQ5:CQ36,ROW()-ROW($CR$5)+1),"")</f>
        <v>0</v>
      </c>
      <c r="CT14">
        <f>IFERROR(SUM(CR5:CR14),"")</f>
        <v>0</v>
      </c>
      <c r="CU14" cm="1">
        <f t="array" ref="CU14">_xlfn.SWITCH(Charts!$B$3,"average", AVERAGE(INDIRECT(ADDRESS(9+3,CU$2+1,,,"Instances") &amp; ":" &amp; ADDRESS(9+3,CU$2+1))),"median", MEDIAN(INDIRECT(ADDRESS(9+3,CU$2+1,,,"Instances") &amp; ":" &amp; ADDRESS(9+3,CU$2+1))),"min", MIN(INDIRECT(ADDRESS(9+3,CU$2+1,,,"Instances") &amp; ":" &amp; ADDRESS(9+3,CU$2+1))),"max", MAX(INDIRECT(ADDRESS(9+3,CU$2+1,,,"Instances") &amp; ":" &amp; ADDRESS(9+3,CU$2+1))),"diff", MAX(INDIRECT(ADDRESS(9+3,CU$2+1,,,"Instances") &amp; ":" &amp; ADDRESS(9+3,CU$2+1)))-MIN(INDIRECT(ADDRESS(9+3,CU$2+1,,,"Instances") &amp; ":" &amp; ADDRESS(9+3,CU$2+1))))</f>
        <v>0</v>
      </c>
      <c r="CV14">
        <f>IFERROR(SMALL(CU5:CU36,ROW()-ROW($CV$5)+1),"")</f>
        <v>0</v>
      </c>
      <c r="CX14">
        <f>IFERROR(SUM(CV5:CV14),"")</f>
        <v>0</v>
      </c>
      <c r="CY14" cm="1">
        <f t="array" ref="CY14">_xlfn.SWITCH(Charts!$B$3,"average", AVERAGE(INDIRECT(ADDRESS(9+3,CY$2+1,,,"Instances") &amp; ":" &amp; ADDRESS(9+3,CY$2+1))),"median", MEDIAN(INDIRECT(ADDRESS(9+3,CY$2+1,,,"Instances") &amp; ":" &amp; ADDRESS(9+3,CY$2+1))),"min", MIN(INDIRECT(ADDRESS(9+3,CY$2+1,,,"Instances") &amp; ":" &amp; ADDRESS(9+3,CY$2+1))),"max", MAX(INDIRECT(ADDRESS(9+3,CY$2+1,,,"Instances") &amp; ":" &amp; ADDRESS(9+3,CY$2+1))),"diff", MAX(INDIRECT(ADDRESS(9+3,CY$2+1,,,"Instances") &amp; ":" &amp; ADDRESS(9+3,CY$2+1)))-MIN(INDIRECT(ADDRESS(9+3,CY$2+1,,,"Instances") &amp; ":" &amp; ADDRESS(9+3,CY$2+1))))</f>
        <v>0</v>
      </c>
      <c r="CZ14">
        <f>IFERROR(SMALL(CY5:CY36,ROW()-ROW($CZ$5)+1),"")</f>
        <v>0</v>
      </c>
      <c r="DB14">
        <f>IFERROR(SUM(CZ5:CZ14),"")</f>
        <v>0</v>
      </c>
      <c r="DC14" cm="1">
        <f t="array" ref="DC14">_xlfn.SWITCH(Charts!$B$3,"average", AVERAGE(INDIRECT(ADDRESS(9+3,DC$2+1,,,"Instances") &amp; ":" &amp; ADDRESS(9+3,DC$2+1))),"median", MEDIAN(INDIRECT(ADDRESS(9+3,DC$2+1,,,"Instances") &amp; ":" &amp; ADDRESS(9+3,DC$2+1))),"min", MIN(INDIRECT(ADDRESS(9+3,DC$2+1,,,"Instances") &amp; ":" &amp; ADDRESS(9+3,DC$2+1))),"max", MAX(INDIRECT(ADDRESS(9+3,DC$2+1,,,"Instances") &amp; ":" &amp; ADDRESS(9+3,DC$2+1))),"diff", MAX(INDIRECT(ADDRESS(9+3,DC$2+1,,,"Instances") &amp; ":" &amp; ADDRESS(9+3,DC$2+1)))-MIN(INDIRECT(ADDRESS(9+3,DC$2+1,,,"Instances") &amp; ":" &amp; ADDRESS(9+3,DC$2+1))))</f>
        <v>0</v>
      </c>
      <c r="DD14">
        <f>IFERROR(SMALL(DC5:DC36,ROW()-ROW($DD$5)+1),"")</f>
        <v>0</v>
      </c>
      <c r="DF14">
        <f>IFERROR(SUM(DD5:DD14),"")</f>
        <v>0</v>
      </c>
      <c r="DG14" cm="1">
        <f t="array" ref="DG14">_xlfn.SWITCH(Charts!$B$3,"average", AVERAGE(INDIRECT(ADDRESS(9+3,DG$2+1,,,"Instances") &amp; ":" &amp; ADDRESS(9+3,DG$2+1))),"median", MEDIAN(INDIRECT(ADDRESS(9+3,DG$2+1,,,"Instances") &amp; ":" &amp; ADDRESS(9+3,DG$2+1))),"min", MIN(INDIRECT(ADDRESS(9+3,DG$2+1,,,"Instances") &amp; ":" &amp; ADDRESS(9+3,DG$2+1))),"max", MAX(INDIRECT(ADDRESS(9+3,DG$2+1,,,"Instances") &amp; ":" &amp; ADDRESS(9+3,DG$2+1))),"diff", MAX(INDIRECT(ADDRESS(9+3,DG$2+1,,,"Instances") &amp; ":" &amp; ADDRESS(9+3,DG$2+1)))-MIN(INDIRECT(ADDRESS(9+3,DG$2+1,,,"Instances") &amp; ":" &amp; ADDRESS(9+3,DG$2+1))))</f>
        <v>0</v>
      </c>
      <c r="DH14">
        <f>IFERROR(SMALL(DG5:DG36,ROW()-ROW($DH$5)+1),"")</f>
        <v>0</v>
      </c>
      <c r="DJ14">
        <f>IFERROR(SUM(DH5:DH14),"")</f>
        <v>0</v>
      </c>
      <c r="DK14" cm="1">
        <f t="array" ref="DK14">_xlfn.SWITCH(Charts!$B$3,"average", AVERAGE(INDIRECT(ADDRESS(9+3,DK$2+1,,,"Instances") &amp; ":" &amp; ADDRESS(9+3,DK$2+1))),"median", MEDIAN(INDIRECT(ADDRESS(9+3,DK$2+1,,,"Instances") &amp; ":" &amp; ADDRESS(9+3,DK$2+1))),"min", MIN(INDIRECT(ADDRESS(9+3,DK$2+1,,,"Instances") &amp; ":" &amp; ADDRESS(9+3,DK$2+1))),"max", MAX(INDIRECT(ADDRESS(9+3,DK$2+1,,,"Instances") &amp; ":" &amp; ADDRESS(9+3,DK$2+1))),"diff", MAX(INDIRECT(ADDRESS(9+3,DK$2+1,,,"Instances") &amp; ":" &amp; ADDRESS(9+3,DK$2+1)))-MIN(INDIRECT(ADDRESS(9+3,DK$2+1,,,"Instances") &amp; ":" &amp; ADDRESS(9+3,DK$2+1))))</f>
        <v>0</v>
      </c>
      <c r="DL14">
        <f>IFERROR(SMALL(DK5:DK36,ROW()-ROW($DL$5)+1),"")</f>
        <v>0</v>
      </c>
      <c r="DN14">
        <f>IFERROR(SUM(DL5:DL14),"")</f>
        <v>0</v>
      </c>
      <c r="DO14" cm="1">
        <f t="array" ref="DO14">_xlfn.SWITCH(Charts!$B$3,"average", AVERAGE(INDIRECT(ADDRESS(9+3,DO$2+1,,,"Instances") &amp; ":" &amp; ADDRESS(9+3,DO$2+1))),"median", MEDIAN(INDIRECT(ADDRESS(9+3,DO$2+1,,,"Instances") &amp; ":" &amp; ADDRESS(9+3,DO$2+1))),"min", MIN(INDIRECT(ADDRESS(9+3,DO$2+1,,,"Instances") &amp; ":" &amp; ADDRESS(9+3,DO$2+1))),"max", MAX(INDIRECT(ADDRESS(9+3,DO$2+1,,,"Instances") &amp; ":" &amp; ADDRESS(9+3,DO$2+1))),"diff", MAX(INDIRECT(ADDRESS(9+3,DO$2+1,,,"Instances") &amp; ":" &amp; ADDRESS(9+3,DO$2+1)))-MIN(INDIRECT(ADDRESS(9+3,DO$2+1,,,"Instances") &amp; ":" &amp; ADDRESS(9+3,DO$2+1))))</f>
        <v>0</v>
      </c>
      <c r="DP14">
        <f>IFERROR(SMALL(DO5:DO36,ROW()-ROW($DP$5)+1),"")</f>
        <v>0</v>
      </c>
      <c r="DR14">
        <f>IFERROR(SUM(DP5:DP14),"")</f>
        <v>0</v>
      </c>
      <c r="DS14" cm="1">
        <f t="array" ref="DS14">_xlfn.SWITCH(Charts!$B$3,"average", AVERAGE(INDIRECT(ADDRESS(9+3,DS$2+1,,,"Instances") &amp; ":" &amp; ADDRESS(9+3,DS$2+1))),"median", MEDIAN(INDIRECT(ADDRESS(9+3,DS$2+1,,,"Instances") &amp; ":" &amp; ADDRESS(9+3,DS$2+1))),"min", MIN(INDIRECT(ADDRESS(9+3,DS$2+1,,,"Instances") &amp; ":" &amp; ADDRESS(9+3,DS$2+1))),"max", MAX(INDIRECT(ADDRESS(9+3,DS$2+1,,,"Instances") &amp; ":" &amp; ADDRESS(9+3,DS$2+1))),"diff", MAX(INDIRECT(ADDRESS(9+3,DS$2+1,,,"Instances") &amp; ":" &amp; ADDRESS(9+3,DS$2+1)))-MIN(INDIRECT(ADDRESS(9+3,DS$2+1,,,"Instances") &amp; ":" &amp; ADDRESS(9+3,DS$2+1))))</f>
        <v>0</v>
      </c>
      <c r="DT14">
        <f>IFERROR(SMALL(DS5:DS36,ROW()-ROW($DT$5)+1),"")</f>
        <v>0</v>
      </c>
      <c r="DV14">
        <f>IFERROR(SUM(DT5:DT14),"")</f>
        <v>0</v>
      </c>
      <c r="DW14" cm="1">
        <f t="array" ref="DW14">_xlfn.SWITCH(Charts!$B$3,"average", AVERAGE(INDIRECT(ADDRESS(9+3,DW$2+1,,,"Instances") &amp; ":" &amp; ADDRESS(9+3,DW$2+1))),"median", MEDIAN(INDIRECT(ADDRESS(9+3,DW$2+1,,,"Instances") &amp; ":" &amp; ADDRESS(9+3,DW$2+1))),"min", MIN(INDIRECT(ADDRESS(9+3,DW$2+1,,,"Instances") &amp; ":" &amp; ADDRESS(9+3,DW$2+1))),"max", MAX(INDIRECT(ADDRESS(9+3,DW$2+1,,,"Instances") &amp; ":" &amp; ADDRESS(9+3,DW$2+1))),"diff", MAX(INDIRECT(ADDRESS(9+3,DW$2+1,,,"Instances") &amp; ":" &amp; ADDRESS(9+3,DW$2+1)))-MIN(INDIRECT(ADDRESS(9+3,DW$2+1,,,"Instances") &amp; ":" &amp; ADDRESS(9+3,DW$2+1))))</f>
        <v>0</v>
      </c>
      <c r="DX14">
        <f>IFERROR(SMALL(DW5:DW36,ROW()-ROW($DX$5)+1),"")</f>
        <v>0</v>
      </c>
      <c r="DZ14">
        <f>IFERROR(SUM(DX5:DX14),"")</f>
        <v>0</v>
      </c>
      <c r="EA14" cm="1">
        <f t="array" ref="EA14">_xlfn.SWITCH(Charts!$B$3,"average", AVERAGE(INDIRECT(ADDRESS(9+3,EA$2+1,,,"Instances") &amp; ":" &amp; ADDRESS(9+3,EA$2+1))),"median", MEDIAN(INDIRECT(ADDRESS(9+3,EA$2+1,,,"Instances") &amp; ":" &amp; ADDRESS(9+3,EA$2+1))),"min", MIN(INDIRECT(ADDRESS(9+3,EA$2+1,,,"Instances") &amp; ":" &amp; ADDRESS(9+3,EA$2+1))),"max", MAX(INDIRECT(ADDRESS(9+3,EA$2+1,,,"Instances") &amp; ":" &amp; ADDRESS(9+3,EA$2+1))),"diff", MAX(INDIRECT(ADDRESS(9+3,EA$2+1,,,"Instances") &amp; ":" &amp; ADDRESS(9+3,EA$2+1)))-MIN(INDIRECT(ADDRESS(9+3,EA$2+1,,,"Instances") &amp; ":" &amp; ADDRESS(9+3,EA$2+1))))</f>
        <v>0</v>
      </c>
      <c r="EB14">
        <f>IFERROR(SMALL(EA5:EA36,ROW()-ROW($EB$5)+1),"")</f>
        <v>0</v>
      </c>
      <c r="ED14">
        <f>IFERROR(SUM(EB5:EB14),"")</f>
        <v>0</v>
      </c>
      <c r="EG14">
        <f>IF(Charts!$B$3="none",E181,IF(BS181="",NA(),BS181))</f>
        <v>0</v>
      </c>
      <c r="EH14">
        <f>IF(Charts!$B$3="none",F181,IF(BT181="",NA(),BT181))</f>
        <v>0</v>
      </c>
      <c r="EI14">
        <f>IF(Charts!$B$3="none",G181,IF(BU181="",NA(),BU181))</f>
        <v>0</v>
      </c>
      <c r="EJ14">
        <f>IF(Charts!$B$3="none",H181,IF(BV181="",NA(),BV181))</f>
        <v>0</v>
      </c>
      <c r="EK14">
        <f>IF(Charts!$B$3="none",I181,IF(BW181="",NA(),BW181))</f>
        <v>0</v>
      </c>
      <c r="EL14">
        <f>IF(Charts!$B$3="none",J181,IF(BX181="",NA(),BX181))</f>
        <v>0</v>
      </c>
      <c r="EM14">
        <f>IF(Charts!$B$3="none",K181,IF(BY181="",NA(),BY181))</f>
        <v>0</v>
      </c>
      <c r="EN14">
        <f>IF(Charts!$B$3="none",L181,IF(BZ181="",NA(),BZ181))</f>
        <v>0</v>
      </c>
      <c r="EO14">
        <f>IF(Charts!$B$3="none",M181,IF(CA181="",NA(),CA181))</f>
        <v>0</v>
      </c>
      <c r="EP14">
        <f>IF(Charts!$B$3="none",N181,IF(CB181="",NA(),CB181))</f>
        <v>0</v>
      </c>
      <c r="EQ14">
        <f>IF(Charts!$B$3="none",O181,IF(CC181="",NA(),CC181))</f>
        <v>0</v>
      </c>
      <c r="ER14">
        <f>IF(Charts!$B$3="none",P181,IF(CD181="",NA(),CD181))</f>
        <v>0</v>
      </c>
      <c r="ES14">
        <f>IF(Charts!$B$3="none",Q181,IF(CE181="",NA(),CE181))</f>
        <v>0</v>
      </c>
      <c r="ET14">
        <f>IF(Charts!$B$3="none",R181,IF(CF181="",NA(),CF181))</f>
        <v>0</v>
      </c>
      <c r="EU14">
        <f>IF(Charts!$B$3="none",S181,IF(CG181="",NA(),CG181))</f>
        <v>0</v>
      </c>
      <c r="EV14">
        <f>IF(Charts!$B$3="none",T181,IF(CH181="",NA(),CH181))</f>
        <v>0</v>
      </c>
      <c r="EW14">
        <f>IF(Charts!$B$3="none",U181,IF(CI181="",NA(),CI181))</f>
        <v>0</v>
      </c>
      <c r="EX14">
        <f>IF(Charts!$B$3="none",V181,IF(CJ181="",NA(),CJ181))</f>
        <v>0</v>
      </c>
      <c r="EY14">
        <f>IF(Charts!$B$3="none",W181,IF(CK181="",NA(),CK181))</f>
        <v>0</v>
      </c>
      <c r="EZ14">
        <f>IF(Charts!$B$3="none",X181,IF(CL181="",NA(),CL181))</f>
        <v>0</v>
      </c>
      <c r="FA14">
        <f>IF(Charts!$B$3="none",Y181,IF(CM181="",NA(),CM181))</f>
        <v>0</v>
      </c>
      <c r="FB14">
        <f>IF(Charts!$B$3="none",Z181,IF(CN181="",NA(),CN181))</f>
        <v>0</v>
      </c>
      <c r="FC14">
        <f>IF(Charts!$B$3="none",AA181,IF(CO181="",NA(),CO181))</f>
        <v>0</v>
      </c>
      <c r="FD14">
        <f>IF(Charts!$B$3="none",AB181,IF(CP181="",NA(),CP181))</f>
        <v>0</v>
      </c>
      <c r="FE14">
        <f>IF(Charts!$B$3="none",AC181,IF(CQ181="",NA(),CQ181))</f>
        <v>0</v>
      </c>
      <c r="FF14">
        <f>IF(Charts!$B$3="none",AD181,IF(CR181="",NA(),CR181))</f>
        <v>0</v>
      </c>
      <c r="FG14">
        <f>IF(Charts!$B$3="none",AE181,IF(CS181="",NA(),CS181))</f>
        <v>0</v>
      </c>
      <c r="FH14">
        <f>IF(Charts!$B$3="none",AF181,IF(CT181="",NA(),CT181))</f>
        <v>0</v>
      </c>
      <c r="FI14">
        <f>IF(Charts!$B$3="none",AG181,IF(CU181="",NA(),CU181))</f>
        <v>0</v>
      </c>
      <c r="FJ14">
        <f>IF(Charts!$B$3="none",AH181,IF(CV181="",NA(),CV181))</f>
        <v>0</v>
      </c>
      <c r="FK14">
        <f>IF(Charts!$B$3="none",AI181,IF(CW181="",NA(),CW181))</f>
        <v>0</v>
      </c>
      <c r="FL14">
        <f>IF(Charts!$B$3="none",AJ181,IF(CX181="",NA(),CX181))</f>
        <v>0</v>
      </c>
      <c r="FM14">
        <f>IF(Charts!$B$3="none",AK181,IF(CY181="",NA(),CY181))</f>
        <v>0</v>
      </c>
      <c r="FN14">
        <f>IF(Charts!$B$3="none",AL181,IF(CZ181="",NA(),CZ181))</f>
        <v>0</v>
      </c>
      <c r="FO14">
        <f>IF(Charts!$B$3="none",AM181,IF(DA181="",NA(),DA181))</f>
        <v>0</v>
      </c>
      <c r="FP14">
        <f>IF(Charts!$B$3="none",AN181,IF(DB181="",NA(),DB181))</f>
        <v>0</v>
      </c>
      <c r="FQ14">
        <f>IF(Charts!$B$3="none",AO181,IF(DC181="",NA(),DC181))</f>
        <v>0</v>
      </c>
      <c r="FR14">
        <f>IF(Charts!$B$3="none",AP181,IF(DD181="",NA(),DD181))</f>
        <v>0</v>
      </c>
      <c r="FS14">
        <f>IF(Charts!$B$3="none",AQ181,IF(DE181="",NA(),DE181))</f>
        <v>0</v>
      </c>
      <c r="FT14">
        <f>IF(Charts!$B$3="none",AR181,IF(DF181="",NA(),DF181))</f>
        <v>0</v>
      </c>
      <c r="FU14">
        <f>IF(Charts!$B$3="none",AS181,IF(DG181="",NA(),DG181))</f>
        <v>0</v>
      </c>
      <c r="FV14">
        <f>IF(Charts!$B$3="none",AT181,IF(DH181="",NA(),DH181))</f>
        <v>0</v>
      </c>
      <c r="FW14">
        <f>IF(Charts!$B$3="none",AU181,IF(DI181="",NA(),DI181))</f>
        <v>0</v>
      </c>
      <c r="FX14">
        <f>IF(Charts!$B$3="none",AV181,IF(DJ181="",NA(),DJ181))</f>
        <v>0</v>
      </c>
      <c r="FY14">
        <f>IF(Charts!$B$3="none",AW181,IF(DK181="",NA(),DK181))</f>
        <v>0</v>
      </c>
      <c r="FZ14">
        <f>IF(Charts!$B$3="none",AX181,IF(DL181="",NA(),DL181))</f>
        <v>0</v>
      </c>
      <c r="GA14">
        <f>IF(Charts!$B$3="none",AY181,IF(DM181="",NA(),DM181))</f>
        <v>0</v>
      </c>
      <c r="GB14">
        <f>IF(Charts!$B$3="none",AZ181,IF(DN181="",NA(),DN181))</f>
        <v>0</v>
      </c>
      <c r="GC14">
        <f>IF(Charts!$B$3="none",BA181,IF(DO181="",NA(),DO181))</f>
        <v>0</v>
      </c>
      <c r="GD14">
        <f>IF(Charts!$B$3="none",BB181,IF(DP181="",NA(),DP181))</f>
        <v>0</v>
      </c>
      <c r="GE14">
        <f>IF(Charts!$B$3="none",BC181,IF(DQ181="",NA(),DQ181))</f>
        <v>0</v>
      </c>
      <c r="GF14">
        <f>IF(Charts!$B$3="none",BD181,IF(DR181="",NA(),DR181))</f>
        <v>0</v>
      </c>
      <c r="GG14">
        <f>IF(Charts!$B$3="none",BE181,IF(DS181="",NA(),DS181))</f>
        <v>0</v>
      </c>
      <c r="GH14">
        <f>IF(Charts!$B$3="none",BF181,IF(DT181="",NA(),DT181))</f>
        <v>0</v>
      </c>
      <c r="GI14">
        <f>IF(Charts!$B$3="none",BG181,IF(DU181="",NA(),DU181))</f>
        <v>0</v>
      </c>
      <c r="GJ14">
        <f>IF(Charts!$B$3="none",BH181,IF(DV181="",NA(),DV181))</f>
        <v>0</v>
      </c>
      <c r="GK14">
        <f>IF(Charts!$B$3="none",BI181,IF(DW181="",NA(),DW181))</f>
        <v>0</v>
      </c>
      <c r="GL14">
        <f>IF(Charts!$B$3="none",BJ181,IF(DX181="",NA(),DX181))</f>
        <v>0</v>
      </c>
      <c r="GM14">
        <f>IF(Charts!$B$3="none",BK181,IF(DY181="",NA(),DY181))</f>
        <v>0</v>
      </c>
      <c r="GN14">
        <f>IF(Charts!$B$3="none",BL181,IF(DZ181="",NA(),DZ181))</f>
        <v>0</v>
      </c>
      <c r="GO14">
        <f>IF(Charts!$B$3="none",BM181,IF(EA181="",NA(),EA181))</f>
        <v>0</v>
      </c>
      <c r="GP14">
        <f>IF(Charts!$B$3="none",BN181,IF(EB181="",NA(),EB181))</f>
        <v>0</v>
      </c>
      <c r="GQ14">
        <f>IF(Charts!$B$3="none",BO181,IF(EC181="",NA(),EC181))</f>
        <v>0</v>
      </c>
      <c r="GR14">
        <f>IF(Charts!$B$3="none",BP181,IF(ED181="",NA(),ED181))</f>
        <v>0</v>
      </c>
    </row>
    <row r="15" spans="1:200">
      <c r="A15" t="s">
        <v>54</v>
      </c>
      <c r="B15">
        <v>14</v>
      </c>
      <c r="D15">
        <v>11</v>
      </c>
      <c r="E15">
        <f>IF(INDIRECT(ADDRESS($D15+2,E$2+1,,,"Instances"))="","",INDIRECT(ADDRESS($D15+2,E$2+1,,,"Instances")))</f>
        <v>0</v>
      </c>
      <c r="F15">
        <f>IFERROR(SMALL(E5:E36,ROW()-ROW($F$5)+1),"")</f>
        <v>0</v>
      </c>
      <c r="H15">
        <f>IFERROR(SUM(F5:F15),"")</f>
        <v>0</v>
      </c>
      <c r="I15">
        <f>IF(INDIRECT(ADDRESS($D15+2,I$2+1,,,"Instances"))="","",INDIRECT(ADDRESS($D15+2,I$2+1,,,"Instances")))</f>
        <v>0</v>
      </c>
      <c r="J15">
        <f>IFERROR(SMALL(I5:I36,ROW()-ROW($J$5)+1),"")</f>
        <v>0</v>
      </c>
      <c r="L15">
        <f>IFERROR(SUM(J5:J15),"")</f>
        <v>0</v>
      </c>
      <c r="M15">
        <f>IF(INDIRECT(ADDRESS($D15+2,M$2+1,,,"Instances"))="","",INDIRECT(ADDRESS($D15+2,M$2+1,,,"Instances")))</f>
        <v>0</v>
      </c>
      <c r="N15">
        <f>IFERROR(SMALL(M5:M36,ROW()-ROW($N$5)+1),"")</f>
        <v>0</v>
      </c>
      <c r="P15">
        <f>IFERROR(SUM(N5:N15),"")</f>
        <v>0</v>
      </c>
      <c r="Q15">
        <f>IF(INDIRECT(ADDRESS($D15+2,Q$2+1,,,"Instances"))="","",INDIRECT(ADDRESS($D15+2,Q$2+1,,,"Instances")))</f>
        <v>0</v>
      </c>
      <c r="R15">
        <f>IFERROR(SMALL(Q5:Q36,ROW()-ROW($R$5)+1),"")</f>
        <v>0</v>
      </c>
      <c r="T15">
        <f>IFERROR(SUM(R5:R15),"")</f>
        <v>0</v>
      </c>
      <c r="U15">
        <f>IF(INDIRECT(ADDRESS($D15+2,U$2+1,,,"Instances"))="","",INDIRECT(ADDRESS($D15+2,U$2+1,,,"Instances")))</f>
        <v>0</v>
      </c>
      <c r="V15">
        <f>IFERROR(SMALL(U5:U36,ROW()-ROW($V$5)+1),"")</f>
        <v>0</v>
      </c>
      <c r="X15">
        <f>IFERROR(SUM(V5:V15),"")</f>
        <v>0</v>
      </c>
      <c r="Y15">
        <f>IF(INDIRECT(ADDRESS($D15+2,Y$2+1,,,"Instances"))="","",INDIRECT(ADDRESS($D15+2,Y$2+1,,,"Instances")))</f>
        <v>0</v>
      </c>
      <c r="Z15">
        <f>IFERROR(SMALL(Y5:Y36,ROW()-ROW($Z$5)+1),"")</f>
        <v>0</v>
      </c>
      <c r="AB15">
        <f>IFERROR(SUM(Z5:Z15),"")</f>
        <v>0</v>
      </c>
      <c r="AC15">
        <f>IF(INDIRECT(ADDRESS($D15+2,AC$2+1,,,"Instances"))="","",INDIRECT(ADDRESS($D15+2,AC$2+1,,,"Instances")))</f>
        <v>0</v>
      </c>
      <c r="AD15">
        <f>IFERROR(SMALL(AC5:AC36,ROW()-ROW($AD$5)+1),"")</f>
        <v>0</v>
      </c>
      <c r="AF15">
        <f>IFERROR(SUM(AD5:AD15),"")</f>
        <v>0</v>
      </c>
      <c r="AG15">
        <f>IF(INDIRECT(ADDRESS($D15+2,AG$2+1,,,"Instances"))="","",INDIRECT(ADDRESS($D15+2,AG$2+1,,,"Instances")))</f>
        <v>0</v>
      </c>
      <c r="AH15">
        <f>IFERROR(SMALL(AG5:AG36,ROW()-ROW($AH$5)+1),"")</f>
        <v>0</v>
      </c>
      <c r="AJ15">
        <f>IFERROR(SUM(AH5:AH15),"")</f>
        <v>0</v>
      </c>
      <c r="AK15">
        <f>IF(INDIRECT(ADDRESS($D15+2,AK$2+1,,,"Instances"))="","",INDIRECT(ADDRESS($D15+2,AK$2+1,,,"Instances")))</f>
        <v>0</v>
      </c>
      <c r="AL15">
        <f>IFERROR(SMALL(AK5:AK36,ROW()-ROW($AL$5)+1),"")</f>
        <v>0</v>
      </c>
      <c r="AN15">
        <f>IFERROR(SUM(AL5:AL15),"")</f>
        <v>0</v>
      </c>
      <c r="AO15">
        <f>IF(INDIRECT(ADDRESS($D15+2,AO$2+1,,,"Instances"))="","",INDIRECT(ADDRESS($D15+2,AO$2+1,,,"Instances")))</f>
        <v>0</v>
      </c>
      <c r="AP15">
        <f>IFERROR(SMALL(AO5:AO36,ROW()-ROW($AP$5)+1),"")</f>
        <v>0</v>
      </c>
      <c r="AR15">
        <f>IFERROR(SUM(AP5:AP15),"")</f>
        <v>0</v>
      </c>
      <c r="AS15">
        <f>IF(INDIRECT(ADDRESS($D15+2,AS$2+1,,,"Instances"))="","",INDIRECT(ADDRESS($D15+2,AS$2+1,,,"Instances")))</f>
        <v>0</v>
      </c>
      <c r="AT15">
        <f>IFERROR(SMALL(AS5:AS36,ROW()-ROW($AT$5)+1),"")</f>
        <v>0</v>
      </c>
      <c r="AV15">
        <f>IFERROR(SUM(AT5:AT15),"")</f>
        <v>0</v>
      </c>
      <c r="AW15">
        <f>IF(INDIRECT(ADDRESS($D15+2,AW$2+1,,,"Instances"))="","",INDIRECT(ADDRESS($D15+2,AW$2+1,,,"Instances")))</f>
        <v>0</v>
      </c>
      <c r="AX15">
        <f>IFERROR(SMALL(AW5:AW36,ROW()-ROW($AX$5)+1),"")</f>
        <v>0</v>
      </c>
      <c r="AZ15">
        <f>IFERROR(SUM(AX5:AX15),"")</f>
        <v>0</v>
      </c>
      <c r="BA15">
        <f>IF(INDIRECT(ADDRESS($D15+2,BA$2+1,,,"Instances"))="","",INDIRECT(ADDRESS($D15+2,BA$2+1,,,"Instances")))</f>
        <v>0</v>
      </c>
      <c r="BB15">
        <f>IFERROR(SMALL(BA5:BA36,ROW()-ROW($BB$5)+1),"")</f>
        <v>0</v>
      </c>
      <c r="BD15">
        <f>IFERROR(SUM(BB5:BB15),"")</f>
        <v>0</v>
      </c>
      <c r="BE15">
        <f>IF(INDIRECT(ADDRESS($D15+2,BE$2+1,,,"Instances"))="","",INDIRECT(ADDRESS($D15+2,BE$2+1,,,"Instances")))</f>
        <v>0</v>
      </c>
      <c r="BF15">
        <f>IFERROR(SMALL(BE5:BE36,ROW()-ROW($BF$5)+1),"")</f>
        <v>0</v>
      </c>
      <c r="BH15">
        <f>IFERROR(SUM(BF5:BF15),"")</f>
        <v>0</v>
      </c>
      <c r="BI15">
        <f>IF(INDIRECT(ADDRESS($D15+2,BI$2+1,,,"Instances"))="","",INDIRECT(ADDRESS($D15+2,BI$2+1,,,"Instances")))</f>
        <v>0</v>
      </c>
      <c r="BJ15">
        <f>IFERROR(SMALL(BI5:BI36,ROW()-ROW($BJ$5)+1),"")</f>
        <v>0</v>
      </c>
      <c r="BL15">
        <f>IFERROR(SUM(BJ5:BJ15),"")</f>
        <v>0</v>
      </c>
      <c r="BM15">
        <f>IF(INDIRECT(ADDRESS($D15+2,BM$2+1,,,"Instances"))="","",INDIRECT(ADDRESS($D15+2,BM$2+1,,,"Instances")))</f>
        <v>0</v>
      </c>
      <c r="BN15">
        <f>IFERROR(SMALL(BM5:BM36,ROW()-ROW($BN$5)+1),"")</f>
        <v>0</v>
      </c>
      <c r="BP15">
        <f>IFERROR(SUM(BN5:BN15),"")</f>
        <v>0</v>
      </c>
      <c r="BR15">
        <v>11</v>
      </c>
      <c r="BS15" cm="1">
        <f t="array" ref="BS15">_xlfn.SWITCH(Charts!$B$3,"average", AVERAGE(INDIRECT(ADDRESS(10+3,BS$2+1,,,"Instances") &amp; ":" &amp; ADDRESS(10+3,BS$2+1))),"median", MEDIAN(INDIRECT(ADDRESS(10+3,BS$2+1,,,"Instances") &amp; ":" &amp; ADDRESS(10+3,BS$2+1))),"min", MIN(INDIRECT(ADDRESS(10+3,BS$2+1,,,"Instances") &amp; ":" &amp; ADDRESS(10+3,BS$2+1))),"max", MAX(INDIRECT(ADDRESS(10+3,BS$2+1,,,"Instances") &amp; ":" &amp; ADDRESS(10+3,BS$2+1))),"diff", MAX(INDIRECT(ADDRESS(10+3,BS$2+1,,,"Instances") &amp; ":" &amp; ADDRESS(10+3,BS$2+1)))-MIN(INDIRECT(ADDRESS(10+3,BS$2+1,,,"Instances") &amp; ":" &amp; ADDRESS(10+3,BS$2+1))))</f>
        <v>0</v>
      </c>
      <c r="BT15">
        <f>IFERROR(SMALL(BS5:BS36,ROW()-ROW($BT$5)+1),"")</f>
        <v>0</v>
      </c>
      <c r="BV15">
        <f>IFERROR(SUM(BT5:BT15),"")</f>
        <v>0</v>
      </c>
      <c r="BW15" cm="1">
        <f t="array" ref="BW15">_xlfn.SWITCH(Charts!$B$3,"average", AVERAGE(INDIRECT(ADDRESS(10+3,BW$2+1,,,"Instances") &amp; ":" &amp; ADDRESS(10+3,BW$2+1))),"median", MEDIAN(INDIRECT(ADDRESS(10+3,BW$2+1,,,"Instances") &amp; ":" &amp; ADDRESS(10+3,BW$2+1))),"min", MIN(INDIRECT(ADDRESS(10+3,BW$2+1,,,"Instances") &amp; ":" &amp; ADDRESS(10+3,BW$2+1))),"max", MAX(INDIRECT(ADDRESS(10+3,BW$2+1,,,"Instances") &amp; ":" &amp; ADDRESS(10+3,BW$2+1))),"diff", MAX(INDIRECT(ADDRESS(10+3,BW$2+1,,,"Instances") &amp; ":" &amp; ADDRESS(10+3,BW$2+1)))-MIN(INDIRECT(ADDRESS(10+3,BW$2+1,,,"Instances") &amp; ":" &amp; ADDRESS(10+3,BW$2+1))))</f>
        <v>0</v>
      </c>
      <c r="BX15">
        <f>IFERROR(SMALL(BW5:BW36,ROW()-ROW($BX$5)+1),"")</f>
        <v>0</v>
      </c>
      <c r="BZ15">
        <f>IFERROR(SUM(BX5:BX15),"")</f>
        <v>0</v>
      </c>
      <c r="CA15" cm="1">
        <f t="array" ref="CA15">_xlfn.SWITCH(Charts!$B$3,"average", AVERAGE(INDIRECT(ADDRESS(10+3,CA$2+1,,,"Instances") &amp; ":" &amp; ADDRESS(10+3,CA$2+1))),"median", MEDIAN(INDIRECT(ADDRESS(10+3,CA$2+1,,,"Instances") &amp; ":" &amp; ADDRESS(10+3,CA$2+1))),"min", MIN(INDIRECT(ADDRESS(10+3,CA$2+1,,,"Instances") &amp; ":" &amp; ADDRESS(10+3,CA$2+1))),"max", MAX(INDIRECT(ADDRESS(10+3,CA$2+1,,,"Instances") &amp; ":" &amp; ADDRESS(10+3,CA$2+1))),"diff", MAX(INDIRECT(ADDRESS(10+3,CA$2+1,,,"Instances") &amp; ":" &amp; ADDRESS(10+3,CA$2+1)))-MIN(INDIRECT(ADDRESS(10+3,CA$2+1,,,"Instances") &amp; ":" &amp; ADDRESS(10+3,CA$2+1))))</f>
        <v>0</v>
      </c>
      <c r="CB15">
        <f>IFERROR(SMALL(CA5:CA36,ROW()-ROW($CB$5)+1),"")</f>
        <v>0</v>
      </c>
      <c r="CD15">
        <f>IFERROR(SUM(CB5:CB15),"")</f>
        <v>0</v>
      </c>
      <c r="CE15" cm="1">
        <f t="array" ref="CE15">_xlfn.SWITCH(Charts!$B$3,"average", AVERAGE(INDIRECT(ADDRESS(10+3,CE$2+1,,,"Instances") &amp; ":" &amp; ADDRESS(10+3,CE$2+1))),"median", MEDIAN(INDIRECT(ADDRESS(10+3,CE$2+1,,,"Instances") &amp; ":" &amp; ADDRESS(10+3,CE$2+1))),"min", MIN(INDIRECT(ADDRESS(10+3,CE$2+1,,,"Instances") &amp; ":" &amp; ADDRESS(10+3,CE$2+1))),"max", MAX(INDIRECT(ADDRESS(10+3,CE$2+1,,,"Instances") &amp; ":" &amp; ADDRESS(10+3,CE$2+1))),"diff", MAX(INDIRECT(ADDRESS(10+3,CE$2+1,,,"Instances") &amp; ":" &amp; ADDRESS(10+3,CE$2+1)))-MIN(INDIRECT(ADDRESS(10+3,CE$2+1,,,"Instances") &amp; ":" &amp; ADDRESS(10+3,CE$2+1))))</f>
        <v>0</v>
      </c>
      <c r="CF15">
        <f>IFERROR(SMALL(CE5:CE36,ROW()-ROW($CF$5)+1),"")</f>
        <v>0</v>
      </c>
      <c r="CH15">
        <f>IFERROR(SUM(CF5:CF15),"")</f>
        <v>0</v>
      </c>
      <c r="CI15" cm="1">
        <f t="array" ref="CI15">_xlfn.SWITCH(Charts!$B$3,"average", AVERAGE(INDIRECT(ADDRESS(10+3,CI$2+1,,,"Instances") &amp; ":" &amp; ADDRESS(10+3,CI$2+1))),"median", MEDIAN(INDIRECT(ADDRESS(10+3,CI$2+1,,,"Instances") &amp; ":" &amp; ADDRESS(10+3,CI$2+1))),"min", MIN(INDIRECT(ADDRESS(10+3,CI$2+1,,,"Instances") &amp; ":" &amp; ADDRESS(10+3,CI$2+1))),"max", MAX(INDIRECT(ADDRESS(10+3,CI$2+1,,,"Instances") &amp; ":" &amp; ADDRESS(10+3,CI$2+1))),"diff", MAX(INDIRECT(ADDRESS(10+3,CI$2+1,,,"Instances") &amp; ":" &amp; ADDRESS(10+3,CI$2+1)))-MIN(INDIRECT(ADDRESS(10+3,CI$2+1,,,"Instances") &amp; ":" &amp; ADDRESS(10+3,CI$2+1))))</f>
        <v>0</v>
      </c>
      <c r="CJ15">
        <f>IFERROR(SMALL(CI5:CI36,ROW()-ROW($CJ$5)+1),"")</f>
        <v>0</v>
      </c>
      <c r="CL15">
        <f>IFERROR(SUM(CJ5:CJ15),"")</f>
        <v>0</v>
      </c>
      <c r="CM15" cm="1">
        <f t="array" ref="CM15">_xlfn.SWITCH(Charts!$B$3,"average", AVERAGE(INDIRECT(ADDRESS(10+3,CM$2+1,,,"Instances") &amp; ":" &amp; ADDRESS(10+3,CM$2+1))),"median", MEDIAN(INDIRECT(ADDRESS(10+3,CM$2+1,,,"Instances") &amp; ":" &amp; ADDRESS(10+3,CM$2+1))),"min", MIN(INDIRECT(ADDRESS(10+3,CM$2+1,,,"Instances") &amp; ":" &amp; ADDRESS(10+3,CM$2+1))),"max", MAX(INDIRECT(ADDRESS(10+3,CM$2+1,,,"Instances") &amp; ":" &amp; ADDRESS(10+3,CM$2+1))),"diff", MAX(INDIRECT(ADDRESS(10+3,CM$2+1,,,"Instances") &amp; ":" &amp; ADDRESS(10+3,CM$2+1)))-MIN(INDIRECT(ADDRESS(10+3,CM$2+1,,,"Instances") &amp; ":" &amp; ADDRESS(10+3,CM$2+1))))</f>
        <v>0</v>
      </c>
      <c r="CN15">
        <f>IFERROR(SMALL(CM5:CM36,ROW()-ROW($CN$5)+1),"")</f>
        <v>0</v>
      </c>
      <c r="CP15">
        <f>IFERROR(SUM(CN5:CN15),"")</f>
        <v>0</v>
      </c>
      <c r="CQ15" cm="1">
        <f t="array" ref="CQ15">_xlfn.SWITCH(Charts!$B$3,"average", AVERAGE(INDIRECT(ADDRESS(10+3,CQ$2+1,,,"Instances") &amp; ":" &amp; ADDRESS(10+3,CQ$2+1))),"median", MEDIAN(INDIRECT(ADDRESS(10+3,CQ$2+1,,,"Instances") &amp; ":" &amp; ADDRESS(10+3,CQ$2+1))),"min", MIN(INDIRECT(ADDRESS(10+3,CQ$2+1,,,"Instances") &amp; ":" &amp; ADDRESS(10+3,CQ$2+1))),"max", MAX(INDIRECT(ADDRESS(10+3,CQ$2+1,,,"Instances") &amp; ":" &amp; ADDRESS(10+3,CQ$2+1))),"diff", MAX(INDIRECT(ADDRESS(10+3,CQ$2+1,,,"Instances") &amp; ":" &amp; ADDRESS(10+3,CQ$2+1)))-MIN(INDIRECT(ADDRESS(10+3,CQ$2+1,,,"Instances") &amp; ":" &amp; ADDRESS(10+3,CQ$2+1))))</f>
        <v>0</v>
      </c>
      <c r="CR15">
        <f>IFERROR(SMALL(CQ5:CQ36,ROW()-ROW($CR$5)+1),"")</f>
        <v>0</v>
      </c>
      <c r="CT15">
        <f>IFERROR(SUM(CR5:CR15),"")</f>
        <v>0</v>
      </c>
      <c r="CU15" cm="1">
        <f t="array" ref="CU15">_xlfn.SWITCH(Charts!$B$3,"average", AVERAGE(INDIRECT(ADDRESS(10+3,CU$2+1,,,"Instances") &amp; ":" &amp; ADDRESS(10+3,CU$2+1))),"median", MEDIAN(INDIRECT(ADDRESS(10+3,CU$2+1,,,"Instances") &amp; ":" &amp; ADDRESS(10+3,CU$2+1))),"min", MIN(INDIRECT(ADDRESS(10+3,CU$2+1,,,"Instances") &amp; ":" &amp; ADDRESS(10+3,CU$2+1))),"max", MAX(INDIRECT(ADDRESS(10+3,CU$2+1,,,"Instances") &amp; ":" &amp; ADDRESS(10+3,CU$2+1))),"diff", MAX(INDIRECT(ADDRESS(10+3,CU$2+1,,,"Instances") &amp; ":" &amp; ADDRESS(10+3,CU$2+1)))-MIN(INDIRECT(ADDRESS(10+3,CU$2+1,,,"Instances") &amp; ":" &amp; ADDRESS(10+3,CU$2+1))))</f>
        <v>0</v>
      </c>
      <c r="CV15">
        <f>IFERROR(SMALL(CU5:CU36,ROW()-ROW($CV$5)+1),"")</f>
        <v>0</v>
      </c>
      <c r="CX15">
        <f>IFERROR(SUM(CV5:CV15),"")</f>
        <v>0</v>
      </c>
      <c r="CY15" cm="1">
        <f t="array" ref="CY15">_xlfn.SWITCH(Charts!$B$3,"average", AVERAGE(INDIRECT(ADDRESS(10+3,CY$2+1,,,"Instances") &amp; ":" &amp; ADDRESS(10+3,CY$2+1))),"median", MEDIAN(INDIRECT(ADDRESS(10+3,CY$2+1,,,"Instances") &amp; ":" &amp; ADDRESS(10+3,CY$2+1))),"min", MIN(INDIRECT(ADDRESS(10+3,CY$2+1,,,"Instances") &amp; ":" &amp; ADDRESS(10+3,CY$2+1))),"max", MAX(INDIRECT(ADDRESS(10+3,CY$2+1,,,"Instances") &amp; ":" &amp; ADDRESS(10+3,CY$2+1))),"diff", MAX(INDIRECT(ADDRESS(10+3,CY$2+1,,,"Instances") &amp; ":" &amp; ADDRESS(10+3,CY$2+1)))-MIN(INDIRECT(ADDRESS(10+3,CY$2+1,,,"Instances") &amp; ":" &amp; ADDRESS(10+3,CY$2+1))))</f>
        <v>0</v>
      </c>
      <c r="CZ15">
        <f>IFERROR(SMALL(CY5:CY36,ROW()-ROW($CZ$5)+1),"")</f>
        <v>0</v>
      </c>
      <c r="DB15">
        <f>IFERROR(SUM(CZ5:CZ15),"")</f>
        <v>0</v>
      </c>
      <c r="DC15" cm="1">
        <f t="array" ref="DC15">_xlfn.SWITCH(Charts!$B$3,"average", AVERAGE(INDIRECT(ADDRESS(10+3,DC$2+1,,,"Instances") &amp; ":" &amp; ADDRESS(10+3,DC$2+1))),"median", MEDIAN(INDIRECT(ADDRESS(10+3,DC$2+1,,,"Instances") &amp; ":" &amp; ADDRESS(10+3,DC$2+1))),"min", MIN(INDIRECT(ADDRESS(10+3,DC$2+1,,,"Instances") &amp; ":" &amp; ADDRESS(10+3,DC$2+1))),"max", MAX(INDIRECT(ADDRESS(10+3,DC$2+1,,,"Instances") &amp; ":" &amp; ADDRESS(10+3,DC$2+1))),"diff", MAX(INDIRECT(ADDRESS(10+3,DC$2+1,,,"Instances") &amp; ":" &amp; ADDRESS(10+3,DC$2+1)))-MIN(INDIRECT(ADDRESS(10+3,DC$2+1,,,"Instances") &amp; ":" &amp; ADDRESS(10+3,DC$2+1))))</f>
        <v>0</v>
      </c>
      <c r="DD15">
        <f>IFERROR(SMALL(DC5:DC36,ROW()-ROW($DD$5)+1),"")</f>
        <v>0</v>
      </c>
      <c r="DF15">
        <f>IFERROR(SUM(DD5:DD15),"")</f>
        <v>0</v>
      </c>
      <c r="DG15" cm="1">
        <f t="array" ref="DG15">_xlfn.SWITCH(Charts!$B$3,"average", AVERAGE(INDIRECT(ADDRESS(10+3,DG$2+1,,,"Instances") &amp; ":" &amp; ADDRESS(10+3,DG$2+1))),"median", MEDIAN(INDIRECT(ADDRESS(10+3,DG$2+1,,,"Instances") &amp; ":" &amp; ADDRESS(10+3,DG$2+1))),"min", MIN(INDIRECT(ADDRESS(10+3,DG$2+1,,,"Instances") &amp; ":" &amp; ADDRESS(10+3,DG$2+1))),"max", MAX(INDIRECT(ADDRESS(10+3,DG$2+1,,,"Instances") &amp; ":" &amp; ADDRESS(10+3,DG$2+1))),"diff", MAX(INDIRECT(ADDRESS(10+3,DG$2+1,,,"Instances") &amp; ":" &amp; ADDRESS(10+3,DG$2+1)))-MIN(INDIRECT(ADDRESS(10+3,DG$2+1,,,"Instances") &amp; ":" &amp; ADDRESS(10+3,DG$2+1))))</f>
        <v>0</v>
      </c>
      <c r="DH15">
        <f>IFERROR(SMALL(DG5:DG36,ROW()-ROW($DH$5)+1),"")</f>
        <v>0</v>
      </c>
      <c r="DJ15">
        <f>IFERROR(SUM(DH5:DH15),"")</f>
        <v>0</v>
      </c>
      <c r="DK15" cm="1">
        <f t="array" ref="DK15">_xlfn.SWITCH(Charts!$B$3,"average", AVERAGE(INDIRECT(ADDRESS(10+3,DK$2+1,,,"Instances") &amp; ":" &amp; ADDRESS(10+3,DK$2+1))),"median", MEDIAN(INDIRECT(ADDRESS(10+3,DK$2+1,,,"Instances") &amp; ":" &amp; ADDRESS(10+3,DK$2+1))),"min", MIN(INDIRECT(ADDRESS(10+3,DK$2+1,,,"Instances") &amp; ":" &amp; ADDRESS(10+3,DK$2+1))),"max", MAX(INDIRECT(ADDRESS(10+3,DK$2+1,,,"Instances") &amp; ":" &amp; ADDRESS(10+3,DK$2+1))),"diff", MAX(INDIRECT(ADDRESS(10+3,DK$2+1,,,"Instances") &amp; ":" &amp; ADDRESS(10+3,DK$2+1)))-MIN(INDIRECT(ADDRESS(10+3,DK$2+1,,,"Instances") &amp; ":" &amp; ADDRESS(10+3,DK$2+1))))</f>
        <v>0</v>
      </c>
      <c r="DL15">
        <f>IFERROR(SMALL(DK5:DK36,ROW()-ROW($DL$5)+1),"")</f>
        <v>0</v>
      </c>
      <c r="DN15">
        <f>IFERROR(SUM(DL5:DL15),"")</f>
        <v>0</v>
      </c>
      <c r="DO15" cm="1">
        <f t="array" ref="DO15">_xlfn.SWITCH(Charts!$B$3,"average", AVERAGE(INDIRECT(ADDRESS(10+3,DO$2+1,,,"Instances") &amp; ":" &amp; ADDRESS(10+3,DO$2+1))),"median", MEDIAN(INDIRECT(ADDRESS(10+3,DO$2+1,,,"Instances") &amp; ":" &amp; ADDRESS(10+3,DO$2+1))),"min", MIN(INDIRECT(ADDRESS(10+3,DO$2+1,,,"Instances") &amp; ":" &amp; ADDRESS(10+3,DO$2+1))),"max", MAX(INDIRECT(ADDRESS(10+3,DO$2+1,,,"Instances") &amp; ":" &amp; ADDRESS(10+3,DO$2+1))),"diff", MAX(INDIRECT(ADDRESS(10+3,DO$2+1,,,"Instances") &amp; ":" &amp; ADDRESS(10+3,DO$2+1)))-MIN(INDIRECT(ADDRESS(10+3,DO$2+1,,,"Instances") &amp; ":" &amp; ADDRESS(10+3,DO$2+1))))</f>
        <v>0</v>
      </c>
      <c r="DP15">
        <f>IFERROR(SMALL(DO5:DO36,ROW()-ROW($DP$5)+1),"")</f>
        <v>0</v>
      </c>
      <c r="DR15">
        <f>IFERROR(SUM(DP5:DP15),"")</f>
        <v>0</v>
      </c>
      <c r="DS15" cm="1">
        <f t="array" ref="DS15">_xlfn.SWITCH(Charts!$B$3,"average", AVERAGE(INDIRECT(ADDRESS(10+3,DS$2+1,,,"Instances") &amp; ":" &amp; ADDRESS(10+3,DS$2+1))),"median", MEDIAN(INDIRECT(ADDRESS(10+3,DS$2+1,,,"Instances") &amp; ":" &amp; ADDRESS(10+3,DS$2+1))),"min", MIN(INDIRECT(ADDRESS(10+3,DS$2+1,,,"Instances") &amp; ":" &amp; ADDRESS(10+3,DS$2+1))),"max", MAX(INDIRECT(ADDRESS(10+3,DS$2+1,,,"Instances") &amp; ":" &amp; ADDRESS(10+3,DS$2+1))),"diff", MAX(INDIRECT(ADDRESS(10+3,DS$2+1,,,"Instances") &amp; ":" &amp; ADDRESS(10+3,DS$2+1)))-MIN(INDIRECT(ADDRESS(10+3,DS$2+1,,,"Instances") &amp; ":" &amp; ADDRESS(10+3,DS$2+1))))</f>
        <v>0</v>
      </c>
      <c r="DT15">
        <f>IFERROR(SMALL(DS5:DS36,ROW()-ROW($DT$5)+1),"")</f>
        <v>0</v>
      </c>
      <c r="DV15">
        <f>IFERROR(SUM(DT5:DT15),"")</f>
        <v>0</v>
      </c>
      <c r="DW15" cm="1">
        <f t="array" ref="DW15">_xlfn.SWITCH(Charts!$B$3,"average", AVERAGE(INDIRECT(ADDRESS(10+3,DW$2+1,,,"Instances") &amp; ":" &amp; ADDRESS(10+3,DW$2+1))),"median", MEDIAN(INDIRECT(ADDRESS(10+3,DW$2+1,,,"Instances") &amp; ":" &amp; ADDRESS(10+3,DW$2+1))),"min", MIN(INDIRECT(ADDRESS(10+3,DW$2+1,,,"Instances") &amp; ":" &amp; ADDRESS(10+3,DW$2+1))),"max", MAX(INDIRECT(ADDRESS(10+3,DW$2+1,,,"Instances") &amp; ":" &amp; ADDRESS(10+3,DW$2+1))),"diff", MAX(INDIRECT(ADDRESS(10+3,DW$2+1,,,"Instances") &amp; ":" &amp; ADDRESS(10+3,DW$2+1)))-MIN(INDIRECT(ADDRESS(10+3,DW$2+1,,,"Instances") &amp; ":" &amp; ADDRESS(10+3,DW$2+1))))</f>
        <v>0</v>
      </c>
      <c r="DX15">
        <f>IFERROR(SMALL(DW5:DW36,ROW()-ROW($DX$5)+1),"")</f>
        <v>0</v>
      </c>
      <c r="DZ15">
        <f>IFERROR(SUM(DX5:DX15),"")</f>
        <v>0</v>
      </c>
      <c r="EA15" cm="1">
        <f t="array" ref="EA15">_xlfn.SWITCH(Charts!$B$3,"average", AVERAGE(INDIRECT(ADDRESS(10+3,EA$2+1,,,"Instances") &amp; ":" &amp; ADDRESS(10+3,EA$2+1))),"median", MEDIAN(INDIRECT(ADDRESS(10+3,EA$2+1,,,"Instances") &amp; ":" &amp; ADDRESS(10+3,EA$2+1))),"min", MIN(INDIRECT(ADDRESS(10+3,EA$2+1,,,"Instances") &amp; ":" &amp; ADDRESS(10+3,EA$2+1))),"max", MAX(INDIRECT(ADDRESS(10+3,EA$2+1,,,"Instances") &amp; ":" &amp; ADDRESS(10+3,EA$2+1))),"diff", MAX(INDIRECT(ADDRESS(10+3,EA$2+1,,,"Instances") &amp; ":" &amp; ADDRESS(10+3,EA$2+1)))-MIN(INDIRECT(ADDRESS(10+3,EA$2+1,,,"Instances") &amp; ":" &amp; ADDRESS(10+3,EA$2+1))))</f>
        <v>0</v>
      </c>
      <c r="EB15">
        <f>IFERROR(SMALL(EA5:EA36,ROW()-ROW($EB$5)+1),"")</f>
        <v>0</v>
      </c>
      <c r="ED15">
        <f>IFERROR(SUM(EB5:EB15),"")</f>
        <v>0</v>
      </c>
      <c r="EG15">
        <f>IF(Charts!$B$3="none",E182,IF(BS182="",NA(),BS182))</f>
        <v>0</v>
      </c>
      <c r="EH15">
        <f>IF(Charts!$B$3="none",F182,IF(BT182="",NA(),BT182))</f>
        <v>0</v>
      </c>
      <c r="EI15">
        <f>IF(Charts!$B$3="none",G182,IF(BU182="",NA(),BU182))</f>
        <v>0</v>
      </c>
      <c r="EJ15">
        <f>IF(Charts!$B$3="none",H182,IF(BV182="",NA(),BV182))</f>
        <v>0</v>
      </c>
      <c r="EK15">
        <f>IF(Charts!$B$3="none",I182,IF(BW182="",NA(),BW182))</f>
        <v>0</v>
      </c>
      <c r="EL15">
        <f>IF(Charts!$B$3="none",J182,IF(BX182="",NA(),BX182))</f>
        <v>0</v>
      </c>
      <c r="EM15">
        <f>IF(Charts!$B$3="none",K182,IF(BY182="",NA(),BY182))</f>
        <v>0</v>
      </c>
      <c r="EN15">
        <f>IF(Charts!$B$3="none",L182,IF(BZ182="",NA(),BZ182))</f>
        <v>0</v>
      </c>
      <c r="EO15">
        <f>IF(Charts!$B$3="none",M182,IF(CA182="",NA(),CA182))</f>
        <v>0</v>
      </c>
      <c r="EP15">
        <f>IF(Charts!$B$3="none",N182,IF(CB182="",NA(),CB182))</f>
        <v>0</v>
      </c>
      <c r="EQ15">
        <f>IF(Charts!$B$3="none",O182,IF(CC182="",NA(),CC182))</f>
        <v>0</v>
      </c>
      <c r="ER15">
        <f>IF(Charts!$B$3="none",P182,IF(CD182="",NA(),CD182))</f>
        <v>0</v>
      </c>
      <c r="ES15">
        <f>IF(Charts!$B$3="none",Q182,IF(CE182="",NA(),CE182))</f>
        <v>0</v>
      </c>
      <c r="ET15">
        <f>IF(Charts!$B$3="none",R182,IF(CF182="",NA(),CF182))</f>
        <v>0</v>
      </c>
      <c r="EU15">
        <f>IF(Charts!$B$3="none",S182,IF(CG182="",NA(),CG182))</f>
        <v>0</v>
      </c>
      <c r="EV15">
        <f>IF(Charts!$B$3="none",T182,IF(CH182="",NA(),CH182))</f>
        <v>0</v>
      </c>
      <c r="EW15">
        <f>IF(Charts!$B$3="none",U182,IF(CI182="",NA(),CI182))</f>
        <v>0</v>
      </c>
      <c r="EX15">
        <f>IF(Charts!$B$3="none",V182,IF(CJ182="",NA(),CJ182))</f>
        <v>0</v>
      </c>
      <c r="EY15">
        <f>IF(Charts!$B$3="none",W182,IF(CK182="",NA(),CK182))</f>
        <v>0</v>
      </c>
      <c r="EZ15">
        <f>IF(Charts!$B$3="none",X182,IF(CL182="",NA(),CL182))</f>
        <v>0</v>
      </c>
      <c r="FA15">
        <f>IF(Charts!$B$3="none",Y182,IF(CM182="",NA(),CM182))</f>
        <v>0</v>
      </c>
      <c r="FB15">
        <f>IF(Charts!$B$3="none",Z182,IF(CN182="",NA(),CN182))</f>
        <v>0</v>
      </c>
      <c r="FC15">
        <f>IF(Charts!$B$3="none",AA182,IF(CO182="",NA(),CO182))</f>
        <v>0</v>
      </c>
      <c r="FD15">
        <f>IF(Charts!$B$3="none",AB182,IF(CP182="",NA(),CP182))</f>
        <v>0</v>
      </c>
      <c r="FE15">
        <f>IF(Charts!$B$3="none",AC182,IF(CQ182="",NA(),CQ182))</f>
        <v>0</v>
      </c>
      <c r="FF15">
        <f>IF(Charts!$B$3="none",AD182,IF(CR182="",NA(),CR182))</f>
        <v>0</v>
      </c>
      <c r="FG15">
        <f>IF(Charts!$B$3="none",AE182,IF(CS182="",NA(),CS182))</f>
        <v>0</v>
      </c>
      <c r="FH15">
        <f>IF(Charts!$B$3="none",AF182,IF(CT182="",NA(),CT182))</f>
        <v>0</v>
      </c>
      <c r="FI15">
        <f>IF(Charts!$B$3="none",AG182,IF(CU182="",NA(),CU182))</f>
        <v>0</v>
      </c>
      <c r="FJ15">
        <f>IF(Charts!$B$3="none",AH182,IF(CV182="",NA(),CV182))</f>
        <v>0</v>
      </c>
      <c r="FK15">
        <f>IF(Charts!$B$3="none",AI182,IF(CW182="",NA(),CW182))</f>
        <v>0</v>
      </c>
      <c r="FL15">
        <f>IF(Charts!$B$3="none",AJ182,IF(CX182="",NA(),CX182))</f>
        <v>0</v>
      </c>
      <c r="FM15">
        <f>IF(Charts!$B$3="none",AK182,IF(CY182="",NA(),CY182))</f>
        <v>0</v>
      </c>
      <c r="FN15">
        <f>IF(Charts!$B$3="none",AL182,IF(CZ182="",NA(),CZ182))</f>
        <v>0</v>
      </c>
      <c r="FO15">
        <f>IF(Charts!$B$3="none",AM182,IF(DA182="",NA(),DA182))</f>
        <v>0</v>
      </c>
      <c r="FP15">
        <f>IF(Charts!$B$3="none",AN182,IF(DB182="",NA(),DB182))</f>
        <v>0</v>
      </c>
      <c r="FQ15">
        <f>IF(Charts!$B$3="none",AO182,IF(DC182="",NA(),DC182))</f>
        <v>0</v>
      </c>
      <c r="FR15">
        <f>IF(Charts!$B$3="none",AP182,IF(DD182="",NA(),DD182))</f>
        <v>0</v>
      </c>
      <c r="FS15">
        <f>IF(Charts!$B$3="none",AQ182,IF(DE182="",NA(),DE182))</f>
        <v>0</v>
      </c>
      <c r="FT15">
        <f>IF(Charts!$B$3="none",AR182,IF(DF182="",NA(),DF182))</f>
        <v>0</v>
      </c>
      <c r="FU15">
        <f>IF(Charts!$B$3="none",AS182,IF(DG182="",NA(),DG182))</f>
        <v>0</v>
      </c>
      <c r="FV15">
        <f>IF(Charts!$B$3="none",AT182,IF(DH182="",NA(),DH182))</f>
        <v>0</v>
      </c>
      <c r="FW15">
        <f>IF(Charts!$B$3="none",AU182,IF(DI182="",NA(),DI182))</f>
        <v>0</v>
      </c>
      <c r="FX15">
        <f>IF(Charts!$B$3="none",AV182,IF(DJ182="",NA(),DJ182))</f>
        <v>0</v>
      </c>
      <c r="FY15">
        <f>IF(Charts!$B$3="none",AW182,IF(DK182="",NA(),DK182))</f>
        <v>0</v>
      </c>
      <c r="FZ15">
        <f>IF(Charts!$B$3="none",AX182,IF(DL182="",NA(),DL182))</f>
        <v>0</v>
      </c>
      <c r="GA15">
        <f>IF(Charts!$B$3="none",AY182,IF(DM182="",NA(),DM182))</f>
        <v>0</v>
      </c>
      <c r="GB15">
        <f>IF(Charts!$B$3="none",AZ182,IF(DN182="",NA(),DN182))</f>
        <v>0</v>
      </c>
      <c r="GC15">
        <f>IF(Charts!$B$3="none",BA182,IF(DO182="",NA(),DO182))</f>
        <v>0</v>
      </c>
      <c r="GD15">
        <f>IF(Charts!$B$3="none",BB182,IF(DP182="",NA(),DP182))</f>
        <v>0</v>
      </c>
      <c r="GE15">
        <f>IF(Charts!$B$3="none",BC182,IF(DQ182="",NA(),DQ182))</f>
        <v>0</v>
      </c>
      <c r="GF15">
        <f>IF(Charts!$B$3="none",BD182,IF(DR182="",NA(),DR182))</f>
        <v>0</v>
      </c>
      <c r="GG15">
        <f>IF(Charts!$B$3="none",BE182,IF(DS182="",NA(),DS182))</f>
        <v>0</v>
      </c>
      <c r="GH15">
        <f>IF(Charts!$B$3="none",BF182,IF(DT182="",NA(),DT182))</f>
        <v>0</v>
      </c>
      <c r="GI15">
        <f>IF(Charts!$B$3="none",BG182,IF(DU182="",NA(),DU182))</f>
        <v>0</v>
      </c>
      <c r="GJ15">
        <f>IF(Charts!$B$3="none",BH182,IF(DV182="",NA(),DV182))</f>
        <v>0</v>
      </c>
      <c r="GK15">
        <f>IF(Charts!$B$3="none",BI182,IF(DW182="",NA(),DW182))</f>
        <v>0</v>
      </c>
      <c r="GL15">
        <f>IF(Charts!$B$3="none",BJ182,IF(DX182="",NA(),DX182))</f>
        <v>0</v>
      </c>
      <c r="GM15">
        <f>IF(Charts!$B$3="none",BK182,IF(DY182="",NA(),DY182))</f>
        <v>0</v>
      </c>
      <c r="GN15">
        <f>IF(Charts!$B$3="none",BL182,IF(DZ182="",NA(),DZ182))</f>
        <v>0</v>
      </c>
      <c r="GO15">
        <f>IF(Charts!$B$3="none",BM182,IF(EA182="",NA(),EA182))</f>
        <v>0</v>
      </c>
      <c r="GP15">
        <f>IF(Charts!$B$3="none",BN182,IF(EB182="",NA(),EB182))</f>
        <v>0</v>
      </c>
      <c r="GQ15">
        <f>IF(Charts!$B$3="none",BO182,IF(EC182="",NA(),EC182))</f>
        <v>0</v>
      </c>
      <c r="GR15">
        <f>IF(Charts!$B$3="none",BP182,IF(ED182="",NA(),ED182))</f>
        <v>0</v>
      </c>
    </row>
    <row r="16" spans="1:200">
      <c r="A16" t="s">
        <v>58</v>
      </c>
      <c r="B16">
        <v>16</v>
      </c>
      <c r="D16">
        <v>12</v>
      </c>
      <c r="E16">
        <f>IF(INDIRECT(ADDRESS($D16+2,E$2+1,,,"Instances"))="","",INDIRECT(ADDRESS($D16+2,E$2+1,,,"Instances")))</f>
        <v>0</v>
      </c>
      <c r="F16">
        <f>IFERROR(SMALL(E5:E36,ROW()-ROW($F$5)+1),"")</f>
        <v>0</v>
      </c>
      <c r="H16">
        <f>IFERROR(SUM(F5:F16),"")</f>
        <v>0</v>
      </c>
      <c r="I16">
        <f>IF(INDIRECT(ADDRESS($D16+2,I$2+1,,,"Instances"))="","",INDIRECT(ADDRESS($D16+2,I$2+1,,,"Instances")))</f>
        <v>0</v>
      </c>
      <c r="J16">
        <f>IFERROR(SMALL(I5:I36,ROW()-ROW($J$5)+1),"")</f>
        <v>0</v>
      </c>
      <c r="L16">
        <f>IFERROR(SUM(J5:J16),"")</f>
        <v>0</v>
      </c>
      <c r="M16">
        <f>IF(INDIRECT(ADDRESS($D16+2,M$2+1,,,"Instances"))="","",INDIRECT(ADDRESS($D16+2,M$2+1,,,"Instances")))</f>
        <v>0</v>
      </c>
      <c r="N16">
        <f>IFERROR(SMALL(M5:M36,ROW()-ROW($N$5)+1),"")</f>
        <v>0</v>
      </c>
      <c r="P16">
        <f>IFERROR(SUM(N5:N16),"")</f>
        <v>0</v>
      </c>
      <c r="Q16">
        <f>IF(INDIRECT(ADDRESS($D16+2,Q$2+1,,,"Instances"))="","",INDIRECT(ADDRESS($D16+2,Q$2+1,,,"Instances")))</f>
        <v>0</v>
      </c>
      <c r="R16">
        <f>IFERROR(SMALL(Q5:Q36,ROW()-ROW($R$5)+1),"")</f>
        <v>0</v>
      </c>
      <c r="T16">
        <f>IFERROR(SUM(R5:R16),"")</f>
        <v>0</v>
      </c>
      <c r="U16">
        <f>IF(INDIRECT(ADDRESS($D16+2,U$2+1,,,"Instances"))="","",INDIRECT(ADDRESS($D16+2,U$2+1,,,"Instances")))</f>
        <v>0</v>
      </c>
      <c r="V16">
        <f>IFERROR(SMALL(U5:U36,ROW()-ROW($V$5)+1),"")</f>
        <v>0</v>
      </c>
      <c r="X16">
        <f>IFERROR(SUM(V5:V16),"")</f>
        <v>0</v>
      </c>
      <c r="Y16">
        <f>IF(INDIRECT(ADDRESS($D16+2,Y$2+1,,,"Instances"))="","",INDIRECT(ADDRESS($D16+2,Y$2+1,,,"Instances")))</f>
        <v>0</v>
      </c>
      <c r="Z16">
        <f>IFERROR(SMALL(Y5:Y36,ROW()-ROW($Z$5)+1),"")</f>
        <v>0</v>
      </c>
      <c r="AB16">
        <f>IFERROR(SUM(Z5:Z16),"")</f>
        <v>0</v>
      </c>
      <c r="AC16">
        <f>IF(INDIRECT(ADDRESS($D16+2,AC$2+1,,,"Instances"))="","",INDIRECT(ADDRESS($D16+2,AC$2+1,,,"Instances")))</f>
        <v>0</v>
      </c>
      <c r="AD16">
        <f>IFERROR(SMALL(AC5:AC36,ROW()-ROW($AD$5)+1),"")</f>
        <v>0</v>
      </c>
      <c r="AF16">
        <f>IFERROR(SUM(AD5:AD16),"")</f>
        <v>0</v>
      </c>
      <c r="AG16">
        <f>IF(INDIRECT(ADDRESS($D16+2,AG$2+1,,,"Instances"))="","",INDIRECT(ADDRESS($D16+2,AG$2+1,,,"Instances")))</f>
        <v>0</v>
      </c>
      <c r="AH16">
        <f>IFERROR(SMALL(AG5:AG36,ROW()-ROW($AH$5)+1),"")</f>
        <v>0</v>
      </c>
      <c r="AJ16">
        <f>IFERROR(SUM(AH5:AH16),"")</f>
        <v>0</v>
      </c>
      <c r="AK16">
        <f>IF(INDIRECT(ADDRESS($D16+2,AK$2+1,,,"Instances"))="","",INDIRECT(ADDRESS($D16+2,AK$2+1,,,"Instances")))</f>
        <v>0</v>
      </c>
      <c r="AL16">
        <f>IFERROR(SMALL(AK5:AK36,ROW()-ROW($AL$5)+1),"")</f>
        <v>0</v>
      </c>
      <c r="AN16">
        <f>IFERROR(SUM(AL5:AL16),"")</f>
        <v>0</v>
      </c>
      <c r="AO16">
        <f>IF(INDIRECT(ADDRESS($D16+2,AO$2+1,,,"Instances"))="","",INDIRECT(ADDRESS($D16+2,AO$2+1,,,"Instances")))</f>
        <v>0</v>
      </c>
      <c r="AP16">
        <f>IFERROR(SMALL(AO5:AO36,ROW()-ROW($AP$5)+1),"")</f>
        <v>0</v>
      </c>
      <c r="AR16">
        <f>IFERROR(SUM(AP5:AP16),"")</f>
        <v>0</v>
      </c>
      <c r="AS16">
        <f>IF(INDIRECT(ADDRESS($D16+2,AS$2+1,,,"Instances"))="","",INDIRECT(ADDRESS($D16+2,AS$2+1,,,"Instances")))</f>
        <v>0</v>
      </c>
      <c r="AT16">
        <f>IFERROR(SMALL(AS5:AS36,ROW()-ROW($AT$5)+1),"")</f>
        <v>0</v>
      </c>
      <c r="AV16">
        <f>IFERROR(SUM(AT5:AT16),"")</f>
        <v>0</v>
      </c>
      <c r="AW16">
        <f>IF(INDIRECT(ADDRESS($D16+2,AW$2+1,,,"Instances"))="","",INDIRECT(ADDRESS($D16+2,AW$2+1,,,"Instances")))</f>
        <v>0</v>
      </c>
      <c r="AX16">
        <f>IFERROR(SMALL(AW5:AW36,ROW()-ROW($AX$5)+1),"")</f>
        <v>0</v>
      </c>
      <c r="AZ16">
        <f>IFERROR(SUM(AX5:AX16),"")</f>
        <v>0</v>
      </c>
      <c r="BA16">
        <f>IF(INDIRECT(ADDRESS($D16+2,BA$2+1,,,"Instances"))="","",INDIRECT(ADDRESS($D16+2,BA$2+1,,,"Instances")))</f>
        <v>0</v>
      </c>
      <c r="BB16">
        <f>IFERROR(SMALL(BA5:BA36,ROW()-ROW($BB$5)+1),"")</f>
        <v>0</v>
      </c>
      <c r="BD16">
        <f>IFERROR(SUM(BB5:BB16),"")</f>
        <v>0</v>
      </c>
      <c r="BE16">
        <f>IF(INDIRECT(ADDRESS($D16+2,BE$2+1,,,"Instances"))="","",INDIRECT(ADDRESS($D16+2,BE$2+1,,,"Instances")))</f>
        <v>0</v>
      </c>
      <c r="BF16">
        <f>IFERROR(SMALL(BE5:BE36,ROW()-ROW($BF$5)+1),"")</f>
        <v>0</v>
      </c>
      <c r="BH16">
        <f>IFERROR(SUM(BF5:BF16),"")</f>
        <v>0</v>
      </c>
      <c r="BI16">
        <f>IF(INDIRECT(ADDRESS($D16+2,BI$2+1,,,"Instances"))="","",INDIRECT(ADDRESS($D16+2,BI$2+1,,,"Instances")))</f>
        <v>0</v>
      </c>
      <c r="BJ16">
        <f>IFERROR(SMALL(BI5:BI36,ROW()-ROW($BJ$5)+1),"")</f>
        <v>0</v>
      </c>
      <c r="BL16">
        <f>IFERROR(SUM(BJ5:BJ16),"")</f>
        <v>0</v>
      </c>
      <c r="BM16">
        <f>IF(INDIRECT(ADDRESS($D16+2,BM$2+1,,,"Instances"))="","",INDIRECT(ADDRESS($D16+2,BM$2+1,,,"Instances")))</f>
        <v>0</v>
      </c>
      <c r="BN16">
        <f>IFERROR(SMALL(BM5:BM36,ROW()-ROW($BN$5)+1),"")</f>
        <v>0</v>
      </c>
      <c r="BP16">
        <f>IFERROR(SUM(BN5:BN16),"")</f>
        <v>0</v>
      </c>
      <c r="BR16">
        <v>12</v>
      </c>
      <c r="BS16" cm="1">
        <f t="array" ref="BS16">_xlfn.SWITCH(Charts!$B$3,"average", AVERAGE(INDIRECT(ADDRESS(11+3,BS$2+1,,,"Instances") &amp; ":" &amp; ADDRESS(11+3,BS$2+1))),"median", MEDIAN(INDIRECT(ADDRESS(11+3,BS$2+1,,,"Instances") &amp; ":" &amp; ADDRESS(11+3,BS$2+1))),"min", MIN(INDIRECT(ADDRESS(11+3,BS$2+1,,,"Instances") &amp; ":" &amp; ADDRESS(11+3,BS$2+1))),"max", MAX(INDIRECT(ADDRESS(11+3,BS$2+1,,,"Instances") &amp; ":" &amp; ADDRESS(11+3,BS$2+1))),"diff", MAX(INDIRECT(ADDRESS(11+3,BS$2+1,,,"Instances") &amp; ":" &amp; ADDRESS(11+3,BS$2+1)))-MIN(INDIRECT(ADDRESS(11+3,BS$2+1,,,"Instances") &amp; ":" &amp; ADDRESS(11+3,BS$2+1))))</f>
        <v>0</v>
      </c>
      <c r="BT16">
        <f>IFERROR(SMALL(BS5:BS36,ROW()-ROW($BT$5)+1),"")</f>
        <v>0</v>
      </c>
      <c r="BV16">
        <f>IFERROR(SUM(BT5:BT16),"")</f>
        <v>0</v>
      </c>
      <c r="BW16" cm="1">
        <f t="array" ref="BW16">_xlfn.SWITCH(Charts!$B$3,"average", AVERAGE(INDIRECT(ADDRESS(11+3,BW$2+1,,,"Instances") &amp; ":" &amp; ADDRESS(11+3,BW$2+1))),"median", MEDIAN(INDIRECT(ADDRESS(11+3,BW$2+1,,,"Instances") &amp; ":" &amp; ADDRESS(11+3,BW$2+1))),"min", MIN(INDIRECT(ADDRESS(11+3,BW$2+1,,,"Instances") &amp; ":" &amp; ADDRESS(11+3,BW$2+1))),"max", MAX(INDIRECT(ADDRESS(11+3,BW$2+1,,,"Instances") &amp; ":" &amp; ADDRESS(11+3,BW$2+1))),"diff", MAX(INDIRECT(ADDRESS(11+3,BW$2+1,,,"Instances") &amp; ":" &amp; ADDRESS(11+3,BW$2+1)))-MIN(INDIRECT(ADDRESS(11+3,BW$2+1,,,"Instances") &amp; ":" &amp; ADDRESS(11+3,BW$2+1))))</f>
        <v>0</v>
      </c>
      <c r="BX16">
        <f>IFERROR(SMALL(BW5:BW36,ROW()-ROW($BX$5)+1),"")</f>
        <v>0</v>
      </c>
      <c r="BZ16">
        <f>IFERROR(SUM(BX5:BX16),"")</f>
        <v>0</v>
      </c>
      <c r="CA16" cm="1">
        <f t="array" ref="CA16">_xlfn.SWITCH(Charts!$B$3,"average", AVERAGE(INDIRECT(ADDRESS(11+3,CA$2+1,,,"Instances") &amp; ":" &amp; ADDRESS(11+3,CA$2+1))),"median", MEDIAN(INDIRECT(ADDRESS(11+3,CA$2+1,,,"Instances") &amp; ":" &amp; ADDRESS(11+3,CA$2+1))),"min", MIN(INDIRECT(ADDRESS(11+3,CA$2+1,,,"Instances") &amp; ":" &amp; ADDRESS(11+3,CA$2+1))),"max", MAX(INDIRECT(ADDRESS(11+3,CA$2+1,,,"Instances") &amp; ":" &amp; ADDRESS(11+3,CA$2+1))),"diff", MAX(INDIRECT(ADDRESS(11+3,CA$2+1,,,"Instances") &amp; ":" &amp; ADDRESS(11+3,CA$2+1)))-MIN(INDIRECT(ADDRESS(11+3,CA$2+1,,,"Instances") &amp; ":" &amp; ADDRESS(11+3,CA$2+1))))</f>
        <v>0</v>
      </c>
      <c r="CB16">
        <f>IFERROR(SMALL(CA5:CA36,ROW()-ROW($CB$5)+1),"")</f>
        <v>0</v>
      </c>
      <c r="CD16">
        <f>IFERROR(SUM(CB5:CB16),"")</f>
        <v>0</v>
      </c>
      <c r="CE16" cm="1">
        <f t="array" ref="CE16">_xlfn.SWITCH(Charts!$B$3,"average", AVERAGE(INDIRECT(ADDRESS(11+3,CE$2+1,,,"Instances") &amp; ":" &amp; ADDRESS(11+3,CE$2+1))),"median", MEDIAN(INDIRECT(ADDRESS(11+3,CE$2+1,,,"Instances") &amp; ":" &amp; ADDRESS(11+3,CE$2+1))),"min", MIN(INDIRECT(ADDRESS(11+3,CE$2+1,,,"Instances") &amp; ":" &amp; ADDRESS(11+3,CE$2+1))),"max", MAX(INDIRECT(ADDRESS(11+3,CE$2+1,,,"Instances") &amp; ":" &amp; ADDRESS(11+3,CE$2+1))),"diff", MAX(INDIRECT(ADDRESS(11+3,CE$2+1,,,"Instances") &amp; ":" &amp; ADDRESS(11+3,CE$2+1)))-MIN(INDIRECT(ADDRESS(11+3,CE$2+1,,,"Instances") &amp; ":" &amp; ADDRESS(11+3,CE$2+1))))</f>
        <v>0</v>
      </c>
      <c r="CF16">
        <f>IFERROR(SMALL(CE5:CE36,ROW()-ROW($CF$5)+1),"")</f>
        <v>0</v>
      </c>
      <c r="CH16">
        <f>IFERROR(SUM(CF5:CF16),"")</f>
        <v>0</v>
      </c>
      <c r="CI16" cm="1">
        <f t="array" ref="CI16">_xlfn.SWITCH(Charts!$B$3,"average", AVERAGE(INDIRECT(ADDRESS(11+3,CI$2+1,,,"Instances") &amp; ":" &amp; ADDRESS(11+3,CI$2+1))),"median", MEDIAN(INDIRECT(ADDRESS(11+3,CI$2+1,,,"Instances") &amp; ":" &amp; ADDRESS(11+3,CI$2+1))),"min", MIN(INDIRECT(ADDRESS(11+3,CI$2+1,,,"Instances") &amp; ":" &amp; ADDRESS(11+3,CI$2+1))),"max", MAX(INDIRECT(ADDRESS(11+3,CI$2+1,,,"Instances") &amp; ":" &amp; ADDRESS(11+3,CI$2+1))),"diff", MAX(INDIRECT(ADDRESS(11+3,CI$2+1,,,"Instances") &amp; ":" &amp; ADDRESS(11+3,CI$2+1)))-MIN(INDIRECT(ADDRESS(11+3,CI$2+1,,,"Instances") &amp; ":" &amp; ADDRESS(11+3,CI$2+1))))</f>
        <v>0</v>
      </c>
      <c r="CJ16">
        <f>IFERROR(SMALL(CI5:CI36,ROW()-ROW($CJ$5)+1),"")</f>
        <v>0</v>
      </c>
      <c r="CL16">
        <f>IFERROR(SUM(CJ5:CJ16),"")</f>
        <v>0</v>
      </c>
      <c r="CM16" cm="1">
        <f t="array" ref="CM16">_xlfn.SWITCH(Charts!$B$3,"average", AVERAGE(INDIRECT(ADDRESS(11+3,CM$2+1,,,"Instances") &amp; ":" &amp; ADDRESS(11+3,CM$2+1))),"median", MEDIAN(INDIRECT(ADDRESS(11+3,CM$2+1,,,"Instances") &amp; ":" &amp; ADDRESS(11+3,CM$2+1))),"min", MIN(INDIRECT(ADDRESS(11+3,CM$2+1,,,"Instances") &amp; ":" &amp; ADDRESS(11+3,CM$2+1))),"max", MAX(INDIRECT(ADDRESS(11+3,CM$2+1,,,"Instances") &amp; ":" &amp; ADDRESS(11+3,CM$2+1))),"diff", MAX(INDIRECT(ADDRESS(11+3,CM$2+1,,,"Instances") &amp; ":" &amp; ADDRESS(11+3,CM$2+1)))-MIN(INDIRECT(ADDRESS(11+3,CM$2+1,,,"Instances") &amp; ":" &amp; ADDRESS(11+3,CM$2+1))))</f>
        <v>0</v>
      </c>
      <c r="CN16">
        <f>IFERROR(SMALL(CM5:CM36,ROW()-ROW($CN$5)+1),"")</f>
        <v>0</v>
      </c>
      <c r="CP16">
        <f>IFERROR(SUM(CN5:CN16),"")</f>
        <v>0</v>
      </c>
      <c r="CQ16" cm="1">
        <f t="array" ref="CQ16">_xlfn.SWITCH(Charts!$B$3,"average", AVERAGE(INDIRECT(ADDRESS(11+3,CQ$2+1,,,"Instances") &amp; ":" &amp; ADDRESS(11+3,CQ$2+1))),"median", MEDIAN(INDIRECT(ADDRESS(11+3,CQ$2+1,,,"Instances") &amp; ":" &amp; ADDRESS(11+3,CQ$2+1))),"min", MIN(INDIRECT(ADDRESS(11+3,CQ$2+1,,,"Instances") &amp; ":" &amp; ADDRESS(11+3,CQ$2+1))),"max", MAX(INDIRECT(ADDRESS(11+3,CQ$2+1,,,"Instances") &amp; ":" &amp; ADDRESS(11+3,CQ$2+1))),"diff", MAX(INDIRECT(ADDRESS(11+3,CQ$2+1,,,"Instances") &amp; ":" &amp; ADDRESS(11+3,CQ$2+1)))-MIN(INDIRECT(ADDRESS(11+3,CQ$2+1,,,"Instances") &amp; ":" &amp; ADDRESS(11+3,CQ$2+1))))</f>
        <v>0</v>
      </c>
      <c r="CR16">
        <f>IFERROR(SMALL(CQ5:CQ36,ROW()-ROW($CR$5)+1),"")</f>
        <v>0</v>
      </c>
      <c r="CT16">
        <f>IFERROR(SUM(CR5:CR16),"")</f>
        <v>0</v>
      </c>
      <c r="CU16" cm="1">
        <f t="array" ref="CU16">_xlfn.SWITCH(Charts!$B$3,"average", AVERAGE(INDIRECT(ADDRESS(11+3,CU$2+1,,,"Instances") &amp; ":" &amp; ADDRESS(11+3,CU$2+1))),"median", MEDIAN(INDIRECT(ADDRESS(11+3,CU$2+1,,,"Instances") &amp; ":" &amp; ADDRESS(11+3,CU$2+1))),"min", MIN(INDIRECT(ADDRESS(11+3,CU$2+1,,,"Instances") &amp; ":" &amp; ADDRESS(11+3,CU$2+1))),"max", MAX(INDIRECT(ADDRESS(11+3,CU$2+1,,,"Instances") &amp; ":" &amp; ADDRESS(11+3,CU$2+1))),"diff", MAX(INDIRECT(ADDRESS(11+3,CU$2+1,,,"Instances") &amp; ":" &amp; ADDRESS(11+3,CU$2+1)))-MIN(INDIRECT(ADDRESS(11+3,CU$2+1,,,"Instances") &amp; ":" &amp; ADDRESS(11+3,CU$2+1))))</f>
        <v>0</v>
      </c>
      <c r="CV16">
        <f>IFERROR(SMALL(CU5:CU36,ROW()-ROW($CV$5)+1),"")</f>
        <v>0</v>
      </c>
      <c r="CX16">
        <f>IFERROR(SUM(CV5:CV16),"")</f>
        <v>0</v>
      </c>
      <c r="CY16" cm="1">
        <f t="array" ref="CY16">_xlfn.SWITCH(Charts!$B$3,"average", AVERAGE(INDIRECT(ADDRESS(11+3,CY$2+1,,,"Instances") &amp; ":" &amp; ADDRESS(11+3,CY$2+1))),"median", MEDIAN(INDIRECT(ADDRESS(11+3,CY$2+1,,,"Instances") &amp; ":" &amp; ADDRESS(11+3,CY$2+1))),"min", MIN(INDIRECT(ADDRESS(11+3,CY$2+1,,,"Instances") &amp; ":" &amp; ADDRESS(11+3,CY$2+1))),"max", MAX(INDIRECT(ADDRESS(11+3,CY$2+1,,,"Instances") &amp; ":" &amp; ADDRESS(11+3,CY$2+1))),"diff", MAX(INDIRECT(ADDRESS(11+3,CY$2+1,,,"Instances") &amp; ":" &amp; ADDRESS(11+3,CY$2+1)))-MIN(INDIRECT(ADDRESS(11+3,CY$2+1,,,"Instances") &amp; ":" &amp; ADDRESS(11+3,CY$2+1))))</f>
        <v>0</v>
      </c>
      <c r="CZ16">
        <f>IFERROR(SMALL(CY5:CY36,ROW()-ROW($CZ$5)+1),"")</f>
        <v>0</v>
      </c>
      <c r="DB16">
        <f>IFERROR(SUM(CZ5:CZ16),"")</f>
        <v>0</v>
      </c>
      <c r="DC16" cm="1">
        <f t="array" ref="DC16">_xlfn.SWITCH(Charts!$B$3,"average", AVERAGE(INDIRECT(ADDRESS(11+3,DC$2+1,,,"Instances") &amp; ":" &amp; ADDRESS(11+3,DC$2+1))),"median", MEDIAN(INDIRECT(ADDRESS(11+3,DC$2+1,,,"Instances") &amp; ":" &amp; ADDRESS(11+3,DC$2+1))),"min", MIN(INDIRECT(ADDRESS(11+3,DC$2+1,,,"Instances") &amp; ":" &amp; ADDRESS(11+3,DC$2+1))),"max", MAX(INDIRECT(ADDRESS(11+3,DC$2+1,,,"Instances") &amp; ":" &amp; ADDRESS(11+3,DC$2+1))),"diff", MAX(INDIRECT(ADDRESS(11+3,DC$2+1,,,"Instances") &amp; ":" &amp; ADDRESS(11+3,DC$2+1)))-MIN(INDIRECT(ADDRESS(11+3,DC$2+1,,,"Instances") &amp; ":" &amp; ADDRESS(11+3,DC$2+1))))</f>
        <v>0</v>
      </c>
      <c r="DD16">
        <f>IFERROR(SMALL(DC5:DC36,ROW()-ROW($DD$5)+1),"")</f>
        <v>0</v>
      </c>
      <c r="DF16">
        <f>IFERROR(SUM(DD5:DD16),"")</f>
        <v>0</v>
      </c>
      <c r="DG16" cm="1">
        <f t="array" ref="DG16">_xlfn.SWITCH(Charts!$B$3,"average", AVERAGE(INDIRECT(ADDRESS(11+3,DG$2+1,,,"Instances") &amp; ":" &amp; ADDRESS(11+3,DG$2+1))),"median", MEDIAN(INDIRECT(ADDRESS(11+3,DG$2+1,,,"Instances") &amp; ":" &amp; ADDRESS(11+3,DG$2+1))),"min", MIN(INDIRECT(ADDRESS(11+3,DG$2+1,,,"Instances") &amp; ":" &amp; ADDRESS(11+3,DG$2+1))),"max", MAX(INDIRECT(ADDRESS(11+3,DG$2+1,,,"Instances") &amp; ":" &amp; ADDRESS(11+3,DG$2+1))),"diff", MAX(INDIRECT(ADDRESS(11+3,DG$2+1,,,"Instances") &amp; ":" &amp; ADDRESS(11+3,DG$2+1)))-MIN(INDIRECT(ADDRESS(11+3,DG$2+1,,,"Instances") &amp; ":" &amp; ADDRESS(11+3,DG$2+1))))</f>
        <v>0</v>
      </c>
      <c r="DH16">
        <f>IFERROR(SMALL(DG5:DG36,ROW()-ROW($DH$5)+1),"")</f>
        <v>0</v>
      </c>
      <c r="DJ16">
        <f>IFERROR(SUM(DH5:DH16),"")</f>
        <v>0</v>
      </c>
      <c r="DK16" cm="1">
        <f t="array" ref="DK16">_xlfn.SWITCH(Charts!$B$3,"average", AVERAGE(INDIRECT(ADDRESS(11+3,DK$2+1,,,"Instances") &amp; ":" &amp; ADDRESS(11+3,DK$2+1))),"median", MEDIAN(INDIRECT(ADDRESS(11+3,DK$2+1,,,"Instances") &amp; ":" &amp; ADDRESS(11+3,DK$2+1))),"min", MIN(INDIRECT(ADDRESS(11+3,DK$2+1,,,"Instances") &amp; ":" &amp; ADDRESS(11+3,DK$2+1))),"max", MAX(INDIRECT(ADDRESS(11+3,DK$2+1,,,"Instances") &amp; ":" &amp; ADDRESS(11+3,DK$2+1))),"diff", MAX(INDIRECT(ADDRESS(11+3,DK$2+1,,,"Instances") &amp; ":" &amp; ADDRESS(11+3,DK$2+1)))-MIN(INDIRECT(ADDRESS(11+3,DK$2+1,,,"Instances") &amp; ":" &amp; ADDRESS(11+3,DK$2+1))))</f>
        <v>0</v>
      </c>
      <c r="DL16">
        <f>IFERROR(SMALL(DK5:DK36,ROW()-ROW($DL$5)+1),"")</f>
        <v>0</v>
      </c>
      <c r="DN16">
        <f>IFERROR(SUM(DL5:DL16),"")</f>
        <v>0</v>
      </c>
      <c r="DO16" cm="1">
        <f t="array" ref="DO16">_xlfn.SWITCH(Charts!$B$3,"average", AVERAGE(INDIRECT(ADDRESS(11+3,DO$2+1,,,"Instances") &amp; ":" &amp; ADDRESS(11+3,DO$2+1))),"median", MEDIAN(INDIRECT(ADDRESS(11+3,DO$2+1,,,"Instances") &amp; ":" &amp; ADDRESS(11+3,DO$2+1))),"min", MIN(INDIRECT(ADDRESS(11+3,DO$2+1,,,"Instances") &amp; ":" &amp; ADDRESS(11+3,DO$2+1))),"max", MAX(INDIRECT(ADDRESS(11+3,DO$2+1,,,"Instances") &amp; ":" &amp; ADDRESS(11+3,DO$2+1))),"diff", MAX(INDIRECT(ADDRESS(11+3,DO$2+1,,,"Instances") &amp; ":" &amp; ADDRESS(11+3,DO$2+1)))-MIN(INDIRECT(ADDRESS(11+3,DO$2+1,,,"Instances") &amp; ":" &amp; ADDRESS(11+3,DO$2+1))))</f>
        <v>0</v>
      </c>
      <c r="DP16">
        <f>IFERROR(SMALL(DO5:DO36,ROW()-ROW($DP$5)+1),"")</f>
        <v>0</v>
      </c>
      <c r="DR16">
        <f>IFERROR(SUM(DP5:DP16),"")</f>
        <v>0</v>
      </c>
      <c r="DS16" cm="1">
        <f t="array" ref="DS16">_xlfn.SWITCH(Charts!$B$3,"average", AVERAGE(INDIRECT(ADDRESS(11+3,DS$2+1,,,"Instances") &amp; ":" &amp; ADDRESS(11+3,DS$2+1))),"median", MEDIAN(INDIRECT(ADDRESS(11+3,DS$2+1,,,"Instances") &amp; ":" &amp; ADDRESS(11+3,DS$2+1))),"min", MIN(INDIRECT(ADDRESS(11+3,DS$2+1,,,"Instances") &amp; ":" &amp; ADDRESS(11+3,DS$2+1))),"max", MAX(INDIRECT(ADDRESS(11+3,DS$2+1,,,"Instances") &amp; ":" &amp; ADDRESS(11+3,DS$2+1))),"diff", MAX(INDIRECT(ADDRESS(11+3,DS$2+1,,,"Instances") &amp; ":" &amp; ADDRESS(11+3,DS$2+1)))-MIN(INDIRECT(ADDRESS(11+3,DS$2+1,,,"Instances") &amp; ":" &amp; ADDRESS(11+3,DS$2+1))))</f>
        <v>0</v>
      </c>
      <c r="DT16">
        <f>IFERROR(SMALL(DS5:DS36,ROW()-ROW($DT$5)+1),"")</f>
        <v>0</v>
      </c>
      <c r="DV16">
        <f>IFERROR(SUM(DT5:DT16),"")</f>
        <v>0</v>
      </c>
      <c r="DW16" cm="1">
        <f t="array" ref="DW16">_xlfn.SWITCH(Charts!$B$3,"average", AVERAGE(INDIRECT(ADDRESS(11+3,DW$2+1,,,"Instances") &amp; ":" &amp; ADDRESS(11+3,DW$2+1))),"median", MEDIAN(INDIRECT(ADDRESS(11+3,DW$2+1,,,"Instances") &amp; ":" &amp; ADDRESS(11+3,DW$2+1))),"min", MIN(INDIRECT(ADDRESS(11+3,DW$2+1,,,"Instances") &amp; ":" &amp; ADDRESS(11+3,DW$2+1))),"max", MAX(INDIRECT(ADDRESS(11+3,DW$2+1,,,"Instances") &amp; ":" &amp; ADDRESS(11+3,DW$2+1))),"diff", MAX(INDIRECT(ADDRESS(11+3,DW$2+1,,,"Instances") &amp; ":" &amp; ADDRESS(11+3,DW$2+1)))-MIN(INDIRECT(ADDRESS(11+3,DW$2+1,,,"Instances") &amp; ":" &amp; ADDRESS(11+3,DW$2+1))))</f>
        <v>0</v>
      </c>
      <c r="DX16">
        <f>IFERROR(SMALL(DW5:DW36,ROW()-ROW($DX$5)+1),"")</f>
        <v>0</v>
      </c>
      <c r="DZ16">
        <f>IFERROR(SUM(DX5:DX16),"")</f>
        <v>0</v>
      </c>
      <c r="EA16" cm="1">
        <f t="array" ref="EA16">_xlfn.SWITCH(Charts!$B$3,"average", AVERAGE(INDIRECT(ADDRESS(11+3,EA$2+1,,,"Instances") &amp; ":" &amp; ADDRESS(11+3,EA$2+1))),"median", MEDIAN(INDIRECT(ADDRESS(11+3,EA$2+1,,,"Instances") &amp; ":" &amp; ADDRESS(11+3,EA$2+1))),"min", MIN(INDIRECT(ADDRESS(11+3,EA$2+1,,,"Instances") &amp; ":" &amp; ADDRESS(11+3,EA$2+1))),"max", MAX(INDIRECT(ADDRESS(11+3,EA$2+1,,,"Instances") &amp; ":" &amp; ADDRESS(11+3,EA$2+1))),"diff", MAX(INDIRECT(ADDRESS(11+3,EA$2+1,,,"Instances") &amp; ":" &amp; ADDRESS(11+3,EA$2+1)))-MIN(INDIRECT(ADDRESS(11+3,EA$2+1,,,"Instances") &amp; ":" &amp; ADDRESS(11+3,EA$2+1))))</f>
        <v>0</v>
      </c>
      <c r="EB16">
        <f>IFERROR(SMALL(EA5:EA36,ROW()-ROW($EB$5)+1),"")</f>
        <v>0</v>
      </c>
      <c r="ED16">
        <f>IFERROR(SUM(EB5:EB16),"")</f>
        <v>0</v>
      </c>
      <c r="EG16">
        <f>IF(Charts!$B$3="none",E183,IF(BS183="",NA(),BS183))</f>
        <v>0</v>
      </c>
      <c r="EH16">
        <f>IF(Charts!$B$3="none",F183,IF(BT183="",NA(),BT183))</f>
        <v>0</v>
      </c>
      <c r="EI16">
        <f>IF(Charts!$B$3="none",G183,IF(BU183="",NA(),BU183))</f>
        <v>0</v>
      </c>
      <c r="EJ16">
        <f>IF(Charts!$B$3="none",H183,IF(BV183="",NA(),BV183))</f>
        <v>0</v>
      </c>
      <c r="EK16">
        <f>IF(Charts!$B$3="none",I183,IF(BW183="",NA(),BW183))</f>
        <v>0</v>
      </c>
      <c r="EL16">
        <f>IF(Charts!$B$3="none",J183,IF(BX183="",NA(),BX183))</f>
        <v>0</v>
      </c>
      <c r="EM16">
        <f>IF(Charts!$B$3="none",K183,IF(BY183="",NA(),BY183))</f>
        <v>0</v>
      </c>
      <c r="EN16">
        <f>IF(Charts!$B$3="none",L183,IF(BZ183="",NA(),BZ183))</f>
        <v>0</v>
      </c>
      <c r="EO16">
        <f>IF(Charts!$B$3="none",M183,IF(CA183="",NA(),CA183))</f>
        <v>0</v>
      </c>
      <c r="EP16">
        <f>IF(Charts!$B$3="none",N183,IF(CB183="",NA(),CB183))</f>
        <v>0</v>
      </c>
      <c r="EQ16">
        <f>IF(Charts!$B$3="none",O183,IF(CC183="",NA(),CC183))</f>
        <v>0</v>
      </c>
      <c r="ER16">
        <f>IF(Charts!$B$3="none",P183,IF(CD183="",NA(),CD183))</f>
        <v>0</v>
      </c>
      <c r="ES16">
        <f>IF(Charts!$B$3="none",Q183,IF(CE183="",NA(),CE183))</f>
        <v>0</v>
      </c>
      <c r="ET16">
        <f>IF(Charts!$B$3="none",R183,IF(CF183="",NA(),CF183))</f>
        <v>0</v>
      </c>
      <c r="EU16">
        <f>IF(Charts!$B$3="none",S183,IF(CG183="",NA(),CG183))</f>
        <v>0</v>
      </c>
      <c r="EV16">
        <f>IF(Charts!$B$3="none",T183,IF(CH183="",NA(),CH183))</f>
        <v>0</v>
      </c>
      <c r="EW16">
        <f>IF(Charts!$B$3="none",U183,IF(CI183="",NA(),CI183))</f>
        <v>0</v>
      </c>
      <c r="EX16">
        <f>IF(Charts!$B$3="none",V183,IF(CJ183="",NA(),CJ183))</f>
        <v>0</v>
      </c>
      <c r="EY16">
        <f>IF(Charts!$B$3="none",W183,IF(CK183="",NA(),CK183))</f>
        <v>0</v>
      </c>
      <c r="EZ16">
        <f>IF(Charts!$B$3="none",X183,IF(CL183="",NA(),CL183))</f>
        <v>0</v>
      </c>
      <c r="FA16">
        <f>IF(Charts!$B$3="none",Y183,IF(CM183="",NA(),CM183))</f>
        <v>0</v>
      </c>
      <c r="FB16">
        <f>IF(Charts!$B$3="none",Z183,IF(CN183="",NA(),CN183))</f>
        <v>0</v>
      </c>
      <c r="FC16">
        <f>IF(Charts!$B$3="none",AA183,IF(CO183="",NA(),CO183))</f>
        <v>0</v>
      </c>
      <c r="FD16">
        <f>IF(Charts!$B$3="none",AB183,IF(CP183="",NA(),CP183))</f>
        <v>0</v>
      </c>
      <c r="FE16">
        <f>IF(Charts!$B$3="none",AC183,IF(CQ183="",NA(),CQ183))</f>
        <v>0</v>
      </c>
      <c r="FF16">
        <f>IF(Charts!$B$3="none",AD183,IF(CR183="",NA(),CR183))</f>
        <v>0</v>
      </c>
      <c r="FG16">
        <f>IF(Charts!$B$3="none",AE183,IF(CS183="",NA(),CS183))</f>
        <v>0</v>
      </c>
      <c r="FH16">
        <f>IF(Charts!$B$3="none",AF183,IF(CT183="",NA(),CT183))</f>
        <v>0</v>
      </c>
      <c r="FI16">
        <f>IF(Charts!$B$3="none",AG183,IF(CU183="",NA(),CU183))</f>
        <v>0</v>
      </c>
      <c r="FJ16">
        <f>IF(Charts!$B$3="none",AH183,IF(CV183="",NA(),CV183))</f>
        <v>0</v>
      </c>
      <c r="FK16">
        <f>IF(Charts!$B$3="none",AI183,IF(CW183="",NA(),CW183))</f>
        <v>0</v>
      </c>
      <c r="FL16">
        <f>IF(Charts!$B$3="none",AJ183,IF(CX183="",NA(),CX183))</f>
        <v>0</v>
      </c>
      <c r="FM16">
        <f>IF(Charts!$B$3="none",AK183,IF(CY183="",NA(),CY183))</f>
        <v>0</v>
      </c>
      <c r="FN16">
        <f>IF(Charts!$B$3="none",AL183,IF(CZ183="",NA(),CZ183))</f>
        <v>0</v>
      </c>
      <c r="FO16">
        <f>IF(Charts!$B$3="none",AM183,IF(DA183="",NA(),DA183))</f>
        <v>0</v>
      </c>
      <c r="FP16">
        <f>IF(Charts!$B$3="none",AN183,IF(DB183="",NA(),DB183))</f>
        <v>0</v>
      </c>
      <c r="FQ16">
        <f>IF(Charts!$B$3="none",AO183,IF(DC183="",NA(),DC183))</f>
        <v>0</v>
      </c>
      <c r="FR16">
        <f>IF(Charts!$B$3="none",AP183,IF(DD183="",NA(),DD183))</f>
        <v>0</v>
      </c>
      <c r="FS16">
        <f>IF(Charts!$B$3="none",AQ183,IF(DE183="",NA(),DE183))</f>
        <v>0</v>
      </c>
      <c r="FT16">
        <f>IF(Charts!$B$3="none",AR183,IF(DF183="",NA(),DF183))</f>
        <v>0</v>
      </c>
      <c r="FU16">
        <f>IF(Charts!$B$3="none",AS183,IF(DG183="",NA(),DG183))</f>
        <v>0</v>
      </c>
      <c r="FV16">
        <f>IF(Charts!$B$3="none",AT183,IF(DH183="",NA(),DH183))</f>
        <v>0</v>
      </c>
      <c r="FW16">
        <f>IF(Charts!$B$3="none",AU183,IF(DI183="",NA(),DI183))</f>
        <v>0</v>
      </c>
      <c r="FX16">
        <f>IF(Charts!$B$3="none",AV183,IF(DJ183="",NA(),DJ183))</f>
        <v>0</v>
      </c>
      <c r="FY16">
        <f>IF(Charts!$B$3="none",AW183,IF(DK183="",NA(),DK183))</f>
        <v>0</v>
      </c>
      <c r="FZ16">
        <f>IF(Charts!$B$3="none",AX183,IF(DL183="",NA(),DL183))</f>
        <v>0</v>
      </c>
      <c r="GA16">
        <f>IF(Charts!$B$3="none",AY183,IF(DM183="",NA(),DM183))</f>
        <v>0</v>
      </c>
      <c r="GB16">
        <f>IF(Charts!$B$3="none",AZ183,IF(DN183="",NA(),DN183))</f>
        <v>0</v>
      </c>
      <c r="GC16">
        <f>IF(Charts!$B$3="none",BA183,IF(DO183="",NA(),DO183))</f>
        <v>0</v>
      </c>
      <c r="GD16">
        <f>IF(Charts!$B$3="none",BB183,IF(DP183="",NA(),DP183))</f>
        <v>0</v>
      </c>
      <c r="GE16">
        <f>IF(Charts!$B$3="none",BC183,IF(DQ183="",NA(),DQ183))</f>
        <v>0</v>
      </c>
      <c r="GF16">
        <f>IF(Charts!$B$3="none",BD183,IF(DR183="",NA(),DR183))</f>
        <v>0</v>
      </c>
      <c r="GG16">
        <f>IF(Charts!$B$3="none",BE183,IF(DS183="",NA(),DS183))</f>
        <v>0</v>
      </c>
      <c r="GH16">
        <f>IF(Charts!$B$3="none",BF183,IF(DT183="",NA(),DT183))</f>
        <v>0</v>
      </c>
      <c r="GI16">
        <f>IF(Charts!$B$3="none",BG183,IF(DU183="",NA(),DU183))</f>
        <v>0</v>
      </c>
      <c r="GJ16">
        <f>IF(Charts!$B$3="none",BH183,IF(DV183="",NA(),DV183))</f>
        <v>0</v>
      </c>
      <c r="GK16">
        <f>IF(Charts!$B$3="none",BI183,IF(DW183="",NA(),DW183))</f>
        <v>0</v>
      </c>
      <c r="GL16">
        <f>IF(Charts!$B$3="none",BJ183,IF(DX183="",NA(),DX183))</f>
        <v>0</v>
      </c>
      <c r="GM16">
        <f>IF(Charts!$B$3="none",BK183,IF(DY183="",NA(),DY183))</f>
        <v>0</v>
      </c>
      <c r="GN16">
        <f>IF(Charts!$B$3="none",BL183,IF(DZ183="",NA(),DZ183))</f>
        <v>0</v>
      </c>
      <c r="GO16">
        <f>IF(Charts!$B$3="none",BM183,IF(EA183="",NA(),EA183))</f>
        <v>0</v>
      </c>
      <c r="GP16">
        <f>IF(Charts!$B$3="none",BN183,IF(EB183="",NA(),EB183))</f>
        <v>0</v>
      </c>
      <c r="GQ16">
        <f>IF(Charts!$B$3="none",BO183,IF(EC183="",NA(),EC183))</f>
        <v>0</v>
      </c>
      <c r="GR16">
        <f>IF(Charts!$B$3="none",BP183,IF(ED183="",NA(),ED183))</f>
        <v>0</v>
      </c>
    </row>
    <row r="17" spans="1:200">
      <c r="A17" t="s">
        <v>59</v>
      </c>
      <c r="B17">
        <v>17</v>
      </c>
      <c r="D17">
        <v>13</v>
      </c>
      <c r="E17">
        <f>IF(INDIRECT(ADDRESS($D17+2,E$2+1,,,"Instances"))="","",INDIRECT(ADDRESS($D17+2,E$2+1,,,"Instances")))</f>
        <v>0</v>
      </c>
      <c r="F17">
        <f>IFERROR(SMALL(E5:E36,ROW()-ROW($F$5)+1),"")</f>
        <v>0</v>
      </c>
      <c r="H17">
        <f>IFERROR(SUM(F5:F17),"")</f>
        <v>0</v>
      </c>
      <c r="I17">
        <f>IF(INDIRECT(ADDRESS($D17+2,I$2+1,,,"Instances"))="","",INDIRECT(ADDRESS($D17+2,I$2+1,,,"Instances")))</f>
        <v>0</v>
      </c>
      <c r="J17">
        <f>IFERROR(SMALL(I5:I36,ROW()-ROW($J$5)+1),"")</f>
        <v>0</v>
      </c>
      <c r="L17">
        <f>IFERROR(SUM(J5:J17),"")</f>
        <v>0</v>
      </c>
      <c r="M17">
        <f>IF(INDIRECT(ADDRESS($D17+2,M$2+1,,,"Instances"))="","",INDIRECT(ADDRESS($D17+2,M$2+1,,,"Instances")))</f>
        <v>0</v>
      </c>
      <c r="N17">
        <f>IFERROR(SMALL(M5:M36,ROW()-ROW($N$5)+1),"")</f>
        <v>0</v>
      </c>
      <c r="P17">
        <f>IFERROR(SUM(N5:N17),"")</f>
        <v>0</v>
      </c>
      <c r="Q17">
        <f>IF(INDIRECT(ADDRESS($D17+2,Q$2+1,,,"Instances"))="","",INDIRECT(ADDRESS($D17+2,Q$2+1,,,"Instances")))</f>
        <v>0</v>
      </c>
      <c r="R17">
        <f>IFERROR(SMALL(Q5:Q36,ROW()-ROW($R$5)+1),"")</f>
        <v>0</v>
      </c>
      <c r="T17">
        <f>IFERROR(SUM(R5:R17),"")</f>
        <v>0</v>
      </c>
      <c r="U17">
        <f>IF(INDIRECT(ADDRESS($D17+2,U$2+1,,,"Instances"))="","",INDIRECT(ADDRESS($D17+2,U$2+1,,,"Instances")))</f>
        <v>0</v>
      </c>
      <c r="V17">
        <f>IFERROR(SMALL(U5:U36,ROW()-ROW($V$5)+1),"")</f>
        <v>0</v>
      </c>
      <c r="X17">
        <f>IFERROR(SUM(V5:V17),"")</f>
        <v>0</v>
      </c>
      <c r="Y17">
        <f>IF(INDIRECT(ADDRESS($D17+2,Y$2+1,,,"Instances"))="","",INDIRECT(ADDRESS($D17+2,Y$2+1,,,"Instances")))</f>
        <v>0</v>
      </c>
      <c r="Z17">
        <f>IFERROR(SMALL(Y5:Y36,ROW()-ROW($Z$5)+1),"")</f>
        <v>0</v>
      </c>
      <c r="AB17">
        <f>IFERROR(SUM(Z5:Z17),"")</f>
        <v>0</v>
      </c>
      <c r="AC17">
        <f>IF(INDIRECT(ADDRESS($D17+2,AC$2+1,,,"Instances"))="","",INDIRECT(ADDRESS($D17+2,AC$2+1,,,"Instances")))</f>
        <v>0</v>
      </c>
      <c r="AD17">
        <f>IFERROR(SMALL(AC5:AC36,ROW()-ROW($AD$5)+1),"")</f>
        <v>0</v>
      </c>
      <c r="AF17">
        <f>IFERROR(SUM(AD5:AD17),"")</f>
        <v>0</v>
      </c>
      <c r="AG17">
        <f>IF(INDIRECT(ADDRESS($D17+2,AG$2+1,,,"Instances"))="","",INDIRECT(ADDRESS($D17+2,AG$2+1,,,"Instances")))</f>
        <v>0</v>
      </c>
      <c r="AH17">
        <f>IFERROR(SMALL(AG5:AG36,ROW()-ROW($AH$5)+1),"")</f>
        <v>0</v>
      </c>
      <c r="AJ17">
        <f>IFERROR(SUM(AH5:AH17),"")</f>
        <v>0</v>
      </c>
      <c r="AK17">
        <f>IF(INDIRECT(ADDRESS($D17+2,AK$2+1,,,"Instances"))="","",INDIRECT(ADDRESS($D17+2,AK$2+1,,,"Instances")))</f>
        <v>0</v>
      </c>
      <c r="AL17">
        <f>IFERROR(SMALL(AK5:AK36,ROW()-ROW($AL$5)+1),"")</f>
        <v>0</v>
      </c>
      <c r="AN17">
        <f>IFERROR(SUM(AL5:AL17),"")</f>
        <v>0</v>
      </c>
      <c r="AO17">
        <f>IF(INDIRECT(ADDRESS($D17+2,AO$2+1,,,"Instances"))="","",INDIRECT(ADDRESS($D17+2,AO$2+1,,,"Instances")))</f>
        <v>0</v>
      </c>
      <c r="AP17">
        <f>IFERROR(SMALL(AO5:AO36,ROW()-ROW($AP$5)+1),"")</f>
        <v>0</v>
      </c>
      <c r="AR17">
        <f>IFERROR(SUM(AP5:AP17),"")</f>
        <v>0</v>
      </c>
      <c r="AS17">
        <f>IF(INDIRECT(ADDRESS($D17+2,AS$2+1,,,"Instances"))="","",INDIRECT(ADDRESS($D17+2,AS$2+1,,,"Instances")))</f>
        <v>0</v>
      </c>
      <c r="AT17">
        <f>IFERROR(SMALL(AS5:AS36,ROW()-ROW($AT$5)+1),"")</f>
        <v>0</v>
      </c>
      <c r="AV17">
        <f>IFERROR(SUM(AT5:AT17),"")</f>
        <v>0</v>
      </c>
      <c r="AW17">
        <f>IF(INDIRECT(ADDRESS($D17+2,AW$2+1,,,"Instances"))="","",INDIRECT(ADDRESS($D17+2,AW$2+1,,,"Instances")))</f>
        <v>0</v>
      </c>
      <c r="AX17">
        <f>IFERROR(SMALL(AW5:AW36,ROW()-ROW($AX$5)+1),"")</f>
        <v>0</v>
      </c>
      <c r="AZ17">
        <f>IFERROR(SUM(AX5:AX17),"")</f>
        <v>0</v>
      </c>
      <c r="BA17">
        <f>IF(INDIRECT(ADDRESS($D17+2,BA$2+1,,,"Instances"))="","",INDIRECT(ADDRESS($D17+2,BA$2+1,,,"Instances")))</f>
        <v>0</v>
      </c>
      <c r="BB17">
        <f>IFERROR(SMALL(BA5:BA36,ROW()-ROW($BB$5)+1),"")</f>
        <v>0</v>
      </c>
      <c r="BD17">
        <f>IFERROR(SUM(BB5:BB17),"")</f>
        <v>0</v>
      </c>
      <c r="BE17">
        <f>IF(INDIRECT(ADDRESS($D17+2,BE$2+1,,,"Instances"))="","",INDIRECT(ADDRESS($D17+2,BE$2+1,,,"Instances")))</f>
        <v>0</v>
      </c>
      <c r="BF17">
        <f>IFERROR(SMALL(BE5:BE36,ROW()-ROW($BF$5)+1),"")</f>
        <v>0</v>
      </c>
      <c r="BH17">
        <f>IFERROR(SUM(BF5:BF17),"")</f>
        <v>0</v>
      </c>
      <c r="BI17">
        <f>IF(INDIRECT(ADDRESS($D17+2,BI$2+1,,,"Instances"))="","",INDIRECT(ADDRESS($D17+2,BI$2+1,,,"Instances")))</f>
        <v>0</v>
      </c>
      <c r="BJ17">
        <f>IFERROR(SMALL(BI5:BI36,ROW()-ROW($BJ$5)+1),"")</f>
        <v>0</v>
      </c>
      <c r="BL17">
        <f>IFERROR(SUM(BJ5:BJ17),"")</f>
        <v>0</v>
      </c>
      <c r="BM17">
        <f>IF(INDIRECT(ADDRESS($D17+2,BM$2+1,,,"Instances"))="","",INDIRECT(ADDRESS($D17+2,BM$2+1,,,"Instances")))</f>
        <v>0</v>
      </c>
      <c r="BN17">
        <f>IFERROR(SMALL(BM5:BM36,ROW()-ROW($BN$5)+1),"")</f>
        <v>0</v>
      </c>
      <c r="BP17">
        <f>IFERROR(SUM(BN5:BN17),"")</f>
        <v>0</v>
      </c>
      <c r="BR17">
        <v>13</v>
      </c>
      <c r="BS17" cm="1">
        <f t="array" ref="BS17">_xlfn.SWITCH(Charts!$B$3,"average", AVERAGE(INDIRECT(ADDRESS(12+3,BS$2+1,,,"Instances") &amp; ":" &amp; ADDRESS(12+3,BS$2+1))),"median", MEDIAN(INDIRECT(ADDRESS(12+3,BS$2+1,,,"Instances") &amp; ":" &amp; ADDRESS(12+3,BS$2+1))),"min", MIN(INDIRECT(ADDRESS(12+3,BS$2+1,,,"Instances") &amp; ":" &amp; ADDRESS(12+3,BS$2+1))),"max", MAX(INDIRECT(ADDRESS(12+3,BS$2+1,,,"Instances") &amp; ":" &amp; ADDRESS(12+3,BS$2+1))),"diff", MAX(INDIRECT(ADDRESS(12+3,BS$2+1,,,"Instances") &amp; ":" &amp; ADDRESS(12+3,BS$2+1)))-MIN(INDIRECT(ADDRESS(12+3,BS$2+1,,,"Instances") &amp; ":" &amp; ADDRESS(12+3,BS$2+1))))</f>
        <v>0</v>
      </c>
      <c r="BT17">
        <f>IFERROR(SMALL(BS5:BS36,ROW()-ROW($BT$5)+1),"")</f>
        <v>0</v>
      </c>
      <c r="BV17">
        <f>IFERROR(SUM(BT5:BT17),"")</f>
        <v>0</v>
      </c>
      <c r="BW17" cm="1">
        <f t="array" ref="BW17">_xlfn.SWITCH(Charts!$B$3,"average", AVERAGE(INDIRECT(ADDRESS(12+3,BW$2+1,,,"Instances") &amp; ":" &amp; ADDRESS(12+3,BW$2+1))),"median", MEDIAN(INDIRECT(ADDRESS(12+3,BW$2+1,,,"Instances") &amp; ":" &amp; ADDRESS(12+3,BW$2+1))),"min", MIN(INDIRECT(ADDRESS(12+3,BW$2+1,,,"Instances") &amp; ":" &amp; ADDRESS(12+3,BW$2+1))),"max", MAX(INDIRECT(ADDRESS(12+3,BW$2+1,,,"Instances") &amp; ":" &amp; ADDRESS(12+3,BW$2+1))),"diff", MAX(INDIRECT(ADDRESS(12+3,BW$2+1,,,"Instances") &amp; ":" &amp; ADDRESS(12+3,BW$2+1)))-MIN(INDIRECT(ADDRESS(12+3,BW$2+1,,,"Instances") &amp; ":" &amp; ADDRESS(12+3,BW$2+1))))</f>
        <v>0</v>
      </c>
      <c r="BX17">
        <f>IFERROR(SMALL(BW5:BW36,ROW()-ROW($BX$5)+1),"")</f>
        <v>0</v>
      </c>
      <c r="BZ17">
        <f>IFERROR(SUM(BX5:BX17),"")</f>
        <v>0</v>
      </c>
      <c r="CA17" cm="1">
        <f t="array" ref="CA17">_xlfn.SWITCH(Charts!$B$3,"average", AVERAGE(INDIRECT(ADDRESS(12+3,CA$2+1,,,"Instances") &amp; ":" &amp; ADDRESS(12+3,CA$2+1))),"median", MEDIAN(INDIRECT(ADDRESS(12+3,CA$2+1,,,"Instances") &amp; ":" &amp; ADDRESS(12+3,CA$2+1))),"min", MIN(INDIRECT(ADDRESS(12+3,CA$2+1,,,"Instances") &amp; ":" &amp; ADDRESS(12+3,CA$2+1))),"max", MAX(INDIRECT(ADDRESS(12+3,CA$2+1,,,"Instances") &amp; ":" &amp; ADDRESS(12+3,CA$2+1))),"diff", MAX(INDIRECT(ADDRESS(12+3,CA$2+1,,,"Instances") &amp; ":" &amp; ADDRESS(12+3,CA$2+1)))-MIN(INDIRECT(ADDRESS(12+3,CA$2+1,,,"Instances") &amp; ":" &amp; ADDRESS(12+3,CA$2+1))))</f>
        <v>0</v>
      </c>
      <c r="CB17">
        <f>IFERROR(SMALL(CA5:CA36,ROW()-ROW($CB$5)+1),"")</f>
        <v>0</v>
      </c>
      <c r="CD17">
        <f>IFERROR(SUM(CB5:CB17),"")</f>
        <v>0</v>
      </c>
      <c r="CE17" cm="1">
        <f t="array" ref="CE17">_xlfn.SWITCH(Charts!$B$3,"average", AVERAGE(INDIRECT(ADDRESS(12+3,CE$2+1,,,"Instances") &amp; ":" &amp; ADDRESS(12+3,CE$2+1))),"median", MEDIAN(INDIRECT(ADDRESS(12+3,CE$2+1,,,"Instances") &amp; ":" &amp; ADDRESS(12+3,CE$2+1))),"min", MIN(INDIRECT(ADDRESS(12+3,CE$2+1,,,"Instances") &amp; ":" &amp; ADDRESS(12+3,CE$2+1))),"max", MAX(INDIRECT(ADDRESS(12+3,CE$2+1,,,"Instances") &amp; ":" &amp; ADDRESS(12+3,CE$2+1))),"diff", MAX(INDIRECT(ADDRESS(12+3,CE$2+1,,,"Instances") &amp; ":" &amp; ADDRESS(12+3,CE$2+1)))-MIN(INDIRECT(ADDRESS(12+3,CE$2+1,,,"Instances") &amp; ":" &amp; ADDRESS(12+3,CE$2+1))))</f>
        <v>0</v>
      </c>
      <c r="CF17">
        <f>IFERROR(SMALL(CE5:CE36,ROW()-ROW($CF$5)+1),"")</f>
        <v>0</v>
      </c>
      <c r="CH17">
        <f>IFERROR(SUM(CF5:CF17),"")</f>
        <v>0</v>
      </c>
      <c r="CI17" cm="1">
        <f t="array" ref="CI17">_xlfn.SWITCH(Charts!$B$3,"average", AVERAGE(INDIRECT(ADDRESS(12+3,CI$2+1,,,"Instances") &amp; ":" &amp; ADDRESS(12+3,CI$2+1))),"median", MEDIAN(INDIRECT(ADDRESS(12+3,CI$2+1,,,"Instances") &amp; ":" &amp; ADDRESS(12+3,CI$2+1))),"min", MIN(INDIRECT(ADDRESS(12+3,CI$2+1,,,"Instances") &amp; ":" &amp; ADDRESS(12+3,CI$2+1))),"max", MAX(INDIRECT(ADDRESS(12+3,CI$2+1,,,"Instances") &amp; ":" &amp; ADDRESS(12+3,CI$2+1))),"diff", MAX(INDIRECT(ADDRESS(12+3,CI$2+1,,,"Instances") &amp; ":" &amp; ADDRESS(12+3,CI$2+1)))-MIN(INDIRECT(ADDRESS(12+3,CI$2+1,,,"Instances") &amp; ":" &amp; ADDRESS(12+3,CI$2+1))))</f>
        <v>0</v>
      </c>
      <c r="CJ17">
        <f>IFERROR(SMALL(CI5:CI36,ROW()-ROW($CJ$5)+1),"")</f>
        <v>0</v>
      </c>
      <c r="CL17">
        <f>IFERROR(SUM(CJ5:CJ17),"")</f>
        <v>0</v>
      </c>
      <c r="CM17" cm="1">
        <f t="array" ref="CM17">_xlfn.SWITCH(Charts!$B$3,"average", AVERAGE(INDIRECT(ADDRESS(12+3,CM$2+1,,,"Instances") &amp; ":" &amp; ADDRESS(12+3,CM$2+1))),"median", MEDIAN(INDIRECT(ADDRESS(12+3,CM$2+1,,,"Instances") &amp; ":" &amp; ADDRESS(12+3,CM$2+1))),"min", MIN(INDIRECT(ADDRESS(12+3,CM$2+1,,,"Instances") &amp; ":" &amp; ADDRESS(12+3,CM$2+1))),"max", MAX(INDIRECT(ADDRESS(12+3,CM$2+1,,,"Instances") &amp; ":" &amp; ADDRESS(12+3,CM$2+1))),"diff", MAX(INDIRECT(ADDRESS(12+3,CM$2+1,,,"Instances") &amp; ":" &amp; ADDRESS(12+3,CM$2+1)))-MIN(INDIRECT(ADDRESS(12+3,CM$2+1,,,"Instances") &amp; ":" &amp; ADDRESS(12+3,CM$2+1))))</f>
        <v>0</v>
      </c>
      <c r="CN17">
        <f>IFERROR(SMALL(CM5:CM36,ROW()-ROW($CN$5)+1),"")</f>
        <v>0</v>
      </c>
      <c r="CP17">
        <f>IFERROR(SUM(CN5:CN17),"")</f>
        <v>0</v>
      </c>
      <c r="CQ17" cm="1">
        <f t="array" ref="CQ17">_xlfn.SWITCH(Charts!$B$3,"average", AVERAGE(INDIRECT(ADDRESS(12+3,CQ$2+1,,,"Instances") &amp; ":" &amp; ADDRESS(12+3,CQ$2+1))),"median", MEDIAN(INDIRECT(ADDRESS(12+3,CQ$2+1,,,"Instances") &amp; ":" &amp; ADDRESS(12+3,CQ$2+1))),"min", MIN(INDIRECT(ADDRESS(12+3,CQ$2+1,,,"Instances") &amp; ":" &amp; ADDRESS(12+3,CQ$2+1))),"max", MAX(INDIRECT(ADDRESS(12+3,CQ$2+1,,,"Instances") &amp; ":" &amp; ADDRESS(12+3,CQ$2+1))),"diff", MAX(INDIRECT(ADDRESS(12+3,CQ$2+1,,,"Instances") &amp; ":" &amp; ADDRESS(12+3,CQ$2+1)))-MIN(INDIRECT(ADDRESS(12+3,CQ$2+1,,,"Instances") &amp; ":" &amp; ADDRESS(12+3,CQ$2+1))))</f>
        <v>0</v>
      </c>
      <c r="CR17">
        <f>IFERROR(SMALL(CQ5:CQ36,ROW()-ROW($CR$5)+1),"")</f>
        <v>0</v>
      </c>
      <c r="CT17">
        <f>IFERROR(SUM(CR5:CR17),"")</f>
        <v>0</v>
      </c>
      <c r="CU17" cm="1">
        <f t="array" ref="CU17">_xlfn.SWITCH(Charts!$B$3,"average", AVERAGE(INDIRECT(ADDRESS(12+3,CU$2+1,,,"Instances") &amp; ":" &amp; ADDRESS(12+3,CU$2+1))),"median", MEDIAN(INDIRECT(ADDRESS(12+3,CU$2+1,,,"Instances") &amp; ":" &amp; ADDRESS(12+3,CU$2+1))),"min", MIN(INDIRECT(ADDRESS(12+3,CU$2+1,,,"Instances") &amp; ":" &amp; ADDRESS(12+3,CU$2+1))),"max", MAX(INDIRECT(ADDRESS(12+3,CU$2+1,,,"Instances") &amp; ":" &amp; ADDRESS(12+3,CU$2+1))),"diff", MAX(INDIRECT(ADDRESS(12+3,CU$2+1,,,"Instances") &amp; ":" &amp; ADDRESS(12+3,CU$2+1)))-MIN(INDIRECT(ADDRESS(12+3,CU$2+1,,,"Instances") &amp; ":" &amp; ADDRESS(12+3,CU$2+1))))</f>
        <v>0</v>
      </c>
      <c r="CV17">
        <f>IFERROR(SMALL(CU5:CU36,ROW()-ROW($CV$5)+1),"")</f>
        <v>0</v>
      </c>
      <c r="CX17">
        <f>IFERROR(SUM(CV5:CV17),"")</f>
        <v>0</v>
      </c>
      <c r="CY17" cm="1">
        <f t="array" ref="CY17">_xlfn.SWITCH(Charts!$B$3,"average", AVERAGE(INDIRECT(ADDRESS(12+3,CY$2+1,,,"Instances") &amp; ":" &amp; ADDRESS(12+3,CY$2+1))),"median", MEDIAN(INDIRECT(ADDRESS(12+3,CY$2+1,,,"Instances") &amp; ":" &amp; ADDRESS(12+3,CY$2+1))),"min", MIN(INDIRECT(ADDRESS(12+3,CY$2+1,,,"Instances") &amp; ":" &amp; ADDRESS(12+3,CY$2+1))),"max", MAX(INDIRECT(ADDRESS(12+3,CY$2+1,,,"Instances") &amp; ":" &amp; ADDRESS(12+3,CY$2+1))),"diff", MAX(INDIRECT(ADDRESS(12+3,CY$2+1,,,"Instances") &amp; ":" &amp; ADDRESS(12+3,CY$2+1)))-MIN(INDIRECT(ADDRESS(12+3,CY$2+1,,,"Instances") &amp; ":" &amp; ADDRESS(12+3,CY$2+1))))</f>
        <v>0</v>
      </c>
      <c r="CZ17">
        <f>IFERROR(SMALL(CY5:CY36,ROW()-ROW($CZ$5)+1),"")</f>
        <v>0</v>
      </c>
      <c r="DB17">
        <f>IFERROR(SUM(CZ5:CZ17),"")</f>
        <v>0</v>
      </c>
      <c r="DC17" cm="1">
        <f t="array" ref="DC17">_xlfn.SWITCH(Charts!$B$3,"average", AVERAGE(INDIRECT(ADDRESS(12+3,DC$2+1,,,"Instances") &amp; ":" &amp; ADDRESS(12+3,DC$2+1))),"median", MEDIAN(INDIRECT(ADDRESS(12+3,DC$2+1,,,"Instances") &amp; ":" &amp; ADDRESS(12+3,DC$2+1))),"min", MIN(INDIRECT(ADDRESS(12+3,DC$2+1,,,"Instances") &amp; ":" &amp; ADDRESS(12+3,DC$2+1))),"max", MAX(INDIRECT(ADDRESS(12+3,DC$2+1,,,"Instances") &amp; ":" &amp; ADDRESS(12+3,DC$2+1))),"diff", MAX(INDIRECT(ADDRESS(12+3,DC$2+1,,,"Instances") &amp; ":" &amp; ADDRESS(12+3,DC$2+1)))-MIN(INDIRECT(ADDRESS(12+3,DC$2+1,,,"Instances") &amp; ":" &amp; ADDRESS(12+3,DC$2+1))))</f>
        <v>0</v>
      </c>
      <c r="DD17">
        <f>IFERROR(SMALL(DC5:DC36,ROW()-ROW($DD$5)+1),"")</f>
        <v>0</v>
      </c>
      <c r="DF17">
        <f>IFERROR(SUM(DD5:DD17),"")</f>
        <v>0</v>
      </c>
      <c r="DG17" cm="1">
        <f t="array" ref="DG17">_xlfn.SWITCH(Charts!$B$3,"average", AVERAGE(INDIRECT(ADDRESS(12+3,DG$2+1,,,"Instances") &amp; ":" &amp; ADDRESS(12+3,DG$2+1))),"median", MEDIAN(INDIRECT(ADDRESS(12+3,DG$2+1,,,"Instances") &amp; ":" &amp; ADDRESS(12+3,DG$2+1))),"min", MIN(INDIRECT(ADDRESS(12+3,DG$2+1,,,"Instances") &amp; ":" &amp; ADDRESS(12+3,DG$2+1))),"max", MAX(INDIRECT(ADDRESS(12+3,DG$2+1,,,"Instances") &amp; ":" &amp; ADDRESS(12+3,DG$2+1))),"diff", MAX(INDIRECT(ADDRESS(12+3,DG$2+1,,,"Instances") &amp; ":" &amp; ADDRESS(12+3,DG$2+1)))-MIN(INDIRECT(ADDRESS(12+3,DG$2+1,,,"Instances") &amp; ":" &amp; ADDRESS(12+3,DG$2+1))))</f>
        <v>0</v>
      </c>
      <c r="DH17">
        <f>IFERROR(SMALL(DG5:DG36,ROW()-ROW($DH$5)+1),"")</f>
        <v>0</v>
      </c>
      <c r="DJ17">
        <f>IFERROR(SUM(DH5:DH17),"")</f>
        <v>0</v>
      </c>
      <c r="DK17" cm="1">
        <f t="array" ref="DK17">_xlfn.SWITCH(Charts!$B$3,"average", AVERAGE(INDIRECT(ADDRESS(12+3,DK$2+1,,,"Instances") &amp; ":" &amp; ADDRESS(12+3,DK$2+1))),"median", MEDIAN(INDIRECT(ADDRESS(12+3,DK$2+1,,,"Instances") &amp; ":" &amp; ADDRESS(12+3,DK$2+1))),"min", MIN(INDIRECT(ADDRESS(12+3,DK$2+1,,,"Instances") &amp; ":" &amp; ADDRESS(12+3,DK$2+1))),"max", MAX(INDIRECT(ADDRESS(12+3,DK$2+1,,,"Instances") &amp; ":" &amp; ADDRESS(12+3,DK$2+1))),"diff", MAX(INDIRECT(ADDRESS(12+3,DK$2+1,,,"Instances") &amp; ":" &amp; ADDRESS(12+3,DK$2+1)))-MIN(INDIRECT(ADDRESS(12+3,DK$2+1,,,"Instances") &amp; ":" &amp; ADDRESS(12+3,DK$2+1))))</f>
        <v>0</v>
      </c>
      <c r="DL17">
        <f>IFERROR(SMALL(DK5:DK36,ROW()-ROW($DL$5)+1),"")</f>
        <v>0</v>
      </c>
      <c r="DN17">
        <f>IFERROR(SUM(DL5:DL17),"")</f>
        <v>0</v>
      </c>
      <c r="DO17" cm="1">
        <f t="array" ref="DO17">_xlfn.SWITCH(Charts!$B$3,"average", AVERAGE(INDIRECT(ADDRESS(12+3,DO$2+1,,,"Instances") &amp; ":" &amp; ADDRESS(12+3,DO$2+1))),"median", MEDIAN(INDIRECT(ADDRESS(12+3,DO$2+1,,,"Instances") &amp; ":" &amp; ADDRESS(12+3,DO$2+1))),"min", MIN(INDIRECT(ADDRESS(12+3,DO$2+1,,,"Instances") &amp; ":" &amp; ADDRESS(12+3,DO$2+1))),"max", MAX(INDIRECT(ADDRESS(12+3,DO$2+1,,,"Instances") &amp; ":" &amp; ADDRESS(12+3,DO$2+1))),"diff", MAX(INDIRECT(ADDRESS(12+3,DO$2+1,,,"Instances") &amp; ":" &amp; ADDRESS(12+3,DO$2+1)))-MIN(INDIRECT(ADDRESS(12+3,DO$2+1,,,"Instances") &amp; ":" &amp; ADDRESS(12+3,DO$2+1))))</f>
        <v>0</v>
      </c>
      <c r="DP17">
        <f>IFERROR(SMALL(DO5:DO36,ROW()-ROW($DP$5)+1),"")</f>
        <v>0</v>
      </c>
      <c r="DR17">
        <f>IFERROR(SUM(DP5:DP17),"")</f>
        <v>0</v>
      </c>
      <c r="DS17" cm="1">
        <f t="array" ref="DS17">_xlfn.SWITCH(Charts!$B$3,"average", AVERAGE(INDIRECT(ADDRESS(12+3,DS$2+1,,,"Instances") &amp; ":" &amp; ADDRESS(12+3,DS$2+1))),"median", MEDIAN(INDIRECT(ADDRESS(12+3,DS$2+1,,,"Instances") &amp; ":" &amp; ADDRESS(12+3,DS$2+1))),"min", MIN(INDIRECT(ADDRESS(12+3,DS$2+1,,,"Instances") &amp; ":" &amp; ADDRESS(12+3,DS$2+1))),"max", MAX(INDIRECT(ADDRESS(12+3,DS$2+1,,,"Instances") &amp; ":" &amp; ADDRESS(12+3,DS$2+1))),"diff", MAX(INDIRECT(ADDRESS(12+3,DS$2+1,,,"Instances") &amp; ":" &amp; ADDRESS(12+3,DS$2+1)))-MIN(INDIRECT(ADDRESS(12+3,DS$2+1,,,"Instances") &amp; ":" &amp; ADDRESS(12+3,DS$2+1))))</f>
        <v>0</v>
      </c>
      <c r="DT17">
        <f>IFERROR(SMALL(DS5:DS36,ROW()-ROW($DT$5)+1),"")</f>
        <v>0</v>
      </c>
      <c r="DV17">
        <f>IFERROR(SUM(DT5:DT17),"")</f>
        <v>0</v>
      </c>
      <c r="DW17" cm="1">
        <f t="array" ref="DW17">_xlfn.SWITCH(Charts!$B$3,"average", AVERAGE(INDIRECT(ADDRESS(12+3,DW$2+1,,,"Instances") &amp; ":" &amp; ADDRESS(12+3,DW$2+1))),"median", MEDIAN(INDIRECT(ADDRESS(12+3,DW$2+1,,,"Instances") &amp; ":" &amp; ADDRESS(12+3,DW$2+1))),"min", MIN(INDIRECT(ADDRESS(12+3,DW$2+1,,,"Instances") &amp; ":" &amp; ADDRESS(12+3,DW$2+1))),"max", MAX(INDIRECT(ADDRESS(12+3,DW$2+1,,,"Instances") &amp; ":" &amp; ADDRESS(12+3,DW$2+1))),"diff", MAX(INDIRECT(ADDRESS(12+3,DW$2+1,,,"Instances") &amp; ":" &amp; ADDRESS(12+3,DW$2+1)))-MIN(INDIRECT(ADDRESS(12+3,DW$2+1,,,"Instances") &amp; ":" &amp; ADDRESS(12+3,DW$2+1))))</f>
        <v>0</v>
      </c>
      <c r="DX17">
        <f>IFERROR(SMALL(DW5:DW36,ROW()-ROW($DX$5)+1),"")</f>
        <v>0</v>
      </c>
      <c r="DZ17">
        <f>IFERROR(SUM(DX5:DX17),"")</f>
        <v>0</v>
      </c>
      <c r="EA17" cm="1">
        <f t="array" ref="EA17">_xlfn.SWITCH(Charts!$B$3,"average", AVERAGE(INDIRECT(ADDRESS(12+3,EA$2+1,,,"Instances") &amp; ":" &amp; ADDRESS(12+3,EA$2+1))),"median", MEDIAN(INDIRECT(ADDRESS(12+3,EA$2+1,,,"Instances") &amp; ":" &amp; ADDRESS(12+3,EA$2+1))),"min", MIN(INDIRECT(ADDRESS(12+3,EA$2+1,,,"Instances") &amp; ":" &amp; ADDRESS(12+3,EA$2+1))),"max", MAX(INDIRECT(ADDRESS(12+3,EA$2+1,,,"Instances") &amp; ":" &amp; ADDRESS(12+3,EA$2+1))),"diff", MAX(INDIRECT(ADDRESS(12+3,EA$2+1,,,"Instances") &amp; ":" &amp; ADDRESS(12+3,EA$2+1)))-MIN(INDIRECT(ADDRESS(12+3,EA$2+1,,,"Instances") &amp; ":" &amp; ADDRESS(12+3,EA$2+1))))</f>
        <v>0</v>
      </c>
      <c r="EB17">
        <f>IFERROR(SMALL(EA5:EA36,ROW()-ROW($EB$5)+1),"")</f>
        <v>0</v>
      </c>
      <c r="ED17">
        <f>IFERROR(SUM(EB5:EB17),"")</f>
        <v>0</v>
      </c>
      <c r="EG17">
        <f>IF(Charts!$B$3="none",E184,IF(BS184="",NA(),BS184))</f>
        <v>0</v>
      </c>
      <c r="EH17">
        <f>IF(Charts!$B$3="none",F184,IF(BT184="",NA(),BT184))</f>
        <v>0</v>
      </c>
      <c r="EI17">
        <f>IF(Charts!$B$3="none",G184,IF(BU184="",NA(),BU184))</f>
        <v>0</v>
      </c>
      <c r="EJ17">
        <f>IF(Charts!$B$3="none",H184,IF(BV184="",NA(),BV184))</f>
        <v>0</v>
      </c>
      <c r="EK17">
        <f>IF(Charts!$B$3="none",I184,IF(BW184="",NA(),BW184))</f>
        <v>0</v>
      </c>
      <c r="EL17">
        <f>IF(Charts!$B$3="none",J184,IF(BX184="",NA(),BX184))</f>
        <v>0</v>
      </c>
      <c r="EM17">
        <f>IF(Charts!$B$3="none",K184,IF(BY184="",NA(),BY184))</f>
        <v>0</v>
      </c>
      <c r="EN17">
        <f>IF(Charts!$B$3="none",L184,IF(BZ184="",NA(),BZ184))</f>
        <v>0</v>
      </c>
      <c r="EO17">
        <f>IF(Charts!$B$3="none",M184,IF(CA184="",NA(),CA184))</f>
        <v>0</v>
      </c>
      <c r="EP17">
        <f>IF(Charts!$B$3="none",N184,IF(CB184="",NA(),CB184))</f>
        <v>0</v>
      </c>
      <c r="EQ17">
        <f>IF(Charts!$B$3="none",O184,IF(CC184="",NA(),CC184))</f>
        <v>0</v>
      </c>
      <c r="ER17">
        <f>IF(Charts!$B$3="none",P184,IF(CD184="",NA(),CD184))</f>
        <v>0</v>
      </c>
      <c r="ES17">
        <f>IF(Charts!$B$3="none",Q184,IF(CE184="",NA(),CE184))</f>
        <v>0</v>
      </c>
      <c r="ET17">
        <f>IF(Charts!$B$3="none",R184,IF(CF184="",NA(),CF184))</f>
        <v>0</v>
      </c>
      <c r="EU17">
        <f>IF(Charts!$B$3="none",S184,IF(CG184="",NA(),CG184))</f>
        <v>0</v>
      </c>
      <c r="EV17">
        <f>IF(Charts!$B$3="none",T184,IF(CH184="",NA(),CH184))</f>
        <v>0</v>
      </c>
      <c r="EW17">
        <f>IF(Charts!$B$3="none",U184,IF(CI184="",NA(),CI184))</f>
        <v>0</v>
      </c>
      <c r="EX17">
        <f>IF(Charts!$B$3="none",V184,IF(CJ184="",NA(),CJ184))</f>
        <v>0</v>
      </c>
      <c r="EY17">
        <f>IF(Charts!$B$3="none",W184,IF(CK184="",NA(),CK184))</f>
        <v>0</v>
      </c>
      <c r="EZ17">
        <f>IF(Charts!$B$3="none",X184,IF(CL184="",NA(),CL184))</f>
        <v>0</v>
      </c>
      <c r="FA17">
        <f>IF(Charts!$B$3="none",Y184,IF(CM184="",NA(),CM184))</f>
        <v>0</v>
      </c>
      <c r="FB17">
        <f>IF(Charts!$B$3="none",Z184,IF(CN184="",NA(),CN184))</f>
        <v>0</v>
      </c>
      <c r="FC17">
        <f>IF(Charts!$B$3="none",AA184,IF(CO184="",NA(),CO184))</f>
        <v>0</v>
      </c>
      <c r="FD17">
        <f>IF(Charts!$B$3="none",AB184,IF(CP184="",NA(),CP184))</f>
        <v>0</v>
      </c>
      <c r="FE17">
        <f>IF(Charts!$B$3="none",AC184,IF(CQ184="",NA(),CQ184))</f>
        <v>0</v>
      </c>
      <c r="FF17">
        <f>IF(Charts!$B$3="none",AD184,IF(CR184="",NA(),CR184))</f>
        <v>0</v>
      </c>
      <c r="FG17">
        <f>IF(Charts!$B$3="none",AE184,IF(CS184="",NA(),CS184))</f>
        <v>0</v>
      </c>
      <c r="FH17">
        <f>IF(Charts!$B$3="none",AF184,IF(CT184="",NA(),CT184))</f>
        <v>0</v>
      </c>
      <c r="FI17">
        <f>IF(Charts!$B$3="none",AG184,IF(CU184="",NA(),CU184))</f>
        <v>0</v>
      </c>
      <c r="FJ17">
        <f>IF(Charts!$B$3="none",AH184,IF(CV184="",NA(),CV184))</f>
        <v>0</v>
      </c>
      <c r="FK17">
        <f>IF(Charts!$B$3="none",AI184,IF(CW184="",NA(),CW184))</f>
        <v>0</v>
      </c>
      <c r="FL17">
        <f>IF(Charts!$B$3="none",AJ184,IF(CX184="",NA(),CX184))</f>
        <v>0</v>
      </c>
      <c r="FM17">
        <f>IF(Charts!$B$3="none",AK184,IF(CY184="",NA(),CY184))</f>
        <v>0</v>
      </c>
      <c r="FN17">
        <f>IF(Charts!$B$3="none",AL184,IF(CZ184="",NA(),CZ184))</f>
        <v>0</v>
      </c>
      <c r="FO17">
        <f>IF(Charts!$B$3="none",AM184,IF(DA184="",NA(),DA184))</f>
        <v>0</v>
      </c>
      <c r="FP17">
        <f>IF(Charts!$B$3="none",AN184,IF(DB184="",NA(),DB184))</f>
        <v>0</v>
      </c>
      <c r="FQ17">
        <f>IF(Charts!$B$3="none",AO184,IF(DC184="",NA(),DC184))</f>
        <v>0</v>
      </c>
      <c r="FR17">
        <f>IF(Charts!$B$3="none",AP184,IF(DD184="",NA(),DD184))</f>
        <v>0</v>
      </c>
      <c r="FS17">
        <f>IF(Charts!$B$3="none",AQ184,IF(DE184="",NA(),DE184))</f>
        <v>0</v>
      </c>
      <c r="FT17">
        <f>IF(Charts!$B$3="none",AR184,IF(DF184="",NA(),DF184))</f>
        <v>0</v>
      </c>
      <c r="FU17">
        <f>IF(Charts!$B$3="none",AS184,IF(DG184="",NA(),DG184))</f>
        <v>0</v>
      </c>
      <c r="FV17">
        <f>IF(Charts!$B$3="none",AT184,IF(DH184="",NA(),DH184))</f>
        <v>0</v>
      </c>
      <c r="FW17">
        <f>IF(Charts!$B$3="none",AU184,IF(DI184="",NA(),DI184))</f>
        <v>0</v>
      </c>
      <c r="FX17">
        <f>IF(Charts!$B$3="none",AV184,IF(DJ184="",NA(),DJ184))</f>
        <v>0</v>
      </c>
      <c r="FY17">
        <f>IF(Charts!$B$3="none",AW184,IF(DK184="",NA(),DK184))</f>
        <v>0</v>
      </c>
      <c r="FZ17">
        <f>IF(Charts!$B$3="none",AX184,IF(DL184="",NA(),DL184))</f>
        <v>0</v>
      </c>
      <c r="GA17">
        <f>IF(Charts!$B$3="none",AY184,IF(DM184="",NA(),DM184))</f>
        <v>0</v>
      </c>
      <c r="GB17">
        <f>IF(Charts!$B$3="none",AZ184,IF(DN184="",NA(),DN184))</f>
        <v>0</v>
      </c>
      <c r="GC17">
        <f>IF(Charts!$B$3="none",BA184,IF(DO184="",NA(),DO184))</f>
        <v>0</v>
      </c>
      <c r="GD17">
        <f>IF(Charts!$B$3="none",BB184,IF(DP184="",NA(),DP184))</f>
        <v>0</v>
      </c>
      <c r="GE17">
        <f>IF(Charts!$B$3="none",BC184,IF(DQ184="",NA(),DQ184))</f>
        <v>0</v>
      </c>
      <c r="GF17">
        <f>IF(Charts!$B$3="none",BD184,IF(DR184="",NA(),DR184))</f>
        <v>0</v>
      </c>
      <c r="GG17">
        <f>IF(Charts!$B$3="none",BE184,IF(DS184="",NA(),DS184))</f>
        <v>0</v>
      </c>
      <c r="GH17">
        <f>IF(Charts!$B$3="none",BF184,IF(DT184="",NA(),DT184))</f>
        <v>0</v>
      </c>
      <c r="GI17">
        <f>IF(Charts!$B$3="none",BG184,IF(DU184="",NA(),DU184))</f>
        <v>0</v>
      </c>
      <c r="GJ17">
        <f>IF(Charts!$B$3="none",BH184,IF(DV184="",NA(),DV184))</f>
        <v>0</v>
      </c>
      <c r="GK17">
        <f>IF(Charts!$B$3="none",BI184,IF(DW184="",NA(),DW184))</f>
        <v>0</v>
      </c>
      <c r="GL17">
        <f>IF(Charts!$B$3="none",BJ184,IF(DX184="",NA(),DX184))</f>
        <v>0</v>
      </c>
      <c r="GM17">
        <f>IF(Charts!$B$3="none",BK184,IF(DY184="",NA(),DY184))</f>
        <v>0</v>
      </c>
      <c r="GN17">
        <f>IF(Charts!$B$3="none",BL184,IF(DZ184="",NA(),DZ184))</f>
        <v>0</v>
      </c>
      <c r="GO17">
        <f>IF(Charts!$B$3="none",BM184,IF(EA184="",NA(),EA184))</f>
        <v>0</v>
      </c>
      <c r="GP17">
        <f>IF(Charts!$B$3="none",BN184,IF(EB184="",NA(),EB184))</f>
        <v>0</v>
      </c>
      <c r="GQ17">
        <f>IF(Charts!$B$3="none",BO184,IF(EC184="",NA(),EC184))</f>
        <v>0</v>
      </c>
      <c r="GR17">
        <f>IF(Charts!$B$3="none",BP184,IF(ED184="",NA(),ED184))</f>
        <v>0</v>
      </c>
    </row>
    <row r="18" spans="1:200">
      <c r="A18" t="s">
        <v>60</v>
      </c>
      <c r="B18">
        <v>18</v>
      </c>
      <c r="D18">
        <v>14</v>
      </c>
      <c r="E18">
        <f>IF(INDIRECT(ADDRESS($D18+2,E$2+1,,,"Instances"))="","",INDIRECT(ADDRESS($D18+2,E$2+1,,,"Instances")))</f>
        <v>0</v>
      </c>
      <c r="F18">
        <f>IFERROR(SMALL(E5:E36,ROW()-ROW($F$5)+1),"")</f>
        <v>0</v>
      </c>
      <c r="H18">
        <f>IFERROR(SUM(F5:F18),"")</f>
        <v>0</v>
      </c>
      <c r="I18">
        <f>IF(INDIRECT(ADDRESS($D18+2,I$2+1,,,"Instances"))="","",INDIRECT(ADDRESS($D18+2,I$2+1,,,"Instances")))</f>
        <v>0</v>
      </c>
      <c r="J18">
        <f>IFERROR(SMALL(I5:I36,ROW()-ROW($J$5)+1),"")</f>
        <v>0</v>
      </c>
      <c r="L18">
        <f>IFERROR(SUM(J5:J18),"")</f>
        <v>0</v>
      </c>
      <c r="M18">
        <f>IF(INDIRECT(ADDRESS($D18+2,M$2+1,,,"Instances"))="","",INDIRECT(ADDRESS($D18+2,M$2+1,,,"Instances")))</f>
        <v>0</v>
      </c>
      <c r="N18">
        <f>IFERROR(SMALL(M5:M36,ROW()-ROW($N$5)+1),"")</f>
        <v>0</v>
      </c>
      <c r="P18">
        <f>IFERROR(SUM(N5:N18),"")</f>
        <v>0</v>
      </c>
      <c r="Q18">
        <f>IF(INDIRECT(ADDRESS($D18+2,Q$2+1,,,"Instances"))="","",INDIRECT(ADDRESS($D18+2,Q$2+1,,,"Instances")))</f>
        <v>0</v>
      </c>
      <c r="R18">
        <f>IFERROR(SMALL(Q5:Q36,ROW()-ROW($R$5)+1),"")</f>
        <v>0</v>
      </c>
      <c r="T18">
        <f>IFERROR(SUM(R5:R18),"")</f>
        <v>0</v>
      </c>
      <c r="U18">
        <f>IF(INDIRECT(ADDRESS($D18+2,U$2+1,,,"Instances"))="","",INDIRECT(ADDRESS($D18+2,U$2+1,,,"Instances")))</f>
        <v>0</v>
      </c>
      <c r="V18">
        <f>IFERROR(SMALL(U5:U36,ROW()-ROW($V$5)+1),"")</f>
        <v>0</v>
      </c>
      <c r="X18">
        <f>IFERROR(SUM(V5:V18),"")</f>
        <v>0</v>
      </c>
      <c r="Y18">
        <f>IF(INDIRECT(ADDRESS($D18+2,Y$2+1,,,"Instances"))="","",INDIRECT(ADDRESS($D18+2,Y$2+1,,,"Instances")))</f>
        <v>0</v>
      </c>
      <c r="Z18">
        <f>IFERROR(SMALL(Y5:Y36,ROW()-ROW($Z$5)+1),"")</f>
        <v>0</v>
      </c>
      <c r="AB18">
        <f>IFERROR(SUM(Z5:Z18),"")</f>
        <v>0</v>
      </c>
      <c r="AC18">
        <f>IF(INDIRECT(ADDRESS($D18+2,AC$2+1,,,"Instances"))="","",INDIRECT(ADDRESS($D18+2,AC$2+1,,,"Instances")))</f>
        <v>0</v>
      </c>
      <c r="AD18">
        <f>IFERROR(SMALL(AC5:AC36,ROW()-ROW($AD$5)+1),"")</f>
        <v>0</v>
      </c>
      <c r="AF18">
        <f>IFERROR(SUM(AD5:AD18),"")</f>
        <v>0</v>
      </c>
      <c r="AG18">
        <f>IF(INDIRECT(ADDRESS($D18+2,AG$2+1,,,"Instances"))="","",INDIRECT(ADDRESS($D18+2,AG$2+1,,,"Instances")))</f>
        <v>0</v>
      </c>
      <c r="AH18">
        <f>IFERROR(SMALL(AG5:AG36,ROW()-ROW($AH$5)+1),"")</f>
        <v>0</v>
      </c>
      <c r="AJ18">
        <f>IFERROR(SUM(AH5:AH18),"")</f>
        <v>0</v>
      </c>
      <c r="AK18">
        <f>IF(INDIRECT(ADDRESS($D18+2,AK$2+1,,,"Instances"))="","",INDIRECT(ADDRESS($D18+2,AK$2+1,,,"Instances")))</f>
        <v>0</v>
      </c>
      <c r="AL18">
        <f>IFERROR(SMALL(AK5:AK36,ROW()-ROW($AL$5)+1),"")</f>
        <v>0</v>
      </c>
      <c r="AN18">
        <f>IFERROR(SUM(AL5:AL18),"")</f>
        <v>0</v>
      </c>
      <c r="AO18">
        <f>IF(INDIRECT(ADDRESS($D18+2,AO$2+1,,,"Instances"))="","",INDIRECT(ADDRESS($D18+2,AO$2+1,,,"Instances")))</f>
        <v>0</v>
      </c>
      <c r="AP18">
        <f>IFERROR(SMALL(AO5:AO36,ROW()-ROW($AP$5)+1),"")</f>
        <v>0</v>
      </c>
      <c r="AR18">
        <f>IFERROR(SUM(AP5:AP18),"")</f>
        <v>0</v>
      </c>
      <c r="AS18">
        <f>IF(INDIRECT(ADDRESS($D18+2,AS$2+1,,,"Instances"))="","",INDIRECT(ADDRESS($D18+2,AS$2+1,,,"Instances")))</f>
        <v>0</v>
      </c>
      <c r="AT18">
        <f>IFERROR(SMALL(AS5:AS36,ROW()-ROW($AT$5)+1),"")</f>
        <v>0</v>
      </c>
      <c r="AV18">
        <f>IFERROR(SUM(AT5:AT18),"")</f>
        <v>0</v>
      </c>
      <c r="AW18">
        <f>IF(INDIRECT(ADDRESS($D18+2,AW$2+1,,,"Instances"))="","",INDIRECT(ADDRESS($D18+2,AW$2+1,,,"Instances")))</f>
        <v>0</v>
      </c>
      <c r="AX18">
        <f>IFERROR(SMALL(AW5:AW36,ROW()-ROW($AX$5)+1),"")</f>
        <v>0</v>
      </c>
      <c r="AZ18">
        <f>IFERROR(SUM(AX5:AX18),"")</f>
        <v>0</v>
      </c>
      <c r="BA18">
        <f>IF(INDIRECT(ADDRESS($D18+2,BA$2+1,,,"Instances"))="","",INDIRECT(ADDRESS($D18+2,BA$2+1,,,"Instances")))</f>
        <v>0</v>
      </c>
      <c r="BB18">
        <f>IFERROR(SMALL(BA5:BA36,ROW()-ROW($BB$5)+1),"")</f>
        <v>0</v>
      </c>
      <c r="BD18">
        <f>IFERROR(SUM(BB5:BB18),"")</f>
        <v>0</v>
      </c>
      <c r="BE18">
        <f>IF(INDIRECT(ADDRESS($D18+2,BE$2+1,,,"Instances"))="","",INDIRECT(ADDRESS($D18+2,BE$2+1,,,"Instances")))</f>
        <v>0</v>
      </c>
      <c r="BF18">
        <f>IFERROR(SMALL(BE5:BE36,ROW()-ROW($BF$5)+1),"")</f>
        <v>0</v>
      </c>
      <c r="BH18">
        <f>IFERROR(SUM(BF5:BF18),"")</f>
        <v>0</v>
      </c>
      <c r="BI18">
        <f>IF(INDIRECT(ADDRESS($D18+2,BI$2+1,,,"Instances"))="","",INDIRECT(ADDRESS($D18+2,BI$2+1,,,"Instances")))</f>
        <v>0</v>
      </c>
      <c r="BJ18">
        <f>IFERROR(SMALL(BI5:BI36,ROW()-ROW($BJ$5)+1),"")</f>
        <v>0</v>
      </c>
      <c r="BL18">
        <f>IFERROR(SUM(BJ5:BJ18),"")</f>
        <v>0</v>
      </c>
      <c r="BM18">
        <f>IF(INDIRECT(ADDRESS($D18+2,BM$2+1,,,"Instances"))="","",INDIRECT(ADDRESS($D18+2,BM$2+1,,,"Instances")))</f>
        <v>0</v>
      </c>
      <c r="BN18">
        <f>IFERROR(SMALL(BM5:BM36,ROW()-ROW($BN$5)+1),"")</f>
        <v>0</v>
      </c>
      <c r="BP18">
        <f>IFERROR(SUM(BN5:BN18),"")</f>
        <v>0</v>
      </c>
      <c r="BR18">
        <v>14</v>
      </c>
      <c r="BS18" cm="1">
        <f t="array" ref="BS18">_xlfn.SWITCH(Charts!$B$3,"average", AVERAGE(INDIRECT(ADDRESS(13+3,BS$2+1,,,"Instances") &amp; ":" &amp; ADDRESS(13+3,BS$2+1))),"median", MEDIAN(INDIRECT(ADDRESS(13+3,BS$2+1,,,"Instances") &amp; ":" &amp; ADDRESS(13+3,BS$2+1))),"min", MIN(INDIRECT(ADDRESS(13+3,BS$2+1,,,"Instances") &amp; ":" &amp; ADDRESS(13+3,BS$2+1))),"max", MAX(INDIRECT(ADDRESS(13+3,BS$2+1,,,"Instances") &amp; ":" &amp; ADDRESS(13+3,BS$2+1))),"diff", MAX(INDIRECT(ADDRESS(13+3,BS$2+1,,,"Instances") &amp; ":" &amp; ADDRESS(13+3,BS$2+1)))-MIN(INDIRECT(ADDRESS(13+3,BS$2+1,,,"Instances") &amp; ":" &amp; ADDRESS(13+3,BS$2+1))))</f>
        <v>0</v>
      </c>
      <c r="BT18">
        <f>IFERROR(SMALL(BS5:BS36,ROW()-ROW($BT$5)+1),"")</f>
        <v>0</v>
      </c>
      <c r="BV18">
        <f>IFERROR(SUM(BT5:BT18),"")</f>
        <v>0</v>
      </c>
      <c r="BW18" cm="1">
        <f t="array" ref="BW18">_xlfn.SWITCH(Charts!$B$3,"average", AVERAGE(INDIRECT(ADDRESS(13+3,BW$2+1,,,"Instances") &amp; ":" &amp; ADDRESS(13+3,BW$2+1))),"median", MEDIAN(INDIRECT(ADDRESS(13+3,BW$2+1,,,"Instances") &amp; ":" &amp; ADDRESS(13+3,BW$2+1))),"min", MIN(INDIRECT(ADDRESS(13+3,BW$2+1,,,"Instances") &amp; ":" &amp; ADDRESS(13+3,BW$2+1))),"max", MAX(INDIRECT(ADDRESS(13+3,BW$2+1,,,"Instances") &amp; ":" &amp; ADDRESS(13+3,BW$2+1))),"diff", MAX(INDIRECT(ADDRESS(13+3,BW$2+1,,,"Instances") &amp; ":" &amp; ADDRESS(13+3,BW$2+1)))-MIN(INDIRECT(ADDRESS(13+3,BW$2+1,,,"Instances") &amp; ":" &amp; ADDRESS(13+3,BW$2+1))))</f>
        <v>0</v>
      </c>
      <c r="BX18">
        <f>IFERROR(SMALL(BW5:BW36,ROW()-ROW($BX$5)+1),"")</f>
        <v>0</v>
      </c>
      <c r="BZ18">
        <f>IFERROR(SUM(BX5:BX18),"")</f>
        <v>0</v>
      </c>
      <c r="CA18" cm="1">
        <f t="array" ref="CA18">_xlfn.SWITCH(Charts!$B$3,"average", AVERAGE(INDIRECT(ADDRESS(13+3,CA$2+1,,,"Instances") &amp; ":" &amp; ADDRESS(13+3,CA$2+1))),"median", MEDIAN(INDIRECT(ADDRESS(13+3,CA$2+1,,,"Instances") &amp; ":" &amp; ADDRESS(13+3,CA$2+1))),"min", MIN(INDIRECT(ADDRESS(13+3,CA$2+1,,,"Instances") &amp; ":" &amp; ADDRESS(13+3,CA$2+1))),"max", MAX(INDIRECT(ADDRESS(13+3,CA$2+1,,,"Instances") &amp; ":" &amp; ADDRESS(13+3,CA$2+1))),"diff", MAX(INDIRECT(ADDRESS(13+3,CA$2+1,,,"Instances") &amp; ":" &amp; ADDRESS(13+3,CA$2+1)))-MIN(INDIRECT(ADDRESS(13+3,CA$2+1,,,"Instances") &amp; ":" &amp; ADDRESS(13+3,CA$2+1))))</f>
        <v>0</v>
      </c>
      <c r="CB18">
        <f>IFERROR(SMALL(CA5:CA36,ROW()-ROW($CB$5)+1),"")</f>
        <v>0</v>
      </c>
      <c r="CD18">
        <f>IFERROR(SUM(CB5:CB18),"")</f>
        <v>0</v>
      </c>
      <c r="CE18" cm="1">
        <f t="array" ref="CE18">_xlfn.SWITCH(Charts!$B$3,"average", AVERAGE(INDIRECT(ADDRESS(13+3,CE$2+1,,,"Instances") &amp; ":" &amp; ADDRESS(13+3,CE$2+1))),"median", MEDIAN(INDIRECT(ADDRESS(13+3,CE$2+1,,,"Instances") &amp; ":" &amp; ADDRESS(13+3,CE$2+1))),"min", MIN(INDIRECT(ADDRESS(13+3,CE$2+1,,,"Instances") &amp; ":" &amp; ADDRESS(13+3,CE$2+1))),"max", MAX(INDIRECT(ADDRESS(13+3,CE$2+1,,,"Instances") &amp; ":" &amp; ADDRESS(13+3,CE$2+1))),"diff", MAX(INDIRECT(ADDRESS(13+3,CE$2+1,,,"Instances") &amp; ":" &amp; ADDRESS(13+3,CE$2+1)))-MIN(INDIRECT(ADDRESS(13+3,CE$2+1,,,"Instances") &amp; ":" &amp; ADDRESS(13+3,CE$2+1))))</f>
        <v>0</v>
      </c>
      <c r="CF18">
        <f>IFERROR(SMALL(CE5:CE36,ROW()-ROW($CF$5)+1),"")</f>
        <v>0</v>
      </c>
      <c r="CH18">
        <f>IFERROR(SUM(CF5:CF18),"")</f>
        <v>0</v>
      </c>
      <c r="CI18" cm="1">
        <f t="array" ref="CI18">_xlfn.SWITCH(Charts!$B$3,"average", AVERAGE(INDIRECT(ADDRESS(13+3,CI$2+1,,,"Instances") &amp; ":" &amp; ADDRESS(13+3,CI$2+1))),"median", MEDIAN(INDIRECT(ADDRESS(13+3,CI$2+1,,,"Instances") &amp; ":" &amp; ADDRESS(13+3,CI$2+1))),"min", MIN(INDIRECT(ADDRESS(13+3,CI$2+1,,,"Instances") &amp; ":" &amp; ADDRESS(13+3,CI$2+1))),"max", MAX(INDIRECT(ADDRESS(13+3,CI$2+1,,,"Instances") &amp; ":" &amp; ADDRESS(13+3,CI$2+1))),"diff", MAX(INDIRECT(ADDRESS(13+3,CI$2+1,,,"Instances") &amp; ":" &amp; ADDRESS(13+3,CI$2+1)))-MIN(INDIRECT(ADDRESS(13+3,CI$2+1,,,"Instances") &amp; ":" &amp; ADDRESS(13+3,CI$2+1))))</f>
        <v>0</v>
      </c>
      <c r="CJ18">
        <f>IFERROR(SMALL(CI5:CI36,ROW()-ROW($CJ$5)+1),"")</f>
        <v>0</v>
      </c>
      <c r="CL18">
        <f>IFERROR(SUM(CJ5:CJ18),"")</f>
        <v>0</v>
      </c>
      <c r="CM18" cm="1">
        <f t="array" ref="CM18">_xlfn.SWITCH(Charts!$B$3,"average", AVERAGE(INDIRECT(ADDRESS(13+3,CM$2+1,,,"Instances") &amp; ":" &amp; ADDRESS(13+3,CM$2+1))),"median", MEDIAN(INDIRECT(ADDRESS(13+3,CM$2+1,,,"Instances") &amp; ":" &amp; ADDRESS(13+3,CM$2+1))),"min", MIN(INDIRECT(ADDRESS(13+3,CM$2+1,,,"Instances") &amp; ":" &amp; ADDRESS(13+3,CM$2+1))),"max", MAX(INDIRECT(ADDRESS(13+3,CM$2+1,,,"Instances") &amp; ":" &amp; ADDRESS(13+3,CM$2+1))),"diff", MAX(INDIRECT(ADDRESS(13+3,CM$2+1,,,"Instances") &amp; ":" &amp; ADDRESS(13+3,CM$2+1)))-MIN(INDIRECT(ADDRESS(13+3,CM$2+1,,,"Instances") &amp; ":" &amp; ADDRESS(13+3,CM$2+1))))</f>
        <v>0</v>
      </c>
      <c r="CN18">
        <f>IFERROR(SMALL(CM5:CM36,ROW()-ROW($CN$5)+1),"")</f>
        <v>0</v>
      </c>
      <c r="CP18">
        <f>IFERROR(SUM(CN5:CN18),"")</f>
        <v>0</v>
      </c>
      <c r="CQ18" cm="1">
        <f t="array" ref="CQ18">_xlfn.SWITCH(Charts!$B$3,"average", AVERAGE(INDIRECT(ADDRESS(13+3,CQ$2+1,,,"Instances") &amp; ":" &amp; ADDRESS(13+3,CQ$2+1))),"median", MEDIAN(INDIRECT(ADDRESS(13+3,CQ$2+1,,,"Instances") &amp; ":" &amp; ADDRESS(13+3,CQ$2+1))),"min", MIN(INDIRECT(ADDRESS(13+3,CQ$2+1,,,"Instances") &amp; ":" &amp; ADDRESS(13+3,CQ$2+1))),"max", MAX(INDIRECT(ADDRESS(13+3,CQ$2+1,,,"Instances") &amp; ":" &amp; ADDRESS(13+3,CQ$2+1))),"diff", MAX(INDIRECT(ADDRESS(13+3,CQ$2+1,,,"Instances") &amp; ":" &amp; ADDRESS(13+3,CQ$2+1)))-MIN(INDIRECT(ADDRESS(13+3,CQ$2+1,,,"Instances") &amp; ":" &amp; ADDRESS(13+3,CQ$2+1))))</f>
        <v>0</v>
      </c>
      <c r="CR18">
        <f>IFERROR(SMALL(CQ5:CQ36,ROW()-ROW($CR$5)+1),"")</f>
        <v>0</v>
      </c>
      <c r="CT18">
        <f>IFERROR(SUM(CR5:CR18),"")</f>
        <v>0</v>
      </c>
      <c r="CU18" cm="1">
        <f t="array" ref="CU18">_xlfn.SWITCH(Charts!$B$3,"average", AVERAGE(INDIRECT(ADDRESS(13+3,CU$2+1,,,"Instances") &amp; ":" &amp; ADDRESS(13+3,CU$2+1))),"median", MEDIAN(INDIRECT(ADDRESS(13+3,CU$2+1,,,"Instances") &amp; ":" &amp; ADDRESS(13+3,CU$2+1))),"min", MIN(INDIRECT(ADDRESS(13+3,CU$2+1,,,"Instances") &amp; ":" &amp; ADDRESS(13+3,CU$2+1))),"max", MAX(INDIRECT(ADDRESS(13+3,CU$2+1,,,"Instances") &amp; ":" &amp; ADDRESS(13+3,CU$2+1))),"diff", MAX(INDIRECT(ADDRESS(13+3,CU$2+1,,,"Instances") &amp; ":" &amp; ADDRESS(13+3,CU$2+1)))-MIN(INDIRECT(ADDRESS(13+3,CU$2+1,,,"Instances") &amp; ":" &amp; ADDRESS(13+3,CU$2+1))))</f>
        <v>0</v>
      </c>
      <c r="CV18">
        <f>IFERROR(SMALL(CU5:CU36,ROW()-ROW($CV$5)+1),"")</f>
        <v>0</v>
      </c>
      <c r="CX18">
        <f>IFERROR(SUM(CV5:CV18),"")</f>
        <v>0</v>
      </c>
      <c r="CY18" cm="1">
        <f t="array" ref="CY18">_xlfn.SWITCH(Charts!$B$3,"average", AVERAGE(INDIRECT(ADDRESS(13+3,CY$2+1,,,"Instances") &amp; ":" &amp; ADDRESS(13+3,CY$2+1))),"median", MEDIAN(INDIRECT(ADDRESS(13+3,CY$2+1,,,"Instances") &amp; ":" &amp; ADDRESS(13+3,CY$2+1))),"min", MIN(INDIRECT(ADDRESS(13+3,CY$2+1,,,"Instances") &amp; ":" &amp; ADDRESS(13+3,CY$2+1))),"max", MAX(INDIRECT(ADDRESS(13+3,CY$2+1,,,"Instances") &amp; ":" &amp; ADDRESS(13+3,CY$2+1))),"diff", MAX(INDIRECT(ADDRESS(13+3,CY$2+1,,,"Instances") &amp; ":" &amp; ADDRESS(13+3,CY$2+1)))-MIN(INDIRECT(ADDRESS(13+3,CY$2+1,,,"Instances") &amp; ":" &amp; ADDRESS(13+3,CY$2+1))))</f>
        <v>0</v>
      </c>
      <c r="CZ18">
        <f>IFERROR(SMALL(CY5:CY36,ROW()-ROW($CZ$5)+1),"")</f>
        <v>0</v>
      </c>
      <c r="DB18">
        <f>IFERROR(SUM(CZ5:CZ18),"")</f>
        <v>0</v>
      </c>
      <c r="DC18" cm="1">
        <f t="array" ref="DC18">_xlfn.SWITCH(Charts!$B$3,"average", AVERAGE(INDIRECT(ADDRESS(13+3,DC$2+1,,,"Instances") &amp; ":" &amp; ADDRESS(13+3,DC$2+1))),"median", MEDIAN(INDIRECT(ADDRESS(13+3,DC$2+1,,,"Instances") &amp; ":" &amp; ADDRESS(13+3,DC$2+1))),"min", MIN(INDIRECT(ADDRESS(13+3,DC$2+1,,,"Instances") &amp; ":" &amp; ADDRESS(13+3,DC$2+1))),"max", MAX(INDIRECT(ADDRESS(13+3,DC$2+1,,,"Instances") &amp; ":" &amp; ADDRESS(13+3,DC$2+1))),"diff", MAX(INDIRECT(ADDRESS(13+3,DC$2+1,,,"Instances") &amp; ":" &amp; ADDRESS(13+3,DC$2+1)))-MIN(INDIRECT(ADDRESS(13+3,DC$2+1,,,"Instances") &amp; ":" &amp; ADDRESS(13+3,DC$2+1))))</f>
        <v>0</v>
      </c>
      <c r="DD18">
        <f>IFERROR(SMALL(DC5:DC36,ROW()-ROW($DD$5)+1),"")</f>
        <v>0</v>
      </c>
      <c r="DF18">
        <f>IFERROR(SUM(DD5:DD18),"")</f>
        <v>0</v>
      </c>
      <c r="DG18" cm="1">
        <f t="array" ref="DG18">_xlfn.SWITCH(Charts!$B$3,"average", AVERAGE(INDIRECT(ADDRESS(13+3,DG$2+1,,,"Instances") &amp; ":" &amp; ADDRESS(13+3,DG$2+1))),"median", MEDIAN(INDIRECT(ADDRESS(13+3,DG$2+1,,,"Instances") &amp; ":" &amp; ADDRESS(13+3,DG$2+1))),"min", MIN(INDIRECT(ADDRESS(13+3,DG$2+1,,,"Instances") &amp; ":" &amp; ADDRESS(13+3,DG$2+1))),"max", MAX(INDIRECT(ADDRESS(13+3,DG$2+1,,,"Instances") &amp; ":" &amp; ADDRESS(13+3,DG$2+1))),"diff", MAX(INDIRECT(ADDRESS(13+3,DG$2+1,,,"Instances") &amp; ":" &amp; ADDRESS(13+3,DG$2+1)))-MIN(INDIRECT(ADDRESS(13+3,DG$2+1,,,"Instances") &amp; ":" &amp; ADDRESS(13+3,DG$2+1))))</f>
        <v>0</v>
      </c>
      <c r="DH18">
        <f>IFERROR(SMALL(DG5:DG36,ROW()-ROW($DH$5)+1),"")</f>
        <v>0</v>
      </c>
      <c r="DJ18">
        <f>IFERROR(SUM(DH5:DH18),"")</f>
        <v>0</v>
      </c>
      <c r="DK18" cm="1">
        <f t="array" ref="DK18">_xlfn.SWITCH(Charts!$B$3,"average", AVERAGE(INDIRECT(ADDRESS(13+3,DK$2+1,,,"Instances") &amp; ":" &amp; ADDRESS(13+3,DK$2+1))),"median", MEDIAN(INDIRECT(ADDRESS(13+3,DK$2+1,,,"Instances") &amp; ":" &amp; ADDRESS(13+3,DK$2+1))),"min", MIN(INDIRECT(ADDRESS(13+3,DK$2+1,,,"Instances") &amp; ":" &amp; ADDRESS(13+3,DK$2+1))),"max", MAX(INDIRECT(ADDRESS(13+3,DK$2+1,,,"Instances") &amp; ":" &amp; ADDRESS(13+3,DK$2+1))),"diff", MAX(INDIRECT(ADDRESS(13+3,DK$2+1,,,"Instances") &amp; ":" &amp; ADDRESS(13+3,DK$2+1)))-MIN(INDIRECT(ADDRESS(13+3,DK$2+1,,,"Instances") &amp; ":" &amp; ADDRESS(13+3,DK$2+1))))</f>
        <v>0</v>
      </c>
      <c r="DL18">
        <f>IFERROR(SMALL(DK5:DK36,ROW()-ROW($DL$5)+1),"")</f>
        <v>0</v>
      </c>
      <c r="DN18">
        <f>IFERROR(SUM(DL5:DL18),"")</f>
        <v>0</v>
      </c>
      <c r="DO18" cm="1">
        <f t="array" ref="DO18">_xlfn.SWITCH(Charts!$B$3,"average", AVERAGE(INDIRECT(ADDRESS(13+3,DO$2+1,,,"Instances") &amp; ":" &amp; ADDRESS(13+3,DO$2+1))),"median", MEDIAN(INDIRECT(ADDRESS(13+3,DO$2+1,,,"Instances") &amp; ":" &amp; ADDRESS(13+3,DO$2+1))),"min", MIN(INDIRECT(ADDRESS(13+3,DO$2+1,,,"Instances") &amp; ":" &amp; ADDRESS(13+3,DO$2+1))),"max", MAX(INDIRECT(ADDRESS(13+3,DO$2+1,,,"Instances") &amp; ":" &amp; ADDRESS(13+3,DO$2+1))),"diff", MAX(INDIRECT(ADDRESS(13+3,DO$2+1,,,"Instances") &amp; ":" &amp; ADDRESS(13+3,DO$2+1)))-MIN(INDIRECT(ADDRESS(13+3,DO$2+1,,,"Instances") &amp; ":" &amp; ADDRESS(13+3,DO$2+1))))</f>
        <v>0</v>
      </c>
      <c r="DP18">
        <f>IFERROR(SMALL(DO5:DO36,ROW()-ROW($DP$5)+1),"")</f>
        <v>0</v>
      </c>
      <c r="DR18">
        <f>IFERROR(SUM(DP5:DP18),"")</f>
        <v>0</v>
      </c>
      <c r="DS18" cm="1">
        <f t="array" ref="DS18">_xlfn.SWITCH(Charts!$B$3,"average", AVERAGE(INDIRECT(ADDRESS(13+3,DS$2+1,,,"Instances") &amp; ":" &amp; ADDRESS(13+3,DS$2+1))),"median", MEDIAN(INDIRECT(ADDRESS(13+3,DS$2+1,,,"Instances") &amp; ":" &amp; ADDRESS(13+3,DS$2+1))),"min", MIN(INDIRECT(ADDRESS(13+3,DS$2+1,,,"Instances") &amp; ":" &amp; ADDRESS(13+3,DS$2+1))),"max", MAX(INDIRECT(ADDRESS(13+3,DS$2+1,,,"Instances") &amp; ":" &amp; ADDRESS(13+3,DS$2+1))),"diff", MAX(INDIRECT(ADDRESS(13+3,DS$2+1,,,"Instances") &amp; ":" &amp; ADDRESS(13+3,DS$2+1)))-MIN(INDIRECT(ADDRESS(13+3,DS$2+1,,,"Instances") &amp; ":" &amp; ADDRESS(13+3,DS$2+1))))</f>
        <v>0</v>
      </c>
      <c r="DT18">
        <f>IFERROR(SMALL(DS5:DS36,ROW()-ROW($DT$5)+1),"")</f>
        <v>0</v>
      </c>
      <c r="DV18">
        <f>IFERROR(SUM(DT5:DT18),"")</f>
        <v>0</v>
      </c>
      <c r="DW18" cm="1">
        <f t="array" ref="DW18">_xlfn.SWITCH(Charts!$B$3,"average", AVERAGE(INDIRECT(ADDRESS(13+3,DW$2+1,,,"Instances") &amp; ":" &amp; ADDRESS(13+3,DW$2+1))),"median", MEDIAN(INDIRECT(ADDRESS(13+3,DW$2+1,,,"Instances") &amp; ":" &amp; ADDRESS(13+3,DW$2+1))),"min", MIN(INDIRECT(ADDRESS(13+3,DW$2+1,,,"Instances") &amp; ":" &amp; ADDRESS(13+3,DW$2+1))),"max", MAX(INDIRECT(ADDRESS(13+3,DW$2+1,,,"Instances") &amp; ":" &amp; ADDRESS(13+3,DW$2+1))),"diff", MAX(INDIRECT(ADDRESS(13+3,DW$2+1,,,"Instances") &amp; ":" &amp; ADDRESS(13+3,DW$2+1)))-MIN(INDIRECT(ADDRESS(13+3,DW$2+1,,,"Instances") &amp; ":" &amp; ADDRESS(13+3,DW$2+1))))</f>
        <v>0</v>
      </c>
      <c r="DX18">
        <f>IFERROR(SMALL(DW5:DW36,ROW()-ROW($DX$5)+1),"")</f>
        <v>0</v>
      </c>
      <c r="DZ18">
        <f>IFERROR(SUM(DX5:DX18),"")</f>
        <v>0</v>
      </c>
      <c r="EA18" cm="1">
        <f t="array" ref="EA18">_xlfn.SWITCH(Charts!$B$3,"average", AVERAGE(INDIRECT(ADDRESS(13+3,EA$2+1,,,"Instances") &amp; ":" &amp; ADDRESS(13+3,EA$2+1))),"median", MEDIAN(INDIRECT(ADDRESS(13+3,EA$2+1,,,"Instances") &amp; ":" &amp; ADDRESS(13+3,EA$2+1))),"min", MIN(INDIRECT(ADDRESS(13+3,EA$2+1,,,"Instances") &amp; ":" &amp; ADDRESS(13+3,EA$2+1))),"max", MAX(INDIRECT(ADDRESS(13+3,EA$2+1,,,"Instances") &amp; ":" &amp; ADDRESS(13+3,EA$2+1))),"diff", MAX(INDIRECT(ADDRESS(13+3,EA$2+1,,,"Instances") &amp; ":" &amp; ADDRESS(13+3,EA$2+1)))-MIN(INDIRECT(ADDRESS(13+3,EA$2+1,,,"Instances") &amp; ":" &amp; ADDRESS(13+3,EA$2+1))))</f>
        <v>0</v>
      </c>
      <c r="EB18">
        <f>IFERROR(SMALL(EA5:EA36,ROW()-ROW($EB$5)+1),"")</f>
        <v>0</v>
      </c>
      <c r="ED18">
        <f>IFERROR(SUM(EB5:EB18),"")</f>
        <v>0</v>
      </c>
      <c r="EG18">
        <f>IF(Charts!$B$3="none",E185,IF(BS185="",NA(),BS185))</f>
        <v>0</v>
      </c>
      <c r="EH18">
        <f>IF(Charts!$B$3="none",F185,IF(BT185="",NA(),BT185))</f>
        <v>0</v>
      </c>
      <c r="EI18">
        <f>IF(Charts!$B$3="none",G185,IF(BU185="",NA(),BU185))</f>
        <v>0</v>
      </c>
      <c r="EJ18">
        <f>IF(Charts!$B$3="none",H185,IF(BV185="",NA(),BV185))</f>
        <v>0</v>
      </c>
      <c r="EK18">
        <f>IF(Charts!$B$3="none",I185,IF(BW185="",NA(),BW185))</f>
        <v>0</v>
      </c>
      <c r="EL18">
        <f>IF(Charts!$B$3="none",J185,IF(BX185="",NA(),BX185))</f>
        <v>0</v>
      </c>
      <c r="EM18">
        <f>IF(Charts!$B$3="none",K185,IF(BY185="",NA(),BY185))</f>
        <v>0</v>
      </c>
      <c r="EN18">
        <f>IF(Charts!$B$3="none",L185,IF(BZ185="",NA(),BZ185))</f>
        <v>0</v>
      </c>
      <c r="EO18">
        <f>IF(Charts!$B$3="none",M185,IF(CA185="",NA(),CA185))</f>
        <v>0</v>
      </c>
      <c r="EP18">
        <f>IF(Charts!$B$3="none",N185,IF(CB185="",NA(),CB185))</f>
        <v>0</v>
      </c>
      <c r="EQ18">
        <f>IF(Charts!$B$3="none",O185,IF(CC185="",NA(),CC185))</f>
        <v>0</v>
      </c>
      <c r="ER18">
        <f>IF(Charts!$B$3="none",P185,IF(CD185="",NA(),CD185))</f>
        <v>0</v>
      </c>
      <c r="ES18">
        <f>IF(Charts!$B$3="none",Q185,IF(CE185="",NA(),CE185))</f>
        <v>0</v>
      </c>
      <c r="ET18">
        <f>IF(Charts!$B$3="none",R185,IF(CF185="",NA(),CF185))</f>
        <v>0</v>
      </c>
      <c r="EU18">
        <f>IF(Charts!$B$3="none",S185,IF(CG185="",NA(),CG185))</f>
        <v>0</v>
      </c>
      <c r="EV18">
        <f>IF(Charts!$B$3="none",T185,IF(CH185="",NA(),CH185))</f>
        <v>0</v>
      </c>
      <c r="EW18">
        <f>IF(Charts!$B$3="none",U185,IF(CI185="",NA(),CI185))</f>
        <v>0</v>
      </c>
      <c r="EX18">
        <f>IF(Charts!$B$3="none",V185,IF(CJ185="",NA(),CJ185))</f>
        <v>0</v>
      </c>
      <c r="EY18">
        <f>IF(Charts!$B$3="none",W185,IF(CK185="",NA(),CK185))</f>
        <v>0</v>
      </c>
      <c r="EZ18">
        <f>IF(Charts!$B$3="none",X185,IF(CL185="",NA(),CL185))</f>
        <v>0</v>
      </c>
      <c r="FA18">
        <f>IF(Charts!$B$3="none",Y185,IF(CM185="",NA(),CM185))</f>
        <v>0</v>
      </c>
      <c r="FB18">
        <f>IF(Charts!$B$3="none",Z185,IF(CN185="",NA(),CN185))</f>
        <v>0</v>
      </c>
      <c r="FC18">
        <f>IF(Charts!$B$3="none",AA185,IF(CO185="",NA(),CO185))</f>
        <v>0</v>
      </c>
      <c r="FD18">
        <f>IF(Charts!$B$3="none",AB185,IF(CP185="",NA(),CP185))</f>
        <v>0</v>
      </c>
      <c r="FE18">
        <f>IF(Charts!$B$3="none",AC185,IF(CQ185="",NA(),CQ185))</f>
        <v>0</v>
      </c>
      <c r="FF18">
        <f>IF(Charts!$B$3="none",AD185,IF(CR185="",NA(),CR185))</f>
        <v>0</v>
      </c>
      <c r="FG18">
        <f>IF(Charts!$B$3="none",AE185,IF(CS185="",NA(),CS185))</f>
        <v>0</v>
      </c>
      <c r="FH18">
        <f>IF(Charts!$B$3="none",AF185,IF(CT185="",NA(),CT185))</f>
        <v>0</v>
      </c>
      <c r="FI18">
        <f>IF(Charts!$B$3="none",AG185,IF(CU185="",NA(),CU185))</f>
        <v>0</v>
      </c>
      <c r="FJ18">
        <f>IF(Charts!$B$3="none",AH185,IF(CV185="",NA(),CV185))</f>
        <v>0</v>
      </c>
      <c r="FK18">
        <f>IF(Charts!$B$3="none",AI185,IF(CW185="",NA(),CW185))</f>
        <v>0</v>
      </c>
      <c r="FL18">
        <f>IF(Charts!$B$3="none",AJ185,IF(CX185="",NA(),CX185))</f>
        <v>0</v>
      </c>
      <c r="FM18">
        <f>IF(Charts!$B$3="none",AK185,IF(CY185="",NA(),CY185))</f>
        <v>0</v>
      </c>
      <c r="FN18">
        <f>IF(Charts!$B$3="none",AL185,IF(CZ185="",NA(),CZ185))</f>
        <v>0</v>
      </c>
      <c r="FO18">
        <f>IF(Charts!$B$3="none",AM185,IF(DA185="",NA(),DA185))</f>
        <v>0</v>
      </c>
      <c r="FP18">
        <f>IF(Charts!$B$3="none",AN185,IF(DB185="",NA(),DB185))</f>
        <v>0</v>
      </c>
      <c r="FQ18">
        <f>IF(Charts!$B$3="none",AO185,IF(DC185="",NA(),DC185))</f>
        <v>0</v>
      </c>
      <c r="FR18">
        <f>IF(Charts!$B$3="none",AP185,IF(DD185="",NA(),DD185))</f>
        <v>0</v>
      </c>
      <c r="FS18">
        <f>IF(Charts!$B$3="none",AQ185,IF(DE185="",NA(),DE185))</f>
        <v>0</v>
      </c>
      <c r="FT18">
        <f>IF(Charts!$B$3="none",AR185,IF(DF185="",NA(),DF185))</f>
        <v>0</v>
      </c>
      <c r="FU18">
        <f>IF(Charts!$B$3="none",AS185,IF(DG185="",NA(),DG185))</f>
        <v>0</v>
      </c>
      <c r="FV18">
        <f>IF(Charts!$B$3="none",AT185,IF(DH185="",NA(),DH185))</f>
        <v>0</v>
      </c>
      <c r="FW18">
        <f>IF(Charts!$B$3="none",AU185,IF(DI185="",NA(),DI185))</f>
        <v>0</v>
      </c>
      <c r="FX18">
        <f>IF(Charts!$B$3="none",AV185,IF(DJ185="",NA(),DJ185))</f>
        <v>0</v>
      </c>
      <c r="FY18">
        <f>IF(Charts!$B$3="none",AW185,IF(DK185="",NA(),DK185))</f>
        <v>0</v>
      </c>
      <c r="FZ18">
        <f>IF(Charts!$B$3="none",AX185,IF(DL185="",NA(),DL185))</f>
        <v>0</v>
      </c>
      <c r="GA18">
        <f>IF(Charts!$B$3="none",AY185,IF(DM185="",NA(),DM185))</f>
        <v>0</v>
      </c>
      <c r="GB18">
        <f>IF(Charts!$B$3="none",AZ185,IF(DN185="",NA(),DN185))</f>
        <v>0</v>
      </c>
      <c r="GC18">
        <f>IF(Charts!$B$3="none",BA185,IF(DO185="",NA(),DO185))</f>
        <v>0</v>
      </c>
      <c r="GD18">
        <f>IF(Charts!$B$3="none",BB185,IF(DP185="",NA(),DP185))</f>
        <v>0</v>
      </c>
      <c r="GE18">
        <f>IF(Charts!$B$3="none",BC185,IF(DQ185="",NA(),DQ185))</f>
        <v>0</v>
      </c>
      <c r="GF18">
        <f>IF(Charts!$B$3="none",BD185,IF(DR185="",NA(),DR185))</f>
        <v>0</v>
      </c>
      <c r="GG18">
        <f>IF(Charts!$B$3="none",BE185,IF(DS185="",NA(),DS185))</f>
        <v>0</v>
      </c>
      <c r="GH18">
        <f>IF(Charts!$B$3="none",BF185,IF(DT185="",NA(),DT185))</f>
        <v>0</v>
      </c>
      <c r="GI18">
        <f>IF(Charts!$B$3="none",BG185,IF(DU185="",NA(),DU185))</f>
        <v>0</v>
      </c>
      <c r="GJ18">
        <f>IF(Charts!$B$3="none",BH185,IF(DV185="",NA(),DV185))</f>
        <v>0</v>
      </c>
      <c r="GK18">
        <f>IF(Charts!$B$3="none",BI185,IF(DW185="",NA(),DW185))</f>
        <v>0</v>
      </c>
      <c r="GL18">
        <f>IF(Charts!$B$3="none",BJ185,IF(DX185="",NA(),DX185))</f>
        <v>0</v>
      </c>
      <c r="GM18">
        <f>IF(Charts!$B$3="none",BK185,IF(DY185="",NA(),DY185))</f>
        <v>0</v>
      </c>
      <c r="GN18">
        <f>IF(Charts!$B$3="none",BL185,IF(DZ185="",NA(),DZ185))</f>
        <v>0</v>
      </c>
      <c r="GO18">
        <f>IF(Charts!$B$3="none",BM185,IF(EA185="",NA(),EA185))</f>
        <v>0</v>
      </c>
      <c r="GP18">
        <f>IF(Charts!$B$3="none",BN185,IF(EB185="",NA(),EB185))</f>
        <v>0</v>
      </c>
      <c r="GQ18">
        <f>IF(Charts!$B$3="none",BO185,IF(EC185="",NA(),EC185))</f>
        <v>0</v>
      </c>
      <c r="GR18">
        <f>IF(Charts!$B$3="none",BP185,IF(ED185="",NA(),ED185))</f>
        <v>0</v>
      </c>
    </row>
    <row r="19" spans="1:200">
      <c r="D19">
        <v>15</v>
      </c>
      <c r="E19">
        <f>IF(INDIRECT(ADDRESS($D19+2,E$2+1,,,"Instances"))="","",INDIRECT(ADDRESS($D19+2,E$2+1,,,"Instances")))</f>
        <v>0</v>
      </c>
      <c r="F19">
        <f>IFERROR(SMALL(E5:E36,ROW()-ROW($F$5)+1),"")</f>
        <v>0</v>
      </c>
      <c r="H19">
        <f>IFERROR(SUM(F5:F19),"")</f>
        <v>0</v>
      </c>
      <c r="I19">
        <f>IF(INDIRECT(ADDRESS($D19+2,I$2+1,,,"Instances"))="","",INDIRECT(ADDRESS($D19+2,I$2+1,,,"Instances")))</f>
        <v>0</v>
      </c>
      <c r="J19">
        <f>IFERROR(SMALL(I5:I36,ROW()-ROW($J$5)+1),"")</f>
        <v>0</v>
      </c>
      <c r="L19">
        <f>IFERROR(SUM(J5:J19),"")</f>
        <v>0</v>
      </c>
      <c r="M19">
        <f>IF(INDIRECT(ADDRESS($D19+2,M$2+1,,,"Instances"))="","",INDIRECT(ADDRESS($D19+2,M$2+1,,,"Instances")))</f>
        <v>0</v>
      </c>
      <c r="N19">
        <f>IFERROR(SMALL(M5:M36,ROW()-ROW($N$5)+1),"")</f>
        <v>0</v>
      </c>
      <c r="P19">
        <f>IFERROR(SUM(N5:N19),"")</f>
        <v>0</v>
      </c>
      <c r="Q19">
        <f>IF(INDIRECT(ADDRESS($D19+2,Q$2+1,,,"Instances"))="","",INDIRECT(ADDRESS($D19+2,Q$2+1,,,"Instances")))</f>
        <v>0</v>
      </c>
      <c r="R19">
        <f>IFERROR(SMALL(Q5:Q36,ROW()-ROW($R$5)+1),"")</f>
        <v>0</v>
      </c>
      <c r="T19">
        <f>IFERROR(SUM(R5:R19),"")</f>
        <v>0</v>
      </c>
      <c r="U19">
        <f>IF(INDIRECT(ADDRESS($D19+2,U$2+1,,,"Instances"))="","",INDIRECT(ADDRESS($D19+2,U$2+1,,,"Instances")))</f>
        <v>0</v>
      </c>
      <c r="V19">
        <f>IFERROR(SMALL(U5:U36,ROW()-ROW($V$5)+1),"")</f>
        <v>0</v>
      </c>
      <c r="X19">
        <f>IFERROR(SUM(V5:V19),"")</f>
        <v>0</v>
      </c>
      <c r="Y19">
        <f>IF(INDIRECT(ADDRESS($D19+2,Y$2+1,,,"Instances"))="","",INDIRECT(ADDRESS($D19+2,Y$2+1,,,"Instances")))</f>
        <v>0</v>
      </c>
      <c r="Z19">
        <f>IFERROR(SMALL(Y5:Y36,ROW()-ROW($Z$5)+1),"")</f>
        <v>0</v>
      </c>
      <c r="AB19">
        <f>IFERROR(SUM(Z5:Z19),"")</f>
        <v>0</v>
      </c>
      <c r="AC19">
        <f>IF(INDIRECT(ADDRESS($D19+2,AC$2+1,,,"Instances"))="","",INDIRECT(ADDRESS($D19+2,AC$2+1,,,"Instances")))</f>
        <v>0</v>
      </c>
      <c r="AD19">
        <f>IFERROR(SMALL(AC5:AC36,ROW()-ROW($AD$5)+1),"")</f>
        <v>0</v>
      </c>
      <c r="AF19">
        <f>IFERROR(SUM(AD5:AD19),"")</f>
        <v>0</v>
      </c>
      <c r="AG19">
        <f>IF(INDIRECT(ADDRESS($D19+2,AG$2+1,,,"Instances"))="","",INDIRECT(ADDRESS($D19+2,AG$2+1,,,"Instances")))</f>
        <v>0</v>
      </c>
      <c r="AH19">
        <f>IFERROR(SMALL(AG5:AG36,ROW()-ROW($AH$5)+1),"")</f>
        <v>0</v>
      </c>
      <c r="AJ19">
        <f>IFERROR(SUM(AH5:AH19),"")</f>
        <v>0</v>
      </c>
      <c r="AK19">
        <f>IF(INDIRECT(ADDRESS($D19+2,AK$2+1,,,"Instances"))="","",INDIRECT(ADDRESS($D19+2,AK$2+1,,,"Instances")))</f>
        <v>0</v>
      </c>
      <c r="AL19">
        <f>IFERROR(SMALL(AK5:AK36,ROW()-ROW($AL$5)+1),"")</f>
        <v>0</v>
      </c>
      <c r="AN19">
        <f>IFERROR(SUM(AL5:AL19),"")</f>
        <v>0</v>
      </c>
      <c r="AO19">
        <f>IF(INDIRECT(ADDRESS($D19+2,AO$2+1,,,"Instances"))="","",INDIRECT(ADDRESS($D19+2,AO$2+1,,,"Instances")))</f>
        <v>0</v>
      </c>
      <c r="AP19">
        <f>IFERROR(SMALL(AO5:AO36,ROW()-ROW($AP$5)+1),"")</f>
        <v>0</v>
      </c>
      <c r="AR19">
        <f>IFERROR(SUM(AP5:AP19),"")</f>
        <v>0</v>
      </c>
      <c r="AS19">
        <f>IF(INDIRECT(ADDRESS($D19+2,AS$2+1,,,"Instances"))="","",INDIRECT(ADDRESS($D19+2,AS$2+1,,,"Instances")))</f>
        <v>0</v>
      </c>
      <c r="AT19">
        <f>IFERROR(SMALL(AS5:AS36,ROW()-ROW($AT$5)+1),"")</f>
        <v>0</v>
      </c>
      <c r="AV19">
        <f>IFERROR(SUM(AT5:AT19),"")</f>
        <v>0</v>
      </c>
      <c r="AW19">
        <f>IF(INDIRECT(ADDRESS($D19+2,AW$2+1,,,"Instances"))="","",INDIRECT(ADDRESS($D19+2,AW$2+1,,,"Instances")))</f>
        <v>0</v>
      </c>
      <c r="AX19">
        <f>IFERROR(SMALL(AW5:AW36,ROW()-ROW($AX$5)+1),"")</f>
        <v>0</v>
      </c>
      <c r="AZ19">
        <f>IFERROR(SUM(AX5:AX19),"")</f>
        <v>0</v>
      </c>
      <c r="BA19">
        <f>IF(INDIRECT(ADDRESS($D19+2,BA$2+1,,,"Instances"))="","",INDIRECT(ADDRESS($D19+2,BA$2+1,,,"Instances")))</f>
        <v>0</v>
      </c>
      <c r="BB19">
        <f>IFERROR(SMALL(BA5:BA36,ROW()-ROW($BB$5)+1),"")</f>
        <v>0</v>
      </c>
      <c r="BD19">
        <f>IFERROR(SUM(BB5:BB19),"")</f>
        <v>0</v>
      </c>
      <c r="BE19">
        <f>IF(INDIRECT(ADDRESS($D19+2,BE$2+1,,,"Instances"))="","",INDIRECT(ADDRESS($D19+2,BE$2+1,,,"Instances")))</f>
        <v>0</v>
      </c>
      <c r="BF19">
        <f>IFERROR(SMALL(BE5:BE36,ROW()-ROW($BF$5)+1),"")</f>
        <v>0</v>
      </c>
      <c r="BH19">
        <f>IFERROR(SUM(BF5:BF19),"")</f>
        <v>0</v>
      </c>
      <c r="BI19">
        <f>IF(INDIRECT(ADDRESS($D19+2,BI$2+1,,,"Instances"))="","",INDIRECT(ADDRESS($D19+2,BI$2+1,,,"Instances")))</f>
        <v>0</v>
      </c>
      <c r="BJ19">
        <f>IFERROR(SMALL(BI5:BI36,ROW()-ROW($BJ$5)+1),"")</f>
        <v>0</v>
      </c>
      <c r="BL19">
        <f>IFERROR(SUM(BJ5:BJ19),"")</f>
        <v>0</v>
      </c>
      <c r="BM19">
        <f>IF(INDIRECT(ADDRESS($D19+2,BM$2+1,,,"Instances"))="","",INDIRECT(ADDRESS($D19+2,BM$2+1,,,"Instances")))</f>
        <v>0</v>
      </c>
      <c r="BN19">
        <f>IFERROR(SMALL(BM5:BM36,ROW()-ROW($BN$5)+1),"")</f>
        <v>0</v>
      </c>
      <c r="BP19">
        <f>IFERROR(SUM(BN5:BN19),"")</f>
        <v>0</v>
      </c>
      <c r="BR19">
        <v>15</v>
      </c>
      <c r="BS19" cm="1">
        <f t="array" ref="BS19">_xlfn.SWITCH(Charts!$B$3,"average", AVERAGE(INDIRECT(ADDRESS(14+3,BS$2+1,,,"Instances") &amp; ":" &amp; ADDRESS(14+3,BS$2+1))),"median", MEDIAN(INDIRECT(ADDRESS(14+3,BS$2+1,,,"Instances") &amp; ":" &amp; ADDRESS(14+3,BS$2+1))),"min", MIN(INDIRECT(ADDRESS(14+3,BS$2+1,,,"Instances") &amp; ":" &amp; ADDRESS(14+3,BS$2+1))),"max", MAX(INDIRECT(ADDRESS(14+3,BS$2+1,,,"Instances") &amp; ":" &amp; ADDRESS(14+3,BS$2+1))),"diff", MAX(INDIRECT(ADDRESS(14+3,BS$2+1,,,"Instances") &amp; ":" &amp; ADDRESS(14+3,BS$2+1)))-MIN(INDIRECT(ADDRESS(14+3,BS$2+1,,,"Instances") &amp; ":" &amp; ADDRESS(14+3,BS$2+1))))</f>
        <v>0</v>
      </c>
      <c r="BT19">
        <f>IFERROR(SMALL(BS5:BS36,ROW()-ROW($BT$5)+1),"")</f>
        <v>0</v>
      </c>
      <c r="BV19">
        <f>IFERROR(SUM(BT5:BT19),"")</f>
        <v>0</v>
      </c>
      <c r="BW19" cm="1">
        <f t="array" ref="BW19">_xlfn.SWITCH(Charts!$B$3,"average", AVERAGE(INDIRECT(ADDRESS(14+3,BW$2+1,,,"Instances") &amp; ":" &amp; ADDRESS(14+3,BW$2+1))),"median", MEDIAN(INDIRECT(ADDRESS(14+3,BW$2+1,,,"Instances") &amp; ":" &amp; ADDRESS(14+3,BW$2+1))),"min", MIN(INDIRECT(ADDRESS(14+3,BW$2+1,,,"Instances") &amp; ":" &amp; ADDRESS(14+3,BW$2+1))),"max", MAX(INDIRECT(ADDRESS(14+3,BW$2+1,,,"Instances") &amp; ":" &amp; ADDRESS(14+3,BW$2+1))),"diff", MAX(INDIRECT(ADDRESS(14+3,BW$2+1,,,"Instances") &amp; ":" &amp; ADDRESS(14+3,BW$2+1)))-MIN(INDIRECT(ADDRESS(14+3,BW$2+1,,,"Instances") &amp; ":" &amp; ADDRESS(14+3,BW$2+1))))</f>
        <v>0</v>
      </c>
      <c r="BX19">
        <f>IFERROR(SMALL(BW5:BW36,ROW()-ROW($BX$5)+1),"")</f>
        <v>0</v>
      </c>
      <c r="BZ19">
        <f>IFERROR(SUM(BX5:BX19),"")</f>
        <v>0</v>
      </c>
      <c r="CA19" cm="1">
        <f t="array" ref="CA19">_xlfn.SWITCH(Charts!$B$3,"average", AVERAGE(INDIRECT(ADDRESS(14+3,CA$2+1,,,"Instances") &amp; ":" &amp; ADDRESS(14+3,CA$2+1))),"median", MEDIAN(INDIRECT(ADDRESS(14+3,CA$2+1,,,"Instances") &amp; ":" &amp; ADDRESS(14+3,CA$2+1))),"min", MIN(INDIRECT(ADDRESS(14+3,CA$2+1,,,"Instances") &amp; ":" &amp; ADDRESS(14+3,CA$2+1))),"max", MAX(INDIRECT(ADDRESS(14+3,CA$2+1,,,"Instances") &amp; ":" &amp; ADDRESS(14+3,CA$2+1))),"diff", MAX(INDIRECT(ADDRESS(14+3,CA$2+1,,,"Instances") &amp; ":" &amp; ADDRESS(14+3,CA$2+1)))-MIN(INDIRECT(ADDRESS(14+3,CA$2+1,,,"Instances") &amp; ":" &amp; ADDRESS(14+3,CA$2+1))))</f>
        <v>0</v>
      </c>
      <c r="CB19">
        <f>IFERROR(SMALL(CA5:CA36,ROW()-ROW($CB$5)+1),"")</f>
        <v>0</v>
      </c>
      <c r="CD19">
        <f>IFERROR(SUM(CB5:CB19),"")</f>
        <v>0</v>
      </c>
      <c r="CE19" cm="1">
        <f t="array" ref="CE19">_xlfn.SWITCH(Charts!$B$3,"average", AVERAGE(INDIRECT(ADDRESS(14+3,CE$2+1,,,"Instances") &amp; ":" &amp; ADDRESS(14+3,CE$2+1))),"median", MEDIAN(INDIRECT(ADDRESS(14+3,CE$2+1,,,"Instances") &amp; ":" &amp; ADDRESS(14+3,CE$2+1))),"min", MIN(INDIRECT(ADDRESS(14+3,CE$2+1,,,"Instances") &amp; ":" &amp; ADDRESS(14+3,CE$2+1))),"max", MAX(INDIRECT(ADDRESS(14+3,CE$2+1,,,"Instances") &amp; ":" &amp; ADDRESS(14+3,CE$2+1))),"diff", MAX(INDIRECT(ADDRESS(14+3,CE$2+1,,,"Instances") &amp; ":" &amp; ADDRESS(14+3,CE$2+1)))-MIN(INDIRECT(ADDRESS(14+3,CE$2+1,,,"Instances") &amp; ":" &amp; ADDRESS(14+3,CE$2+1))))</f>
        <v>0</v>
      </c>
      <c r="CF19">
        <f>IFERROR(SMALL(CE5:CE36,ROW()-ROW($CF$5)+1),"")</f>
        <v>0</v>
      </c>
      <c r="CH19">
        <f>IFERROR(SUM(CF5:CF19),"")</f>
        <v>0</v>
      </c>
      <c r="CI19" cm="1">
        <f t="array" ref="CI19">_xlfn.SWITCH(Charts!$B$3,"average", AVERAGE(INDIRECT(ADDRESS(14+3,CI$2+1,,,"Instances") &amp; ":" &amp; ADDRESS(14+3,CI$2+1))),"median", MEDIAN(INDIRECT(ADDRESS(14+3,CI$2+1,,,"Instances") &amp; ":" &amp; ADDRESS(14+3,CI$2+1))),"min", MIN(INDIRECT(ADDRESS(14+3,CI$2+1,,,"Instances") &amp; ":" &amp; ADDRESS(14+3,CI$2+1))),"max", MAX(INDIRECT(ADDRESS(14+3,CI$2+1,,,"Instances") &amp; ":" &amp; ADDRESS(14+3,CI$2+1))),"diff", MAX(INDIRECT(ADDRESS(14+3,CI$2+1,,,"Instances") &amp; ":" &amp; ADDRESS(14+3,CI$2+1)))-MIN(INDIRECT(ADDRESS(14+3,CI$2+1,,,"Instances") &amp; ":" &amp; ADDRESS(14+3,CI$2+1))))</f>
        <v>0</v>
      </c>
      <c r="CJ19">
        <f>IFERROR(SMALL(CI5:CI36,ROW()-ROW($CJ$5)+1),"")</f>
        <v>0</v>
      </c>
      <c r="CL19">
        <f>IFERROR(SUM(CJ5:CJ19),"")</f>
        <v>0</v>
      </c>
      <c r="CM19" cm="1">
        <f t="array" ref="CM19">_xlfn.SWITCH(Charts!$B$3,"average", AVERAGE(INDIRECT(ADDRESS(14+3,CM$2+1,,,"Instances") &amp; ":" &amp; ADDRESS(14+3,CM$2+1))),"median", MEDIAN(INDIRECT(ADDRESS(14+3,CM$2+1,,,"Instances") &amp; ":" &amp; ADDRESS(14+3,CM$2+1))),"min", MIN(INDIRECT(ADDRESS(14+3,CM$2+1,,,"Instances") &amp; ":" &amp; ADDRESS(14+3,CM$2+1))),"max", MAX(INDIRECT(ADDRESS(14+3,CM$2+1,,,"Instances") &amp; ":" &amp; ADDRESS(14+3,CM$2+1))),"diff", MAX(INDIRECT(ADDRESS(14+3,CM$2+1,,,"Instances") &amp; ":" &amp; ADDRESS(14+3,CM$2+1)))-MIN(INDIRECT(ADDRESS(14+3,CM$2+1,,,"Instances") &amp; ":" &amp; ADDRESS(14+3,CM$2+1))))</f>
        <v>0</v>
      </c>
      <c r="CN19">
        <f>IFERROR(SMALL(CM5:CM36,ROW()-ROW($CN$5)+1),"")</f>
        <v>0</v>
      </c>
      <c r="CP19">
        <f>IFERROR(SUM(CN5:CN19),"")</f>
        <v>0</v>
      </c>
      <c r="CQ19" cm="1">
        <f t="array" ref="CQ19">_xlfn.SWITCH(Charts!$B$3,"average", AVERAGE(INDIRECT(ADDRESS(14+3,CQ$2+1,,,"Instances") &amp; ":" &amp; ADDRESS(14+3,CQ$2+1))),"median", MEDIAN(INDIRECT(ADDRESS(14+3,CQ$2+1,,,"Instances") &amp; ":" &amp; ADDRESS(14+3,CQ$2+1))),"min", MIN(INDIRECT(ADDRESS(14+3,CQ$2+1,,,"Instances") &amp; ":" &amp; ADDRESS(14+3,CQ$2+1))),"max", MAX(INDIRECT(ADDRESS(14+3,CQ$2+1,,,"Instances") &amp; ":" &amp; ADDRESS(14+3,CQ$2+1))),"diff", MAX(INDIRECT(ADDRESS(14+3,CQ$2+1,,,"Instances") &amp; ":" &amp; ADDRESS(14+3,CQ$2+1)))-MIN(INDIRECT(ADDRESS(14+3,CQ$2+1,,,"Instances") &amp; ":" &amp; ADDRESS(14+3,CQ$2+1))))</f>
        <v>0</v>
      </c>
      <c r="CR19">
        <f>IFERROR(SMALL(CQ5:CQ36,ROW()-ROW($CR$5)+1),"")</f>
        <v>0</v>
      </c>
      <c r="CT19">
        <f>IFERROR(SUM(CR5:CR19),"")</f>
        <v>0</v>
      </c>
      <c r="CU19" cm="1">
        <f t="array" ref="CU19">_xlfn.SWITCH(Charts!$B$3,"average", AVERAGE(INDIRECT(ADDRESS(14+3,CU$2+1,,,"Instances") &amp; ":" &amp; ADDRESS(14+3,CU$2+1))),"median", MEDIAN(INDIRECT(ADDRESS(14+3,CU$2+1,,,"Instances") &amp; ":" &amp; ADDRESS(14+3,CU$2+1))),"min", MIN(INDIRECT(ADDRESS(14+3,CU$2+1,,,"Instances") &amp; ":" &amp; ADDRESS(14+3,CU$2+1))),"max", MAX(INDIRECT(ADDRESS(14+3,CU$2+1,,,"Instances") &amp; ":" &amp; ADDRESS(14+3,CU$2+1))),"diff", MAX(INDIRECT(ADDRESS(14+3,CU$2+1,,,"Instances") &amp; ":" &amp; ADDRESS(14+3,CU$2+1)))-MIN(INDIRECT(ADDRESS(14+3,CU$2+1,,,"Instances") &amp; ":" &amp; ADDRESS(14+3,CU$2+1))))</f>
        <v>0</v>
      </c>
      <c r="CV19">
        <f>IFERROR(SMALL(CU5:CU36,ROW()-ROW($CV$5)+1),"")</f>
        <v>0</v>
      </c>
      <c r="CX19">
        <f>IFERROR(SUM(CV5:CV19),"")</f>
        <v>0</v>
      </c>
      <c r="CY19" cm="1">
        <f t="array" ref="CY19">_xlfn.SWITCH(Charts!$B$3,"average", AVERAGE(INDIRECT(ADDRESS(14+3,CY$2+1,,,"Instances") &amp; ":" &amp; ADDRESS(14+3,CY$2+1))),"median", MEDIAN(INDIRECT(ADDRESS(14+3,CY$2+1,,,"Instances") &amp; ":" &amp; ADDRESS(14+3,CY$2+1))),"min", MIN(INDIRECT(ADDRESS(14+3,CY$2+1,,,"Instances") &amp; ":" &amp; ADDRESS(14+3,CY$2+1))),"max", MAX(INDIRECT(ADDRESS(14+3,CY$2+1,,,"Instances") &amp; ":" &amp; ADDRESS(14+3,CY$2+1))),"diff", MAX(INDIRECT(ADDRESS(14+3,CY$2+1,,,"Instances") &amp; ":" &amp; ADDRESS(14+3,CY$2+1)))-MIN(INDIRECT(ADDRESS(14+3,CY$2+1,,,"Instances") &amp; ":" &amp; ADDRESS(14+3,CY$2+1))))</f>
        <v>0</v>
      </c>
      <c r="CZ19">
        <f>IFERROR(SMALL(CY5:CY36,ROW()-ROW($CZ$5)+1),"")</f>
        <v>0</v>
      </c>
      <c r="DB19">
        <f>IFERROR(SUM(CZ5:CZ19),"")</f>
        <v>0</v>
      </c>
      <c r="DC19" cm="1">
        <f t="array" ref="DC19">_xlfn.SWITCH(Charts!$B$3,"average", AVERAGE(INDIRECT(ADDRESS(14+3,DC$2+1,,,"Instances") &amp; ":" &amp; ADDRESS(14+3,DC$2+1))),"median", MEDIAN(INDIRECT(ADDRESS(14+3,DC$2+1,,,"Instances") &amp; ":" &amp; ADDRESS(14+3,DC$2+1))),"min", MIN(INDIRECT(ADDRESS(14+3,DC$2+1,,,"Instances") &amp; ":" &amp; ADDRESS(14+3,DC$2+1))),"max", MAX(INDIRECT(ADDRESS(14+3,DC$2+1,,,"Instances") &amp; ":" &amp; ADDRESS(14+3,DC$2+1))),"diff", MAX(INDIRECT(ADDRESS(14+3,DC$2+1,,,"Instances") &amp; ":" &amp; ADDRESS(14+3,DC$2+1)))-MIN(INDIRECT(ADDRESS(14+3,DC$2+1,,,"Instances") &amp; ":" &amp; ADDRESS(14+3,DC$2+1))))</f>
        <v>0</v>
      </c>
      <c r="DD19">
        <f>IFERROR(SMALL(DC5:DC36,ROW()-ROW($DD$5)+1),"")</f>
        <v>0</v>
      </c>
      <c r="DF19">
        <f>IFERROR(SUM(DD5:DD19),"")</f>
        <v>0</v>
      </c>
      <c r="DG19" cm="1">
        <f t="array" ref="DG19">_xlfn.SWITCH(Charts!$B$3,"average", AVERAGE(INDIRECT(ADDRESS(14+3,DG$2+1,,,"Instances") &amp; ":" &amp; ADDRESS(14+3,DG$2+1))),"median", MEDIAN(INDIRECT(ADDRESS(14+3,DG$2+1,,,"Instances") &amp; ":" &amp; ADDRESS(14+3,DG$2+1))),"min", MIN(INDIRECT(ADDRESS(14+3,DG$2+1,,,"Instances") &amp; ":" &amp; ADDRESS(14+3,DG$2+1))),"max", MAX(INDIRECT(ADDRESS(14+3,DG$2+1,,,"Instances") &amp; ":" &amp; ADDRESS(14+3,DG$2+1))),"diff", MAX(INDIRECT(ADDRESS(14+3,DG$2+1,,,"Instances") &amp; ":" &amp; ADDRESS(14+3,DG$2+1)))-MIN(INDIRECT(ADDRESS(14+3,DG$2+1,,,"Instances") &amp; ":" &amp; ADDRESS(14+3,DG$2+1))))</f>
        <v>0</v>
      </c>
      <c r="DH19">
        <f>IFERROR(SMALL(DG5:DG36,ROW()-ROW($DH$5)+1),"")</f>
        <v>0</v>
      </c>
      <c r="DJ19">
        <f>IFERROR(SUM(DH5:DH19),"")</f>
        <v>0</v>
      </c>
      <c r="DK19" cm="1">
        <f t="array" ref="DK19">_xlfn.SWITCH(Charts!$B$3,"average", AVERAGE(INDIRECT(ADDRESS(14+3,DK$2+1,,,"Instances") &amp; ":" &amp; ADDRESS(14+3,DK$2+1))),"median", MEDIAN(INDIRECT(ADDRESS(14+3,DK$2+1,,,"Instances") &amp; ":" &amp; ADDRESS(14+3,DK$2+1))),"min", MIN(INDIRECT(ADDRESS(14+3,DK$2+1,,,"Instances") &amp; ":" &amp; ADDRESS(14+3,DK$2+1))),"max", MAX(INDIRECT(ADDRESS(14+3,DK$2+1,,,"Instances") &amp; ":" &amp; ADDRESS(14+3,DK$2+1))),"diff", MAX(INDIRECT(ADDRESS(14+3,DK$2+1,,,"Instances") &amp; ":" &amp; ADDRESS(14+3,DK$2+1)))-MIN(INDIRECT(ADDRESS(14+3,DK$2+1,,,"Instances") &amp; ":" &amp; ADDRESS(14+3,DK$2+1))))</f>
        <v>0</v>
      </c>
      <c r="DL19">
        <f>IFERROR(SMALL(DK5:DK36,ROW()-ROW($DL$5)+1),"")</f>
        <v>0</v>
      </c>
      <c r="DN19">
        <f>IFERROR(SUM(DL5:DL19),"")</f>
        <v>0</v>
      </c>
      <c r="DO19" cm="1">
        <f t="array" ref="DO19">_xlfn.SWITCH(Charts!$B$3,"average", AVERAGE(INDIRECT(ADDRESS(14+3,DO$2+1,,,"Instances") &amp; ":" &amp; ADDRESS(14+3,DO$2+1))),"median", MEDIAN(INDIRECT(ADDRESS(14+3,DO$2+1,,,"Instances") &amp; ":" &amp; ADDRESS(14+3,DO$2+1))),"min", MIN(INDIRECT(ADDRESS(14+3,DO$2+1,,,"Instances") &amp; ":" &amp; ADDRESS(14+3,DO$2+1))),"max", MAX(INDIRECT(ADDRESS(14+3,DO$2+1,,,"Instances") &amp; ":" &amp; ADDRESS(14+3,DO$2+1))),"diff", MAX(INDIRECT(ADDRESS(14+3,DO$2+1,,,"Instances") &amp; ":" &amp; ADDRESS(14+3,DO$2+1)))-MIN(INDIRECT(ADDRESS(14+3,DO$2+1,,,"Instances") &amp; ":" &amp; ADDRESS(14+3,DO$2+1))))</f>
        <v>0</v>
      </c>
      <c r="DP19">
        <f>IFERROR(SMALL(DO5:DO36,ROW()-ROW($DP$5)+1),"")</f>
        <v>0</v>
      </c>
      <c r="DR19">
        <f>IFERROR(SUM(DP5:DP19),"")</f>
        <v>0</v>
      </c>
      <c r="DS19" cm="1">
        <f t="array" ref="DS19">_xlfn.SWITCH(Charts!$B$3,"average", AVERAGE(INDIRECT(ADDRESS(14+3,DS$2+1,,,"Instances") &amp; ":" &amp; ADDRESS(14+3,DS$2+1))),"median", MEDIAN(INDIRECT(ADDRESS(14+3,DS$2+1,,,"Instances") &amp; ":" &amp; ADDRESS(14+3,DS$2+1))),"min", MIN(INDIRECT(ADDRESS(14+3,DS$2+1,,,"Instances") &amp; ":" &amp; ADDRESS(14+3,DS$2+1))),"max", MAX(INDIRECT(ADDRESS(14+3,DS$2+1,,,"Instances") &amp; ":" &amp; ADDRESS(14+3,DS$2+1))),"diff", MAX(INDIRECT(ADDRESS(14+3,DS$2+1,,,"Instances") &amp; ":" &amp; ADDRESS(14+3,DS$2+1)))-MIN(INDIRECT(ADDRESS(14+3,DS$2+1,,,"Instances") &amp; ":" &amp; ADDRESS(14+3,DS$2+1))))</f>
        <v>0</v>
      </c>
      <c r="DT19">
        <f>IFERROR(SMALL(DS5:DS36,ROW()-ROW($DT$5)+1),"")</f>
        <v>0</v>
      </c>
      <c r="DV19">
        <f>IFERROR(SUM(DT5:DT19),"")</f>
        <v>0</v>
      </c>
      <c r="DW19" cm="1">
        <f t="array" ref="DW19">_xlfn.SWITCH(Charts!$B$3,"average", AVERAGE(INDIRECT(ADDRESS(14+3,DW$2+1,,,"Instances") &amp; ":" &amp; ADDRESS(14+3,DW$2+1))),"median", MEDIAN(INDIRECT(ADDRESS(14+3,DW$2+1,,,"Instances") &amp; ":" &amp; ADDRESS(14+3,DW$2+1))),"min", MIN(INDIRECT(ADDRESS(14+3,DW$2+1,,,"Instances") &amp; ":" &amp; ADDRESS(14+3,DW$2+1))),"max", MAX(INDIRECT(ADDRESS(14+3,DW$2+1,,,"Instances") &amp; ":" &amp; ADDRESS(14+3,DW$2+1))),"diff", MAX(INDIRECT(ADDRESS(14+3,DW$2+1,,,"Instances") &amp; ":" &amp; ADDRESS(14+3,DW$2+1)))-MIN(INDIRECT(ADDRESS(14+3,DW$2+1,,,"Instances") &amp; ":" &amp; ADDRESS(14+3,DW$2+1))))</f>
        <v>0</v>
      </c>
      <c r="DX19">
        <f>IFERROR(SMALL(DW5:DW36,ROW()-ROW($DX$5)+1),"")</f>
        <v>0</v>
      </c>
      <c r="DZ19">
        <f>IFERROR(SUM(DX5:DX19),"")</f>
        <v>0</v>
      </c>
      <c r="EA19" cm="1">
        <f t="array" ref="EA19">_xlfn.SWITCH(Charts!$B$3,"average", AVERAGE(INDIRECT(ADDRESS(14+3,EA$2+1,,,"Instances") &amp; ":" &amp; ADDRESS(14+3,EA$2+1))),"median", MEDIAN(INDIRECT(ADDRESS(14+3,EA$2+1,,,"Instances") &amp; ":" &amp; ADDRESS(14+3,EA$2+1))),"min", MIN(INDIRECT(ADDRESS(14+3,EA$2+1,,,"Instances") &amp; ":" &amp; ADDRESS(14+3,EA$2+1))),"max", MAX(INDIRECT(ADDRESS(14+3,EA$2+1,,,"Instances") &amp; ":" &amp; ADDRESS(14+3,EA$2+1))),"diff", MAX(INDIRECT(ADDRESS(14+3,EA$2+1,,,"Instances") &amp; ":" &amp; ADDRESS(14+3,EA$2+1)))-MIN(INDIRECT(ADDRESS(14+3,EA$2+1,,,"Instances") &amp; ":" &amp; ADDRESS(14+3,EA$2+1))))</f>
        <v>0</v>
      </c>
      <c r="EB19">
        <f>IFERROR(SMALL(EA5:EA36,ROW()-ROW($EB$5)+1),"")</f>
        <v>0</v>
      </c>
      <c r="ED19">
        <f>IFERROR(SUM(EB5:EB19),"")</f>
        <v>0</v>
      </c>
      <c r="EG19">
        <f>IF(Charts!$B$3="none",E186,IF(BS186="",NA(),BS186))</f>
        <v>0</v>
      </c>
      <c r="EH19">
        <f>IF(Charts!$B$3="none",F186,IF(BT186="",NA(),BT186))</f>
        <v>0</v>
      </c>
      <c r="EI19">
        <f>IF(Charts!$B$3="none",G186,IF(BU186="",NA(),BU186))</f>
        <v>0</v>
      </c>
      <c r="EJ19">
        <f>IF(Charts!$B$3="none",H186,IF(BV186="",NA(),BV186))</f>
        <v>0</v>
      </c>
      <c r="EK19">
        <f>IF(Charts!$B$3="none",I186,IF(BW186="",NA(),BW186))</f>
        <v>0</v>
      </c>
      <c r="EL19">
        <f>IF(Charts!$B$3="none",J186,IF(BX186="",NA(),BX186))</f>
        <v>0</v>
      </c>
      <c r="EM19">
        <f>IF(Charts!$B$3="none",K186,IF(BY186="",NA(),BY186))</f>
        <v>0</v>
      </c>
      <c r="EN19">
        <f>IF(Charts!$B$3="none",L186,IF(BZ186="",NA(),BZ186))</f>
        <v>0</v>
      </c>
      <c r="EO19">
        <f>IF(Charts!$B$3="none",M186,IF(CA186="",NA(),CA186))</f>
        <v>0</v>
      </c>
      <c r="EP19">
        <f>IF(Charts!$B$3="none",N186,IF(CB186="",NA(),CB186))</f>
        <v>0</v>
      </c>
      <c r="EQ19">
        <f>IF(Charts!$B$3="none",O186,IF(CC186="",NA(),CC186))</f>
        <v>0</v>
      </c>
      <c r="ER19">
        <f>IF(Charts!$B$3="none",P186,IF(CD186="",NA(),CD186))</f>
        <v>0</v>
      </c>
      <c r="ES19">
        <f>IF(Charts!$B$3="none",Q186,IF(CE186="",NA(),CE186))</f>
        <v>0</v>
      </c>
      <c r="ET19">
        <f>IF(Charts!$B$3="none",R186,IF(CF186="",NA(),CF186))</f>
        <v>0</v>
      </c>
      <c r="EU19">
        <f>IF(Charts!$B$3="none",S186,IF(CG186="",NA(),CG186))</f>
        <v>0</v>
      </c>
      <c r="EV19">
        <f>IF(Charts!$B$3="none",T186,IF(CH186="",NA(),CH186))</f>
        <v>0</v>
      </c>
      <c r="EW19">
        <f>IF(Charts!$B$3="none",U186,IF(CI186="",NA(),CI186))</f>
        <v>0</v>
      </c>
      <c r="EX19">
        <f>IF(Charts!$B$3="none",V186,IF(CJ186="",NA(),CJ186))</f>
        <v>0</v>
      </c>
      <c r="EY19">
        <f>IF(Charts!$B$3="none",W186,IF(CK186="",NA(),CK186))</f>
        <v>0</v>
      </c>
      <c r="EZ19">
        <f>IF(Charts!$B$3="none",X186,IF(CL186="",NA(),CL186))</f>
        <v>0</v>
      </c>
      <c r="FA19">
        <f>IF(Charts!$B$3="none",Y186,IF(CM186="",NA(),CM186))</f>
        <v>0</v>
      </c>
      <c r="FB19">
        <f>IF(Charts!$B$3="none",Z186,IF(CN186="",NA(),CN186))</f>
        <v>0</v>
      </c>
      <c r="FC19">
        <f>IF(Charts!$B$3="none",AA186,IF(CO186="",NA(),CO186))</f>
        <v>0</v>
      </c>
      <c r="FD19">
        <f>IF(Charts!$B$3="none",AB186,IF(CP186="",NA(),CP186))</f>
        <v>0</v>
      </c>
      <c r="FE19">
        <f>IF(Charts!$B$3="none",AC186,IF(CQ186="",NA(),CQ186))</f>
        <v>0</v>
      </c>
      <c r="FF19">
        <f>IF(Charts!$B$3="none",AD186,IF(CR186="",NA(),CR186))</f>
        <v>0</v>
      </c>
      <c r="FG19">
        <f>IF(Charts!$B$3="none",AE186,IF(CS186="",NA(),CS186))</f>
        <v>0</v>
      </c>
      <c r="FH19">
        <f>IF(Charts!$B$3="none",AF186,IF(CT186="",NA(),CT186))</f>
        <v>0</v>
      </c>
      <c r="FI19">
        <f>IF(Charts!$B$3="none",AG186,IF(CU186="",NA(),CU186))</f>
        <v>0</v>
      </c>
      <c r="FJ19">
        <f>IF(Charts!$B$3="none",AH186,IF(CV186="",NA(),CV186))</f>
        <v>0</v>
      </c>
      <c r="FK19">
        <f>IF(Charts!$B$3="none",AI186,IF(CW186="",NA(),CW186))</f>
        <v>0</v>
      </c>
      <c r="FL19">
        <f>IF(Charts!$B$3="none",AJ186,IF(CX186="",NA(),CX186))</f>
        <v>0</v>
      </c>
      <c r="FM19">
        <f>IF(Charts!$B$3="none",AK186,IF(CY186="",NA(),CY186))</f>
        <v>0</v>
      </c>
      <c r="FN19">
        <f>IF(Charts!$B$3="none",AL186,IF(CZ186="",NA(),CZ186))</f>
        <v>0</v>
      </c>
      <c r="FO19">
        <f>IF(Charts!$B$3="none",AM186,IF(DA186="",NA(),DA186))</f>
        <v>0</v>
      </c>
      <c r="FP19">
        <f>IF(Charts!$B$3="none",AN186,IF(DB186="",NA(),DB186))</f>
        <v>0</v>
      </c>
      <c r="FQ19">
        <f>IF(Charts!$B$3="none",AO186,IF(DC186="",NA(),DC186))</f>
        <v>0</v>
      </c>
      <c r="FR19">
        <f>IF(Charts!$B$3="none",AP186,IF(DD186="",NA(),DD186))</f>
        <v>0</v>
      </c>
      <c r="FS19">
        <f>IF(Charts!$B$3="none",AQ186,IF(DE186="",NA(),DE186))</f>
        <v>0</v>
      </c>
      <c r="FT19">
        <f>IF(Charts!$B$3="none",AR186,IF(DF186="",NA(),DF186))</f>
        <v>0</v>
      </c>
      <c r="FU19">
        <f>IF(Charts!$B$3="none",AS186,IF(DG186="",NA(),DG186))</f>
        <v>0</v>
      </c>
      <c r="FV19">
        <f>IF(Charts!$B$3="none",AT186,IF(DH186="",NA(),DH186))</f>
        <v>0</v>
      </c>
      <c r="FW19">
        <f>IF(Charts!$B$3="none",AU186,IF(DI186="",NA(),DI186))</f>
        <v>0</v>
      </c>
      <c r="FX19">
        <f>IF(Charts!$B$3="none",AV186,IF(DJ186="",NA(),DJ186))</f>
        <v>0</v>
      </c>
      <c r="FY19">
        <f>IF(Charts!$B$3="none",AW186,IF(DK186="",NA(),DK186))</f>
        <v>0</v>
      </c>
      <c r="FZ19">
        <f>IF(Charts!$B$3="none",AX186,IF(DL186="",NA(),DL186))</f>
        <v>0</v>
      </c>
      <c r="GA19">
        <f>IF(Charts!$B$3="none",AY186,IF(DM186="",NA(),DM186))</f>
        <v>0</v>
      </c>
      <c r="GB19">
        <f>IF(Charts!$B$3="none",AZ186,IF(DN186="",NA(),DN186))</f>
        <v>0</v>
      </c>
      <c r="GC19">
        <f>IF(Charts!$B$3="none",BA186,IF(DO186="",NA(),DO186))</f>
        <v>0</v>
      </c>
      <c r="GD19">
        <f>IF(Charts!$B$3="none",BB186,IF(DP186="",NA(),DP186))</f>
        <v>0</v>
      </c>
      <c r="GE19">
        <f>IF(Charts!$B$3="none",BC186,IF(DQ186="",NA(),DQ186))</f>
        <v>0</v>
      </c>
      <c r="GF19">
        <f>IF(Charts!$B$3="none",BD186,IF(DR186="",NA(),DR186))</f>
        <v>0</v>
      </c>
      <c r="GG19">
        <f>IF(Charts!$B$3="none",BE186,IF(DS186="",NA(),DS186))</f>
        <v>0</v>
      </c>
      <c r="GH19">
        <f>IF(Charts!$B$3="none",BF186,IF(DT186="",NA(),DT186))</f>
        <v>0</v>
      </c>
      <c r="GI19">
        <f>IF(Charts!$B$3="none",BG186,IF(DU186="",NA(),DU186))</f>
        <v>0</v>
      </c>
      <c r="GJ19">
        <f>IF(Charts!$B$3="none",BH186,IF(DV186="",NA(),DV186))</f>
        <v>0</v>
      </c>
      <c r="GK19">
        <f>IF(Charts!$B$3="none",BI186,IF(DW186="",NA(),DW186))</f>
        <v>0</v>
      </c>
      <c r="GL19">
        <f>IF(Charts!$B$3="none",BJ186,IF(DX186="",NA(),DX186))</f>
        <v>0</v>
      </c>
      <c r="GM19">
        <f>IF(Charts!$B$3="none",BK186,IF(DY186="",NA(),DY186))</f>
        <v>0</v>
      </c>
      <c r="GN19">
        <f>IF(Charts!$B$3="none",BL186,IF(DZ186="",NA(),DZ186))</f>
        <v>0</v>
      </c>
      <c r="GO19">
        <f>IF(Charts!$B$3="none",BM186,IF(EA186="",NA(),EA186))</f>
        <v>0</v>
      </c>
      <c r="GP19">
        <f>IF(Charts!$B$3="none",BN186,IF(EB186="",NA(),EB186))</f>
        <v>0</v>
      </c>
      <c r="GQ19">
        <f>IF(Charts!$B$3="none",BO186,IF(EC186="",NA(),EC186))</f>
        <v>0</v>
      </c>
      <c r="GR19">
        <f>IF(Charts!$B$3="none",BP186,IF(ED186="",NA(),ED186))</f>
        <v>0</v>
      </c>
    </row>
    <row r="20" spans="1:200">
      <c r="D20">
        <v>16</v>
      </c>
      <c r="E20">
        <f>IF(INDIRECT(ADDRESS($D20+2,E$2+1,,,"Instances"))="","",INDIRECT(ADDRESS($D20+2,E$2+1,,,"Instances")))</f>
        <v>0</v>
      </c>
      <c r="F20">
        <f>IFERROR(SMALL(E5:E36,ROW()-ROW($F$5)+1),"")</f>
        <v>0</v>
      </c>
      <c r="H20">
        <f>IFERROR(SUM(F5:F20),"")</f>
        <v>0</v>
      </c>
      <c r="I20">
        <f>IF(INDIRECT(ADDRESS($D20+2,I$2+1,,,"Instances"))="","",INDIRECT(ADDRESS($D20+2,I$2+1,,,"Instances")))</f>
        <v>0</v>
      </c>
      <c r="J20">
        <f>IFERROR(SMALL(I5:I36,ROW()-ROW($J$5)+1),"")</f>
        <v>0</v>
      </c>
      <c r="L20">
        <f>IFERROR(SUM(J5:J20),"")</f>
        <v>0</v>
      </c>
      <c r="M20">
        <f>IF(INDIRECT(ADDRESS($D20+2,M$2+1,,,"Instances"))="","",INDIRECT(ADDRESS($D20+2,M$2+1,,,"Instances")))</f>
        <v>0</v>
      </c>
      <c r="N20">
        <f>IFERROR(SMALL(M5:M36,ROW()-ROW($N$5)+1),"")</f>
        <v>0</v>
      </c>
      <c r="P20">
        <f>IFERROR(SUM(N5:N20),"")</f>
        <v>0</v>
      </c>
      <c r="Q20">
        <f>IF(INDIRECT(ADDRESS($D20+2,Q$2+1,,,"Instances"))="","",INDIRECT(ADDRESS($D20+2,Q$2+1,,,"Instances")))</f>
        <v>0</v>
      </c>
      <c r="R20">
        <f>IFERROR(SMALL(Q5:Q36,ROW()-ROW($R$5)+1),"")</f>
        <v>0</v>
      </c>
      <c r="T20">
        <f>IFERROR(SUM(R5:R20),"")</f>
        <v>0</v>
      </c>
      <c r="U20">
        <f>IF(INDIRECT(ADDRESS($D20+2,U$2+1,,,"Instances"))="","",INDIRECT(ADDRESS($D20+2,U$2+1,,,"Instances")))</f>
        <v>0</v>
      </c>
      <c r="V20">
        <f>IFERROR(SMALL(U5:U36,ROW()-ROW($V$5)+1),"")</f>
        <v>0</v>
      </c>
      <c r="X20">
        <f>IFERROR(SUM(V5:V20),"")</f>
        <v>0</v>
      </c>
      <c r="Y20">
        <f>IF(INDIRECT(ADDRESS($D20+2,Y$2+1,,,"Instances"))="","",INDIRECT(ADDRESS($D20+2,Y$2+1,,,"Instances")))</f>
        <v>0</v>
      </c>
      <c r="Z20">
        <f>IFERROR(SMALL(Y5:Y36,ROW()-ROW($Z$5)+1),"")</f>
        <v>0</v>
      </c>
      <c r="AB20">
        <f>IFERROR(SUM(Z5:Z20),"")</f>
        <v>0</v>
      </c>
      <c r="AC20">
        <f>IF(INDIRECT(ADDRESS($D20+2,AC$2+1,,,"Instances"))="","",INDIRECT(ADDRESS($D20+2,AC$2+1,,,"Instances")))</f>
        <v>0</v>
      </c>
      <c r="AD20">
        <f>IFERROR(SMALL(AC5:AC36,ROW()-ROW($AD$5)+1),"")</f>
        <v>0</v>
      </c>
      <c r="AF20">
        <f>IFERROR(SUM(AD5:AD20),"")</f>
        <v>0</v>
      </c>
      <c r="AG20">
        <f>IF(INDIRECT(ADDRESS($D20+2,AG$2+1,,,"Instances"))="","",INDIRECT(ADDRESS($D20+2,AG$2+1,,,"Instances")))</f>
        <v>0</v>
      </c>
      <c r="AH20">
        <f>IFERROR(SMALL(AG5:AG36,ROW()-ROW($AH$5)+1),"")</f>
        <v>0</v>
      </c>
      <c r="AJ20">
        <f>IFERROR(SUM(AH5:AH20),"")</f>
        <v>0</v>
      </c>
      <c r="AK20">
        <f>IF(INDIRECT(ADDRESS($D20+2,AK$2+1,,,"Instances"))="","",INDIRECT(ADDRESS($D20+2,AK$2+1,,,"Instances")))</f>
        <v>0</v>
      </c>
      <c r="AL20">
        <f>IFERROR(SMALL(AK5:AK36,ROW()-ROW($AL$5)+1),"")</f>
        <v>0</v>
      </c>
      <c r="AN20">
        <f>IFERROR(SUM(AL5:AL20),"")</f>
        <v>0</v>
      </c>
      <c r="AO20">
        <f>IF(INDIRECT(ADDRESS($D20+2,AO$2+1,,,"Instances"))="","",INDIRECT(ADDRESS($D20+2,AO$2+1,,,"Instances")))</f>
        <v>0</v>
      </c>
      <c r="AP20">
        <f>IFERROR(SMALL(AO5:AO36,ROW()-ROW($AP$5)+1),"")</f>
        <v>0</v>
      </c>
      <c r="AR20">
        <f>IFERROR(SUM(AP5:AP20),"")</f>
        <v>0</v>
      </c>
      <c r="AS20">
        <f>IF(INDIRECT(ADDRESS($D20+2,AS$2+1,,,"Instances"))="","",INDIRECT(ADDRESS($D20+2,AS$2+1,,,"Instances")))</f>
        <v>0</v>
      </c>
      <c r="AT20">
        <f>IFERROR(SMALL(AS5:AS36,ROW()-ROW($AT$5)+1),"")</f>
        <v>0</v>
      </c>
      <c r="AV20">
        <f>IFERROR(SUM(AT5:AT20),"")</f>
        <v>0</v>
      </c>
      <c r="AW20">
        <f>IF(INDIRECT(ADDRESS($D20+2,AW$2+1,,,"Instances"))="","",INDIRECT(ADDRESS($D20+2,AW$2+1,,,"Instances")))</f>
        <v>0</v>
      </c>
      <c r="AX20">
        <f>IFERROR(SMALL(AW5:AW36,ROW()-ROW($AX$5)+1),"")</f>
        <v>0</v>
      </c>
      <c r="AZ20">
        <f>IFERROR(SUM(AX5:AX20),"")</f>
        <v>0</v>
      </c>
      <c r="BA20">
        <f>IF(INDIRECT(ADDRESS($D20+2,BA$2+1,,,"Instances"))="","",INDIRECT(ADDRESS($D20+2,BA$2+1,,,"Instances")))</f>
        <v>0</v>
      </c>
      <c r="BB20">
        <f>IFERROR(SMALL(BA5:BA36,ROW()-ROW($BB$5)+1),"")</f>
        <v>0</v>
      </c>
      <c r="BD20">
        <f>IFERROR(SUM(BB5:BB20),"")</f>
        <v>0</v>
      </c>
      <c r="BE20">
        <f>IF(INDIRECT(ADDRESS($D20+2,BE$2+1,,,"Instances"))="","",INDIRECT(ADDRESS($D20+2,BE$2+1,,,"Instances")))</f>
        <v>0</v>
      </c>
      <c r="BF20">
        <f>IFERROR(SMALL(BE5:BE36,ROW()-ROW($BF$5)+1),"")</f>
        <v>0</v>
      </c>
      <c r="BH20">
        <f>IFERROR(SUM(BF5:BF20),"")</f>
        <v>0</v>
      </c>
      <c r="BI20">
        <f>IF(INDIRECT(ADDRESS($D20+2,BI$2+1,,,"Instances"))="","",INDIRECT(ADDRESS($D20+2,BI$2+1,,,"Instances")))</f>
        <v>0</v>
      </c>
      <c r="BJ20">
        <f>IFERROR(SMALL(BI5:BI36,ROW()-ROW($BJ$5)+1),"")</f>
        <v>0</v>
      </c>
      <c r="BL20">
        <f>IFERROR(SUM(BJ5:BJ20),"")</f>
        <v>0</v>
      </c>
      <c r="BM20">
        <f>IF(INDIRECT(ADDRESS($D20+2,BM$2+1,,,"Instances"))="","",INDIRECT(ADDRESS($D20+2,BM$2+1,,,"Instances")))</f>
        <v>0</v>
      </c>
      <c r="BN20">
        <f>IFERROR(SMALL(BM5:BM36,ROW()-ROW($BN$5)+1),"")</f>
        <v>0</v>
      </c>
      <c r="BP20">
        <f>IFERROR(SUM(BN5:BN20),"")</f>
        <v>0</v>
      </c>
      <c r="BR20">
        <v>16</v>
      </c>
      <c r="BS20" cm="1">
        <f t="array" ref="BS20">_xlfn.SWITCH(Charts!$B$3,"average", AVERAGE(INDIRECT(ADDRESS(15+3,BS$2+1,,,"Instances") &amp; ":" &amp; ADDRESS(15+3,BS$2+1))),"median", MEDIAN(INDIRECT(ADDRESS(15+3,BS$2+1,,,"Instances") &amp; ":" &amp; ADDRESS(15+3,BS$2+1))),"min", MIN(INDIRECT(ADDRESS(15+3,BS$2+1,,,"Instances") &amp; ":" &amp; ADDRESS(15+3,BS$2+1))),"max", MAX(INDIRECT(ADDRESS(15+3,BS$2+1,,,"Instances") &amp; ":" &amp; ADDRESS(15+3,BS$2+1))),"diff", MAX(INDIRECT(ADDRESS(15+3,BS$2+1,,,"Instances") &amp; ":" &amp; ADDRESS(15+3,BS$2+1)))-MIN(INDIRECT(ADDRESS(15+3,BS$2+1,,,"Instances") &amp; ":" &amp; ADDRESS(15+3,BS$2+1))))</f>
        <v>0</v>
      </c>
      <c r="BT20">
        <f>IFERROR(SMALL(BS5:BS36,ROW()-ROW($BT$5)+1),"")</f>
        <v>0</v>
      </c>
      <c r="BV20">
        <f>IFERROR(SUM(BT5:BT20),"")</f>
        <v>0</v>
      </c>
      <c r="BW20" cm="1">
        <f t="array" ref="BW20">_xlfn.SWITCH(Charts!$B$3,"average", AVERAGE(INDIRECT(ADDRESS(15+3,BW$2+1,,,"Instances") &amp; ":" &amp; ADDRESS(15+3,BW$2+1))),"median", MEDIAN(INDIRECT(ADDRESS(15+3,BW$2+1,,,"Instances") &amp; ":" &amp; ADDRESS(15+3,BW$2+1))),"min", MIN(INDIRECT(ADDRESS(15+3,BW$2+1,,,"Instances") &amp; ":" &amp; ADDRESS(15+3,BW$2+1))),"max", MAX(INDIRECT(ADDRESS(15+3,BW$2+1,,,"Instances") &amp; ":" &amp; ADDRESS(15+3,BW$2+1))),"diff", MAX(INDIRECT(ADDRESS(15+3,BW$2+1,,,"Instances") &amp; ":" &amp; ADDRESS(15+3,BW$2+1)))-MIN(INDIRECT(ADDRESS(15+3,BW$2+1,,,"Instances") &amp; ":" &amp; ADDRESS(15+3,BW$2+1))))</f>
        <v>0</v>
      </c>
      <c r="BX20">
        <f>IFERROR(SMALL(BW5:BW36,ROW()-ROW($BX$5)+1),"")</f>
        <v>0</v>
      </c>
      <c r="BZ20">
        <f>IFERROR(SUM(BX5:BX20),"")</f>
        <v>0</v>
      </c>
      <c r="CA20" cm="1">
        <f t="array" ref="CA20">_xlfn.SWITCH(Charts!$B$3,"average", AVERAGE(INDIRECT(ADDRESS(15+3,CA$2+1,,,"Instances") &amp; ":" &amp; ADDRESS(15+3,CA$2+1))),"median", MEDIAN(INDIRECT(ADDRESS(15+3,CA$2+1,,,"Instances") &amp; ":" &amp; ADDRESS(15+3,CA$2+1))),"min", MIN(INDIRECT(ADDRESS(15+3,CA$2+1,,,"Instances") &amp; ":" &amp; ADDRESS(15+3,CA$2+1))),"max", MAX(INDIRECT(ADDRESS(15+3,CA$2+1,,,"Instances") &amp; ":" &amp; ADDRESS(15+3,CA$2+1))),"diff", MAX(INDIRECT(ADDRESS(15+3,CA$2+1,,,"Instances") &amp; ":" &amp; ADDRESS(15+3,CA$2+1)))-MIN(INDIRECT(ADDRESS(15+3,CA$2+1,,,"Instances") &amp; ":" &amp; ADDRESS(15+3,CA$2+1))))</f>
        <v>0</v>
      </c>
      <c r="CB20">
        <f>IFERROR(SMALL(CA5:CA36,ROW()-ROW($CB$5)+1),"")</f>
        <v>0</v>
      </c>
      <c r="CD20">
        <f>IFERROR(SUM(CB5:CB20),"")</f>
        <v>0</v>
      </c>
      <c r="CE20" cm="1">
        <f t="array" ref="CE20">_xlfn.SWITCH(Charts!$B$3,"average", AVERAGE(INDIRECT(ADDRESS(15+3,CE$2+1,,,"Instances") &amp; ":" &amp; ADDRESS(15+3,CE$2+1))),"median", MEDIAN(INDIRECT(ADDRESS(15+3,CE$2+1,,,"Instances") &amp; ":" &amp; ADDRESS(15+3,CE$2+1))),"min", MIN(INDIRECT(ADDRESS(15+3,CE$2+1,,,"Instances") &amp; ":" &amp; ADDRESS(15+3,CE$2+1))),"max", MAX(INDIRECT(ADDRESS(15+3,CE$2+1,,,"Instances") &amp; ":" &amp; ADDRESS(15+3,CE$2+1))),"diff", MAX(INDIRECT(ADDRESS(15+3,CE$2+1,,,"Instances") &amp; ":" &amp; ADDRESS(15+3,CE$2+1)))-MIN(INDIRECT(ADDRESS(15+3,CE$2+1,,,"Instances") &amp; ":" &amp; ADDRESS(15+3,CE$2+1))))</f>
        <v>0</v>
      </c>
      <c r="CF20">
        <f>IFERROR(SMALL(CE5:CE36,ROW()-ROW($CF$5)+1),"")</f>
        <v>0</v>
      </c>
      <c r="CH20">
        <f>IFERROR(SUM(CF5:CF20),"")</f>
        <v>0</v>
      </c>
      <c r="CI20" cm="1">
        <f t="array" ref="CI20">_xlfn.SWITCH(Charts!$B$3,"average", AVERAGE(INDIRECT(ADDRESS(15+3,CI$2+1,,,"Instances") &amp; ":" &amp; ADDRESS(15+3,CI$2+1))),"median", MEDIAN(INDIRECT(ADDRESS(15+3,CI$2+1,,,"Instances") &amp; ":" &amp; ADDRESS(15+3,CI$2+1))),"min", MIN(INDIRECT(ADDRESS(15+3,CI$2+1,,,"Instances") &amp; ":" &amp; ADDRESS(15+3,CI$2+1))),"max", MAX(INDIRECT(ADDRESS(15+3,CI$2+1,,,"Instances") &amp; ":" &amp; ADDRESS(15+3,CI$2+1))),"diff", MAX(INDIRECT(ADDRESS(15+3,CI$2+1,,,"Instances") &amp; ":" &amp; ADDRESS(15+3,CI$2+1)))-MIN(INDIRECT(ADDRESS(15+3,CI$2+1,,,"Instances") &amp; ":" &amp; ADDRESS(15+3,CI$2+1))))</f>
        <v>0</v>
      </c>
      <c r="CJ20">
        <f>IFERROR(SMALL(CI5:CI36,ROW()-ROW($CJ$5)+1),"")</f>
        <v>0</v>
      </c>
      <c r="CL20">
        <f>IFERROR(SUM(CJ5:CJ20),"")</f>
        <v>0</v>
      </c>
      <c r="CM20" cm="1">
        <f t="array" ref="CM20">_xlfn.SWITCH(Charts!$B$3,"average", AVERAGE(INDIRECT(ADDRESS(15+3,CM$2+1,,,"Instances") &amp; ":" &amp; ADDRESS(15+3,CM$2+1))),"median", MEDIAN(INDIRECT(ADDRESS(15+3,CM$2+1,,,"Instances") &amp; ":" &amp; ADDRESS(15+3,CM$2+1))),"min", MIN(INDIRECT(ADDRESS(15+3,CM$2+1,,,"Instances") &amp; ":" &amp; ADDRESS(15+3,CM$2+1))),"max", MAX(INDIRECT(ADDRESS(15+3,CM$2+1,,,"Instances") &amp; ":" &amp; ADDRESS(15+3,CM$2+1))),"diff", MAX(INDIRECT(ADDRESS(15+3,CM$2+1,,,"Instances") &amp; ":" &amp; ADDRESS(15+3,CM$2+1)))-MIN(INDIRECT(ADDRESS(15+3,CM$2+1,,,"Instances") &amp; ":" &amp; ADDRESS(15+3,CM$2+1))))</f>
        <v>0</v>
      </c>
      <c r="CN20">
        <f>IFERROR(SMALL(CM5:CM36,ROW()-ROW($CN$5)+1),"")</f>
        <v>0</v>
      </c>
      <c r="CP20">
        <f>IFERROR(SUM(CN5:CN20),"")</f>
        <v>0</v>
      </c>
      <c r="CQ20" cm="1">
        <f t="array" ref="CQ20">_xlfn.SWITCH(Charts!$B$3,"average", AVERAGE(INDIRECT(ADDRESS(15+3,CQ$2+1,,,"Instances") &amp; ":" &amp; ADDRESS(15+3,CQ$2+1))),"median", MEDIAN(INDIRECT(ADDRESS(15+3,CQ$2+1,,,"Instances") &amp; ":" &amp; ADDRESS(15+3,CQ$2+1))),"min", MIN(INDIRECT(ADDRESS(15+3,CQ$2+1,,,"Instances") &amp; ":" &amp; ADDRESS(15+3,CQ$2+1))),"max", MAX(INDIRECT(ADDRESS(15+3,CQ$2+1,,,"Instances") &amp; ":" &amp; ADDRESS(15+3,CQ$2+1))),"diff", MAX(INDIRECT(ADDRESS(15+3,CQ$2+1,,,"Instances") &amp; ":" &amp; ADDRESS(15+3,CQ$2+1)))-MIN(INDIRECT(ADDRESS(15+3,CQ$2+1,,,"Instances") &amp; ":" &amp; ADDRESS(15+3,CQ$2+1))))</f>
        <v>0</v>
      </c>
      <c r="CR20">
        <f>IFERROR(SMALL(CQ5:CQ36,ROW()-ROW($CR$5)+1),"")</f>
        <v>0</v>
      </c>
      <c r="CT20">
        <f>IFERROR(SUM(CR5:CR20),"")</f>
        <v>0</v>
      </c>
      <c r="CU20" cm="1">
        <f t="array" ref="CU20">_xlfn.SWITCH(Charts!$B$3,"average", AVERAGE(INDIRECT(ADDRESS(15+3,CU$2+1,,,"Instances") &amp; ":" &amp; ADDRESS(15+3,CU$2+1))),"median", MEDIAN(INDIRECT(ADDRESS(15+3,CU$2+1,,,"Instances") &amp; ":" &amp; ADDRESS(15+3,CU$2+1))),"min", MIN(INDIRECT(ADDRESS(15+3,CU$2+1,,,"Instances") &amp; ":" &amp; ADDRESS(15+3,CU$2+1))),"max", MAX(INDIRECT(ADDRESS(15+3,CU$2+1,,,"Instances") &amp; ":" &amp; ADDRESS(15+3,CU$2+1))),"diff", MAX(INDIRECT(ADDRESS(15+3,CU$2+1,,,"Instances") &amp; ":" &amp; ADDRESS(15+3,CU$2+1)))-MIN(INDIRECT(ADDRESS(15+3,CU$2+1,,,"Instances") &amp; ":" &amp; ADDRESS(15+3,CU$2+1))))</f>
        <v>0</v>
      </c>
      <c r="CV20">
        <f>IFERROR(SMALL(CU5:CU36,ROW()-ROW($CV$5)+1),"")</f>
        <v>0</v>
      </c>
      <c r="CX20">
        <f>IFERROR(SUM(CV5:CV20),"")</f>
        <v>0</v>
      </c>
      <c r="CY20" cm="1">
        <f t="array" ref="CY20">_xlfn.SWITCH(Charts!$B$3,"average", AVERAGE(INDIRECT(ADDRESS(15+3,CY$2+1,,,"Instances") &amp; ":" &amp; ADDRESS(15+3,CY$2+1))),"median", MEDIAN(INDIRECT(ADDRESS(15+3,CY$2+1,,,"Instances") &amp; ":" &amp; ADDRESS(15+3,CY$2+1))),"min", MIN(INDIRECT(ADDRESS(15+3,CY$2+1,,,"Instances") &amp; ":" &amp; ADDRESS(15+3,CY$2+1))),"max", MAX(INDIRECT(ADDRESS(15+3,CY$2+1,,,"Instances") &amp; ":" &amp; ADDRESS(15+3,CY$2+1))),"diff", MAX(INDIRECT(ADDRESS(15+3,CY$2+1,,,"Instances") &amp; ":" &amp; ADDRESS(15+3,CY$2+1)))-MIN(INDIRECT(ADDRESS(15+3,CY$2+1,,,"Instances") &amp; ":" &amp; ADDRESS(15+3,CY$2+1))))</f>
        <v>0</v>
      </c>
      <c r="CZ20">
        <f>IFERROR(SMALL(CY5:CY36,ROW()-ROW($CZ$5)+1),"")</f>
        <v>0</v>
      </c>
      <c r="DB20">
        <f>IFERROR(SUM(CZ5:CZ20),"")</f>
        <v>0</v>
      </c>
      <c r="DC20" cm="1">
        <f t="array" ref="DC20">_xlfn.SWITCH(Charts!$B$3,"average", AVERAGE(INDIRECT(ADDRESS(15+3,DC$2+1,,,"Instances") &amp; ":" &amp; ADDRESS(15+3,DC$2+1))),"median", MEDIAN(INDIRECT(ADDRESS(15+3,DC$2+1,,,"Instances") &amp; ":" &amp; ADDRESS(15+3,DC$2+1))),"min", MIN(INDIRECT(ADDRESS(15+3,DC$2+1,,,"Instances") &amp; ":" &amp; ADDRESS(15+3,DC$2+1))),"max", MAX(INDIRECT(ADDRESS(15+3,DC$2+1,,,"Instances") &amp; ":" &amp; ADDRESS(15+3,DC$2+1))),"diff", MAX(INDIRECT(ADDRESS(15+3,DC$2+1,,,"Instances") &amp; ":" &amp; ADDRESS(15+3,DC$2+1)))-MIN(INDIRECT(ADDRESS(15+3,DC$2+1,,,"Instances") &amp; ":" &amp; ADDRESS(15+3,DC$2+1))))</f>
        <v>0</v>
      </c>
      <c r="DD20">
        <f>IFERROR(SMALL(DC5:DC36,ROW()-ROW($DD$5)+1),"")</f>
        <v>0</v>
      </c>
      <c r="DF20">
        <f>IFERROR(SUM(DD5:DD20),"")</f>
        <v>0</v>
      </c>
      <c r="DG20" cm="1">
        <f t="array" ref="DG20">_xlfn.SWITCH(Charts!$B$3,"average", AVERAGE(INDIRECT(ADDRESS(15+3,DG$2+1,,,"Instances") &amp; ":" &amp; ADDRESS(15+3,DG$2+1))),"median", MEDIAN(INDIRECT(ADDRESS(15+3,DG$2+1,,,"Instances") &amp; ":" &amp; ADDRESS(15+3,DG$2+1))),"min", MIN(INDIRECT(ADDRESS(15+3,DG$2+1,,,"Instances") &amp; ":" &amp; ADDRESS(15+3,DG$2+1))),"max", MAX(INDIRECT(ADDRESS(15+3,DG$2+1,,,"Instances") &amp; ":" &amp; ADDRESS(15+3,DG$2+1))),"diff", MAX(INDIRECT(ADDRESS(15+3,DG$2+1,,,"Instances") &amp; ":" &amp; ADDRESS(15+3,DG$2+1)))-MIN(INDIRECT(ADDRESS(15+3,DG$2+1,,,"Instances") &amp; ":" &amp; ADDRESS(15+3,DG$2+1))))</f>
        <v>0</v>
      </c>
      <c r="DH20">
        <f>IFERROR(SMALL(DG5:DG36,ROW()-ROW($DH$5)+1),"")</f>
        <v>0</v>
      </c>
      <c r="DJ20">
        <f>IFERROR(SUM(DH5:DH20),"")</f>
        <v>0</v>
      </c>
      <c r="DK20" cm="1">
        <f t="array" ref="DK20">_xlfn.SWITCH(Charts!$B$3,"average", AVERAGE(INDIRECT(ADDRESS(15+3,DK$2+1,,,"Instances") &amp; ":" &amp; ADDRESS(15+3,DK$2+1))),"median", MEDIAN(INDIRECT(ADDRESS(15+3,DK$2+1,,,"Instances") &amp; ":" &amp; ADDRESS(15+3,DK$2+1))),"min", MIN(INDIRECT(ADDRESS(15+3,DK$2+1,,,"Instances") &amp; ":" &amp; ADDRESS(15+3,DK$2+1))),"max", MAX(INDIRECT(ADDRESS(15+3,DK$2+1,,,"Instances") &amp; ":" &amp; ADDRESS(15+3,DK$2+1))),"diff", MAX(INDIRECT(ADDRESS(15+3,DK$2+1,,,"Instances") &amp; ":" &amp; ADDRESS(15+3,DK$2+1)))-MIN(INDIRECT(ADDRESS(15+3,DK$2+1,,,"Instances") &amp; ":" &amp; ADDRESS(15+3,DK$2+1))))</f>
        <v>0</v>
      </c>
      <c r="DL20">
        <f>IFERROR(SMALL(DK5:DK36,ROW()-ROW($DL$5)+1),"")</f>
        <v>0</v>
      </c>
      <c r="DN20">
        <f>IFERROR(SUM(DL5:DL20),"")</f>
        <v>0</v>
      </c>
      <c r="DO20" cm="1">
        <f t="array" ref="DO20">_xlfn.SWITCH(Charts!$B$3,"average", AVERAGE(INDIRECT(ADDRESS(15+3,DO$2+1,,,"Instances") &amp; ":" &amp; ADDRESS(15+3,DO$2+1))),"median", MEDIAN(INDIRECT(ADDRESS(15+3,DO$2+1,,,"Instances") &amp; ":" &amp; ADDRESS(15+3,DO$2+1))),"min", MIN(INDIRECT(ADDRESS(15+3,DO$2+1,,,"Instances") &amp; ":" &amp; ADDRESS(15+3,DO$2+1))),"max", MAX(INDIRECT(ADDRESS(15+3,DO$2+1,,,"Instances") &amp; ":" &amp; ADDRESS(15+3,DO$2+1))),"diff", MAX(INDIRECT(ADDRESS(15+3,DO$2+1,,,"Instances") &amp; ":" &amp; ADDRESS(15+3,DO$2+1)))-MIN(INDIRECT(ADDRESS(15+3,DO$2+1,,,"Instances") &amp; ":" &amp; ADDRESS(15+3,DO$2+1))))</f>
        <v>0</v>
      </c>
      <c r="DP20">
        <f>IFERROR(SMALL(DO5:DO36,ROW()-ROW($DP$5)+1),"")</f>
        <v>0</v>
      </c>
      <c r="DR20">
        <f>IFERROR(SUM(DP5:DP20),"")</f>
        <v>0</v>
      </c>
      <c r="DS20" cm="1">
        <f t="array" ref="DS20">_xlfn.SWITCH(Charts!$B$3,"average", AVERAGE(INDIRECT(ADDRESS(15+3,DS$2+1,,,"Instances") &amp; ":" &amp; ADDRESS(15+3,DS$2+1))),"median", MEDIAN(INDIRECT(ADDRESS(15+3,DS$2+1,,,"Instances") &amp; ":" &amp; ADDRESS(15+3,DS$2+1))),"min", MIN(INDIRECT(ADDRESS(15+3,DS$2+1,,,"Instances") &amp; ":" &amp; ADDRESS(15+3,DS$2+1))),"max", MAX(INDIRECT(ADDRESS(15+3,DS$2+1,,,"Instances") &amp; ":" &amp; ADDRESS(15+3,DS$2+1))),"diff", MAX(INDIRECT(ADDRESS(15+3,DS$2+1,,,"Instances") &amp; ":" &amp; ADDRESS(15+3,DS$2+1)))-MIN(INDIRECT(ADDRESS(15+3,DS$2+1,,,"Instances") &amp; ":" &amp; ADDRESS(15+3,DS$2+1))))</f>
        <v>0</v>
      </c>
      <c r="DT20">
        <f>IFERROR(SMALL(DS5:DS36,ROW()-ROW($DT$5)+1),"")</f>
        <v>0</v>
      </c>
      <c r="DV20">
        <f>IFERROR(SUM(DT5:DT20),"")</f>
        <v>0</v>
      </c>
      <c r="DW20" cm="1">
        <f t="array" ref="DW20">_xlfn.SWITCH(Charts!$B$3,"average", AVERAGE(INDIRECT(ADDRESS(15+3,DW$2+1,,,"Instances") &amp; ":" &amp; ADDRESS(15+3,DW$2+1))),"median", MEDIAN(INDIRECT(ADDRESS(15+3,DW$2+1,,,"Instances") &amp; ":" &amp; ADDRESS(15+3,DW$2+1))),"min", MIN(INDIRECT(ADDRESS(15+3,DW$2+1,,,"Instances") &amp; ":" &amp; ADDRESS(15+3,DW$2+1))),"max", MAX(INDIRECT(ADDRESS(15+3,DW$2+1,,,"Instances") &amp; ":" &amp; ADDRESS(15+3,DW$2+1))),"diff", MAX(INDIRECT(ADDRESS(15+3,DW$2+1,,,"Instances") &amp; ":" &amp; ADDRESS(15+3,DW$2+1)))-MIN(INDIRECT(ADDRESS(15+3,DW$2+1,,,"Instances") &amp; ":" &amp; ADDRESS(15+3,DW$2+1))))</f>
        <v>0</v>
      </c>
      <c r="DX20">
        <f>IFERROR(SMALL(DW5:DW36,ROW()-ROW($DX$5)+1),"")</f>
        <v>0</v>
      </c>
      <c r="DZ20">
        <f>IFERROR(SUM(DX5:DX20),"")</f>
        <v>0</v>
      </c>
      <c r="EA20" cm="1">
        <f t="array" ref="EA20">_xlfn.SWITCH(Charts!$B$3,"average", AVERAGE(INDIRECT(ADDRESS(15+3,EA$2+1,,,"Instances") &amp; ":" &amp; ADDRESS(15+3,EA$2+1))),"median", MEDIAN(INDIRECT(ADDRESS(15+3,EA$2+1,,,"Instances") &amp; ":" &amp; ADDRESS(15+3,EA$2+1))),"min", MIN(INDIRECT(ADDRESS(15+3,EA$2+1,,,"Instances") &amp; ":" &amp; ADDRESS(15+3,EA$2+1))),"max", MAX(INDIRECT(ADDRESS(15+3,EA$2+1,,,"Instances") &amp; ":" &amp; ADDRESS(15+3,EA$2+1))),"diff", MAX(INDIRECT(ADDRESS(15+3,EA$2+1,,,"Instances") &amp; ":" &amp; ADDRESS(15+3,EA$2+1)))-MIN(INDIRECT(ADDRESS(15+3,EA$2+1,,,"Instances") &amp; ":" &amp; ADDRESS(15+3,EA$2+1))))</f>
        <v>0</v>
      </c>
      <c r="EB20">
        <f>IFERROR(SMALL(EA5:EA36,ROW()-ROW($EB$5)+1),"")</f>
        <v>0</v>
      </c>
      <c r="ED20">
        <f>IFERROR(SUM(EB5:EB20),"")</f>
        <v>0</v>
      </c>
      <c r="EG20">
        <f>IF(Charts!$B$3="none",E187,IF(BS187="",NA(),BS187))</f>
        <v>0</v>
      </c>
      <c r="EH20">
        <f>IF(Charts!$B$3="none",F187,IF(BT187="",NA(),BT187))</f>
        <v>0</v>
      </c>
      <c r="EI20">
        <f>IF(Charts!$B$3="none",G187,IF(BU187="",NA(),BU187))</f>
        <v>0</v>
      </c>
      <c r="EJ20">
        <f>IF(Charts!$B$3="none",H187,IF(BV187="",NA(),BV187))</f>
        <v>0</v>
      </c>
      <c r="EK20">
        <f>IF(Charts!$B$3="none",I187,IF(BW187="",NA(),BW187))</f>
        <v>0</v>
      </c>
      <c r="EL20">
        <f>IF(Charts!$B$3="none",J187,IF(BX187="",NA(),BX187))</f>
        <v>0</v>
      </c>
      <c r="EM20">
        <f>IF(Charts!$B$3="none",K187,IF(BY187="",NA(),BY187))</f>
        <v>0</v>
      </c>
      <c r="EN20">
        <f>IF(Charts!$B$3="none",L187,IF(BZ187="",NA(),BZ187))</f>
        <v>0</v>
      </c>
      <c r="EO20">
        <f>IF(Charts!$B$3="none",M187,IF(CA187="",NA(),CA187))</f>
        <v>0</v>
      </c>
      <c r="EP20">
        <f>IF(Charts!$B$3="none",N187,IF(CB187="",NA(),CB187))</f>
        <v>0</v>
      </c>
      <c r="EQ20">
        <f>IF(Charts!$B$3="none",O187,IF(CC187="",NA(),CC187))</f>
        <v>0</v>
      </c>
      <c r="ER20">
        <f>IF(Charts!$B$3="none",P187,IF(CD187="",NA(),CD187))</f>
        <v>0</v>
      </c>
      <c r="ES20">
        <f>IF(Charts!$B$3="none",Q187,IF(CE187="",NA(),CE187))</f>
        <v>0</v>
      </c>
      <c r="ET20">
        <f>IF(Charts!$B$3="none",R187,IF(CF187="",NA(),CF187))</f>
        <v>0</v>
      </c>
      <c r="EU20">
        <f>IF(Charts!$B$3="none",S187,IF(CG187="",NA(),CG187))</f>
        <v>0</v>
      </c>
      <c r="EV20">
        <f>IF(Charts!$B$3="none",T187,IF(CH187="",NA(),CH187))</f>
        <v>0</v>
      </c>
      <c r="EW20">
        <f>IF(Charts!$B$3="none",U187,IF(CI187="",NA(),CI187))</f>
        <v>0</v>
      </c>
      <c r="EX20">
        <f>IF(Charts!$B$3="none",V187,IF(CJ187="",NA(),CJ187))</f>
        <v>0</v>
      </c>
      <c r="EY20">
        <f>IF(Charts!$B$3="none",W187,IF(CK187="",NA(),CK187))</f>
        <v>0</v>
      </c>
      <c r="EZ20">
        <f>IF(Charts!$B$3="none",X187,IF(CL187="",NA(),CL187))</f>
        <v>0</v>
      </c>
      <c r="FA20">
        <f>IF(Charts!$B$3="none",Y187,IF(CM187="",NA(),CM187))</f>
        <v>0</v>
      </c>
      <c r="FB20">
        <f>IF(Charts!$B$3="none",Z187,IF(CN187="",NA(),CN187))</f>
        <v>0</v>
      </c>
      <c r="FC20">
        <f>IF(Charts!$B$3="none",AA187,IF(CO187="",NA(),CO187))</f>
        <v>0</v>
      </c>
      <c r="FD20">
        <f>IF(Charts!$B$3="none",AB187,IF(CP187="",NA(),CP187))</f>
        <v>0</v>
      </c>
      <c r="FE20">
        <f>IF(Charts!$B$3="none",AC187,IF(CQ187="",NA(),CQ187))</f>
        <v>0</v>
      </c>
      <c r="FF20">
        <f>IF(Charts!$B$3="none",AD187,IF(CR187="",NA(),CR187))</f>
        <v>0</v>
      </c>
      <c r="FG20">
        <f>IF(Charts!$B$3="none",AE187,IF(CS187="",NA(),CS187))</f>
        <v>0</v>
      </c>
      <c r="FH20">
        <f>IF(Charts!$B$3="none",AF187,IF(CT187="",NA(),CT187))</f>
        <v>0</v>
      </c>
      <c r="FI20">
        <f>IF(Charts!$B$3="none",AG187,IF(CU187="",NA(),CU187))</f>
        <v>0</v>
      </c>
      <c r="FJ20">
        <f>IF(Charts!$B$3="none",AH187,IF(CV187="",NA(),CV187))</f>
        <v>0</v>
      </c>
      <c r="FK20">
        <f>IF(Charts!$B$3="none",AI187,IF(CW187="",NA(),CW187))</f>
        <v>0</v>
      </c>
      <c r="FL20">
        <f>IF(Charts!$B$3="none",AJ187,IF(CX187="",NA(),CX187))</f>
        <v>0</v>
      </c>
      <c r="FM20">
        <f>IF(Charts!$B$3="none",AK187,IF(CY187="",NA(),CY187))</f>
        <v>0</v>
      </c>
      <c r="FN20">
        <f>IF(Charts!$B$3="none",AL187,IF(CZ187="",NA(),CZ187))</f>
        <v>0</v>
      </c>
      <c r="FO20">
        <f>IF(Charts!$B$3="none",AM187,IF(DA187="",NA(),DA187))</f>
        <v>0</v>
      </c>
      <c r="FP20">
        <f>IF(Charts!$B$3="none",AN187,IF(DB187="",NA(),DB187))</f>
        <v>0</v>
      </c>
      <c r="FQ20">
        <f>IF(Charts!$B$3="none",AO187,IF(DC187="",NA(),DC187))</f>
        <v>0</v>
      </c>
      <c r="FR20">
        <f>IF(Charts!$B$3="none",AP187,IF(DD187="",NA(),DD187))</f>
        <v>0</v>
      </c>
      <c r="FS20">
        <f>IF(Charts!$B$3="none",AQ187,IF(DE187="",NA(),DE187))</f>
        <v>0</v>
      </c>
      <c r="FT20">
        <f>IF(Charts!$B$3="none",AR187,IF(DF187="",NA(),DF187))</f>
        <v>0</v>
      </c>
      <c r="FU20">
        <f>IF(Charts!$B$3="none",AS187,IF(DG187="",NA(),DG187))</f>
        <v>0</v>
      </c>
      <c r="FV20">
        <f>IF(Charts!$B$3="none",AT187,IF(DH187="",NA(),DH187))</f>
        <v>0</v>
      </c>
      <c r="FW20">
        <f>IF(Charts!$B$3="none",AU187,IF(DI187="",NA(),DI187))</f>
        <v>0</v>
      </c>
      <c r="FX20">
        <f>IF(Charts!$B$3="none",AV187,IF(DJ187="",NA(),DJ187))</f>
        <v>0</v>
      </c>
      <c r="FY20">
        <f>IF(Charts!$B$3="none",AW187,IF(DK187="",NA(),DK187))</f>
        <v>0</v>
      </c>
      <c r="FZ20">
        <f>IF(Charts!$B$3="none",AX187,IF(DL187="",NA(),DL187))</f>
        <v>0</v>
      </c>
      <c r="GA20">
        <f>IF(Charts!$B$3="none",AY187,IF(DM187="",NA(),DM187))</f>
        <v>0</v>
      </c>
      <c r="GB20">
        <f>IF(Charts!$B$3="none",AZ187,IF(DN187="",NA(),DN187))</f>
        <v>0</v>
      </c>
      <c r="GC20">
        <f>IF(Charts!$B$3="none",BA187,IF(DO187="",NA(),DO187))</f>
        <v>0</v>
      </c>
      <c r="GD20">
        <f>IF(Charts!$B$3="none",BB187,IF(DP187="",NA(),DP187))</f>
        <v>0</v>
      </c>
      <c r="GE20">
        <f>IF(Charts!$B$3="none",BC187,IF(DQ187="",NA(),DQ187))</f>
        <v>0</v>
      </c>
      <c r="GF20">
        <f>IF(Charts!$B$3="none",BD187,IF(DR187="",NA(),DR187))</f>
        <v>0</v>
      </c>
      <c r="GG20">
        <f>IF(Charts!$B$3="none",BE187,IF(DS187="",NA(),DS187))</f>
        <v>0</v>
      </c>
      <c r="GH20">
        <f>IF(Charts!$B$3="none",BF187,IF(DT187="",NA(),DT187))</f>
        <v>0</v>
      </c>
      <c r="GI20">
        <f>IF(Charts!$B$3="none",BG187,IF(DU187="",NA(),DU187))</f>
        <v>0</v>
      </c>
      <c r="GJ20">
        <f>IF(Charts!$B$3="none",BH187,IF(DV187="",NA(),DV187))</f>
        <v>0</v>
      </c>
      <c r="GK20">
        <f>IF(Charts!$B$3="none",BI187,IF(DW187="",NA(),DW187))</f>
        <v>0</v>
      </c>
      <c r="GL20">
        <f>IF(Charts!$B$3="none",BJ187,IF(DX187="",NA(),DX187))</f>
        <v>0</v>
      </c>
      <c r="GM20">
        <f>IF(Charts!$B$3="none",BK187,IF(DY187="",NA(),DY187))</f>
        <v>0</v>
      </c>
      <c r="GN20">
        <f>IF(Charts!$B$3="none",BL187,IF(DZ187="",NA(),DZ187))</f>
        <v>0</v>
      </c>
      <c r="GO20">
        <f>IF(Charts!$B$3="none",BM187,IF(EA187="",NA(),EA187))</f>
        <v>0</v>
      </c>
      <c r="GP20">
        <f>IF(Charts!$B$3="none",BN187,IF(EB187="",NA(),EB187))</f>
        <v>0</v>
      </c>
      <c r="GQ20">
        <f>IF(Charts!$B$3="none",BO187,IF(EC187="",NA(),EC187))</f>
        <v>0</v>
      </c>
      <c r="GR20">
        <f>IF(Charts!$B$3="none",BP187,IF(ED187="",NA(),ED187))</f>
        <v>0</v>
      </c>
    </row>
    <row r="21" spans="1:200">
      <c r="D21">
        <v>17</v>
      </c>
      <c r="E21">
        <f>IF(INDIRECT(ADDRESS($D21+2,E$2+1,,,"Instances"))="","",INDIRECT(ADDRESS($D21+2,E$2+1,,,"Instances")))</f>
        <v>0</v>
      </c>
      <c r="F21">
        <f>IFERROR(SMALL(E5:E36,ROW()-ROW($F$5)+1),"")</f>
        <v>0</v>
      </c>
      <c r="H21">
        <f>IFERROR(SUM(F5:F21),"")</f>
        <v>0</v>
      </c>
      <c r="I21">
        <f>IF(INDIRECT(ADDRESS($D21+2,I$2+1,,,"Instances"))="","",INDIRECT(ADDRESS($D21+2,I$2+1,,,"Instances")))</f>
        <v>0</v>
      </c>
      <c r="J21">
        <f>IFERROR(SMALL(I5:I36,ROW()-ROW($J$5)+1),"")</f>
        <v>0</v>
      </c>
      <c r="L21">
        <f>IFERROR(SUM(J5:J21),"")</f>
        <v>0</v>
      </c>
      <c r="M21">
        <f>IF(INDIRECT(ADDRESS($D21+2,M$2+1,,,"Instances"))="","",INDIRECT(ADDRESS($D21+2,M$2+1,,,"Instances")))</f>
        <v>0</v>
      </c>
      <c r="N21">
        <f>IFERROR(SMALL(M5:M36,ROW()-ROW($N$5)+1),"")</f>
        <v>0</v>
      </c>
      <c r="P21">
        <f>IFERROR(SUM(N5:N21),"")</f>
        <v>0</v>
      </c>
      <c r="Q21">
        <f>IF(INDIRECT(ADDRESS($D21+2,Q$2+1,,,"Instances"))="","",INDIRECT(ADDRESS($D21+2,Q$2+1,,,"Instances")))</f>
        <v>0</v>
      </c>
      <c r="R21">
        <f>IFERROR(SMALL(Q5:Q36,ROW()-ROW($R$5)+1),"")</f>
        <v>0</v>
      </c>
      <c r="T21">
        <f>IFERROR(SUM(R5:R21),"")</f>
        <v>0</v>
      </c>
      <c r="U21">
        <f>IF(INDIRECT(ADDRESS($D21+2,U$2+1,,,"Instances"))="","",INDIRECT(ADDRESS($D21+2,U$2+1,,,"Instances")))</f>
        <v>0</v>
      </c>
      <c r="V21">
        <f>IFERROR(SMALL(U5:U36,ROW()-ROW($V$5)+1),"")</f>
        <v>0</v>
      </c>
      <c r="X21">
        <f>IFERROR(SUM(V5:V21),"")</f>
        <v>0</v>
      </c>
      <c r="Y21">
        <f>IF(INDIRECT(ADDRESS($D21+2,Y$2+1,,,"Instances"))="","",INDIRECT(ADDRESS($D21+2,Y$2+1,,,"Instances")))</f>
        <v>0</v>
      </c>
      <c r="Z21">
        <f>IFERROR(SMALL(Y5:Y36,ROW()-ROW($Z$5)+1),"")</f>
        <v>0</v>
      </c>
      <c r="AB21">
        <f>IFERROR(SUM(Z5:Z21),"")</f>
        <v>0</v>
      </c>
      <c r="AC21">
        <f>IF(INDIRECT(ADDRESS($D21+2,AC$2+1,,,"Instances"))="","",INDIRECT(ADDRESS($D21+2,AC$2+1,,,"Instances")))</f>
        <v>0</v>
      </c>
      <c r="AD21">
        <f>IFERROR(SMALL(AC5:AC36,ROW()-ROW($AD$5)+1),"")</f>
        <v>0</v>
      </c>
      <c r="AF21">
        <f>IFERROR(SUM(AD5:AD21),"")</f>
        <v>0</v>
      </c>
      <c r="AG21">
        <f>IF(INDIRECT(ADDRESS($D21+2,AG$2+1,,,"Instances"))="","",INDIRECT(ADDRESS($D21+2,AG$2+1,,,"Instances")))</f>
        <v>0</v>
      </c>
      <c r="AH21">
        <f>IFERROR(SMALL(AG5:AG36,ROW()-ROW($AH$5)+1),"")</f>
        <v>0</v>
      </c>
      <c r="AJ21">
        <f>IFERROR(SUM(AH5:AH21),"")</f>
        <v>0</v>
      </c>
      <c r="AK21">
        <f>IF(INDIRECT(ADDRESS($D21+2,AK$2+1,,,"Instances"))="","",INDIRECT(ADDRESS($D21+2,AK$2+1,,,"Instances")))</f>
        <v>0</v>
      </c>
      <c r="AL21">
        <f>IFERROR(SMALL(AK5:AK36,ROW()-ROW($AL$5)+1),"")</f>
        <v>0</v>
      </c>
      <c r="AN21">
        <f>IFERROR(SUM(AL5:AL21),"")</f>
        <v>0</v>
      </c>
      <c r="AO21">
        <f>IF(INDIRECT(ADDRESS($D21+2,AO$2+1,,,"Instances"))="","",INDIRECT(ADDRESS($D21+2,AO$2+1,,,"Instances")))</f>
        <v>0</v>
      </c>
      <c r="AP21">
        <f>IFERROR(SMALL(AO5:AO36,ROW()-ROW($AP$5)+1),"")</f>
        <v>0</v>
      </c>
      <c r="AR21">
        <f>IFERROR(SUM(AP5:AP21),"")</f>
        <v>0</v>
      </c>
      <c r="AS21">
        <f>IF(INDIRECT(ADDRESS($D21+2,AS$2+1,,,"Instances"))="","",INDIRECT(ADDRESS($D21+2,AS$2+1,,,"Instances")))</f>
        <v>0</v>
      </c>
      <c r="AT21">
        <f>IFERROR(SMALL(AS5:AS36,ROW()-ROW($AT$5)+1),"")</f>
        <v>0</v>
      </c>
      <c r="AV21">
        <f>IFERROR(SUM(AT5:AT21),"")</f>
        <v>0</v>
      </c>
      <c r="AW21">
        <f>IF(INDIRECT(ADDRESS($D21+2,AW$2+1,,,"Instances"))="","",INDIRECT(ADDRESS($D21+2,AW$2+1,,,"Instances")))</f>
        <v>0</v>
      </c>
      <c r="AX21">
        <f>IFERROR(SMALL(AW5:AW36,ROW()-ROW($AX$5)+1),"")</f>
        <v>0</v>
      </c>
      <c r="AZ21">
        <f>IFERROR(SUM(AX5:AX21),"")</f>
        <v>0</v>
      </c>
      <c r="BA21">
        <f>IF(INDIRECT(ADDRESS($D21+2,BA$2+1,,,"Instances"))="","",INDIRECT(ADDRESS($D21+2,BA$2+1,,,"Instances")))</f>
        <v>0</v>
      </c>
      <c r="BB21">
        <f>IFERROR(SMALL(BA5:BA36,ROW()-ROW($BB$5)+1),"")</f>
        <v>0</v>
      </c>
      <c r="BD21">
        <f>IFERROR(SUM(BB5:BB21),"")</f>
        <v>0</v>
      </c>
      <c r="BE21">
        <f>IF(INDIRECT(ADDRESS($D21+2,BE$2+1,,,"Instances"))="","",INDIRECT(ADDRESS($D21+2,BE$2+1,,,"Instances")))</f>
        <v>0</v>
      </c>
      <c r="BF21">
        <f>IFERROR(SMALL(BE5:BE36,ROW()-ROW($BF$5)+1),"")</f>
        <v>0</v>
      </c>
      <c r="BH21">
        <f>IFERROR(SUM(BF5:BF21),"")</f>
        <v>0</v>
      </c>
      <c r="BI21">
        <f>IF(INDIRECT(ADDRESS($D21+2,BI$2+1,,,"Instances"))="","",INDIRECT(ADDRESS($D21+2,BI$2+1,,,"Instances")))</f>
        <v>0</v>
      </c>
      <c r="BJ21">
        <f>IFERROR(SMALL(BI5:BI36,ROW()-ROW($BJ$5)+1),"")</f>
        <v>0</v>
      </c>
      <c r="BL21">
        <f>IFERROR(SUM(BJ5:BJ21),"")</f>
        <v>0</v>
      </c>
      <c r="BM21">
        <f>IF(INDIRECT(ADDRESS($D21+2,BM$2+1,,,"Instances"))="","",INDIRECT(ADDRESS($D21+2,BM$2+1,,,"Instances")))</f>
        <v>0</v>
      </c>
      <c r="BN21">
        <f>IFERROR(SMALL(BM5:BM36,ROW()-ROW($BN$5)+1),"")</f>
        <v>0</v>
      </c>
      <c r="BP21">
        <f>IFERROR(SUM(BN5:BN21),"")</f>
        <v>0</v>
      </c>
      <c r="BR21">
        <v>17</v>
      </c>
      <c r="BS21" cm="1">
        <f t="array" ref="BS21">_xlfn.SWITCH(Charts!$B$3,"average", AVERAGE(INDIRECT(ADDRESS(16+3,BS$2+1,,,"Instances") &amp; ":" &amp; ADDRESS(16+3,BS$2+1))),"median", MEDIAN(INDIRECT(ADDRESS(16+3,BS$2+1,,,"Instances") &amp; ":" &amp; ADDRESS(16+3,BS$2+1))),"min", MIN(INDIRECT(ADDRESS(16+3,BS$2+1,,,"Instances") &amp; ":" &amp; ADDRESS(16+3,BS$2+1))),"max", MAX(INDIRECT(ADDRESS(16+3,BS$2+1,,,"Instances") &amp; ":" &amp; ADDRESS(16+3,BS$2+1))),"diff", MAX(INDIRECT(ADDRESS(16+3,BS$2+1,,,"Instances") &amp; ":" &amp; ADDRESS(16+3,BS$2+1)))-MIN(INDIRECT(ADDRESS(16+3,BS$2+1,,,"Instances") &amp; ":" &amp; ADDRESS(16+3,BS$2+1))))</f>
        <v>0</v>
      </c>
      <c r="BT21">
        <f>IFERROR(SMALL(BS5:BS36,ROW()-ROW($BT$5)+1),"")</f>
        <v>0</v>
      </c>
      <c r="BV21">
        <f>IFERROR(SUM(BT5:BT21),"")</f>
        <v>0</v>
      </c>
      <c r="BW21" cm="1">
        <f t="array" ref="BW21">_xlfn.SWITCH(Charts!$B$3,"average", AVERAGE(INDIRECT(ADDRESS(16+3,BW$2+1,,,"Instances") &amp; ":" &amp; ADDRESS(16+3,BW$2+1))),"median", MEDIAN(INDIRECT(ADDRESS(16+3,BW$2+1,,,"Instances") &amp; ":" &amp; ADDRESS(16+3,BW$2+1))),"min", MIN(INDIRECT(ADDRESS(16+3,BW$2+1,,,"Instances") &amp; ":" &amp; ADDRESS(16+3,BW$2+1))),"max", MAX(INDIRECT(ADDRESS(16+3,BW$2+1,,,"Instances") &amp; ":" &amp; ADDRESS(16+3,BW$2+1))),"diff", MAX(INDIRECT(ADDRESS(16+3,BW$2+1,,,"Instances") &amp; ":" &amp; ADDRESS(16+3,BW$2+1)))-MIN(INDIRECT(ADDRESS(16+3,BW$2+1,,,"Instances") &amp; ":" &amp; ADDRESS(16+3,BW$2+1))))</f>
        <v>0</v>
      </c>
      <c r="BX21">
        <f>IFERROR(SMALL(BW5:BW36,ROW()-ROW($BX$5)+1),"")</f>
        <v>0</v>
      </c>
      <c r="BZ21">
        <f>IFERROR(SUM(BX5:BX21),"")</f>
        <v>0</v>
      </c>
      <c r="CA21" cm="1">
        <f t="array" ref="CA21">_xlfn.SWITCH(Charts!$B$3,"average", AVERAGE(INDIRECT(ADDRESS(16+3,CA$2+1,,,"Instances") &amp; ":" &amp; ADDRESS(16+3,CA$2+1))),"median", MEDIAN(INDIRECT(ADDRESS(16+3,CA$2+1,,,"Instances") &amp; ":" &amp; ADDRESS(16+3,CA$2+1))),"min", MIN(INDIRECT(ADDRESS(16+3,CA$2+1,,,"Instances") &amp; ":" &amp; ADDRESS(16+3,CA$2+1))),"max", MAX(INDIRECT(ADDRESS(16+3,CA$2+1,,,"Instances") &amp; ":" &amp; ADDRESS(16+3,CA$2+1))),"diff", MAX(INDIRECT(ADDRESS(16+3,CA$2+1,,,"Instances") &amp; ":" &amp; ADDRESS(16+3,CA$2+1)))-MIN(INDIRECT(ADDRESS(16+3,CA$2+1,,,"Instances") &amp; ":" &amp; ADDRESS(16+3,CA$2+1))))</f>
        <v>0</v>
      </c>
      <c r="CB21">
        <f>IFERROR(SMALL(CA5:CA36,ROW()-ROW($CB$5)+1),"")</f>
        <v>0</v>
      </c>
      <c r="CD21">
        <f>IFERROR(SUM(CB5:CB21),"")</f>
        <v>0</v>
      </c>
      <c r="CE21" cm="1">
        <f t="array" ref="CE21">_xlfn.SWITCH(Charts!$B$3,"average", AVERAGE(INDIRECT(ADDRESS(16+3,CE$2+1,,,"Instances") &amp; ":" &amp; ADDRESS(16+3,CE$2+1))),"median", MEDIAN(INDIRECT(ADDRESS(16+3,CE$2+1,,,"Instances") &amp; ":" &amp; ADDRESS(16+3,CE$2+1))),"min", MIN(INDIRECT(ADDRESS(16+3,CE$2+1,,,"Instances") &amp; ":" &amp; ADDRESS(16+3,CE$2+1))),"max", MAX(INDIRECT(ADDRESS(16+3,CE$2+1,,,"Instances") &amp; ":" &amp; ADDRESS(16+3,CE$2+1))),"diff", MAX(INDIRECT(ADDRESS(16+3,CE$2+1,,,"Instances") &amp; ":" &amp; ADDRESS(16+3,CE$2+1)))-MIN(INDIRECT(ADDRESS(16+3,CE$2+1,,,"Instances") &amp; ":" &amp; ADDRESS(16+3,CE$2+1))))</f>
        <v>0</v>
      </c>
      <c r="CF21">
        <f>IFERROR(SMALL(CE5:CE36,ROW()-ROW($CF$5)+1),"")</f>
        <v>0</v>
      </c>
      <c r="CH21">
        <f>IFERROR(SUM(CF5:CF21),"")</f>
        <v>0</v>
      </c>
      <c r="CI21" cm="1">
        <f t="array" ref="CI21">_xlfn.SWITCH(Charts!$B$3,"average", AVERAGE(INDIRECT(ADDRESS(16+3,CI$2+1,,,"Instances") &amp; ":" &amp; ADDRESS(16+3,CI$2+1))),"median", MEDIAN(INDIRECT(ADDRESS(16+3,CI$2+1,,,"Instances") &amp; ":" &amp; ADDRESS(16+3,CI$2+1))),"min", MIN(INDIRECT(ADDRESS(16+3,CI$2+1,,,"Instances") &amp; ":" &amp; ADDRESS(16+3,CI$2+1))),"max", MAX(INDIRECT(ADDRESS(16+3,CI$2+1,,,"Instances") &amp; ":" &amp; ADDRESS(16+3,CI$2+1))),"diff", MAX(INDIRECT(ADDRESS(16+3,CI$2+1,,,"Instances") &amp; ":" &amp; ADDRESS(16+3,CI$2+1)))-MIN(INDIRECT(ADDRESS(16+3,CI$2+1,,,"Instances") &amp; ":" &amp; ADDRESS(16+3,CI$2+1))))</f>
        <v>0</v>
      </c>
      <c r="CJ21">
        <f>IFERROR(SMALL(CI5:CI36,ROW()-ROW($CJ$5)+1),"")</f>
        <v>0</v>
      </c>
      <c r="CL21">
        <f>IFERROR(SUM(CJ5:CJ21),"")</f>
        <v>0</v>
      </c>
      <c r="CM21" cm="1">
        <f t="array" ref="CM21">_xlfn.SWITCH(Charts!$B$3,"average", AVERAGE(INDIRECT(ADDRESS(16+3,CM$2+1,,,"Instances") &amp; ":" &amp; ADDRESS(16+3,CM$2+1))),"median", MEDIAN(INDIRECT(ADDRESS(16+3,CM$2+1,,,"Instances") &amp; ":" &amp; ADDRESS(16+3,CM$2+1))),"min", MIN(INDIRECT(ADDRESS(16+3,CM$2+1,,,"Instances") &amp; ":" &amp; ADDRESS(16+3,CM$2+1))),"max", MAX(INDIRECT(ADDRESS(16+3,CM$2+1,,,"Instances") &amp; ":" &amp; ADDRESS(16+3,CM$2+1))),"diff", MAX(INDIRECT(ADDRESS(16+3,CM$2+1,,,"Instances") &amp; ":" &amp; ADDRESS(16+3,CM$2+1)))-MIN(INDIRECT(ADDRESS(16+3,CM$2+1,,,"Instances") &amp; ":" &amp; ADDRESS(16+3,CM$2+1))))</f>
        <v>0</v>
      </c>
      <c r="CN21">
        <f>IFERROR(SMALL(CM5:CM36,ROW()-ROW($CN$5)+1),"")</f>
        <v>0</v>
      </c>
      <c r="CP21">
        <f>IFERROR(SUM(CN5:CN21),"")</f>
        <v>0</v>
      </c>
      <c r="CQ21" cm="1">
        <f t="array" ref="CQ21">_xlfn.SWITCH(Charts!$B$3,"average", AVERAGE(INDIRECT(ADDRESS(16+3,CQ$2+1,,,"Instances") &amp; ":" &amp; ADDRESS(16+3,CQ$2+1))),"median", MEDIAN(INDIRECT(ADDRESS(16+3,CQ$2+1,,,"Instances") &amp; ":" &amp; ADDRESS(16+3,CQ$2+1))),"min", MIN(INDIRECT(ADDRESS(16+3,CQ$2+1,,,"Instances") &amp; ":" &amp; ADDRESS(16+3,CQ$2+1))),"max", MAX(INDIRECT(ADDRESS(16+3,CQ$2+1,,,"Instances") &amp; ":" &amp; ADDRESS(16+3,CQ$2+1))),"diff", MAX(INDIRECT(ADDRESS(16+3,CQ$2+1,,,"Instances") &amp; ":" &amp; ADDRESS(16+3,CQ$2+1)))-MIN(INDIRECT(ADDRESS(16+3,CQ$2+1,,,"Instances") &amp; ":" &amp; ADDRESS(16+3,CQ$2+1))))</f>
        <v>0</v>
      </c>
      <c r="CR21">
        <f>IFERROR(SMALL(CQ5:CQ36,ROW()-ROW($CR$5)+1),"")</f>
        <v>0</v>
      </c>
      <c r="CT21">
        <f>IFERROR(SUM(CR5:CR21),"")</f>
        <v>0</v>
      </c>
      <c r="CU21" cm="1">
        <f t="array" ref="CU21">_xlfn.SWITCH(Charts!$B$3,"average", AVERAGE(INDIRECT(ADDRESS(16+3,CU$2+1,,,"Instances") &amp; ":" &amp; ADDRESS(16+3,CU$2+1))),"median", MEDIAN(INDIRECT(ADDRESS(16+3,CU$2+1,,,"Instances") &amp; ":" &amp; ADDRESS(16+3,CU$2+1))),"min", MIN(INDIRECT(ADDRESS(16+3,CU$2+1,,,"Instances") &amp; ":" &amp; ADDRESS(16+3,CU$2+1))),"max", MAX(INDIRECT(ADDRESS(16+3,CU$2+1,,,"Instances") &amp; ":" &amp; ADDRESS(16+3,CU$2+1))),"diff", MAX(INDIRECT(ADDRESS(16+3,CU$2+1,,,"Instances") &amp; ":" &amp; ADDRESS(16+3,CU$2+1)))-MIN(INDIRECT(ADDRESS(16+3,CU$2+1,,,"Instances") &amp; ":" &amp; ADDRESS(16+3,CU$2+1))))</f>
        <v>0</v>
      </c>
      <c r="CV21">
        <f>IFERROR(SMALL(CU5:CU36,ROW()-ROW($CV$5)+1),"")</f>
        <v>0</v>
      </c>
      <c r="CX21">
        <f>IFERROR(SUM(CV5:CV21),"")</f>
        <v>0</v>
      </c>
      <c r="CY21" cm="1">
        <f t="array" ref="CY21">_xlfn.SWITCH(Charts!$B$3,"average", AVERAGE(INDIRECT(ADDRESS(16+3,CY$2+1,,,"Instances") &amp; ":" &amp; ADDRESS(16+3,CY$2+1))),"median", MEDIAN(INDIRECT(ADDRESS(16+3,CY$2+1,,,"Instances") &amp; ":" &amp; ADDRESS(16+3,CY$2+1))),"min", MIN(INDIRECT(ADDRESS(16+3,CY$2+1,,,"Instances") &amp; ":" &amp; ADDRESS(16+3,CY$2+1))),"max", MAX(INDIRECT(ADDRESS(16+3,CY$2+1,,,"Instances") &amp; ":" &amp; ADDRESS(16+3,CY$2+1))),"diff", MAX(INDIRECT(ADDRESS(16+3,CY$2+1,,,"Instances") &amp; ":" &amp; ADDRESS(16+3,CY$2+1)))-MIN(INDIRECT(ADDRESS(16+3,CY$2+1,,,"Instances") &amp; ":" &amp; ADDRESS(16+3,CY$2+1))))</f>
        <v>0</v>
      </c>
      <c r="CZ21">
        <f>IFERROR(SMALL(CY5:CY36,ROW()-ROW($CZ$5)+1),"")</f>
        <v>0</v>
      </c>
      <c r="DB21">
        <f>IFERROR(SUM(CZ5:CZ21),"")</f>
        <v>0</v>
      </c>
      <c r="DC21" cm="1">
        <f t="array" ref="DC21">_xlfn.SWITCH(Charts!$B$3,"average", AVERAGE(INDIRECT(ADDRESS(16+3,DC$2+1,,,"Instances") &amp; ":" &amp; ADDRESS(16+3,DC$2+1))),"median", MEDIAN(INDIRECT(ADDRESS(16+3,DC$2+1,,,"Instances") &amp; ":" &amp; ADDRESS(16+3,DC$2+1))),"min", MIN(INDIRECT(ADDRESS(16+3,DC$2+1,,,"Instances") &amp; ":" &amp; ADDRESS(16+3,DC$2+1))),"max", MAX(INDIRECT(ADDRESS(16+3,DC$2+1,,,"Instances") &amp; ":" &amp; ADDRESS(16+3,DC$2+1))),"diff", MAX(INDIRECT(ADDRESS(16+3,DC$2+1,,,"Instances") &amp; ":" &amp; ADDRESS(16+3,DC$2+1)))-MIN(INDIRECT(ADDRESS(16+3,DC$2+1,,,"Instances") &amp; ":" &amp; ADDRESS(16+3,DC$2+1))))</f>
        <v>0</v>
      </c>
      <c r="DD21">
        <f>IFERROR(SMALL(DC5:DC36,ROW()-ROW($DD$5)+1),"")</f>
        <v>0</v>
      </c>
      <c r="DF21">
        <f>IFERROR(SUM(DD5:DD21),"")</f>
        <v>0</v>
      </c>
      <c r="DG21" cm="1">
        <f t="array" ref="DG21">_xlfn.SWITCH(Charts!$B$3,"average", AVERAGE(INDIRECT(ADDRESS(16+3,DG$2+1,,,"Instances") &amp; ":" &amp; ADDRESS(16+3,DG$2+1))),"median", MEDIAN(INDIRECT(ADDRESS(16+3,DG$2+1,,,"Instances") &amp; ":" &amp; ADDRESS(16+3,DG$2+1))),"min", MIN(INDIRECT(ADDRESS(16+3,DG$2+1,,,"Instances") &amp; ":" &amp; ADDRESS(16+3,DG$2+1))),"max", MAX(INDIRECT(ADDRESS(16+3,DG$2+1,,,"Instances") &amp; ":" &amp; ADDRESS(16+3,DG$2+1))),"diff", MAX(INDIRECT(ADDRESS(16+3,DG$2+1,,,"Instances") &amp; ":" &amp; ADDRESS(16+3,DG$2+1)))-MIN(INDIRECT(ADDRESS(16+3,DG$2+1,,,"Instances") &amp; ":" &amp; ADDRESS(16+3,DG$2+1))))</f>
        <v>0</v>
      </c>
      <c r="DH21">
        <f>IFERROR(SMALL(DG5:DG36,ROW()-ROW($DH$5)+1),"")</f>
        <v>0</v>
      </c>
      <c r="DJ21">
        <f>IFERROR(SUM(DH5:DH21),"")</f>
        <v>0</v>
      </c>
      <c r="DK21" cm="1">
        <f t="array" ref="DK21">_xlfn.SWITCH(Charts!$B$3,"average", AVERAGE(INDIRECT(ADDRESS(16+3,DK$2+1,,,"Instances") &amp; ":" &amp; ADDRESS(16+3,DK$2+1))),"median", MEDIAN(INDIRECT(ADDRESS(16+3,DK$2+1,,,"Instances") &amp; ":" &amp; ADDRESS(16+3,DK$2+1))),"min", MIN(INDIRECT(ADDRESS(16+3,DK$2+1,,,"Instances") &amp; ":" &amp; ADDRESS(16+3,DK$2+1))),"max", MAX(INDIRECT(ADDRESS(16+3,DK$2+1,,,"Instances") &amp; ":" &amp; ADDRESS(16+3,DK$2+1))),"diff", MAX(INDIRECT(ADDRESS(16+3,DK$2+1,,,"Instances") &amp; ":" &amp; ADDRESS(16+3,DK$2+1)))-MIN(INDIRECT(ADDRESS(16+3,DK$2+1,,,"Instances") &amp; ":" &amp; ADDRESS(16+3,DK$2+1))))</f>
        <v>0</v>
      </c>
      <c r="DL21">
        <f>IFERROR(SMALL(DK5:DK36,ROW()-ROW($DL$5)+1),"")</f>
        <v>0</v>
      </c>
      <c r="DN21">
        <f>IFERROR(SUM(DL5:DL21),"")</f>
        <v>0</v>
      </c>
      <c r="DO21" cm="1">
        <f t="array" ref="DO21">_xlfn.SWITCH(Charts!$B$3,"average", AVERAGE(INDIRECT(ADDRESS(16+3,DO$2+1,,,"Instances") &amp; ":" &amp; ADDRESS(16+3,DO$2+1))),"median", MEDIAN(INDIRECT(ADDRESS(16+3,DO$2+1,,,"Instances") &amp; ":" &amp; ADDRESS(16+3,DO$2+1))),"min", MIN(INDIRECT(ADDRESS(16+3,DO$2+1,,,"Instances") &amp; ":" &amp; ADDRESS(16+3,DO$2+1))),"max", MAX(INDIRECT(ADDRESS(16+3,DO$2+1,,,"Instances") &amp; ":" &amp; ADDRESS(16+3,DO$2+1))),"diff", MAX(INDIRECT(ADDRESS(16+3,DO$2+1,,,"Instances") &amp; ":" &amp; ADDRESS(16+3,DO$2+1)))-MIN(INDIRECT(ADDRESS(16+3,DO$2+1,,,"Instances") &amp; ":" &amp; ADDRESS(16+3,DO$2+1))))</f>
        <v>0</v>
      </c>
      <c r="DP21">
        <f>IFERROR(SMALL(DO5:DO36,ROW()-ROW($DP$5)+1),"")</f>
        <v>0</v>
      </c>
      <c r="DR21">
        <f>IFERROR(SUM(DP5:DP21),"")</f>
        <v>0</v>
      </c>
      <c r="DS21" cm="1">
        <f t="array" ref="DS21">_xlfn.SWITCH(Charts!$B$3,"average", AVERAGE(INDIRECT(ADDRESS(16+3,DS$2+1,,,"Instances") &amp; ":" &amp; ADDRESS(16+3,DS$2+1))),"median", MEDIAN(INDIRECT(ADDRESS(16+3,DS$2+1,,,"Instances") &amp; ":" &amp; ADDRESS(16+3,DS$2+1))),"min", MIN(INDIRECT(ADDRESS(16+3,DS$2+1,,,"Instances") &amp; ":" &amp; ADDRESS(16+3,DS$2+1))),"max", MAX(INDIRECT(ADDRESS(16+3,DS$2+1,,,"Instances") &amp; ":" &amp; ADDRESS(16+3,DS$2+1))),"diff", MAX(INDIRECT(ADDRESS(16+3,DS$2+1,,,"Instances") &amp; ":" &amp; ADDRESS(16+3,DS$2+1)))-MIN(INDIRECT(ADDRESS(16+3,DS$2+1,,,"Instances") &amp; ":" &amp; ADDRESS(16+3,DS$2+1))))</f>
        <v>0</v>
      </c>
      <c r="DT21">
        <f>IFERROR(SMALL(DS5:DS36,ROW()-ROW($DT$5)+1),"")</f>
        <v>0</v>
      </c>
      <c r="DV21">
        <f>IFERROR(SUM(DT5:DT21),"")</f>
        <v>0</v>
      </c>
      <c r="DW21" cm="1">
        <f t="array" ref="DW21">_xlfn.SWITCH(Charts!$B$3,"average", AVERAGE(INDIRECT(ADDRESS(16+3,DW$2+1,,,"Instances") &amp; ":" &amp; ADDRESS(16+3,DW$2+1))),"median", MEDIAN(INDIRECT(ADDRESS(16+3,DW$2+1,,,"Instances") &amp; ":" &amp; ADDRESS(16+3,DW$2+1))),"min", MIN(INDIRECT(ADDRESS(16+3,DW$2+1,,,"Instances") &amp; ":" &amp; ADDRESS(16+3,DW$2+1))),"max", MAX(INDIRECT(ADDRESS(16+3,DW$2+1,,,"Instances") &amp; ":" &amp; ADDRESS(16+3,DW$2+1))),"diff", MAX(INDIRECT(ADDRESS(16+3,DW$2+1,,,"Instances") &amp; ":" &amp; ADDRESS(16+3,DW$2+1)))-MIN(INDIRECT(ADDRESS(16+3,DW$2+1,,,"Instances") &amp; ":" &amp; ADDRESS(16+3,DW$2+1))))</f>
        <v>0</v>
      </c>
      <c r="DX21">
        <f>IFERROR(SMALL(DW5:DW36,ROW()-ROW($DX$5)+1),"")</f>
        <v>0</v>
      </c>
      <c r="DZ21">
        <f>IFERROR(SUM(DX5:DX21),"")</f>
        <v>0</v>
      </c>
      <c r="EA21" cm="1">
        <f t="array" ref="EA21">_xlfn.SWITCH(Charts!$B$3,"average", AVERAGE(INDIRECT(ADDRESS(16+3,EA$2+1,,,"Instances") &amp; ":" &amp; ADDRESS(16+3,EA$2+1))),"median", MEDIAN(INDIRECT(ADDRESS(16+3,EA$2+1,,,"Instances") &amp; ":" &amp; ADDRESS(16+3,EA$2+1))),"min", MIN(INDIRECT(ADDRESS(16+3,EA$2+1,,,"Instances") &amp; ":" &amp; ADDRESS(16+3,EA$2+1))),"max", MAX(INDIRECT(ADDRESS(16+3,EA$2+1,,,"Instances") &amp; ":" &amp; ADDRESS(16+3,EA$2+1))),"diff", MAX(INDIRECT(ADDRESS(16+3,EA$2+1,,,"Instances") &amp; ":" &amp; ADDRESS(16+3,EA$2+1)))-MIN(INDIRECT(ADDRESS(16+3,EA$2+1,,,"Instances") &amp; ":" &amp; ADDRESS(16+3,EA$2+1))))</f>
        <v>0</v>
      </c>
      <c r="EB21">
        <f>IFERROR(SMALL(EA5:EA36,ROW()-ROW($EB$5)+1),"")</f>
        <v>0</v>
      </c>
      <c r="ED21">
        <f>IFERROR(SUM(EB5:EB21),"")</f>
        <v>0</v>
      </c>
      <c r="EG21">
        <f>IF(Charts!$B$3="none",E188,IF(BS188="",NA(),BS188))</f>
        <v>0</v>
      </c>
      <c r="EH21">
        <f>IF(Charts!$B$3="none",F188,IF(BT188="",NA(),BT188))</f>
        <v>0</v>
      </c>
      <c r="EI21">
        <f>IF(Charts!$B$3="none",G188,IF(BU188="",NA(),BU188))</f>
        <v>0</v>
      </c>
      <c r="EJ21">
        <f>IF(Charts!$B$3="none",H188,IF(BV188="",NA(),BV188))</f>
        <v>0</v>
      </c>
      <c r="EK21">
        <f>IF(Charts!$B$3="none",I188,IF(BW188="",NA(),BW188))</f>
        <v>0</v>
      </c>
      <c r="EL21">
        <f>IF(Charts!$B$3="none",J188,IF(BX188="",NA(),BX188))</f>
        <v>0</v>
      </c>
      <c r="EM21">
        <f>IF(Charts!$B$3="none",K188,IF(BY188="",NA(),BY188))</f>
        <v>0</v>
      </c>
      <c r="EN21">
        <f>IF(Charts!$B$3="none",L188,IF(BZ188="",NA(),BZ188))</f>
        <v>0</v>
      </c>
      <c r="EO21">
        <f>IF(Charts!$B$3="none",M188,IF(CA188="",NA(),CA188))</f>
        <v>0</v>
      </c>
      <c r="EP21">
        <f>IF(Charts!$B$3="none",N188,IF(CB188="",NA(),CB188))</f>
        <v>0</v>
      </c>
      <c r="EQ21">
        <f>IF(Charts!$B$3="none",O188,IF(CC188="",NA(),CC188))</f>
        <v>0</v>
      </c>
      <c r="ER21">
        <f>IF(Charts!$B$3="none",P188,IF(CD188="",NA(),CD188))</f>
        <v>0</v>
      </c>
      <c r="ES21">
        <f>IF(Charts!$B$3="none",Q188,IF(CE188="",NA(),CE188))</f>
        <v>0</v>
      </c>
      <c r="ET21">
        <f>IF(Charts!$B$3="none",R188,IF(CF188="",NA(),CF188))</f>
        <v>0</v>
      </c>
      <c r="EU21">
        <f>IF(Charts!$B$3="none",S188,IF(CG188="",NA(),CG188))</f>
        <v>0</v>
      </c>
      <c r="EV21">
        <f>IF(Charts!$B$3="none",T188,IF(CH188="",NA(),CH188))</f>
        <v>0</v>
      </c>
      <c r="EW21">
        <f>IF(Charts!$B$3="none",U188,IF(CI188="",NA(),CI188))</f>
        <v>0</v>
      </c>
      <c r="EX21">
        <f>IF(Charts!$B$3="none",V188,IF(CJ188="",NA(),CJ188))</f>
        <v>0</v>
      </c>
      <c r="EY21">
        <f>IF(Charts!$B$3="none",W188,IF(CK188="",NA(),CK188))</f>
        <v>0</v>
      </c>
      <c r="EZ21">
        <f>IF(Charts!$B$3="none",X188,IF(CL188="",NA(),CL188))</f>
        <v>0</v>
      </c>
      <c r="FA21">
        <f>IF(Charts!$B$3="none",Y188,IF(CM188="",NA(),CM188))</f>
        <v>0</v>
      </c>
      <c r="FB21">
        <f>IF(Charts!$B$3="none",Z188,IF(CN188="",NA(),CN188))</f>
        <v>0</v>
      </c>
      <c r="FC21">
        <f>IF(Charts!$B$3="none",AA188,IF(CO188="",NA(),CO188))</f>
        <v>0</v>
      </c>
      <c r="FD21">
        <f>IF(Charts!$B$3="none",AB188,IF(CP188="",NA(),CP188))</f>
        <v>0</v>
      </c>
      <c r="FE21">
        <f>IF(Charts!$B$3="none",AC188,IF(CQ188="",NA(),CQ188))</f>
        <v>0</v>
      </c>
      <c r="FF21">
        <f>IF(Charts!$B$3="none",AD188,IF(CR188="",NA(),CR188))</f>
        <v>0</v>
      </c>
      <c r="FG21">
        <f>IF(Charts!$B$3="none",AE188,IF(CS188="",NA(),CS188))</f>
        <v>0</v>
      </c>
      <c r="FH21">
        <f>IF(Charts!$B$3="none",AF188,IF(CT188="",NA(),CT188))</f>
        <v>0</v>
      </c>
      <c r="FI21">
        <f>IF(Charts!$B$3="none",AG188,IF(CU188="",NA(),CU188))</f>
        <v>0</v>
      </c>
      <c r="FJ21">
        <f>IF(Charts!$B$3="none",AH188,IF(CV188="",NA(),CV188))</f>
        <v>0</v>
      </c>
      <c r="FK21">
        <f>IF(Charts!$B$3="none",AI188,IF(CW188="",NA(),CW188))</f>
        <v>0</v>
      </c>
      <c r="FL21">
        <f>IF(Charts!$B$3="none",AJ188,IF(CX188="",NA(),CX188))</f>
        <v>0</v>
      </c>
      <c r="FM21">
        <f>IF(Charts!$B$3="none",AK188,IF(CY188="",NA(),CY188))</f>
        <v>0</v>
      </c>
      <c r="FN21">
        <f>IF(Charts!$B$3="none",AL188,IF(CZ188="",NA(),CZ188))</f>
        <v>0</v>
      </c>
      <c r="FO21">
        <f>IF(Charts!$B$3="none",AM188,IF(DA188="",NA(),DA188))</f>
        <v>0</v>
      </c>
      <c r="FP21">
        <f>IF(Charts!$B$3="none",AN188,IF(DB188="",NA(),DB188))</f>
        <v>0</v>
      </c>
      <c r="FQ21">
        <f>IF(Charts!$B$3="none",AO188,IF(DC188="",NA(),DC188))</f>
        <v>0</v>
      </c>
      <c r="FR21">
        <f>IF(Charts!$B$3="none",AP188,IF(DD188="",NA(),DD188))</f>
        <v>0</v>
      </c>
      <c r="FS21">
        <f>IF(Charts!$B$3="none",AQ188,IF(DE188="",NA(),DE188))</f>
        <v>0</v>
      </c>
      <c r="FT21">
        <f>IF(Charts!$B$3="none",AR188,IF(DF188="",NA(),DF188))</f>
        <v>0</v>
      </c>
      <c r="FU21">
        <f>IF(Charts!$B$3="none",AS188,IF(DG188="",NA(),DG188))</f>
        <v>0</v>
      </c>
      <c r="FV21">
        <f>IF(Charts!$B$3="none",AT188,IF(DH188="",NA(),DH188))</f>
        <v>0</v>
      </c>
      <c r="FW21">
        <f>IF(Charts!$B$3="none",AU188,IF(DI188="",NA(),DI188))</f>
        <v>0</v>
      </c>
      <c r="FX21">
        <f>IF(Charts!$B$3="none",AV188,IF(DJ188="",NA(),DJ188))</f>
        <v>0</v>
      </c>
      <c r="FY21">
        <f>IF(Charts!$B$3="none",AW188,IF(DK188="",NA(),DK188))</f>
        <v>0</v>
      </c>
      <c r="FZ21">
        <f>IF(Charts!$B$3="none",AX188,IF(DL188="",NA(),DL188))</f>
        <v>0</v>
      </c>
      <c r="GA21">
        <f>IF(Charts!$B$3="none",AY188,IF(DM188="",NA(),DM188))</f>
        <v>0</v>
      </c>
      <c r="GB21">
        <f>IF(Charts!$B$3="none",AZ188,IF(DN188="",NA(),DN188))</f>
        <v>0</v>
      </c>
      <c r="GC21">
        <f>IF(Charts!$B$3="none",BA188,IF(DO188="",NA(),DO188))</f>
        <v>0</v>
      </c>
      <c r="GD21">
        <f>IF(Charts!$B$3="none",BB188,IF(DP188="",NA(),DP188))</f>
        <v>0</v>
      </c>
      <c r="GE21">
        <f>IF(Charts!$B$3="none",BC188,IF(DQ188="",NA(),DQ188))</f>
        <v>0</v>
      </c>
      <c r="GF21">
        <f>IF(Charts!$B$3="none",BD188,IF(DR188="",NA(),DR188))</f>
        <v>0</v>
      </c>
      <c r="GG21">
        <f>IF(Charts!$B$3="none",BE188,IF(DS188="",NA(),DS188))</f>
        <v>0</v>
      </c>
      <c r="GH21">
        <f>IF(Charts!$B$3="none",BF188,IF(DT188="",NA(),DT188))</f>
        <v>0</v>
      </c>
      <c r="GI21">
        <f>IF(Charts!$B$3="none",BG188,IF(DU188="",NA(),DU188))</f>
        <v>0</v>
      </c>
      <c r="GJ21">
        <f>IF(Charts!$B$3="none",BH188,IF(DV188="",NA(),DV188))</f>
        <v>0</v>
      </c>
      <c r="GK21">
        <f>IF(Charts!$B$3="none",BI188,IF(DW188="",NA(),DW188))</f>
        <v>0</v>
      </c>
      <c r="GL21">
        <f>IF(Charts!$B$3="none",BJ188,IF(DX188="",NA(),DX188))</f>
        <v>0</v>
      </c>
      <c r="GM21">
        <f>IF(Charts!$B$3="none",BK188,IF(DY188="",NA(),DY188))</f>
        <v>0</v>
      </c>
      <c r="GN21">
        <f>IF(Charts!$B$3="none",BL188,IF(DZ188="",NA(),DZ188))</f>
        <v>0</v>
      </c>
      <c r="GO21">
        <f>IF(Charts!$B$3="none",BM188,IF(EA188="",NA(),EA188))</f>
        <v>0</v>
      </c>
      <c r="GP21">
        <f>IF(Charts!$B$3="none",BN188,IF(EB188="",NA(),EB188))</f>
        <v>0</v>
      </c>
      <c r="GQ21">
        <f>IF(Charts!$B$3="none",BO188,IF(EC188="",NA(),EC188))</f>
        <v>0</v>
      </c>
      <c r="GR21">
        <f>IF(Charts!$B$3="none",BP188,IF(ED188="",NA(),ED188))</f>
        <v>0</v>
      </c>
    </row>
    <row r="22" spans="1:200">
      <c r="D22">
        <v>18</v>
      </c>
      <c r="E22">
        <f>IF(INDIRECT(ADDRESS($D22+2,E$2+1,,,"Instances"))="","",INDIRECT(ADDRESS($D22+2,E$2+1,,,"Instances")))</f>
        <v>0</v>
      </c>
      <c r="F22">
        <f>IFERROR(SMALL(E5:E36,ROW()-ROW($F$5)+1),"")</f>
        <v>0</v>
      </c>
      <c r="H22">
        <f>IFERROR(SUM(F5:F22),"")</f>
        <v>0</v>
      </c>
      <c r="I22">
        <f>IF(INDIRECT(ADDRESS($D22+2,I$2+1,,,"Instances"))="","",INDIRECT(ADDRESS($D22+2,I$2+1,,,"Instances")))</f>
        <v>0</v>
      </c>
      <c r="J22">
        <f>IFERROR(SMALL(I5:I36,ROW()-ROW($J$5)+1),"")</f>
        <v>0</v>
      </c>
      <c r="L22">
        <f>IFERROR(SUM(J5:J22),"")</f>
        <v>0</v>
      </c>
      <c r="M22">
        <f>IF(INDIRECT(ADDRESS($D22+2,M$2+1,,,"Instances"))="","",INDIRECT(ADDRESS($D22+2,M$2+1,,,"Instances")))</f>
        <v>0</v>
      </c>
      <c r="N22">
        <f>IFERROR(SMALL(M5:M36,ROW()-ROW($N$5)+1),"")</f>
        <v>0</v>
      </c>
      <c r="P22">
        <f>IFERROR(SUM(N5:N22),"")</f>
        <v>0</v>
      </c>
      <c r="Q22">
        <f>IF(INDIRECT(ADDRESS($D22+2,Q$2+1,,,"Instances"))="","",INDIRECT(ADDRESS($D22+2,Q$2+1,,,"Instances")))</f>
        <v>0</v>
      </c>
      <c r="R22">
        <f>IFERROR(SMALL(Q5:Q36,ROW()-ROW($R$5)+1),"")</f>
        <v>0</v>
      </c>
      <c r="T22">
        <f>IFERROR(SUM(R5:R22),"")</f>
        <v>0</v>
      </c>
      <c r="U22">
        <f>IF(INDIRECT(ADDRESS($D22+2,U$2+1,,,"Instances"))="","",INDIRECT(ADDRESS($D22+2,U$2+1,,,"Instances")))</f>
        <v>0</v>
      </c>
      <c r="V22">
        <f>IFERROR(SMALL(U5:U36,ROW()-ROW($V$5)+1),"")</f>
        <v>0</v>
      </c>
      <c r="X22">
        <f>IFERROR(SUM(V5:V22),"")</f>
        <v>0</v>
      </c>
      <c r="Y22">
        <f>IF(INDIRECT(ADDRESS($D22+2,Y$2+1,,,"Instances"))="","",INDIRECT(ADDRESS($D22+2,Y$2+1,,,"Instances")))</f>
        <v>0</v>
      </c>
      <c r="Z22">
        <f>IFERROR(SMALL(Y5:Y36,ROW()-ROW($Z$5)+1),"")</f>
        <v>0</v>
      </c>
      <c r="AB22">
        <f>IFERROR(SUM(Z5:Z22),"")</f>
        <v>0</v>
      </c>
      <c r="AC22">
        <f>IF(INDIRECT(ADDRESS($D22+2,AC$2+1,,,"Instances"))="","",INDIRECT(ADDRESS($D22+2,AC$2+1,,,"Instances")))</f>
        <v>0</v>
      </c>
      <c r="AD22">
        <f>IFERROR(SMALL(AC5:AC36,ROW()-ROW($AD$5)+1),"")</f>
        <v>0</v>
      </c>
      <c r="AF22">
        <f>IFERROR(SUM(AD5:AD22),"")</f>
        <v>0</v>
      </c>
      <c r="AG22">
        <f>IF(INDIRECT(ADDRESS($D22+2,AG$2+1,,,"Instances"))="","",INDIRECT(ADDRESS($D22+2,AG$2+1,,,"Instances")))</f>
        <v>0</v>
      </c>
      <c r="AH22">
        <f>IFERROR(SMALL(AG5:AG36,ROW()-ROW($AH$5)+1),"")</f>
        <v>0</v>
      </c>
      <c r="AJ22">
        <f>IFERROR(SUM(AH5:AH22),"")</f>
        <v>0</v>
      </c>
      <c r="AK22">
        <f>IF(INDIRECT(ADDRESS($D22+2,AK$2+1,,,"Instances"))="","",INDIRECT(ADDRESS($D22+2,AK$2+1,,,"Instances")))</f>
        <v>0</v>
      </c>
      <c r="AL22">
        <f>IFERROR(SMALL(AK5:AK36,ROW()-ROW($AL$5)+1),"")</f>
        <v>0</v>
      </c>
      <c r="AN22">
        <f>IFERROR(SUM(AL5:AL22),"")</f>
        <v>0</v>
      </c>
      <c r="AO22">
        <f>IF(INDIRECT(ADDRESS($D22+2,AO$2+1,,,"Instances"))="","",INDIRECT(ADDRESS($D22+2,AO$2+1,,,"Instances")))</f>
        <v>0</v>
      </c>
      <c r="AP22">
        <f>IFERROR(SMALL(AO5:AO36,ROW()-ROW($AP$5)+1),"")</f>
        <v>0</v>
      </c>
      <c r="AR22">
        <f>IFERROR(SUM(AP5:AP22),"")</f>
        <v>0</v>
      </c>
      <c r="AS22">
        <f>IF(INDIRECT(ADDRESS($D22+2,AS$2+1,,,"Instances"))="","",INDIRECT(ADDRESS($D22+2,AS$2+1,,,"Instances")))</f>
        <v>0</v>
      </c>
      <c r="AT22">
        <f>IFERROR(SMALL(AS5:AS36,ROW()-ROW($AT$5)+1),"")</f>
        <v>0</v>
      </c>
      <c r="AV22">
        <f>IFERROR(SUM(AT5:AT22),"")</f>
        <v>0</v>
      </c>
      <c r="AW22">
        <f>IF(INDIRECT(ADDRESS($D22+2,AW$2+1,,,"Instances"))="","",INDIRECT(ADDRESS($D22+2,AW$2+1,,,"Instances")))</f>
        <v>0</v>
      </c>
      <c r="AX22">
        <f>IFERROR(SMALL(AW5:AW36,ROW()-ROW($AX$5)+1),"")</f>
        <v>0</v>
      </c>
      <c r="AZ22">
        <f>IFERROR(SUM(AX5:AX22),"")</f>
        <v>0</v>
      </c>
      <c r="BA22">
        <f>IF(INDIRECT(ADDRESS($D22+2,BA$2+1,,,"Instances"))="","",INDIRECT(ADDRESS($D22+2,BA$2+1,,,"Instances")))</f>
        <v>0</v>
      </c>
      <c r="BB22">
        <f>IFERROR(SMALL(BA5:BA36,ROW()-ROW($BB$5)+1),"")</f>
        <v>0</v>
      </c>
      <c r="BD22">
        <f>IFERROR(SUM(BB5:BB22),"")</f>
        <v>0</v>
      </c>
      <c r="BE22">
        <f>IF(INDIRECT(ADDRESS($D22+2,BE$2+1,,,"Instances"))="","",INDIRECT(ADDRESS($D22+2,BE$2+1,,,"Instances")))</f>
        <v>0</v>
      </c>
      <c r="BF22">
        <f>IFERROR(SMALL(BE5:BE36,ROW()-ROW($BF$5)+1),"")</f>
        <v>0</v>
      </c>
      <c r="BH22">
        <f>IFERROR(SUM(BF5:BF22),"")</f>
        <v>0</v>
      </c>
      <c r="BI22">
        <f>IF(INDIRECT(ADDRESS($D22+2,BI$2+1,,,"Instances"))="","",INDIRECT(ADDRESS($D22+2,BI$2+1,,,"Instances")))</f>
        <v>0</v>
      </c>
      <c r="BJ22">
        <f>IFERROR(SMALL(BI5:BI36,ROW()-ROW($BJ$5)+1),"")</f>
        <v>0</v>
      </c>
      <c r="BL22">
        <f>IFERROR(SUM(BJ5:BJ22),"")</f>
        <v>0</v>
      </c>
      <c r="BM22">
        <f>IF(INDIRECT(ADDRESS($D22+2,BM$2+1,,,"Instances"))="","",INDIRECT(ADDRESS($D22+2,BM$2+1,,,"Instances")))</f>
        <v>0</v>
      </c>
      <c r="BN22">
        <f>IFERROR(SMALL(BM5:BM36,ROW()-ROW($BN$5)+1),"")</f>
        <v>0</v>
      </c>
      <c r="BP22">
        <f>IFERROR(SUM(BN5:BN22),"")</f>
        <v>0</v>
      </c>
      <c r="BR22">
        <v>18</v>
      </c>
      <c r="BS22" cm="1">
        <f t="array" ref="BS22">_xlfn.SWITCH(Charts!$B$3,"average", AVERAGE(INDIRECT(ADDRESS(17+3,BS$2+1,,,"Instances") &amp; ":" &amp; ADDRESS(17+3,BS$2+1))),"median", MEDIAN(INDIRECT(ADDRESS(17+3,BS$2+1,,,"Instances") &amp; ":" &amp; ADDRESS(17+3,BS$2+1))),"min", MIN(INDIRECT(ADDRESS(17+3,BS$2+1,,,"Instances") &amp; ":" &amp; ADDRESS(17+3,BS$2+1))),"max", MAX(INDIRECT(ADDRESS(17+3,BS$2+1,,,"Instances") &amp; ":" &amp; ADDRESS(17+3,BS$2+1))),"diff", MAX(INDIRECT(ADDRESS(17+3,BS$2+1,,,"Instances") &amp; ":" &amp; ADDRESS(17+3,BS$2+1)))-MIN(INDIRECT(ADDRESS(17+3,BS$2+1,,,"Instances") &amp; ":" &amp; ADDRESS(17+3,BS$2+1))))</f>
        <v>0</v>
      </c>
      <c r="BT22">
        <f>IFERROR(SMALL(BS5:BS36,ROW()-ROW($BT$5)+1),"")</f>
        <v>0</v>
      </c>
      <c r="BV22">
        <f>IFERROR(SUM(BT5:BT22),"")</f>
        <v>0</v>
      </c>
      <c r="BW22" cm="1">
        <f t="array" ref="BW22">_xlfn.SWITCH(Charts!$B$3,"average", AVERAGE(INDIRECT(ADDRESS(17+3,BW$2+1,,,"Instances") &amp; ":" &amp; ADDRESS(17+3,BW$2+1))),"median", MEDIAN(INDIRECT(ADDRESS(17+3,BW$2+1,,,"Instances") &amp; ":" &amp; ADDRESS(17+3,BW$2+1))),"min", MIN(INDIRECT(ADDRESS(17+3,BW$2+1,,,"Instances") &amp; ":" &amp; ADDRESS(17+3,BW$2+1))),"max", MAX(INDIRECT(ADDRESS(17+3,BW$2+1,,,"Instances") &amp; ":" &amp; ADDRESS(17+3,BW$2+1))),"diff", MAX(INDIRECT(ADDRESS(17+3,BW$2+1,,,"Instances") &amp; ":" &amp; ADDRESS(17+3,BW$2+1)))-MIN(INDIRECT(ADDRESS(17+3,BW$2+1,,,"Instances") &amp; ":" &amp; ADDRESS(17+3,BW$2+1))))</f>
        <v>0</v>
      </c>
      <c r="BX22">
        <f>IFERROR(SMALL(BW5:BW36,ROW()-ROW($BX$5)+1),"")</f>
        <v>0</v>
      </c>
      <c r="BZ22">
        <f>IFERROR(SUM(BX5:BX22),"")</f>
        <v>0</v>
      </c>
      <c r="CA22" cm="1">
        <f t="array" ref="CA22">_xlfn.SWITCH(Charts!$B$3,"average", AVERAGE(INDIRECT(ADDRESS(17+3,CA$2+1,,,"Instances") &amp; ":" &amp; ADDRESS(17+3,CA$2+1))),"median", MEDIAN(INDIRECT(ADDRESS(17+3,CA$2+1,,,"Instances") &amp; ":" &amp; ADDRESS(17+3,CA$2+1))),"min", MIN(INDIRECT(ADDRESS(17+3,CA$2+1,,,"Instances") &amp; ":" &amp; ADDRESS(17+3,CA$2+1))),"max", MAX(INDIRECT(ADDRESS(17+3,CA$2+1,,,"Instances") &amp; ":" &amp; ADDRESS(17+3,CA$2+1))),"diff", MAX(INDIRECT(ADDRESS(17+3,CA$2+1,,,"Instances") &amp; ":" &amp; ADDRESS(17+3,CA$2+1)))-MIN(INDIRECT(ADDRESS(17+3,CA$2+1,,,"Instances") &amp; ":" &amp; ADDRESS(17+3,CA$2+1))))</f>
        <v>0</v>
      </c>
      <c r="CB22">
        <f>IFERROR(SMALL(CA5:CA36,ROW()-ROW($CB$5)+1),"")</f>
        <v>0</v>
      </c>
      <c r="CD22">
        <f>IFERROR(SUM(CB5:CB22),"")</f>
        <v>0</v>
      </c>
      <c r="CE22" cm="1">
        <f t="array" ref="CE22">_xlfn.SWITCH(Charts!$B$3,"average", AVERAGE(INDIRECT(ADDRESS(17+3,CE$2+1,,,"Instances") &amp; ":" &amp; ADDRESS(17+3,CE$2+1))),"median", MEDIAN(INDIRECT(ADDRESS(17+3,CE$2+1,,,"Instances") &amp; ":" &amp; ADDRESS(17+3,CE$2+1))),"min", MIN(INDIRECT(ADDRESS(17+3,CE$2+1,,,"Instances") &amp; ":" &amp; ADDRESS(17+3,CE$2+1))),"max", MAX(INDIRECT(ADDRESS(17+3,CE$2+1,,,"Instances") &amp; ":" &amp; ADDRESS(17+3,CE$2+1))),"diff", MAX(INDIRECT(ADDRESS(17+3,CE$2+1,,,"Instances") &amp; ":" &amp; ADDRESS(17+3,CE$2+1)))-MIN(INDIRECT(ADDRESS(17+3,CE$2+1,,,"Instances") &amp; ":" &amp; ADDRESS(17+3,CE$2+1))))</f>
        <v>0</v>
      </c>
      <c r="CF22">
        <f>IFERROR(SMALL(CE5:CE36,ROW()-ROW($CF$5)+1),"")</f>
        <v>0</v>
      </c>
      <c r="CH22">
        <f>IFERROR(SUM(CF5:CF22),"")</f>
        <v>0</v>
      </c>
      <c r="CI22" cm="1">
        <f t="array" ref="CI22">_xlfn.SWITCH(Charts!$B$3,"average", AVERAGE(INDIRECT(ADDRESS(17+3,CI$2+1,,,"Instances") &amp; ":" &amp; ADDRESS(17+3,CI$2+1))),"median", MEDIAN(INDIRECT(ADDRESS(17+3,CI$2+1,,,"Instances") &amp; ":" &amp; ADDRESS(17+3,CI$2+1))),"min", MIN(INDIRECT(ADDRESS(17+3,CI$2+1,,,"Instances") &amp; ":" &amp; ADDRESS(17+3,CI$2+1))),"max", MAX(INDIRECT(ADDRESS(17+3,CI$2+1,,,"Instances") &amp; ":" &amp; ADDRESS(17+3,CI$2+1))),"diff", MAX(INDIRECT(ADDRESS(17+3,CI$2+1,,,"Instances") &amp; ":" &amp; ADDRESS(17+3,CI$2+1)))-MIN(INDIRECT(ADDRESS(17+3,CI$2+1,,,"Instances") &amp; ":" &amp; ADDRESS(17+3,CI$2+1))))</f>
        <v>0</v>
      </c>
      <c r="CJ22">
        <f>IFERROR(SMALL(CI5:CI36,ROW()-ROW($CJ$5)+1),"")</f>
        <v>0</v>
      </c>
      <c r="CL22">
        <f>IFERROR(SUM(CJ5:CJ22),"")</f>
        <v>0</v>
      </c>
      <c r="CM22" cm="1">
        <f t="array" ref="CM22">_xlfn.SWITCH(Charts!$B$3,"average", AVERAGE(INDIRECT(ADDRESS(17+3,CM$2+1,,,"Instances") &amp; ":" &amp; ADDRESS(17+3,CM$2+1))),"median", MEDIAN(INDIRECT(ADDRESS(17+3,CM$2+1,,,"Instances") &amp; ":" &amp; ADDRESS(17+3,CM$2+1))),"min", MIN(INDIRECT(ADDRESS(17+3,CM$2+1,,,"Instances") &amp; ":" &amp; ADDRESS(17+3,CM$2+1))),"max", MAX(INDIRECT(ADDRESS(17+3,CM$2+1,,,"Instances") &amp; ":" &amp; ADDRESS(17+3,CM$2+1))),"diff", MAX(INDIRECT(ADDRESS(17+3,CM$2+1,,,"Instances") &amp; ":" &amp; ADDRESS(17+3,CM$2+1)))-MIN(INDIRECT(ADDRESS(17+3,CM$2+1,,,"Instances") &amp; ":" &amp; ADDRESS(17+3,CM$2+1))))</f>
        <v>0</v>
      </c>
      <c r="CN22">
        <f>IFERROR(SMALL(CM5:CM36,ROW()-ROW($CN$5)+1),"")</f>
        <v>0</v>
      </c>
      <c r="CP22">
        <f>IFERROR(SUM(CN5:CN22),"")</f>
        <v>0</v>
      </c>
      <c r="CQ22" cm="1">
        <f t="array" ref="CQ22">_xlfn.SWITCH(Charts!$B$3,"average", AVERAGE(INDIRECT(ADDRESS(17+3,CQ$2+1,,,"Instances") &amp; ":" &amp; ADDRESS(17+3,CQ$2+1))),"median", MEDIAN(INDIRECT(ADDRESS(17+3,CQ$2+1,,,"Instances") &amp; ":" &amp; ADDRESS(17+3,CQ$2+1))),"min", MIN(INDIRECT(ADDRESS(17+3,CQ$2+1,,,"Instances") &amp; ":" &amp; ADDRESS(17+3,CQ$2+1))),"max", MAX(INDIRECT(ADDRESS(17+3,CQ$2+1,,,"Instances") &amp; ":" &amp; ADDRESS(17+3,CQ$2+1))),"diff", MAX(INDIRECT(ADDRESS(17+3,CQ$2+1,,,"Instances") &amp; ":" &amp; ADDRESS(17+3,CQ$2+1)))-MIN(INDIRECT(ADDRESS(17+3,CQ$2+1,,,"Instances") &amp; ":" &amp; ADDRESS(17+3,CQ$2+1))))</f>
        <v>0</v>
      </c>
      <c r="CR22">
        <f>IFERROR(SMALL(CQ5:CQ36,ROW()-ROW($CR$5)+1),"")</f>
        <v>0</v>
      </c>
      <c r="CT22">
        <f>IFERROR(SUM(CR5:CR22),"")</f>
        <v>0</v>
      </c>
      <c r="CU22" cm="1">
        <f t="array" ref="CU22">_xlfn.SWITCH(Charts!$B$3,"average", AVERAGE(INDIRECT(ADDRESS(17+3,CU$2+1,,,"Instances") &amp; ":" &amp; ADDRESS(17+3,CU$2+1))),"median", MEDIAN(INDIRECT(ADDRESS(17+3,CU$2+1,,,"Instances") &amp; ":" &amp; ADDRESS(17+3,CU$2+1))),"min", MIN(INDIRECT(ADDRESS(17+3,CU$2+1,,,"Instances") &amp; ":" &amp; ADDRESS(17+3,CU$2+1))),"max", MAX(INDIRECT(ADDRESS(17+3,CU$2+1,,,"Instances") &amp; ":" &amp; ADDRESS(17+3,CU$2+1))),"diff", MAX(INDIRECT(ADDRESS(17+3,CU$2+1,,,"Instances") &amp; ":" &amp; ADDRESS(17+3,CU$2+1)))-MIN(INDIRECT(ADDRESS(17+3,CU$2+1,,,"Instances") &amp; ":" &amp; ADDRESS(17+3,CU$2+1))))</f>
        <v>0</v>
      </c>
      <c r="CV22">
        <f>IFERROR(SMALL(CU5:CU36,ROW()-ROW($CV$5)+1),"")</f>
        <v>0</v>
      </c>
      <c r="CX22">
        <f>IFERROR(SUM(CV5:CV22),"")</f>
        <v>0</v>
      </c>
      <c r="CY22" cm="1">
        <f t="array" ref="CY22">_xlfn.SWITCH(Charts!$B$3,"average", AVERAGE(INDIRECT(ADDRESS(17+3,CY$2+1,,,"Instances") &amp; ":" &amp; ADDRESS(17+3,CY$2+1))),"median", MEDIAN(INDIRECT(ADDRESS(17+3,CY$2+1,,,"Instances") &amp; ":" &amp; ADDRESS(17+3,CY$2+1))),"min", MIN(INDIRECT(ADDRESS(17+3,CY$2+1,,,"Instances") &amp; ":" &amp; ADDRESS(17+3,CY$2+1))),"max", MAX(INDIRECT(ADDRESS(17+3,CY$2+1,,,"Instances") &amp; ":" &amp; ADDRESS(17+3,CY$2+1))),"diff", MAX(INDIRECT(ADDRESS(17+3,CY$2+1,,,"Instances") &amp; ":" &amp; ADDRESS(17+3,CY$2+1)))-MIN(INDIRECT(ADDRESS(17+3,CY$2+1,,,"Instances") &amp; ":" &amp; ADDRESS(17+3,CY$2+1))))</f>
        <v>0</v>
      </c>
      <c r="CZ22">
        <f>IFERROR(SMALL(CY5:CY36,ROW()-ROW($CZ$5)+1),"")</f>
        <v>0</v>
      </c>
      <c r="DB22">
        <f>IFERROR(SUM(CZ5:CZ22),"")</f>
        <v>0</v>
      </c>
      <c r="DC22" cm="1">
        <f t="array" ref="DC22">_xlfn.SWITCH(Charts!$B$3,"average", AVERAGE(INDIRECT(ADDRESS(17+3,DC$2+1,,,"Instances") &amp; ":" &amp; ADDRESS(17+3,DC$2+1))),"median", MEDIAN(INDIRECT(ADDRESS(17+3,DC$2+1,,,"Instances") &amp; ":" &amp; ADDRESS(17+3,DC$2+1))),"min", MIN(INDIRECT(ADDRESS(17+3,DC$2+1,,,"Instances") &amp; ":" &amp; ADDRESS(17+3,DC$2+1))),"max", MAX(INDIRECT(ADDRESS(17+3,DC$2+1,,,"Instances") &amp; ":" &amp; ADDRESS(17+3,DC$2+1))),"diff", MAX(INDIRECT(ADDRESS(17+3,DC$2+1,,,"Instances") &amp; ":" &amp; ADDRESS(17+3,DC$2+1)))-MIN(INDIRECT(ADDRESS(17+3,DC$2+1,,,"Instances") &amp; ":" &amp; ADDRESS(17+3,DC$2+1))))</f>
        <v>0</v>
      </c>
      <c r="DD22">
        <f>IFERROR(SMALL(DC5:DC36,ROW()-ROW($DD$5)+1),"")</f>
        <v>0</v>
      </c>
      <c r="DF22">
        <f>IFERROR(SUM(DD5:DD22),"")</f>
        <v>0</v>
      </c>
      <c r="DG22" cm="1">
        <f t="array" ref="DG22">_xlfn.SWITCH(Charts!$B$3,"average", AVERAGE(INDIRECT(ADDRESS(17+3,DG$2+1,,,"Instances") &amp; ":" &amp; ADDRESS(17+3,DG$2+1))),"median", MEDIAN(INDIRECT(ADDRESS(17+3,DG$2+1,,,"Instances") &amp; ":" &amp; ADDRESS(17+3,DG$2+1))),"min", MIN(INDIRECT(ADDRESS(17+3,DG$2+1,,,"Instances") &amp; ":" &amp; ADDRESS(17+3,DG$2+1))),"max", MAX(INDIRECT(ADDRESS(17+3,DG$2+1,,,"Instances") &amp; ":" &amp; ADDRESS(17+3,DG$2+1))),"diff", MAX(INDIRECT(ADDRESS(17+3,DG$2+1,,,"Instances") &amp; ":" &amp; ADDRESS(17+3,DG$2+1)))-MIN(INDIRECT(ADDRESS(17+3,DG$2+1,,,"Instances") &amp; ":" &amp; ADDRESS(17+3,DG$2+1))))</f>
        <v>0</v>
      </c>
      <c r="DH22">
        <f>IFERROR(SMALL(DG5:DG36,ROW()-ROW($DH$5)+1),"")</f>
        <v>0</v>
      </c>
      <c r="DJ22">
        <f>IFERROR(SUM(DH5:DH22),"")</f>
        <v>0</v>
      </c>
      <c r="DK22" cm="1">
        <f t="array" ref="DK22">_xlfn.SWITCH(Charts!$B$3,"average", AVERAGE(INDIRECT(ADDRESS(17+3,DK$2+1,,,"Instances") &amp; ":" &amp; ADDRESS(17+3,DK$2+1))),"median", MEDIAN(INDIRECT(ADDRESS(17+3,DK$2+1,,,"Instances") &amp; ":" &amp; ADDRESS(17+3,DK$2+1))),"min", MIN(INDIRECT(ADDRESS(17+3,DK$2+1,,,"Instances") &amp; ":" &amp; ADDRESS(17+3,DK$2+1))),"max", MAX(INDIRECT(ADDRESS(17+3,DK$2+1,,,"Instances") &amp; ":" &amp; ADDRESS(17+3,DK$2+1))),"diff", MAX(INDIRECT(ADDRESS(17+3,DK$2+1,,,"Instances") &amp; ":" &amp; ADDRESS(17+3,DK$2+1)))-MIN(INDIRECT(ADDRESS(17+3,DK$2+1,,,"Instances") &amp; ":" &amp; ADDRESS(17+3,DK$2+1))))</f>
        <v>0</v>
      </c>
      <c r="DL22">
        <f>IFERROR(SMALL(DK5:DK36,ROW()-ROW($DL$5)+1),"")</f>
        <v>0</v>
      </c>
      <c r="DN22">
        <f>IFERROR(SUM(DL5:DL22),"")</f>
        <v>0</v>
      </c>
      <c r="DO22" cm="1">
        <f t="array" ref="DO22">_xlfn.SWITCH(Charts!$B$3,"average", AVERAGE(INDIRECT(ADDRESS(17+3,DO$2+1,,,"Instances") &amp; ":" &amp; ADDRESS(17+3,DO$2+1))),"median", MEDIAN(INDIRECT(ADDRESS(17+3,DO$2+1,,,"Instances") &amp; ":" &amp; ADDRESS(17+3,DO$2+1))),"min", MIN(INDIRECT(ADDRESS(17+3,DO$2+1,,,"Instances") &amp; ":" &amp; ADDRESS(17+3,DO$2+1))),"max", MAX(INDIRECT(ADDRESS(17+3,DO$2+1,,,"Instances") &amp; ":" &amp; ADDRESS(17+3,DO$2+1))),"diff", MAX(INDIRECT(ADDRESS(17+3,DO$2+1,,,"Instances") &amp; ":" &amp; ADDRESS(17+3,DO$2+1)))-MIN(INDIRECT(ADDRESS(17+3,DO$2+1,,,"Instances") &amp; ":" &amp; ADDRESS(17+3,DO$2+1))))</f>
        <v>0</v>
      </c>
      <c r="DP22">
        <f>IFERROR(SMALL(DO5:DO36,ROW()-ROW($DP$5)+1),"")</f>
        <v>0</v>
      </c>
      <c r="DR22">
        <f>IFERROR(SUM(DP5:DP22),"")</f>
        <v>0</v>
      </c>
      <c r="DS22" cm="1">
        <f t="array" ref="DS22">_xlfn.SWITCH(Charts!$B$3,"average", AVERAGE(INDIRECT(ADDRESS(17+3,DS$2+1,,,"Instances") &amp; ":" &amp; ADDRESS(17+3,DS$2+1))),"median", MEDIAN(INDIRECT(ADDRESS(17+3,DS$2+1,,,"Instances") &amp; ":" &amp; ADDRESS(17+3,DS$2+1))),"min", MIN(INDIRECT(ADDRESS(17+3,DS$2+1,,,"Instances") &amp; ":" &amp; ADDRESS(17+3,DS$2+1))),"max", MAX(INDIRECT(ADDRESS(17+3,DS$2+1,,,"Instances") &amp; ":" &amp; ADDRESS(17+3,DS$2+1))),"diff", MAX(INDIRECT(ADDRESS(17+3,DS$2+1,,,"Instances") &amp; ":" &amp; ADDRESS(17+3,DS$2+1)))-MIN(INDIRECT(ADDRESS(17+3,DS$2+1,,,"Instances") &amp; ":" &amp; ADDRESS(17+3,DS$2+1))))</f>
        <v>0</v>
      </c>
      <c r="DT22">
        <f>IFERROR(SMALL(DS5:DS36,ROW()-ROW($DT$5)+1),"")</f>
        <v>0</v>
      </c>
      <c r="DV22">
        <f>IFERROR(SUM(DT5:DT22),"")</f>
        <v>0</v>
      </c>
      <c r="DW22" cm="1">
        <f t="array" ref="DW22">_xlfn.SWITCH(Charts!$B$3,"average", AVERAGE(INDIRECT(ADDRESS(17+3,DW$2+1,,,"Instances") &amp; ":" &amp; ADDRESS(17+3,DW$2+1))),"median", MEDIAN(INDIRECT(ADDRESS(17+3,DW$2+1,,,"Instances") &amp; ":" &amp; ADDRESS(17+3,DW$2+1))),"min", MIN(INDIRECT(ADDRESS(17+3,DW$2+1,,,"Instances") &amp; ":" &amp; ADDRESS(17+3,DW$2+1))),"max", MAX(INDIRECT(ADDRESS(17+3,DW$2+1,,,"Instances") &amp; ":" &amp; ADDRESS(17+3,DW$2+1))),"diff", MAX(INDIRECT(ADDRESS(17+3,DW$2+1,,,"Instances") &amp; ":" &amp; ADDRESS(17+3,DW$2+1)))-MIN(INDIRECT(ADDRESS(17+3,DW$2+1,,,"Instances") &amp; ":" &amp; ADDRESS(17+3,DW$2+1))))</f>
        <v>0</v>
      </c>
      <c r="DX22">
        <f>IFERROR(SMALL(DW5:DW36,ROW()-ROW($DX$5)+1),"")</f>
        <v>0</v>
      </c>
      <c r="DZ22">
        <f>IFERROR(SUM(DX5:DX22),"")</f>
        <v>0</v>
      </c>
      <c r="EA22" cm="1">
        <f t="array" ref="EA22">_xlfn.SWITCH(Charts!$B$3,"average", AVERAGE(INDIRECT(ADDRESS(17+3,EA$2+1,,,"Instances") &amp; ":" &amp; ADDRESS(17+3,EA$2+1))),"median", MEDIAN(INDIRECT(ADDRESS(17+3,EA$2+1,,,"Instances") &amp; ":" &amp; ADDRESS(17+3,EA$2+1))),"min", MIN(INDIRECT(ADDRESS(17+3,EA$2+1,,,"Instances") &amp; ":" &amp; ADDRESS(17+3,EA$2+1))),"max", MAX(INDIRECT(ADDRESS(17+3,EA$2+1,,,"Instances") &amp; ":" &amp; ADDRESS(17+3,EA$2+1))),"diff", MAX(INDIRECT(ADDRESS(17+3,EA$2+1,,,"Instances") &amp; ":" &amp; ADDRESS(17+3,EA$2+1)))-MIN(INDIRECT(ADDRESS(17+3,EA$2+1,,,"Instances") &amp; ":" &amp; ADDRESS(17+3,EA$2+1))))</f>
        <v>0</v>
      </c>
      <c r="EB22">
        <f>IFERROR(SMALL(EA5:EA36,ROW()-ROW($EB$5)+1),"")</f>
        <v>0</v>
      </c>
      <c r="ED22">
        <f>IFERROR(SUM(EB5:EB22),"")</f>
        <v>0</v>
      </c>
      <c r="EG22">
        <f>IF(Charts!$B$3="none",E189,IF(BS189="",NA(),BS189))</f>
        <v>0</v>
      </c>
      <c r="EH22">
        <f>IF(Charts!$B$3="none",F189,IF(BT189="",NA(),BT189))</f>
        <v>0</v>
      </c>
      <c r="EI22">
        <f>IF(Charts!$B$3="none",G189,IF(BU189="",NA(),BU189))</f>
        <v>0</v>
      </c>
      <c r="EJ22">
        <f>IF(Charts!$B$3="none",H189,IF(BV189="",NA(),BV189))</f>
        <v>0</v>
      </c>
      <c r="EK22">
        <f>IF(Charts!$B$3="none",I189,IF(BW189="",NA(),BW189))</f>
        <v>0</v>
      </c>
      <c r="EL22">
        <f>IF(Charts!$B$3="none",J189,IF(BX189="",NA(),BX189))</f>
        <v>0</v>
      </c>
      <c r="EM22">
        <f>IF(Charts!$B$3="none",K189,IF(BY189="",NA(),BY189))</f>
        <v>0</v>
      </c>
      <c r="EN22">
        <f>IF(Charts!$B$3="none",L189,IF(BZ189="",NA(),BZ189))</f>
        <v>0</v>
      </c>
      <c r="EO22">
        <f>IF(Charts!$B$3="none",M189,IF(CA189="",NA(),CA189))</f>
        <v>0</v>
      </c>
      <c r="EP22">
        <f>IF(Charts!$B$3="none",N189,IF(CB189="",NA(),CB189))</f>
        <v>0</v>
      </c>
      <c r="EQ22">
        <f>IF(Charts!$B$3="none",O189,IF(CC189="",NA(),CC189))</f>
        <v>0</v>
      </c>
      <c r="ER22">
        <f>IF(Charts!$B$3="none",P189,IF(CD189="",NA(),CD189))</f>
        <v>0</v>
      </c>
      <c r="ES22">
        <f>IF(Charts!$B$3="none",Q189,IF(CE189="",NA(),CE189))</f>
        <v>0</v>
      </c>
      <c r="ET22">
        <f>IF(Charts!$B$3="none",R189,IF(CF189="",NA(),CF189))</f>
        <v>0</v>
      </c>
      <c r="EU22">
        <f>IF(Charts!$B$3="none",S189,IF(CG189="",NA(),CG189))</f>
        <v>0</v>
      </c>
      <c r="EV22">
        <f>IF(Charts!$B$3="none",T189,IF(CH189="",NA(),CH189))</f>
        <v>0</v>
      </c>
      <c r="EW22">
        <f>IF(Charts!$B$3="none",U189,IF(CI189="",NA(),CI189))</f>
        <v>0</v>
      </c>
      <c r="EX22">
        <f>IF(Charts!$B$3="none",V189,IF(CJ189="",NA(),CJ189))</f>
        <v>0</v>
      </c>
      <c r="EY22">
        <f>IF(Charts!$B$3="none",W189,IF(CK189="",NA(),CK189))</f>
        <v>0</v>
      </c>
      <c r="EZ22">
        <f>IF(Charts!$B$3="none",X189,IF(CL189="",NA(),CL189))</f>
        <v>0</v>
      </c>
      <c r="FA22">
        <f>IF(Charts!$B$3="none",Y189,IF(CM189="",NA(),CM189))</f>
        <v>0</v>
      </c>
      <c r="FB22">
        <f>IF(Charts!$B$3="none",Z189,IF(CN189="",NA(),CN189))</f>
        <v>0</v>
      </c>
      <c r="FC22">
        <f>IF(Charts!$B$3="none",AA189,IF(CO189="",NA(),CO189))</f>
        <v>0</v>
      </c>
      <c r="FD22">
        <f>IF(Charts!$B$3="none",AB189,IF(CP189="",NA(),CP189))</f>
        <v>0</v>
      </c>
      <c r="FE22">
        <f>IF(Charts!$B$3="none",AC189,IF(CQ189="",NA(),CQ189))</f>
        <v>0</v>
      </c>
      <c r="FF22">
        <f>IF(Charts!$B$3="none",AD189,IF(CR189="",NA(),CR189))</f>
        <v>0</v>
      </c>
      <c r="FG22">
        <f>IF(Charts!$B$3="none",AE189,IF(CS189="",NA(),CS189))</f>
        <v>0</v>
      </c>
      <c r="FH22">
        <f>IF(Charts!$B$3="none",AF189,IF(CT189="",NA(),CT189))</f>
        <v>0</v>
      </c>
      <c r="FI22">
        <f>IF(Charts!$B$3="none",AG189,IF(CU189="",NA(),CU189))</f>
        <v>0</v>
      </c>
      <c r="FJ22">
        <f>IF(Charts!$B$3="none",AH189,IF(CV189="",NA(),CV189))</f>
        <v>0</v>
      </c>
      <c r="FK22">
        <f>IF(Charts!$B$3="none",AI189,IF(CW189="",NA(),CW189))</f>
        <v>0</v>
      </c>
      <c r="FL22">
        <f>IF(Charts!$B$3="none",AJ189,IF(CX189="",NA(),CX189))</f>
        <v>0</v>
      </c>
      <c r="FM22">
        <f>IF(Charts!$B$3="none",AK189,IF(CY189="",NA(),CY189))</f>
        <v>0</v>
      </c>
      <c r="FN22">
        <f>IF(Charts!$B$3="none",AL189,IF(CZ189="",NA(),CZ189))</f>
        <v>0</v>
      </c>
      <c r="FO22">
        <f>IF(Charts!$B$3="none",AM189,IF(DA189="",NA(),DA189))</f>
        <v>0</v>
      </c>
      <c r="FP22">
        <f>IF(Charts!$B$3="none",AN189,IF(DB189="",NA(),DB189))</f>
        <v>0</v>
      </c>
      <c r="FQ22">
        <f>IF(Charts!$B$3="none",AO189,IF(DC189="",NA(),DC189))</f>
        <v>0</v>
      </c>
      <c r="FR22">
        <f>IF(Charts!$B$3="none",AP189,IF(DD189="",NA(),DD189))</f>
        <v>0</v>
      </c>
      <c r="FS22">
        <f>IF(Charts!$B$3="none",AQ189,IF(DE189="",NA(),DE189))</f>
        <v>0</v>
      </c>
      <c r="FT22">
        <f>IF(Charts!$B$3="none",AR189,IF(DF189="",NA(),DF189))</f>
        <v>0</v>
      </c>
      <c r="FU22">
        <f>IF(Charts!$B$3="none",AS189,IF(DG189="",NA(),DG189))</f>
        <v>0</v>
      </c>
      <c r="FV22">
        <f>IF(Charts!$B$3="none",AT189,IF(DH189="",NA(),DH189))</f>
        <v>0</v>
      </c>
      <c r="FW22">
        <f>IF(Charts!$B$3="none",AU189,IF(DI189="",NA(),DI189))</f>
        <v>0</v>
      </c>
      <c r="FX22">
        <f>IF(Charts!$B$3="none",AV189,IF(DJ189="",NA(),DJ189))</f>
        <v>0</v>
      </c>
      <c r="FY22">
        <f>IF(Charts!$B$3="none",AW189,IF(DK189="",NA(),DK189))</f>
        <v>0</v>
      </c>
      <c r="FZ22">
        <f>IF(Charts!$B$3="none",AX189,IF(DL189="",NA(),DL189))</f>
        <v>0</v>
      </c>
      <c r="GA22">
        <f>IF(Charts!$B$3="none",AY189,IF(DM189="",NA(),DM189))</f>
        <v>0</v>
      </c>
      <c r="GB22">
        <f>IF(Charts!$B$3="none",AZ189,IF(DN189="",NA(),DN189))</f>
        <v>0</v>
      </c>
      <c r="GC22">
        <f>IF(Charts!$B$3="none",BA189,IF(DO189="",NA(),DO189))</f>
        <v>0</v>
      </c>
      <c r="GD22">
        <f>IF(Charts!$B$3="none",BB189,IF(DP189="",NA(),DP189))</f>
        <v>0</v>
      </c>
      <c r="GE22">
        <f>IF(Charts!$B$3="none",BC189,IF(DQ189="",NA(),DQ189))</f>
        <v>0</v>
      </c>
      <c r="GF22">
        <f>IF(Charts!$B$3="none",BD189,IF(DR189="",NA(),DR189))</f>
        <v>0</v>
      </c>
      <c r="GG22">
        <f>IF(Charts!$B$3="none",BE189,IF(DS189="",NA(),DS189))</f>
        <v>0</v>
      </c>
      <c r="GH22">
        <f>IF(Charts!$B$3="none",BF189,IF(DT189="",NA(),DT189))</f>
        <v>0</v>
      </c>
      <c r="GI22">
        <f>IF(Charts!$B$3="none",BG189,IF(DU189="",NA(),DU189))</f>
        <v>0</v>
      </c>
      <c r="GJ22">
        <f>IF(Charts!$B$3="none",BH189,IF(DV189="",NA(),DV189))</f>
        <v>0</v>
      </c>
      <c r="GK22">
        <f>IF(Charts!$B$3="none",BI189,IF(DW189="",NA(),DW189))</f>
        <v>0</v>
      </c>
      <c r="GL22">
        <f>IF(Charts!$B$3="none",BJ189,IF(DX189="",NA(),DX189))</f>
        <v>0</v>
      </c>
      <c r="GM22">
        <f>IF(Charts!$B$3="none",BK189,IF(DY189="",NA(),DY189))</f>
        <v>0</v>
      </c>
      <c r="GN22">
        <f>IF(Charts!$B$3="none",BL189,IF(DZ189="",NA(),DZ189))</f>
        <v>0</v>
      </c>
      <c r="GO22">
        <f>IF(Charts!$B$3="none",BM189,IF(EA189="",NA(),EA189))</f>
        <v>0</v>
      </c>
      <c r="GP22">
        <f>IF(Charts!$B$3="none",BN189,IF(EB189="",NA(),EB189))</f>
        <v>0</v>
      </c>
      <c r="GQ22">
        <f>IF(Charts!$B$3="none",BO189,IF(EC189="",NA(),EC189))</f>
        <v>0</v>
      </c>
      <c r="GR22">
        <f>IF(Charts!$B$3="none",BP189,IF(ED189="",NA(),ED189))</f>
        <v>0</v>
      </c>
    </row>
    <row r="23" spans="1:200">
      <c r="D23">
        <v>19</v>
      </c>
      <c r="E23">
        <f>IF(INDIRECT(ADDRESS($D23+2,E$2+1,,,"Instances"))="","",INDIRECT(ADDRESS($D23+2,E$2+1,,,"Instances")))</f>
        <v>0</v>
      </c>
      <c r="F23">
        <f>IFERROR(SMALL(E5:E36,ROW()-ROW($F$5)+1),"")</f>
        <v>0</v>
      </c>
      <c r="H23">
        <f>IFERROR(SUM(F5:F23),"")</f>
        <v>0</v>
      </c>
      <c r="I23">
        <f>IF(INDIRECT(ADDRESS($D23+2,I$2+1,,,"Instances"))="","",INDIRECT(ADDRESS($D23+2,I$2+1,,,"Instances")))</f>
        <v>0</v>
      </c>
      <c r="J23">
        <f>IFERROR(SMALL(I5:I36,ROW()-ROW($J$5)+1),"")</f>
        <v>0</v>
      </c>
      <c r="L23">
        <f>IFERROR(SUM(J5:J23),"")</f>
        <v>0</v>
      </c>
      <c r="M23">
        <f>IF(INDIRECT(ADDRESS($D23+2,M$2+1,,,"Instances"))="","",INDIRECT(ADDRESS($D23+2,M$2+1,,,"Instances")))</f>
        <v>0</v>
      </c>
      <c r="N23">
        <f>IFERROR(SMALL(M5:M36,ROW()-ROW($N$5)+1),"")</f>
        <v>0</v>
      </c>
      <c r="P23">
        <f>IFERROR(SUM(N5:N23),"")</f>
        <v>0</v>
      </c>
      <c r="Q23">
        <f>IF(INDIRECT(ADDRESS($D23+2,Q$2+1,,,"Instances"))="","",INDIRECT(ADDRESS($D23+2,Q$2+1,,,"Instances")))</f>
        <v>0</v>
      </c>
      <c r="R23">
        <f>IFERROR(SMALL(Q5:Q36,ROW()-ROW($R$5)+1),"")</f>
        <v>0</v>
      </c>
      <c r="T23">
        <f>IFERROR(SUM(R5:R23),"")</f>
        <v>0</v>
      </c>
      <c r="U23">
        <f>IF(INDIRECT(ADDRESS($D23+2,U$2+1,,,"Instances"))="","",INDIRECT(ADDRESS($D23+2,U$2+1,,,"Instances")))</f>
        <v>0</v>
      </c>
      <c r="V23">
        <f>IFERROR(SMALL(U5:U36,ROW()-ROW($V$5)+1),"")</f>
        <v>0</v>
      </c>
      <c r="X23">
        <f>IFERROR(SUM(V5:V23),"")</f>
        <v>0</v>
      </c>
      <c r="Y23">
        <f>IF(INDIRECT(ADDRESS($D23+2,Y$2+1,,,"Instances"))="","",INDIRECT(ADDRESS($D23+2,Y$2+1,,,"Instances")))</f>
        <v>0</v>
      </c>
      <c r="Z23">
        <f>IFERROR(SMALL(Y5:Y36,ROW()-ROW($Z$5)+1),"")</f>
        <v>0</v>
      </c>
      <c r="AB23">
        <f>IFERROR(SUM(Z5:Z23),"")</f>
        <v>0</v>
      </c>
      <c r="AC23">
        <f>IF(INDIRECT(ADDRESS($D23+2,AC$2+1,,,"Instances"))="","",INDIRECT(ADDRESS($D23+2,AC$2+1,,,"Instances")))</f>
        <v>0</v>
      </c>
      <c r="AD23">
        <f>IFERROR(SMALL(AC5:AC36,ROW()-ROW($AD$5)+1),"")</f>
        <v>0</v>
      </c>
      <c r="AF23">
        <f>IFERROR(SUM(AD5:AD23),"")</f>
        <v>0</v>
      </c>
      <c r="AG23">
        <f>IF(INDIRECT(ADDRESS($D23+2,AG$2+1,,,"Instances"))="","",INDIRECT(ADDRESS($D23+2,AG$2+1,,,"Instances")))</f>
        <v>0</v>
      </c>
      <c r="AH23">
        <f>IFERROR(SMALL(AG5:AG36,ROW()-ROW($AH$5)+1),"")</f>
        <v>0</v>
      </c>
      <c r="AJ23">
        <f>IFERROR(SUM(AH5:AH23),"")</f>
        <v>0</v>
      </c>
      <c r="AK23">
        <f>IF(INDIRECT(ADDRESS($D23+2,AK$2+1,,,"Instances"))="","",INDIRECT(ADDRESS($D23+2,AK$2+1,,,"Instances")))</f>
        <v>0</v>
      </c>
      <c r="AL23">
        <f>IFERROR(SMALL(AK5:AK36,ROW()-ROW($AL$5)+1),"")</f>
        <v>0</v>
      </c>
      <c r="AN23">
        <f>IFERROR(SUM(AL5:AL23),"")</f>
        <v>0</v>
      </c>
      <c r="AO23">
        <f>IF(INDIRECT(ADDRESS($D23+2,AO$2+1,,,"Instances"))="","",INDIRECT(ADDRESS($D23+2,AO$2+1,,,"Instances")))</f>
        <v>0</v>
      </c>
      <c r="AP23">
        <f>IFERROR(SMALL(AO5:AO36,ROW()-ROW($AP$5)+1),"")</f>
        <v>0</v>
      </c>
      <c r="AR23">
        <f>IFERROR(SUM(AP5:AP23),"")</f>
        <v>0</v>
      </c>
      <c r="AS23">
        <f>IF(INDIRECT(ADDRESS($D23+2,AS$2+1,,,"Instances"))="","",INDIRECT(ADDRESS($D23+2,AS$2+1,,,"Instances")))</f>
        <v>0</v>
      </c>
      <c r="AT23">
        <f>IFERROR(SMALL(AS5:AS36,ROW()-ROW($AT$5)+1),"")</f>
        <v>0</v>
      </c>
      <c r="AV23">
        <f>IFERROR(SUM(AT5:AT23),"")</f>
        <v>0</v>
      </c>
      <c r="AW23">
        <f>IF(INDIRECT(ADDRESS($D23+2,AW$2+1,,,"Instances"))="","",INDIRECT(ADDRESS($D23+2,AW$2+1,,,"Instances")))</f>
        <v>0</v>
      </c>
      <c r="AX23">
        <f>IFERROR(SMALL(AW5:AW36,ROW()-ROW($AX$5)+1),"")</f>
        <v>0</v>
      </c>
      <c r="AZ23">
        <f>IFERROR(SUM(AX5:AX23),"")</f>
        <v>0</v>
      </c>
      <c r="BA23">
        <f>IF(INDIRECT(ADDRESS($D23+2,BA$2+1,,,"Instances"))="","",INDIRECT(ADDRESS($D23+2,BA$2+1,,,"Instances")))</f>
        <v>0</v>
      </c>
      <c r="BB23">
        <f>IFERROR(SMALL(BA5:BA36,ROW()-ROW($BB$5)+1),"")</f>
        <v>0</v>
      </c>
      <c r="BD23">
        <f>IFERROR(SUM(BB5:BB23),"")</f>
        <v>0</v>
      </c>
      <c r="BE23">
        <f>IF(INDIRECT(ADDRESS($D23+2,BE$2+1,,,"Instances"))="","",INDIRECT(ADDRESS($D23+2,BE$2+1,,,"Instances")))</f>
        <v>0</v>
      </c>
      <c r="BF23">
        <f>IFERROR(SMALL(BE5:BE36,ROW()-ROW($BF$5)+1),"")</f>
        <v>0</v>
      </c>
      <c r="BH23">
        <f>IFERROR(SUM(BF5:BF23),"")</f>
        <v>0</v>
      </c>
      <c r="BI23">
        <f>IF(INDIRECT(ADDRESS($D23+2,BI$2+1,,,"Instances"))="","",INDIRECT(ADDRESS($D23+2,BI$2+1,,,"Instances")))</f>
        <v>0</v>
      </c>
      <c r="BJ23">
        <f>IFERROR(SMALL(BI5:BI36,ROW()-ROW($BJ$5)+1),"")</f>
        <v>0</v>
      </c>
      <c r="BL23">
        <f>IFERROR(SUM(BJ5:BJ23),"")</f>
        <v>0</v>
      </c>
      <c r="BM23">
        <f>IF(INDIRECT(ADDRESS($D23+2,BM$2+1,,,"Instances"))="","",INDIRECT(ADDRESS($D23+2,BM$2+1,,,"Instances")))</f>
        <v>0</v>
      </c>
      <c r="BN23">
        <f>IFERROR(SMALL(BM5:BM36,ROW()-ROW($BN$5)+1),"")</f>
        <v>0</v>
      </c>
      <c r="BP23">
        <f>IFERROR(SUM(BN5:BN23),"")</f>
        <v>0</v>
      </c>
      <c r="BR23">
        <v>19</v>
      </c>
      <c r="BS23" cm="1">
        <f t="array" ref="BS23">_xlfn.SWITCH(Charts!$B$3,"average", AVERAGE(INDIRECT(ADDRESS(18+3,BS$2+1,,,"Instances") &amp; ":" &amp; ADDRESS(18+3,BS$2+1))),"median", MEDIAN(INDIRECT(ADDRESS(18+3,BS$2+1,,,"Instances") &amp; ":" &amp; ADDRESS(18+3,BS$2+1))),"min", MIN(INDIRECT(ADDRESS(18+3,BS$2+1,,,"Instances") &amp; ":" &amp; ADDRESS(18+3,BS$2+1))),"max", MAX(INDIRECT(ADDRESS(18+3,BS$2+1,,,"Instances") &amp; ":" &amp; ADDRESS(18+3,BS$2+1))),"diff", MAX(INDIRECT(ADDRESS(18+3,BS$2+1,,,"Instances") &amp; ":" &amp; ADDRESS(18+3,BS$2+1)))-MIN(INDIRECT(ADDRESS(18+3,BS$2+1,,,"Instances") &amp; ":" &amp; ADDRESS(18+3,BS$2+1))))</f>
        <v>0</v>
      </c>
      <c r="BT23">
        <f>IFERROR(SMALL(BS5:BS36,ROW()-ROW($BT$5)+1),"")</f>
        <v>0</v>
      </c>
      <c r="BV23">
        <f>IFERROR(SUM(BT5:BT23),"")</f>
        <v>0</v>
      </c>
      <c r="BW23" cm="1">
        <f t="array" ref="BW23">_xlfn.SWITCH(Charts!$B$3,"average", AVERAGE(INDIRECT(ADDRESS(18+3,BW$2+1,,,"Instances") &amp; ":" &amp; ADDRESS(18+3,BW$2+1))),"median", MEDIAN(INDIRECT(ADDRESS(18+3,BW$2+1,,,"Instances") &amp; ":" &amp; ADDRESS(18+3,BW$2+1))),"min", MIN(INDIRECT(ADDRESS(18+3,BW$2+1,,,"Instances") &amp; ":" &amp; ADDRESS(18+3,BW$2+1))),"max", MAX(INDIRECT(ADDRESS(18+3,BW$2+1,,,"Instances") &amp; ":" &amp; ADDRESS(18+3,BW$2+1))),"diff", MAX(INDIRECT(ADDRESS(18+3,BW$2+1,,,"Instances") &amp; ":" &amp; ADDRESS(18+3,BW$2+1)))-MIN(INDIRECT(ADDRESS(18+3,BW$2+1,,,"Instances") &amp; ":" &amp; ADDRESS(18+3,BW$2+1))))</f>
        <v>0</v>
      </c>
      <c r="BX23">
        <f>IFERROR(SMALL(BW5:BW36,ROW()-ROW($BX$5)+1),"")</f>
        <v>0</v>
      </c>
      <c r="BZ23">
        <f>IFERROR(SUM(BX5:BX23),"")</f>
        <v>0</v>
      </c>
      <c r="CA23" cm="1">
        <f t="array" ref="CA23">_xlfn.SWITCH(Charts!$B$3,"average", AVERAGE(INDIRECT(ADDRESS(18+3,CA$2+1,,,"Instances") &amp; ":" &amp; ADDRESS(18+3,CA$2+1))),"median", MEDIAN(INDIRECT(ADDRESS(18+3,CA$2+1,,,"Instances") &amp; ":" &amp; ADDRESS(18+3,CA$2+1))),"min", MIN(INDIRECT(ADDRESS(18+3,CA$2+1,,,"Instances") &amp; ":" &amp; ADDRESS(18+3,CA$2+1))),"max", MAX(INDIRECT(ADDRESS(18+3,CA$2+1,,,"Instances") &amp; ":" &amp; ADDRESS(18+3,CA$2+1))),"diff", MAX(INDIRECT(ADDRESS(18+3,CA$2+1,,,"Instances") &amp; ":" &amp; ADDRESS(18+3,CA$2+1)))-MIN(INDIRECT(ADDRESS(18+3,CA$2+1,,,"Instances") &amp; ":" &amp; ADDRESS(18+3,CA$2+1))))</f>
        <v>0</v>
      </c>
      <c r="CB23">
        <f>IFERROR(SMALL(CA5:CA36,ROW()-ROW($CB$5)+1),"")</f>
        <v>0</v>
      </c>
      <c r="CD23">
        <f>IFERROR(SUM(CB5:CB23),"")</f>
        <v>0</v>
      </c>
      <c r="CE23" cm="1">
        <f t="array" ref="CE23">_xlfn.SWITCH(Charts!$B$3,"average", AVERAGE(INDIRECT(ADDRESS(18+3,CE$2+1,,,"Instances") &amp; ":" &amp; ADDRESS(18+3,CE$2+1))),"median", MEDIAN(INDIRECT(ADDRESS(18+3,CE$2+1,,,"Instances") &amp; ":" &amp; ADDRESS(18+3,CE$2+1))),"min", MIN(INDIRECT(ADDRESS(18+3,CE$2+1,,,"Instances") &amp; ":" &amp; ADDRESS(18+3,CE$2+1))),"max", MAX(INDIRECT(ADDRESS(18+3,CE$2+1,,,"Instances") &amp; ":" &amp; ADDRESS(18+3,CE$2+1))),"diff", MAX(INDIRECT(ADDRESS(18+3,CE$2+1,,,"Instances") &amp; ":" &amp; ADDRESS(18+3,CE$2+1)))-MIN(INDIRECT(ADDRESS(18+3,CE$2+1,,,"Instances") &amp; ":" &amp; ADDRESS(18+3,CE$2+1))))</f>
        <v>0</v>
      </c>
      <c r="CF23">
        <f>IFERROR(SMALL(CE5:CE36,ROW()-ROW($CF$5)+1),"")</f>
        <v>0</v>
      </c>
      <c r="CH23">
        <f>IFERROR(SUM(CF5:CF23),"")</f>
        <v>0</v>
      </c>
      <c r="CI23" cm="1">
        <f t="array" ref="CI23">_xlfn.SWITCH(Charts!$B$3,"average", AVERAGE(INDIRECT(ADDRESS(18+3,CI$2+1,,,"Instances") &amp; ":" &amp; ADDRESS(18+3,CI$2+1))),"median", MEDIAN(INDIRECT(ADDRESS(18+3,CI$2+1,,,"Instances") &amp; ":" &amp; ADDRESS(18+3,CI$2+1))),"min", MIN(INDIRECT(ADDRESS(18+3,CI$2+1,,,"Instances") &amp; ":" &amp; ADDRESS(18+3,CI$2+1))),"max", MAX(INDIRECT(ADDRESS(18+3,CI$2+1,,,"Instances") &amp; ":" &amp; ADDRESS(18+3,CI$2+1))),"diff", MAX(INDIRECT(ADDRESS(18+3,CI$2+1,,,"Instances") &amp; ":" &amp; ADDRESS(18+3,CI$2+1)))-MIN(INDIRECT(ADDRESS(18+3,CI$2+1,,,"Instances") &amp; ":" &amp; ADDRESS(18+3,CI$2+1))))</f>
        <v>0</v>
      </c>
      <c r="CJ23">
        <f>IFERROR(SMALL(CI5:CI36,ROW()-ROW($CJ$5)+1),"")</f>
        <v>0</v>
      </c>
      <c r="CL23">
        <f>IFERROR(SUM(CJ5:CJ23),"")</f>
        <v>0</v>
      </c>
      <c r="CM23" cm="1">
        <f t="array" ref="CM23">_xlfn.SWITCH(Charts!$B$3,"average", AVERAGE(INDIRECT(ADDRESS(18+3,CM$2+1,,,"Instances") &amp; ":" &amp; ADDRESS(18+3,CM$2+1))),"median", MEDIAN(INDIRECT(ADDRESS(18+3,CM$2+1,,,"Instances") &amp; ":" &amp; ADDRESS(18+3,CM$2+1))),"min", MIN(INDIRECT(ADDRESS(18+3,CM$2+1,,,"Instances") &amp; ":" &amp; ADDRESS(18+3,CM$2+1))),"max", MAX(INDIRECT(ADDRESS(18+3,CM$2+1,,,"Instances") &amp; ":" &amp; ADDRESS(18+3,CM$2+1))),"diff", MAX(INDIRECT(ADDRESS(18+3,CM$2+1,,,"Instances") &amp; ":" &amp; ADDRESS(18+3,CM$2+1)))-MIN(INDIRECT(ADDRESS(18+3,CM$2+1,,,"Instances") &amp; ":" &amp; ADDRESS(18+3,CM$2+1))))</f>
        <v>0</v>
      </c>
      <c r="CN23">
        <f>IFERROR(SMALL(CM5:CM36,ROW()-ROW($CN$5)+1),"")</f>
        <v>0</v>
      </c>
      <c r="CP23">
        <f>IFERROR(SUM(CN5:CN23),"")</f>
        <v>0</v>
      </c>
      <c r="CQ23" cm="1">
        <f t="array" ref="CQ23">_xlfn.SWITCH(Charts!$B$3,"average", AVERAGE(INDIRECT(ADDRESS(18+3,CQ$2+1,,,"Instances") &amp; ":" &amp; ADDRESS(18+3,CQ$2+1))),"median", MEDIAN(INDIRECT(ADDRESS(18+3,CQ$2+1,,,"Instances") &amp; ":" &amp; ADDRESS(18+3,CQ$2+1))),"min", MIN(INDIRECT(ADDRESS(18+3,CQ$2+1,,,"Instances") &amp; ":" &amp; ADDRESS(18+3,CQ$2+1))),"max", MAX(INDIRECT(ADDRESS(18+3,CQ$2+1,,,"Instances") &amp; ":" &amp; ADDRESS(18+3,CQ$2+1))),"diff", MAX(INDIRECT(ADDRESS(18+3,CQ$2+1,,,"Instances") &amp; ":" &amp; ADDRESS(18+3,CQ$2+1)))-MIN(INDIRECT(ADDRESS(18+3,CQ$2+1,,,"Instances") &amp; ":" &amp; ADDRESS(18+3,CQ$2+1))))</f>
        <v>0</v>
      </c>
      <c r="CR23">
        <f>IFERROR(SMALL(CQ5:CQ36,ROW()-ROW($CR$5)+1),"")</f>
        <v>0</v>
      </c>
      <c r="CT23">
        <f>IFERROR(SUM(CR5:CR23),"")</f>
        <v>0</v>
      </c>
      <c r="CU23" cm="1">
        <f t="array" ref="CU23">_xlfn.SWITCH(Charts!$B$3,"average", AVERAGE(INDIRECT(ADDRESS(18+3,CU$2+1,,,"Instances") &amp; ":" &amp; ADDRESS(18+3,CU$2+1))),"median", MEDIAN(INDIRECT(ADDRESS(18+3,CU$2+1,,,"Instances") &amp; ":" &amp; ADDRESS(18+3,CU$2+1))),"min", MIN(INDIRECT(ADDRESS(18+3,CU$2+1,,,"Instances") &amp; ":" &amp; ADDRESS(18+3,CU$2+1))),"max", MAX(INDIRECT(ADDRESS(18+3,CU$2+1,,,"Instances") &amp; ":" &amp; ADDRESS(18+3,CU$2+1))),"diff", MAX(INDIRECT(ADDRESS(18+3,CU$2+1,,,"Instances") &amp; ":" &amp; ADDRESS(18+3,CU$2+1)))-MIN(INDIRECT(ADDRESS(18+3,CU$2+1,,,"Instances") &amp; ":" &amp; ADDRESS(18+3,CU$2+1))))</f>
        <v>0</v>
      </c>
      <c r="CV23">
        <f>IFERROR(SMALL(CU5:CU36,ROW()-ROW($CV$5)+1),"")</f>
        <v>0</v>
      </c>
      <c r="CX23">
        <f>IFERROR(SUM(CV5:CV23),"")</f>
        <v>0</v>
      </c>
      <c r="CY23" cm="1">
        <f t="array" ref="CY23">_xlfn.SWITCH(Charts!$B$3,"average", AVERAGE(INDIRECT(ADDRESS(18+3,CY$2+1,,,"Instances") &amp; ":" &amp; ADDRESS(18+3,CY$2+1))),"median", MEDIAN(INDIRECT(ADDRESS(18+3,CY$2+1,,,"Instances") &amp; ":" &amp; ADDRESS(18+3,CY$2+1))),"min", MIN(INDIRECT(ADDRESS(18+3,CY$2+1,,,"Instances") &amp; ":" &amp; ADDRESS(18+3,CY$2+1))),"max", MAX(INDIRECT(ADDRESS(18+3,CY$2+1,,,"Instances") &amp; ":" &amp; ADDRESS(18+3,CY$2+1))),"diff", MAX(INDIRECT(ADDRESS(18+3,CY$2+1,,,"Instances") &amp; ":" &amp; ADDRESS(18+3,CY$2+1)))-MIN(INDIRECT(ADDRESS(18+3,CY$2+1,,,"Instances") &amp; ":" &amp; ADDRESS(18+3,CY$2+1))))</f>
        <v>0</v>
      </c>
      <c r="CZ23">
        <f>IFERROR(SMALL(CY5:CY36,ROW()-ROW($CZ$5)+1),"")</f>
        <v>0</v>
      </c>
      <c r="DB23">
        <f>IFERROR(SUM(CZ5:CZ23),"")</f>
        <v>0</v>
      </c>
      <c r="DC23" cm="1">
        <f t="array" ref="DC23">_xlfn.SWITCH(Charts!$B$3,"average", AVERAGE(INDIRECT(ADDRESS(18+3,DC$2+1,,,"Instances") &amp; ":" &amp; ADDRESS(18+3,DC$2+1))),"median", MEDIAN(INDIRECT(ADDRESS(18+3,DC$2+1,,,"Instances") &amp; ":" &amp; ADDRESS(18+3,DC$2+1))),"min", MIN(INDIRECT(ADDRESS(18+3,DC$2+1,,,"Instances") &amp; ":" &amp; ADDRESS(18+3,DC$2+1))),"max", MAX(INDIRECT(ADDRESS(18+3,DC$2+1,,,"Instances") &amp; ":" &amp; ADDRESS(18+3,DC$2+1))),"diff", MAX(INDIRECT(ADDRESS(18+3,DC$2+1,,,"Instances") &amp; ":" &amp; ADDRESS(18+3,DC$2+1)))-MIN(INDIRECT(ADDRESS(18+3,DC$2+1,,,"Instances") &amp; ":" &amp; ADDRESS(18+3,DC$2+1))))</f>
        <v>0</v>
      </c>
      <c r="DD23">
        <f>IFERROR(SMALL(DC5:DC36,ROW()-ROW($DD$5)+1),"")</f>
        <v>0</v>
      </c>
      <c r="DF23">
        <f>IFERROR(SUM(DD5:DD23),"")</f>
        <v>0</v>
      </c>
      <c r="DG23" cm="1">
        <f t="array" ref="DG23">_xlfn.SWITCH(Charts!$B$3,"average", AVERAGE(INDIRECT(ADDRESS(18+3,DG$2+1,,,"Instances") &amp; ":" &amp; ADDRESS(18+3,DG$2+1))),"median", MEDIAN(INDIRECT(ADDRESS(18+3,DG$2+1,,,"Instances") &amp; ":" &amp; ADDRESS(18+3,DG$2+1))),"min", MIN(INDIRECT(ADDRESS(18+3,DG$2+1,,,"Instances") &amp; ":" &amp; ADDRESS(18+3,DG$2+1))),"max", MAX(INDIRECT(ADDRESS(18+3,DG$2+1,,,"Instances") &amp; ":" &amp; ADDRESS(18+3,DG$2+1))),"diff", MAX(INDIRECT(ADDRESS(18+3,DG$2+1,,,"Instances") &amp; ":" &amp; ADDRESS(18+3,DG$2+1)))-MIN(INDIRECT(ADDRESS(18+3,DG$2+1,,,"Instances") &amp; ":" &amp; ADDRESS(18+3,DG$2+1))))</f>
        <v>0</v>
      </c>
      <c r="DH23">
        <f>IFERROR(SMALL(DG5:DG36,ROW()-ROW($DH$5)+1),"")</f>
        <v>0</v>
      </c>
      <c r="DJ23">
        <f>IFERROR(SUM(DH5:DH23),"")</f>
        <v>0</v>
      </c>
      <c r="DK23" cm="1">
        <f t="array" ref="DK23">_xlfn.SWITCH(Charts!$B$3,"average", AVERAGE(INDIRECT(ADDRESS(18+3,DK$2+1,,,"Instances") &amp; ":" &amp; ADDRESS(18+3,DK$2+1))),"median", MEDIAN(INDIRECT(ADDRESS(18+3,DK$2+1,,,"Instances") &amp; ":" &amp; ADDRESS(18+3,DK$2+1))),"min", MIN(INDIRECT(ADDRESS(18+3,DK$2+1,,,"Instances") &amp; ":" &amp; ADDRESS(18+3,DK$2+1))),"max", MAX(INDIRECT(ADDRESS(18+3,DK$2+1,,,"Instances") &amp; ":" &amp; ADDRESS(18+3,DK$2+1))),"diff", MAX(INDIRECT(ADDRESS(18+3,DK$2+1,,,"Instances") &amp; ":" &amp; ADDRESS(18+3,DK$2+1)))-MIN(INDIRECT(ADDRESS(18+3,DK$2+1,,,"Instances") &amp; ":" &amp; ADDRESS(18+3,DK$2+1))))</f>
        <v>0</v>
      </c>
      <c r="DL23">
        <f>IFERROR(SMALL(DK5:DK36,ROW()-ROW($DL$5)+1),"")</f>
        <v>0</v>
      </c>
      <c r="DN23">
        <f>IFERROR(SUM(DL5:DL23),"")</f>
        <v>0</v>
      </c>
      <c r="DO23" cm="1">
        <f t="array" ref="DO23">_xlfn.SWITCH(Charts!$B$3,"average", AVERAGE(INDIRECT(ADDRESS(18+3,DO$2+1,,,"Instances") &amp; ":" &amp; ADDRESS(18+3,DO$2+1))),"median", MEDIAN(INDIRECT(ADDRESS(18+3,DO$2+1,,,"Instances") &amp; ":" &amp; ADDRESS(18+3,DO$2+1))),"min", MIN(INDIRECT(ADDRESS(18+3,DO$2+1,,,"Instances") &amp; ":" &amp; ADDRESS(18+3,DO$2+1))),"max", MAX(INDIRECT(ADDRESS(18+3,DO$2+1,,,"Instances") &amp; ":" &amp; ADDRESS(18+3,DO$2+1))),"diff", MAX(INDIRECT(ADDRESS(18+3,DO$2+1,,,"Instances") &amp; ":" &amp; ADDRESS(18+3,DO$2+1)))-MIN(INDIRECT(ADDRESS(18+3,DO$2+1,,,"Instances") &amp; ":" &amp; ADDRESS(18+3,DO$2+1))))</f>
        <v>0</v>
      </c>
      <c r="DP23">
        <f>IFERROR(SMALL(DO5:DO36,ROW()-ROW($DP$5)+1),"")</f>
        <v>0</v>
      </c>
      <c r="DR23">
        <f>IFERROR(SUM(DP5:DP23),"")</f>
        <v>0</v>
      </c>
      <c r="DS23" cm="1">
        <f t="array" ref="DS23">_xlfn.SWITCH(Charts!$B$3,"average", AVERAGE(INDIRECT(ADDRESS(18+3,DS$2+1,,,"Instances") &amp; ":" &amp; ADDRESS(18+3,DS$2+1))),"median", MEDIAN(INDIRECT(ADDRESS(18+3,DS$2+1,,,"Instances") &amp; ":" &amp; ADDRESS(18+3,DS$2+1))),"min", MIN(INDIRECT(ADDRESS(18+3,DS$2+1,,,"Instances") &amp; ":" &amp; ADDRESS(18+3,DS$2+1))),"max", MAX(INDIRECT(ADDRESS(18+3,DS$2+1,,,"Instances") &amp; ":" &amp; ADDRESS(18+3,DS$2+1))),"diff", MAX(INDIRECT(ADDRESS(18+3,DS$2+1,,,"Instances") &amp; ":" &amp; ADDRESS(18+3,DS$2+1)))-MIN(INDIRECT(ADDRESS(18+3,DS$2+1,,,"Instances") &amp; ":" &amp; ADDRESS(18+3,DS$2+1))))</f>
        <v>0</v>
      </c>
      <c r="DT23">
        <f>IFERROR(SMALL(DS5:DS36,ROW()-ROW($DT$5)+1),"")</f>
        <v>0</v>
      </c>
      <c r="DV23">
        <f>IFERROR(SUM(DT5:DT23),"")</f>
        <v>0</v>
      </c>
      <c r="DW23" cm="1">
        <f t="array" ref="DW23">_xlfn.SWITCH(Charts!$B$3,"average", AVERAGE(INDIRECT(ADDRESS(18+3,DW$2+1,,,"Instances") &amp; ":" &amp; ADDRESS(18+3,DW$2+1))),"median", MEDIAN(INDIRECT(ADDRESS(18+3,DW$2+1,,,"Instances") &amp; ":" &amp; ADDRESS(18+3,DW$2+1))),"min", MIN(INDIRECT(ADDRESS(18+3,DW$2+1,,,"Instances") &amp; ":" &amp; ADDRESS(18+3,DW$2+1))),"max", MAX(INDIRECT(ADDRESS(18+3,DW$2+1,,,"Instances") &amp; ":" &amp; ADDRESS(18+3,DW$2+1))),"diff", MAX(INDIRECT(ADDRESS(18+3,DW$2+1,,,"Instances") &amp; ":" &amp; ADDRESS(18+3,DW$2+1)))-MIN(INDIRECT(ADDRESS(18+3,DW$2+1,,,"Instances") &amp; ":" &amp; ADDRESS(18+3,DW$2+1))))</f>
        <v>0</v>
      </c>
      <c r="DX23">
        <f>IFERROR(SMALL(DW5:DW36,ROW()-ROW($DX$5)+1),"")</f>
        <v>0</v>
      </c>
      <c r="DZ23">
        <f>IFERROR(SUM(DX5:DX23),"")</f>
        <v>0</v>
      </c>
      <c r="EA23" cm="1">
        <f t="array" ref="EA23">_xlfn.SWITCH(Charts!$B$3,"average", AVERAGE(INDIRECT(ADDRESS(18+3,EA$2+1,,,"Instances") &amp; ":" &amp; ADDRESS(18+3,EA$2+1))),"median", MEDIAN(INDIRECT(ADDRESS(18+3,EA$2+1,,,"Instances") &amp; ":" &amp; ADDRESS(18+3,EA$2+1))),"min", MIN(INDIRECT(ADDRESS(18+3,EA$2+1,,,"Instances") &amp; ":" &amp; ADDRESS(18+3,EA$2+1))),"max", MAX(INDIRECT(ADDRESS(18+3,EA$2+1,,,"Instances") &amp; ":" &amp; ADDRESS(18+3,EA$2+1))),"diff", MAX(INDIRECT(ADDRESS(18+3,EA$2+1,,,"Instances") &amp; ":" &amp; ADDRESS(18+3,EA$2+1)))-MIN(INDIRECT(ADDRESS(18+3,EA$2+1,,,"Instances") &amp; ":" &amp; ADDRESS(18+3,EA$2+1))))</f>
        <v>0</v>
      </c>
      <c r="EB23">
        <f>IFERROR(SMALL(EA5:EA36,ROW()-ROW($EB$5)+1),"")</f>
        <v>0</v>
      </c>
      <c r="ED23">
        <f>IFERROR(SUM(EB5:EB23),"")</f>
        <v>0</v>
      </c>
      <c r="EG23">
        <f>IF(Charts!$B$3="none",E190,IF(BS190="",NA(),BS190))</f>
        <v>0</v>
      </c>
      <c r="EH23">
        <f>IF(Charts!$B$3="none",F190,IF(BT190="",NA(),BT190))</f>
        <v>0</v>
      </c>
      <c r="EI23">
        <f>IF(Charts!$B$3="none",G190,IF(BU190="",NA(),BU190))</f>
        <v>0</v>
      </c>
      <c r="EJ23">
        <f>IF(Charts!$B$3="none",H190,IF(BV190="",NA(),BV190))</f>
        <v>0</v>
      </c>
      <c r="EK23">
        <f>IF(Charts!$B$3="none",I190,IF(BW190="",NA(),BW190))</f>
        <v>0</v>
      </c>
      <c r="EL23">
        <f>IF(Charts!$B$3="none",J190,IF(BX190="",NA(),BX190))</f>
        <v>0</v>
      </c>
      <c r="EM23">
        <f>IF(Charts!$B$3="none",K190,IF(BY190="",NA(),BY190))</f>
        <v>0</v>
      </c>
      <c r="EN23">
        <f>IF(Charts!$B$3="none",L190,IF(BZ190="",NA(),BZ190))</f>
        <v>0</v>
      </c>
      <c r="EO23">
        <f>IF(Charts!$B$3="none",M190,IF(CA190="",NA(),CA190))</f>
        <v>0</v>
      </c>
      <c r="EP23">
        <f>IF(Charts!$B$3="none",N190,IF(CB190="",NA(),CB190))</f>
        <v>0</v>
      </c>
      <c r="EQ23">
        <f>IF(Charts!$B$3="none",O190,IF(CC190="",NA(),CC190))</f>
        <v>0</v>
      </c>
      <c r="ER23">
        <f>IF(Charts!$B$3="none",P190,IF(CD190="",NA(),CD190))</f>
        <v>0</v>
      </c>
      <c r="ES23">
        <f>IF(Charts!$B$3="none",Q190,IF(CE190="",NA(),CE190))</f>
        <v>0</v>
      </c>
      <c r="ET23">
        <f>IF(Charts!$B$3="none",R190,IF(CF190="",NA(),CF190))</f>
        <v>0</v>
      </c>
      <c r="EU23">
        <f>IF(Charts!$B$3="none",S190,IF(CG190="",NA(),CG190))</f>
        <v>0</v>
      </c>
      <c r="EV23">
        <f>IF(Charts!$B$3="none",T190,IF(CH190="",NA(),CH190))</f>
        <v>0</v>
      </c>
      <c r="EW23">
        <f>IF(Charts!$B$3="none",U190,IF(CI190="",NA(),CI190))</f>
        <v>0</v>
      </c>
      <c r="EX23">
        <f>IF(Charts!$B$3="none",V190,IF(CJ190="",NA(),CJ190))</f>
        <v>0</v>
      </c>
      <c r="EY23">
        <f>IF(Charts!$B$3="none",W190,IF(CK190="",NA(),CK190))</f>
        <v>0</v>
      </c>
      <c r="EZ23">
        <f>IF(Charts!$B$3="none",X190,IF(CL190="",NA(),CL190))</f>
        <v>0</v>
      </c>
      <c r="FA23">
        <f>IF(Charts!$B$3="none",Y190,IF(CM190="",NA(),CM190))</f>
        <v>0</v>
      </c>
      <c r="FB23">
        <f>IF(Charts!$B$3="none",Z190,IF(CN190="",NA(),CN190))</f>
        <v>0</v>
      </c>
      <c r="FC23">
        <f>IF(Charts!$B$3="none",AA190,IF(CO190="",NA(),CO190))</f>
        <v>0</v>
      </c>
      <c r="FD23">
        <f>IF(Charts!$B$3="none",AB190,IF(CP190="",NA(),CP190))</f>
        <v>0</v>
      </c>
      <c r="FE23">
        <f>IF(Charts!$B$3="none",AC190,IF(CQ190="",NA(),CQ190))</f>
        <v>0</v>
      </c>
      <c r="FF23">
        <f>IF(Charts!$B$3="none",AD190,IF(CR190="",NA(),CR190))</f>
        <v>0</v>
      </c>
      <c r="FG23">
        <f>IF(Charts!$B$3="none",AE190,IF(CS190="",NA(),CS190))</f>
        <v>0</v>
      </c>
      <c r="FH23">
        <f>IF(Charts!$B$3="none",AF190,IF(CT190="",NA(),CT190))</f>
        <v>0</v>
      </c>
      <c r="FI23">
        <f>IF(Charts!$B$3="none",AG190,IF(CU190="",NA(),CU190))</f>
        <v>0</v>
      </c>
      <c r="FJ23">
        <f>IF(Charts!$B$3="none",AH190,IF(CV190="",NA(),CV190))</f>
        <v>0</v>
      </c>
      <c r="FK23">
        <f>IF(Charts!$B$3="none",AI190,IF(CW190="",NA(),CW190))</f>
        <v>0</v>
      </c>
      <c r="FL23">
        <f>IF(Charts!$B$3="none",AJ190,IF(CX190="",NA(),CX190))</f>
        <v>0</v>
      </c>
      <c r="FM23">
        <f>IF(Charts!$B$3="none",AK190,IF(CY190="",NA(),CY190))</f>
        <v>0</v>
      </c>
      <c r="FN23">
        <f>IF(Charts!$B$3="none",AL190,IF(CZ190="",NA(),CZ190))</f>
        <v>0</v>
      </c>
      <c r="FO23">
        <f>IF(Charts!$B$3="none",AM190,IF(DA190="",NA(),DA190))</f>
        <v>0</v>
      </c>
      <c r="FP23">
        <f>IF(Charts!$B$3="none",AN190,IF(DB190="",NA(),DB190))</f>
        <v>0</v>
      </c>
      <c r="FQ23">
        <f>IF(Charts!$B$3="none",AO190,IF(DC190="",NA(),DC190))</f>
        <v>0</v>
      </c>
      <c r="FR23">
        <f>IF(Charts!$B$3="none",AP190,IF(DD190="",NA(),DD190))</f>
        <v>0</v>
      </c>
      <c r="FS23">
        <f>IF(Charts!$B$3="none",AQ190,IF(DE190="",NA(),DE190))</f>
        <v>0</v>
      </c>
      <c r="FT23">
        <f>IF(Charts!$B$3="none",AR190,IF(DF190="",NA(),DF190))</f>
        <v>0</v>
      </c>
      <c r="FU23">
        <f>IF(Charts!$B$3="none",AS190,IF(DG190="",NA(),DG190))</f>
        <v>0</v>
      </c>
      <c r="FV23">
        <f>IF(Charts!$B$3="none",AT190,IF(DH190="",NA(),DH190))</f>
        <v>0</v>
      </c>
      <c r="FW23">
        <f>IF(Charts!$B$3="none",AU190,IF(DI190="",NA(),DI190))</f>
        <v>0</v>
      </c>
      <c r="FX23">
        <f>IF(Charts!$B$3="none",AV190,IF(DJ190="",NA(),DJ190))</f>
        <v>0</v>
      </c>
      <c r="FY23">
        <f>IF(Charts!$B$3="none",AW190,IF(DK190="",NA(),DK190))</f>
        <v>0</v>
      </c>
      <c r="FZ23">
        <f>IF(Charts!$B$3="none",AX190,IF(DL190="",NA(),DL190))</f>
        <v>0</v>
      </c>
      <c r="GA23">
        <f>IF(Charts!$B$3="none",AY190,IF(DM190="",NA(),DM190))</f>
        <v>0</v>
      </c>
      <c r="GB23">
        <f>IF(Charts!$B$3="none",AZ190,IF(DN190="",NA(),DN190))</f>
        <v>0</v>
      </c>
      <c r="GC23">
        <f>IF(Charts!$B$3="none",BA190,IF(DO190="",NA(),DO190))</f>
        <v>0</v>
      </c>
      <c r="GD23">
        <f>IF(Charts!$B$3="none",BB190,IF(DP190="",NA(),DP190))</f>
        <v>0</v>
      </c>
      <c r="GE23">
        <f>IF(Charts!$B$3="none",BC190,IF(DQ190="",NA(),DQ190))</f>
        <v>0</v>
      </c>
      <c r="GF23">
        <f>IF(Charts!$B$3="none",BD190,IF(DR190="",NA(),DR190))</f>
        <v>0</v>
      </c>
      <c r="GG23">
        <f>IF(Charts!$B$3="none",BE190,IF(DS190="",NA(),DS190))</f>
        <v>0</v>
      </c>
      <c r="GH23">
        <f>IF(Charts!$B$3="none",BF190,IF(DT190="",NA(),DT190))</f>
        <v>0</v>
      </c>
      <c r="GI23">
        <f>IF(Charts!$B$3="none",BG190,IF(DU190="",NA(),DU190))</f>
        <v>0</v>
      </c>
      <c r="GJ23">
        <f>IF(Charts!$B$3="none",BH190,IF(DV190="",NA(),DV190))</f>
        <v>0</v>
      </c>
      <c r="GK23">
        <f>IF(Charts!$B$3="none",BI190,IF(DW190="",NA(),DW190))</f>
        <v>0</v>
      </c>
      <c r="GL23">
        <f>IF(Charts!$B$3="none",BJ190,IF(DX190="",NA(),DX190))</f>
        <v>0</v>
      </c>
      <c r="GM23">
        <f>IF(Charts!$B$3="none",BK190,IF(DY190="",NA(),DY190))</f>
        <v>0</v>
      </c>
      <c r="GN23">
        <f>IF(Charts!$B$3="none",BL190,IF(DZ190="",NA(),DZ190))</f>
        <v>0</v>
      </c>
      <c r="GO23">
        <f>IF(Charts!$B$3="none",BM190,IF(EA190="",NA(),EA190))</f>
        <v>0</v>
      </c>
      <c r="GP23">
        <f>IF(Charts!$B$3="none",BN190,IF(EB190="",NA(),EB190))</f>
        <v>0</v>
      </c>
      <c r="GQ23">
        <f>IF(Charts!$B$3="none",BO190,IF(EC190="",NA(),EC190))</f>
        <v>0</v>
      </c>
      <c r="GR23">
        <f>IF(Charts!$B$3="none",BP190,IF(ED190="",NA(),ED190))</f>
        <v>0</v>
      </c>
    </row>
    <row r="24" spans="1:200">
      <c r="D24">
        <v>20</v>
      </c>
      <c r="E24">
        <f>IF(INDIRECT(ADDRESS($D24+2,E$2+1,,,"Instances"))="","",INDIRECT(ADDRESS($D24+2,E$2+1,,,"Instances")))</f>
        <v>0</v>
      </c>
      <c r="F24">
        <f>IFERROR(SMALL(E5:E36,ROW()-ROW($F$5)+1),"")</f>
        <v>0</v>
      </c>
      <c r="H24">
        <f>IFERROR(SUM(F5:F24),"")</f>
        <v>0</v>
      </c>
      <c r="I24">
        <f>IF(INDIRECT(ADDRESS($D24+2,I$2+1,,,"Instances"))="","",INDIRECT(ADDRESS($D24+2,I$2+1,,,"Instances")))</f>
        <v>0</v>
      </c>
      <c r="J24">
        <f>IFERROR(SMALL(I5:I36,ROW()-ROW($J$5)+1),"")</f>
        <v>0</v>
      </c>
      <c r="L24">
        <f>IFERROR(SUM(J5:J24),"")</f>
        <v>0</v>
      </c>
      <c r="M24">
        <f>IF(INDIRECT(ADDRESS($D24+2,M$2+1,,,"Instances"))="","",INDIRECT(ADDRESS($D24+2,M$2+1,,,"Instances")))</f>
        <v>0</v>
      </c>
      <c r="N24">
        <f>IFERROR(SMALL(M5:M36,ROW()-ROW($N$5)+1),"")</f>
        <v>0</v>
      </c>
      <c r="P24">
        <f>IFERROR(SUM(N5:N24),"")</f>
        <v>0</v>
      </c>
      <c r="Q24">
        <f>IF(INDIRECT(ADDRESS($D24+2,Q$2+1,,,"Instances"))="","",INDIRECT(ADDRESS($D24+2,Q$2+1,,,"Instances")))</f>
        <v>0</v>
      </c>
      <c r="R24">
        <f>IFERROR(SMALL(Q5:Q36,ROW()-ROW($R$5)+1),"")</f>
        <v>0</v>
      </c>
      <c r="T24">
        <f>IFERROR(SUM(R5:R24),"")</f>
        <v>0</v>
      </c>
      <c r="U24">
        <f>IF(INDIRECT(ADDRESS($D24+2,U$2+1,,,"Instances"))="","",INDIRECT(ADDRESS($D24+2,U$2+1,,,"Instances")))</f>
        <v>0</v>
      </c>
      <c r="V24">
        <f>IFERROR(SMALL(U5:U36,ROW()-ROW($V$5)+1),"")</f>
        <v>0</v>
      </c>
      <c r="X24">
        <f>IFERROR(SUM(V5:V24),"")</f>
        <v>0</v>
      </c>
      <c r="Y24">
        <f>IF(INDIRECT(ADDRESS($D24+2,Y$2+1,,,"Instances"))="","",INDIRECT(ADDRESS($D24+2,Y$2+1,,,"Instances")))</f>
        <v>0</v>
      </c>
      <c r="Z24">
        <f>IFERROR(SMALL(Y5:Y36,ROW()-ROW($Z$5)+1),"")</f>
        <v>0</v>
      </c>
      <c r="AB24">
        <f>IFERROR(SUM(Z5:Z24),"")</f>
        <v>0</v>
      </c>
      <c r="AC24">
        <f>IF(INDIRECT(ADDRESS($D24+2,AC$2+1,,,"Instances"))="","",INDIRECT(ADDRESS($D24+2,AC$2+1,,,"Instances")))</f>
        <v>0</v>
      </c>
      <c r="AD24">
        <f>IFERROR(SMALL(AC5:AC36,ROW()-ROW($AD$5)+1),"")</f>
        <v>0</v>
      </c>
      <c r="AF24">
        <f>IFERROR(SUM(AD5:AD24),"")</f>
        <v>0</v>
      </c>
      <c r="AG24">
        <f>IF(INDIRECT(ADDRESS($D24+2,AG$2+1,,,"Instances"))="","",INDIRECT(ADDRESS($D24+2,AG$2+1,,,"Instances")))</f>
        <v>0</v>
      </c>
      <c r="AH24">
        <f>IFERROR(SMALL(AG5:AG36,ROW()-ROW($AH$5)+1),"")</f>
        <v>0</v>
      </c>
      <c r="AJ24">
        <f>IFERROR(SUM(AH5:AH24),"")</f>
        <v>0</v>
      </c>
      <c r="AK24">
        <f>IF(INDIRECT(ADDRESS($D24+2,AK$2+1,,,"Instances"))="","",INDIRECT(ADDRESS($D24+2,AK$2+1,,,"Instances")))</f>
        <v>0</v>
      </c>
      <c r="AL24">
        <f>IFERROR(SMALL(AK5:AK36,ROW()-ROW($AL$5)+1),"")</f>
        <v>0</v>
      </c>
      <c r="AN24">
        <f>IFERROR(SUM(AL5:AL24),"")</f>
        <v>0</v>
      </c>
      <c r="AO24">
        <f>IF(INDIRECT(ADDRESS($D24+2,AO$2+1,,,"Instances"))="","",INDIRECT(ADDRESS($D24+2,AO$2+1,,,"Instances")))</f>
        <v>0</v>
      </c>
      <c r="AP24">
        <f>IFERROR(SMALL(AO5:AO36,ROW()-ROW($AP$5)+1),"")</f>
        <v>0</v>
      </c>
      <c r="AR24">
        <f>IFERROR(SUM(AP5:AP24),"")</f>
        <v>0</v>
      </c>
      <c r="AS24">
        <f>IF(INDIRECT(ADDRESS($D24+2,AS$2+1,,,"Instances"))="","",INDIRECT(ADDRESS($D24+2,AS$2+1,,,"Instances")))</f>
        <v>0</v>
      </c>
      <c r="AT24">
        <f>IFERROR(SMALL(AS5:AS36,ROW()-ROW($AT$5)+1),"")</f>
        <v>0</v>
      </c>
      <c r="AV24">
        <f>IFERROR(SUM(AT5:AT24),"")</f>
        <v>0</v>
      </c>
      <c r="AW24">
        <f>IF(INDIRECT(ADDRESS($D24+2,AW$2+1,,,"Instances"))="","",INDIRECT(ADDRESS($D24+2,AW$2+1,,,"Instances")))</f>
        <v>0</v>
      </c>
      <c r="AX24">
        <f>IFERROR(SMALL(AW5:AW36,ROW()-ROW($AX$5)+1),"")</f>
        <v>0</v>
      </c>
      <c r="AZ24">
        <f>IFERROR(SUM(AX5:AX24),"")</f>
        <v>0</v>
      </c>
      <c r="BA24">
        <f>IF(INDIRECT(ADDRESS($D24+2,BA$2+1,,,"Instances"))="","",INDIRECT(ADDRESS($D24+2,BA$2+1,,,"Instances")))</f>
        <v>0</v>
      </c>
      <c r="BB24">
        <f>IFERROR(SMALL(BA5:BA36,ROW()-ROW($BB$5)+1),"")</f>
        <v>0</v>
      </c>
      <c r="BD24">
        <f>IFERROR(SUM(BB5:BB24),"")</f>
        <v>0</v>
      </c>
      <c r="BE24">
        <f>IF(INDIRECT(ADDRESS($D24+2,BE$2+1,,,"Instances"))="","",INDIRECT(ADDRESS($D24+2,BE$2+1,,,"Instances")))</f>
        <v>0</v>
      </c>
      <c r="BF24">
        <f>IFERROR(SMALL(BE5:BE36,ROW()-ROW($BF$5)+1),"")</f>
        <v>0</v>
      </c>
      <c r="BH24">
        <f>IFERROR(SUM(BF5:BF24),"")</f>
        <v>0</v>
      </c>
      <c r="BI24">
        <f>IF(INDIRECT(ADDRESS($D24+2,BI$2+1,,,"Instances"))="","",INDIRECT(ADDRESS($D24+2,BI$2+1,,,"Instances")))</f>
        <v>0</v>
      </c>
      <c r="BJ24">
        <f>IFERROR(SMALL(BI5:BI36,ROW()-ROW($BJ$5)+1),"")</f>
        <v>0</v>
      </c>
      <c r="BL24">
        <f>IFERROR(SUM(BJ5:BJ24),"")</f>
        <v>0</v>
      </c>
      <c r="BM24">
        <f>IF(INDIRECT(ADDRESS($D24+2,BM$2+1,,,"Instances"))="","",INDIRECT(ADDRESS($D24+2,BM$2+1,,,"Instances")))</f>
        <v>0</v>
      </c>
      <c r="BN24">
        <f>IFERROR(SMALL(BM5:BM36,ROW()-ROW($BN$5)+1),"")</f>
        <v>0</v>
      </c>
      <c r="BP24">
        <f>IFERROR(SUM(BN5:BN24),"")</f>
        <v>0</v>
      </c>
      <c r="BR24">
        <v>20</v>
      </c>
      <c r="BS24" cm="1">
        <f t="array" ref="BS24">_xlfn.SWITCH(Charts!$B$3,"average", AVERAGE(INDIRECT(ADDRESS(19+3,BS$2+1,,,"Instances") &amp; ":" &amp; ADDRESS(19+3,BS$2+1))),"median", MEDIAN(INDIRECT(ADDRESS(19+3,BS$2+1,,,"Instances") &amp; ":" &amp; ADDRESS(19+3,BS$2+1))),"min", MIN(INDIRECT(ADDRESS(19+3,BS$2+1,,,"Instances") &amp; ":" &amp; ADDRESS(19+3,BS$2+1))),"max", MAX(INDIRECT(ADDRESS(19+3,BS$2+1,,,"Instances") &amp; ":" &amp; ADDRESS(19+3,BS$2+1))),"diff", MAX(INDIRECT(ADDRESS(19+3,BS$2+1,,,"Instances") &amp; ":" &amp; ADDRESS(19+3,BS$2+1)))-MIN(INDIRECT(ADDRESS(19+3,BS$2+1,,,"Instances") &amp; ":" &amp; ADDRESS(19+3,BS$2+1))))</f>
        <v>0</v>
      </c>
      <c r="BT24">
        <f>IFERROR(SMALL(BS5:BS36,ROW()-ROW($BT$5)+1),"")</f>
        <v>0</v>
      </c>
      <c r="BV24">
        <f>IFERROR(SUM(BT5:BT24),"")</f>
        <v>0</v>
      </c>
      <c r="BW24" cm="1">
        <f t="array" ref="BW24">_xlfn.SWITCH(Charts!$B$3,"average", AVERAGE(INDIRECT(ADDRESS(19+3,BW$2+1,,,"Instances") &amp; ":" &amp; ADDRESS(19+3,BW$2+1))),"median", MEDIAN(INDIRECT(ADDRESS(19+3,BW$2+1,,,"Instances") &amp; ":" &amp; ADDRESS(19+3,BW$2+1))),"min", MIN(INDIRECT(ADDRESS(19+3,BW$2+1,,,"Instances") &amp; ":" &amp; ADDRESS(19+3,BW$2+1))),"max", MAX(INDIRECT(ADDRESS(19+3,BW$2+1,,,"Instances") &amp; ":" &amp; ADDRESS(19+3,BW$2+1))),"diff", MAX(INDIRECT(ADDRESS(19+3,BW$2+1,,,"Instances") &amp; ":" &amp; ADDRESS(19+3,BW$2+1)))-MIN(INDIRECT(ADDRESS(19+3,BW$2+1,,,"Instances") &amp; ":" &amp; ADDRESS(19+3,BW$2+1))))</f>
        <v>0</v>
      </c>
      <c r="BX24">
        <f>IFERROR(SMALL(BW5:BW36,ROW()-ROW($BX$5)+1),"")</f>
        <v>0</v>
      </c>
      <c r="BZ24">
        <f>IFERROR(SUM(BX5:BX24),"")</f>
        <v>0</v>
      </c>
      <c r="CA24" cm="1">
        <f t="array" ref="CA24">_xlfn.SWITCH(Charts!$B$3,"average", AVERAGE(INDIRECT(ADDRESS(19+3,CA$2+1,,,"Instances") &amp; ":" &amp; ADDRESS(19+3,CA$2+1))),"median", MEDIAN(INDIRECT(ADDRESS(19+3,CA$2+1,,,"Instances") &amp; ":" &amp; ADDRESS(19+3,CA$2+1))),"min", MIN(INDIRECT(ADDRESS(19+3,CA$2+1,,,"Instances") &amp; ":" &amp; ADDRESS(19+3,CA$2+1))),"max", MAX(INDIRECT(ADDRESS(19+3,CA$2+1,,,"Instances") &amp; ":" &amp; ADDRESS(19+3,CA$2+1))),"diff", MAX(INDIRECT(ADDRESS(19+3,CA$2+1,,,"Instances") &amp; ":" &amp; ADDRESS(19+3,CA$2+1)))-MIN(INDIRECT(ADDRESS(19+3,CA$2+1,,,"Instances") &amp; ":" &amp; ADDRESS(19+3,CA$2+1))))</f>
        <v>0</v>
      </c>
      <c r="CB24">
        <f>IFERROR(SMALL(CA5:CA36,ROW()-ROW($CB$5)+1),"")</f>
        <v>0</v>
      </c>
      <c r="CD24">
        <f>IFERROR(SUM(CB5:CB24),"")</f>
        <v>0</v>
      </c>
      <c r="CE24" cm="1">
        <f t="array" ref="CE24">_xlfn.SWITCH(Charts!$B$3,"average", AVERAGE(INDIRECT(ADDRESS(19+3,CE$2+1,,,"Instances") &amp; ":" &amp; ADDRESS(19+3,CE$2+1))),"median", MEDIAN(INDIRECT(ADDRESS(19+3,CE$2+1,,,"Instances") &amp; ":" &amp; ADDRESS(19+3,CE$2+1))),"min", MIN(INDIRECT(ADDRESS(19+3,CE$2+1,,,"Instances") &amp; ":" &amp; ADDRESS(19+3,CE$2+1))),"max", MAX(INDIRECT(ADDRESS(19+3,CE$2+1,,,"Instances") &amp; ":" &amp; ADDRESS(19+3,CE$2+1))),"diff", MAX(INDIRECT(ADDRESS(19+3,CE$2+1,,,"Instances") &amp; ":" &amp; ADDRESS(19+3,CE$2+1)))-MIN(INDIRECT(ADDRESS(19+3,CE$2+1,,,"Instances") &amp; ":" &amp; ADDRESS(19+3,CE$2+1))))</f>
        <v>0</v>
      </c>
      <c r="CF24">
        <f>IFERROR(SMALL(CE5:CE36,ROW()-ROW($CF$5)+1),"")</f>
        <v>0</v>
      </c>
      <c r="CH24">
        <f>IFERROR(SUM(CF5:CF24),"")</f>
        <v>0</v>
      </c>
      <c r="CI24" cm="1">
        <f t="array" ref="CI24">_xlfn.SWITCH(Charts!$B$3,"average", AVERAGE(INDIRECT(ADDRESS(19+3,CI$2+1,,,"Instances") &amp; ":" &amp; ADDRESS(19+3,CI$2+1))),"median", MEDIAN(INDIRECT(ADDRESS(19+3,CI$2+1,,,"Instances") &amp; ":" &amp; ADDRESS(19+3,CI$2+1))),"min", MIN(INDIRECT(ADDRESS(19+3,CI$2+1,,,"Instances") &amp; ":" &amp; ADDRESS(19+3,CI$2+1))),"max", MAX(INDIRECT(ADDRESS(19+3,CI$2+1,,,"Instances") &amp; ":" &amp; ADDRESS(19+3,CI$2+1))),"diff", MAX(INDIRECT(ADDRESS(19+3,CI$2+1,,,"Instances") &amp; ":" &amp; ADDRESS(19+3,CI$2+1)))-MIN(INDIRECT(ADDRESS(19+3,CI$2+1,,,"Instances") &amp; ":" &amp; ADDRESS(19+3,CI$2+1))))</f>
        <v>0</v>
      </c>
      <c r="CJ24">
        <f>IFERROR(SMALL(CI5:CI36,ROW()-ROW($CJ$5)+1),"")</f>
        <v>0</v>
      </c>
      <c r="CL24">
        <f>IFERROR(SUM(CJ5:CJ24),"")</f>
        <v>0</v>
      </c>
      <c r="CM24" cm="1">
        <f t="array" ref="CM24">_xlfn.SWITCH(Charts!$B$3,"average", AVERAGE(INDIRECT(ADDRESS(19+3,CM$2+1,,,"Instances") &amp; ":" &amp; ADDRESS(19+3,CM$2+1))),"median", MEDIAN(INDIRECT(ADDRESS(19+3,CM$2+1,,,"Instances") &amp; ":" &amp; ADDRESS(19+3,CM$2+1))),"min", MIN(INDIRECT(ADDRESS(19+3,CM$2+1,,,"Instances") &amp; ":" &amp; ADDRESS(19+3,CM$2+1))),"max", MAX(INDIRECT(ADDRESS(19+3,CM$2+1,,,"Instances") &amp; ":" &amp; ADDRESS(19+3,CM$2+1))),"diff", MAX(INDIRECT(ADDRESS(19+3,CM$2+1,,,"Instances") &amp; ":" &amp; ADDRESS(19+3,CM$2+1)))-MIN(INDIRECT(ADDRESS(19+3,CM$2+1,,,"Instances") &amp; ":" &amp; ADDRESS(19+3,CM$2+1))))</f>
        <v>0</v>
      </c>
      <c r="CN24">
        <f>IFERROR(SMALL(CM5:CM36,ROW()-ROW($CN$5)+1),"")</f>
        <v>0</v>
      </c>
      <c r="CP24">
        <f>IFERROR(SUM(CN5:CN24),"")</f>
        <v>0</v>
      </c>
      <c r="CQ24" cm="1">
        <f t="array" ref="CQ24">_xlfn.SWITCH(Charts!$B$3,"average", AVERAGE(INDIRECT(ADDRESS(19+3,CQ$2+1,,,"Instances") &amp; ":" &amp; ADDRESS(19+3,CQ$2+1))),"median", MEDIAN(INDIRECT(ADDRESS(19+3,CQ$2+1,,,"Instances") &amp; ":" &amp; ADDRESS(19+3,CQ$2+1))),"min", MIN(INDIRECT(ADDRESS(19+3,CQ$2+1,,,"Instances") &amp; ":" &amp; ADDRESS(19+3,CQ$2+1))),"max", MAX(INDIRECT(ADDRESS(19+3,CQ$2+1,,,"Instances") &amp; ":" &amp; ADDRESS(19+3,CQ$2+1))),"diff", MAX(INDIRECT(ADDRESS(19+3,CQ$2+1,,,"Instances") &amp; ":" &amp; ADDRESS(19+3,CQ$2+1)))-MIN(INDIRECT(ADDRESS(19+3,CQ$2+1,,,"Instances") &amp; ":" &amp; ADDRESS(19+3,CQ$2+1))))</f>
        <v>0</v>
      </c>
      <c r="CR24">
        <f>IFERROR(SMALL(CQ5:CQ36,ROW()-ROW($CR$5)+1),"")</f>
        <v>0</v>
      </c>
      <c r="CT24">
        <f>IFERROR(SUM(CR5:CR24),"")</f>
        <v>0</v>
      </c>
      <c r="CU24" cm="1">
        <f t="array" ref="CU24">_xlfn.SWITCH(Charts!$B$3,"average", AVERAGE(INDIRECT(ADDRESS(19+3,CU$2+1,,,"Instances") &amp; ":" &amp; ADDRESS(19+3,CU$2+1))),"median", MEDIAN(INDIRECT(ADDRESS(19+3,CU$2+1,,,"Instances") &amp; ":" &amp; ADDRESS(19+3,CU$2+1))),"min", MIN(INDIRECT(ADDRESS(19+3,CU$2+1,,,"Instances") &amp; ":" &amp; ADDRESS(19+3,CU$2+1))),"max", MAX(INDIRECT(ADDRESS(19+3,CU$2+1,,,"Instances") &amp; ":" &amp; ADDRESS(19+3,CU$2+1))),"diff", MAX(INDIRECT(ADDRESS(19+3,CU$2+1,,,"Instances") &amp; ":" &amp; ADDRESS(19+3,CU$2+1)))-MIN(INDIRECT(ADDRESS(19+3,CU$2+1,,,"Instances") &amp; ":" &amp; ADDRESS(19+3,CU$2+1))))</f>
        <v>0</v>
      </c>
      <c r="CV24">
        <f>IFERROR(SMALL(CU5:CU36,ROW()-ROW($CV$5)+1),"")</f>
        <v>0</v>
      </c>
      <c r="CX24">
        <f>IFERROR(SUM(CV5:CV24),"")</f>
        <v>0</v>
      </c>
      <c r="CY24" cm="1">
        <f t="array" ref="CY24">_xlfn.SWITCH(Charts!$B$3,"average", AVERAGE(INDIRECT(ADDRESS(19+3,CY$2+1,,,"Instances") &amp; ":" &amp; ADDRESS(19+3,CY$2+1))),"median", MEDIAN(INDIRECT(ADDRESS(19+3,CY$2+1,,,"Instances") &amp; ":" &amp; ADDRESS(19+3,CY$2+1))),"min", MIN(INDIRECT(ADDRESS(19+3,CY$2+1,,,"Instances") &amp; ":" &amp; ADDRESS(19+3,CY$2+1))),"max", MAX(INDIRECT(ADDRESS(19+3,CY$2+1,,,"Instances") &amp; ":" &amp; ADDRESS(19+3,CY$2+1))),"diff", MAX(INDIRECT(ADDRESS(19+3,CY$2+1,,,"Instances") &amp; ":" &amp; ADDRESS(19+3,CY$2+1)))-MIN(INDIRECT(ADDRESS(19+3,CY$2+1,,,"Instances") &amp; ":" &amp; ADDRESS(19+3,CY$2+1))))</f>
        <v>0</v>
      </c>
      <c r="CZ24">
        <f>IFERROR(SMALL(CY5:CY36,ROW()-ROW($CZ$5)+1),"")</f>
        <v>0</v>
      </c>
      <c r="DB24">
        <f>IFERROR(SUM(CZ5:CZ24),"")</f>
        <v>0</v>
      </c>
      <c r="DC24" cm="1">
        <f t="array" ref="DC24">_xlfn.SWITCH(Charts!$B$3,"average", AVERAGE(INDIRECT(ADDRESS(19+3,DC$2+1,,,"Instances") &amp; ":" &amp; ADDRESS(19+3,DC$2+1))),"median", MEDIAN(INDIRECT(ADDRESS(19+3,DC$2+1,,,"Instances") &amp; ":" &amp; ADDRESS(19+3,DC$2+1))),"min", MIN(INDIRECT(ADDRESS(19+3,DC$2+1,,,"Instances") &amp; ":" &amp; ADDRESS(19+3,DC$2+1))),"max", MAX(INDIRECT(ADDRESS(19+3,DC$2+1,,,"Instances") &amp; ":" &amp; ADDRESS(19+3,DC$2+1))),"diff", MAX(INDIRECT(ADDRESS(19+3,DC$2+1,,,"Instances") &amp; ":" &amp; ADDRESS(19+3,DC$2+1)))-MIN(INDIRECT(ADDRESS(19+3,DC$2+1,,,"Instances") &amp; ":" &amp; ADDRESS(19+3,DC$2+1))))</f>
        <v>0</v>
      </c>
      <c r="DD24">
        <f>IFERROR(SMALL(DC5:DC36,ROW()-ROW($DD$5)+1),"")</f>
        <v>0</v>
      </c>
      <c r="DF24">
        <f>IFERROR(SUM(DD5:DD24),"")</f>
        <v>0</v>
      </c>
      <c r="DG24" cm="1">
        <f t="array" ref="DG24">_xlfn.SWITCH(Charts!$B$3,"average", AVERAGE(INDIRECT(ADDRESS(19+3,DG$2+1,,,"Instances") &amp; ":" &amp; ADDRESS(19+3,DG$2+1))),"median", MEDIAN(INDIRECT(ADDRESS(19+3,DG$2+1,,,"Instances") &amp; ":" &amp; ADDRESS(19+3,DG$2+1))),"min", MIN(INDIRECT(ADDRESS(19+3,DG$2+1,,,"Instances") &amp; ":" &amp; ADDRESS(19+3,DG$2+1))),"max", MAX(INDIRECT(ADDRESS(19+3,DG$2+1,,,"Instances") &amp; ":" &amp; ADDRESS(19+3,DG$2+1))),"diff", MAX(INDIRECT(ADDRESS(19+3,DG$2+1,,,"Instances") &amp; ":" &amp; ADDRESS(19+3,DG$2+1)))-MIN(INDIRECT(ADDRESS(19+3,DG$2+1,,,"Instances") &amp; ":" &amp; ADDRESS(19+3,DG$2+1))))</f>
        <v>0</v>
      </c>
      <c r="DH24">
        <f>IFERROR(SMALL(DG5:DG36,ROW()-ROW($DH$5)+1),"")</f>
        <v>0</v>
      </c>
      <c r="DJ24">
        <f>IFERROR(SUM(DH5:DH24),"")</f>
        <v>0</v>
      </c>
      <c r="DK24" cm="1">
        <f t="array" ref="DK24">_xlfn.SWITCH(Charts!$B$3,"average", AVERAGE(INDIRECT(ADDRESS(19+3,DK$2+1,,,"Instances") &amp; ":" &amp; ADDRESS(19+3,DK$2+1))),"median", MEDIAN(INDIRECT(ADDRESS(19+3,DK$2+1,,,"Instances") &amp; ":" &amp; ADDRESS(19+3,DK$2+1))),"min", MIN(INDIRECT(ADDRESS(19+3,DK$2+1,,,"Instances") &amp; ":" &amp; ADDRESS(19+3,DK$2+1))),"max", MAX(INDIRECT(ADDRESS(19+3,DK$2+1,,,"Instances") &amp; ":" &amp; ADDRESS(19+3,DK$2+1))),"diff", MAX(INDIRECT(ADDRESS(19+3,DK$2+1,,,"Instances") &amp; ":" &amp; ADDRESS(19+3,DK$2+1)))-MIN(INDIRECT(ADDRESS(19+3,DK$2+1,,,"Instances") &amp; ":" &amp; ADDRESS(19+3,DK$2+1))))</f>
        <v>0</v>
      </c>
      <c r="DL24">
        <f>IFERROR(SMALL(DK5:DK36,ROW()-ROW($DL$5)+1),"")</f>
        <v>0</v>
      </c>
      <c r="DN24">
        <f>IFERROR(SUM(DL5:DL24),"")</f>
        <v>0</v>
      </c>
      <c r="DO24" cm="1">
        <f t="array" ref="DO24">_xlfn.SWITCH(Charts!$B$3,"average", AVERAGE(INDIRECT(ADDRESS(19+3,DO$2+1,,,"Instances") &amp; ":" &amp; ADDRESS(19+3,DO$2+1))),"median", MEDIAN(INDIRECT(ADDRESS(19+3,DO$2+1,,,"Instances") &amp; ":" &amp; ADDRESS(19+3,DO$2+1))),"min", MIN(INDIRECT(ADDRESS(19+3,DO$2+1,,,"Instances") &amp; ":" &amp; ADDRESS(19+3,DO$2+1))),"max", MAX(INDIRECT(ADDRESS(19+3,DO$2+1,,,"Instances") &amp; ":" &amp; ADDRESS(19+3,DO$2+1))),"diff", MAX(INDIRECT(ADDRESS(19+3,DO$2+1,,,"Instances") &amp; ":" &amp; ADDRESS(19+3,DO$2+1)))-MIN(INDIRECT(ADDRESS(19+3,DO$2+1,,,"Instances") &amp; ":" &amp; ADDRESS(19+3,DO$2+1))))</f>
        <v>0</v>
      </c>
      <c r="DP24">
        <f>IFERROR(SMALL(DO5:DO36,ROW()-ROW($DP$5)+1),"")</f>
        <v>0</v>
      </c>
      <c r="DR24">
        <f>IFERROR(SUM(DP5:DP24),"")</f>
        <v>0</v>
      </c>
      <c r="DS24" cm="1">
        <f t="array" ref="DS24">_xlfn.SWITCH(Charts!$B$3,"average", AVERAGE(INDIRECT(ADDRESS(19+3,DS$2+1,,,"Instances") &amp; ":" &amp; ADDRESS(19+3,DS$2+1))),"median", MEDIAN(INDIRECT(ADDRESS(19+3,DS$2+1,,,"Instances") &amp; ":" &amp; ADDRESS(19+3,DS$2+1))),"min", MIN(INDIRECT(ADDRESS(19+3,DS$2+1,,,"Instances") &amp; ":" &amp; ADDRESS(19+3,DS$2+1))),"max", MAX(INDIRECT(ADDRESS(19+3,DS$2+1,,,"Instances") &amp; ":" &amp; ADDRESS(19+3,DS$2+1))),"diff", MAX(INDIRECT(ADDRESS(19+3,DS$2+1,,,"Instances") &amp; ":" &amp; ADDRESS(19+3,DS$2+1)))-MIN(INDIRECT(ADDRESS(19+3,DS$2+1,,,"Instances") &amp; ":" &amp; ADDRESS(19+3,DS$2+1))))</f>
        <v>0</v>
      </c>
      <c r="DT24">
        <f>IFERROR(SMALL(DS5:DS36,ROW()-ROW($DT$5)+1),"")</f>
        <v>0</v>
      </c>
      <c r="DV24">
        <f>IFERROR(SUM(DT5:DT24),"")</f>
        <v>0</v>
      </c>
      <c r="DW24" cm="1">
        <f t="array" ref="DW24">_xlfn.SWITCH(Charts!$B$3,"average", AVERAGE(INDIRECT(ADDRESS(19+3,DW$2+1,,,"Instances") &amp; ":" &amp; ADDRESS(19+3,DW$2+1))),"median", MEDIAN(INDIRECT(ADDRESS(19+3,DW$2+1,,,"Instances") &amp; ":" &amp; ADDRESS(19+3,DW$2+1))),"min", MIN(INDIRECT(ADDRESS(19+3,DW$2+1,,,"Instances") &amp; ":" &amp; ADDRESS(19+3,DW$2+1))),"max", MAX(INDIRECT(ADDRESS(19+3,DW$2+1,,,"Instances") &amp; ":" &amp; ADDRESS(19+3,DW$2+1))),"diff", MAX(INDIRECT(ADDRESS(19+3,DW$2+1,,,"Instances") &amp; ":" &amp; ADDRESS(19+3,DW$2+1)))-MIN(INDIRECT(ADDRESS(19+3,DW$2+1,,,"Instances") &amp; ":" &amp; ADDRESS(19+3,DW$2+1))))</f>
        <v>0</v>
      </c>
      <c r="DX24">
        <f>IFERROR(SMALL(DW5:DW36,ROW()-ROW($DX$5)+1),"")</f>
        <v>0</v>
      </c>
      <c r="DZ24">
        <f>IFERROR(SUM(DX5:DX24),"")</f>
        <v>0</v>
      </c>
      <c r="EA24" cm="1">
        <f t="array" ref="EA24">_xlfn.SWITCH(Charts!$B$3,"average", AVERAGE(INDIRECT(ADDRESS(19+3,EA$2+1,,,"Instances") &amp; ":" &amp; ADDRESS(19+3,EA$2+1))),"median", MEDIAN(INDIRECT(ADDRESS(19+3,EA$2+1,,,"Instances") &amp; ":" &amp; ADDRESS(19+3,EA$2+1))),"min", MIN(INDIRECT(ADDRESS(19+3,EA$2+1,,,"Instances") &amp; ":" &amp; ADDRESS(19+3,EA$2+1))),"max", MAX(INDIRECT(ADDRESS(19+3,EA$2+1,,,"Instances") &amp; ":" &amp; ADDRESS(19+3,EA$2+1))),"diff", MAX(INDIRECT(ADDRESS(19+3,EA$2+1,,,"Instances") &amp; ":" &amp; ADDRESS(19+3,EA$2+1)))-MIN(INDIRECT(ADDRESS(19+3,EA$2+1,,,"Instances") &amp; ":" &amp; ADDRESS(19+3,EA$2+1))))</f>
        <v>0</v>
      </c>
      <c r="EB24">
        <f>IFERROR(SMALL(EA5:EA36,ROW()-ROW($EB$5)+1),"")</f>
        <v>0</v>
      </c>
      <c r="ED24">
        <f>IFERROR(SUM(EB5:EB24),"")</f>
        <v>0</v>
      </c>
      <c r="EG24">
        <f>IF(Charts!$B$3="none",E191,IF(BS191="",NA(),BS191))</f>
        <v>0</v>
      </c>
      <c r="EH24">
        <f>IF(Charts!$B$3="none",F191,IF(BT191="",NA(),BT191))</f>
        <v>0</v>
      </c>
      <c r="EI24">
        <f>IF(Charts!$B$3="none",G191,IF(BU191="",NA(),BU191))</f>
        <v>0</v>
      </c>
      <c r="EJ24">
        <f>IF(Charts!$B$3="none",H191,IF(BV191="",NA(),BV191))</f>
        <v>0</v>
      </c>
      <c r="EK24">
        <f>IF(Charts!$B$3="none",I191,IF(BW191="",NA(),BW191))</f>
        <v>0</v>
      </c>
      <c r="EL24">
        <f>IF(Charts!$B$3="none",J191,IF(BX191="",NA(),BX191))</f>
        <v>0</v>
      </c>
      <c r="EM24">
        <f>IF(Charts!$B$3="none",K191,IF(BY191="",NA(),BY191))</f>
        <v>0</v>
      </c>
      <c r="EN24">
        <f>IF(Charts!$B$3="none",L191,IF(BZ191="",NA(),BZ191))</f>
        <v>0</v>
      </c>
      <c r="EO24">
        <f>IF(Charts!$B$3="none",M191,IF(CA191="",NA(),CA191))</f>
        <v>0</v>
      </c>
      <c r="EP24">
        <f>IF(Charts!$B$3="none",N191,IF(CB191="",NA(),CB191))</f>
        <v>0</v>
      </c>
      <c r="EQ24">
        <f>IF(Charts!$B$3="none",O191,IF(CC191="",NA(),CC191))</f>
        <v>0</v>
      </c>
      <c r="ER24">
        <f>IF(Charts!$B$3="none",P191,IF(CD191="",NA(),CD191))</f>
        <v>0</v>
      </c>
      <c r="ES24">
        <f>IF(Charts!$B$3="none",Q191,IF(CE191="",NA(),CE191))</f>
        <v>0</v>
      </c>
      <c r="ET24">
        <f>IF(Charts!$B$3="none",R191,IF(CF191="",NA(),CF191))</f>
        <v>0</v>
      </c>
      <c r="EU24">
        <f>IF(Charts!$B$3="none",S191,IF(CG191="",NA(),CG191))</f>
        <v>0</v>
      </c>
      <c r="EV24">
        <f>IF(Charts!$B$3="none",T191,IF(CH191="",NA(),CH191))</f>
        <v>0</v>
      </c>
      <c r="EW24">
        <f>IF(Charts!$B$3="none",U191,IF(CI191="",NA(),CI191))</f>
        <v>0</v>
      </c>
      <c r="EX24">
        <f>IF(Charts!$B$3="none",V191,IF(CJ191="",NA(),CJ191))</f>
        <v>0</v>
      </c>
      <c r="EY24">
        <f>IF(Charts!$B$3="none",W191,IF(CK191="",NA(),CK191))</f>
        <v>0</v>
      </c>
      <c r="EZ24">
        <f>IF(Charts!$B$3="none",X191,IF(CL191="",NA(),CL191))</f>
        <v>0</v>
      </c>
      <c r="FA24">
        <f>IF(Charts!$B$3="none",Y191,IF(CM191="",NA(),CM191))</f>
        <v>0</v>
      </c>
      <c r="FB24">
        <f>IF(Charts!$B$3="none",Z191,IF(CN191="",NA(),CN191))</f>
        <v>0</v>
      </c>
      <c r="FC24">
        <f>IF(Charts!$B$3="none",AA191,IF(CO191="",NA(),CO191))</f>
        <v>0</v>
      </c>
      <c r="FD24">
        <f>IF(Charts!$B$3="none",AB191,IF(CP191="",NA(),CP191))</f>
        <v>0</v>
      </c>
      <c r="FE24">
        <f>IF(Charts!$B$3="none",AC191,IF(CQ191="",NA(),CQ191))</f>
        <v>0</v>
      </c>
      <c r="FF24">
        <f>IF(Charts!$B$3="none",AD191,IF(CR191="",NA(),CR191))</f>
        <v>0</v>
      </c>
      <c r="FG24">
        <f>IF(Charts!$B$3="none",AE191,IF(CS191="",NA(),CS191))</f>
        <v>0</v>
      </c>
      <c r="FH24">
        <f>IF(Charts!$B$3="none",AF191,IF(CT191="",NA(),CT191))</f>
        <v>0</v>
      </c>
      <c r="FI24">
        <f>IF(Charts!$B$3="none",AG191,IF(CU191="",NA(),CU191))</f>
        <v>0</v>
      </c>
      <c r="FJ24">
        <f>IF(Charts!$B$3="none",AH191,IF(CV191="",NA(),CV191))</f>
        <v>0</v>
      </c>
      <c r="FK24">
        <f>IF(Charts!$B$3="none",AI191,IF(CW191="",NA(),CW191))</f>
        <v>0</v>
      </c>
      <c r="FL24">
        <f>IF(Charts!$B$3="none",AJ191,IF(CX191="",NA(),CX191))</f>
        <v>0</v>
      </c>
      <c r="FM24">
        <f>IF(Charts!$B$3="none",AK191,IF(CY191="",NA(),CY191))</f>
        <v>0</v>
      </c>
      <c r="FN24">
        <f>IF(Charts!$B$3="none",AL191,IF(CZ191="",NA(),CZ191))</f>
        <v>0</v>
      </c>
      <c r="FO24">
        <f>IF(Charts!$B$3="none",AM191,IF(DA191="",NA(),DA191))</f>
        <v>0</v>
      </c>
      <c r="FP24">
        <f>IF(Charts!$B$3="none",AN191,IF(DB191="",NA(),DB191))</f>
        <v>0</v>
      </c>
      <c r="FQ24">
        <f>IF(Charts!$B$3="none",AO191,IF(DC191="",NA(),DC191))</f>
        <v>0</v>
      </c>
      <c r="FR24">
        <f>IF(Charts!$B$3="none",AP191,IF(DD191="",NA(),DD191))</f>
        <v>0</v>
      </c>
      <c r="FS24">
        <f>IF(Charts!$B$3="none",AQ191,IF(DE191="",NA(),DE191))</f>
        <v>0</v>
      </c>
      <c r="FT24">
        <f>IF(Charts!$B$3="none",AR191,IF(DF191="",NA(),DF191))</f>
        <v>0</v>
      </c>
      <c r="FU24">
        <f>IF(Charts!$B$3="none",AS191,IF(DG191="",NA(),DG191))</f>
        <v>0</v>
      </c>
      <c r="FV24">
        <f>IF(Charts!$B$3="none",AT191,IF(DH191="",NA(),DH191))</f>
        <v>0</v>
      </c>
      <c r="FW24">
        <f>IF(Charts!$B$3="none",AU191,IF(DI191="",NA(),DI191))</f>
        <v>0</v>
      </c>
      <c r="FX24">
        <f>IF(Charts!$B$3="none",AV191,IF(DJ191="",NA(),DJ191))</f>
        <v>0</v>
      </c>
      <c r="FY24">
        <f>IF(Charts!$B$3="none",AW191,IF(DK191="",NA(),DK191))</f>
        <v>0</v>
      </c>
      <c r="FZ24">
        <f>IF(Charts!$B$3="none",AX191,IF(DL191="",NA(),DL191))</f>
        <v>0</v>
      </c>
      <c r="GA24">
        <f>IF(Charts!$B$3="none",AY191,IF(DM191="",NA(),DM191))</f>
        <v>0</v>
      </c>
      <c r="GB24">
        <f>IF(Charts!$B$3="none",AZ191,IF(DN191="",NA(),DN191))</f>
        <v>0</v>
      </c>
      <c r="GC24">
        <f>IF(Charts!$B$3="none",BA191,IF(DO191="",NA(),DO191))</f>
        <v>0</v>
      </c>
      <c r="GD24">
        <f>IF(Charts!$B$3="none",BB191,IF(DP191="",NA(),DP191))</f>
        <v>0</v>
      </c>
      <c r="GE24">
        <f>IF(Charts!$B$3="none",BC191,IF(DQ191="",NA(),DQ191))</f>
        <v>0</v>
      </c>
      <c r="GF24">
        <f>IF(Charts!$B$3="none",BD191,IF(DR191="",NA(),DR191))</f>
        <v>0</v>
      </c>
      <c r="GG24">
        <f>IF(Charts!$B$3="none",BE191,IF(DS191="",NA(),DS191))</f>
        <v>0</v>
      </c>
      <c r="GH24">
        <f>IF(Charts!$B$3="none",BF191,IF(DT191="",NA(),DT191))</f>
        <v>0</v>
      </c>
      <c r="GI24">
        <f>IF(Charts!$B$3="none",BG191,IF(DU191="",NA(),DU191))</f>
        <v>0</v>
      </c>
      <c r="GJ24">
        <f>IF(Charts!$B$3="none",BH191,IF(DV191="",NA(),DV191))</f>
        <v>0</v>
      </c>
      <c r="GK24">
        <f>IF(Charts!$B$3="none",BI191,IF(DW191="",NA(),DW191))</f>
        <v>0</v>
      </c>
      <c r="GL24">
        <f>IF(Charts!$B$3="none",BJ191,IF(DX191="",NA(),DX191))</f>
        <v>0</v>
      </c>
      <c r="GM24">
        <f>IF(Charts!$B$3="none",BK191,IF(DY191="",NA(),DY191))</f>
        <v>0</v>
      </c>
      <c r="GN24">
        <f>IF(Charts!$B$3="none",BL191,IF(DZ191="",NA(),DZ191))</f>
        <v>0</v>
      </c>
      <c r="GO24">
        <f>IF(Charts!$B$3="none",BM191,IF(EA191="",NA(),EA191))</f>
        <v>0</v>
      </c>
      <c r="GP24">
        <f>IF(Charts!$B$3="none",BN191,IF(EB191="",NA(),EB191))</f>
        <v>0</v>
      </c>
      <c r="GQ24">
        <f>IF(Charts!$B$3="none",BO191,IF(EC191="",NA(),EC191))</f>
        <v>0</v>
      </c>
      <c r="GR24">
        <f>IF(Charts!$B$3="none",BP191,IF(ED191="",NA(),ED191))</f>
        <v>0</v>
      </c>
    </row>
    <row r="25" spans="1:200">
      <c r="D25">
        <v>21</v>
      </c>
      <c r="E25">
        <f>IF(INDIRECT(ADDRESS($D25+2,E$2+1,,,"Instances"))="","",INDIRECT(ADDRESS($D25+2,E$2+1,,,"Instances")))</f>
        <v>0</v>
      </c>
      <c r="F25">
        <f>IFERROR(SMALL(E5:E36,ROW()-ROW($F$5)+1),"")</f>
        <v>0</v>
      </c>
      <c r="H25">
        <f>IFERROR(SUM(F5:F25),"")</f>
        <v>0</v>
      </c>
      <c r="I25">
        <f>IF(INDIRECT(ADDRESS($D25+2,I$2+1,,,"Instances"))="","",INDIRECT(ADDRESS($D25+2,I$2+1,,,"Instances")))</f>
        <v>0</v>
      </c>
      <c r="J25">
        <f>IFERROR(SMALL(I5:I36,ROW()-ROW($J$5)+1),"")</f>
        <v>0</v>
      </c>
      <c r="L25">
        <f>IFERROR(SUM(J5:J25),"")</f>
        <v>0</v>
      </c>
      <c r="M25">
        <f>IF(INDIRECT(ADDRESS($D25+2,M$2+1,,,"Instances"))="","",INDIRECT(ADDRESS($D25+2,M$2+1,,,"Instances")))</f>
        <v>0</v>
      </c>
      <c r="N25">
        <f>IFERROR(SMALL(M5:M36,ROW()-ROW($N$5)+1),"")</f>
        <v>0</v>
      </c>
      <c r="P25">
        <f>IFERROR(SUM(N5:N25),"")</f>
        <v>0</v>
      </c>
      <c r="Q25">
        <f>IF(INDIRECT(ADDRESS($D25+2,Q$2+1,,,"Instances"))="","",INDIRECT(ADDRESS($D25+2,Q$2+1,,,"Instances")))</f>
        <v>0</v>
      </c>
      <c r="R25">
        <f>IFERROR(SMALL(Q5:Q36,ROW()-ROW($R$5)+1),"")</f>
        <v>0</v>
      </c>
      <c r="T25">
        <f>IFERROR(SUM(R5:R25),"")</f>
        <v>0</v>
      </c>
      <c r="U25">
        <f>IF(INDIRECT(ADDRESS($D25+2,U$2+1,,,"Instances"))="","",INDIRECT(ADDRESS($D25+2,U$2+1,,,"Instances")))</f>
        <v>0</v>
      </c>
      <c r="V25">
        <f>IFERROR(SMALL(U5:U36,ROW()-ROW($V$5)+1),"")</f>
        <v>0</v>
      </c>
      <c r="X25">
        <f>IFERROR(SUM(V5:V25),"")</f>
        <v>0</v>
      </c>
      <c r="Y25">
        <f>IF(INDIRECT(ADDRESS($D25+2,Y$2+1,,,"Instances"))="","",INDIRECT(ADDRESS($D25+2,Y$2+1,,,"Instances")))</f>
        <v>0</v>
      </c>
      <c r="Z25">
        <f>IFERROR(SMALL(Y5:Y36,ROW()-ROW($Z$5)+1),"")</f>
        <v>0</v>
      </c>
      <c r="AB25">
        <f>IFERROR(SUM(Z5:Z25),"")</f>
        <v>0</v>
      </c>
      <c r="AC25">
        <f>IF(INDIRECT(ADDRESS($D25+2,AC$2+1,,,"Instances"))="","",INDIRECT(ADDRESS($D25+2,AC$2+1,,,"Instances")))</f>
        <v>0</v>
      </c>
      <c r="AD25">
        <f>IFERROR(SMALL(AC5:AC36,ROW()-ROW($AD$5)+1),"")</f>
        <v>0</v>
      </c>
      <c r="AF25">
        <f>IFERROR(SUM(AD5:AD25),"")</f>
        <v>0</v>
      </c>
      <c r="AG25">
        <f>IF(INDIRECT(ADDRESS($D25+2,AG$2+1,,,"Instances"))="","",INDIRECT(ADDRESS($D25+2,AG$2+1,,,"Instances")))</f>
        <v>0</v>
      </c>
      <c r="AH25">
        <f>IFERROR(SMALL(AG5:AG36,ROW()-ROW($AH$5)+1),"")</f>
        <v>0</v>
      </c>
      <c r="AJ25">
        <f>IFERROR(SUM(AH5:AH25),"")</f>
        <v>0</v>
      </c>
      <c r="AK25">
        <f>IF(INDIRECT(ADDRESS($D25+2,AK$2+1,,,"Instances"))="","",INDIRECT(ADDRESS($D25+2,AK$2+1,,,"Instances")))</f>
        <v>0</v>
      </c>
      <c r="AL25">
        <f>IFERROR(SMALL(AK5:AK36,ROW()-ROW($AL$5)+1),"")</f>
        <v>0</v>
      </c>
      <c r="AN25">
        <f>IFERROR(SUM(AL5:AL25),"")</f>
        <v>0</v>
      </c>
      <c r="AO25">
        <f>IF(INDIRECT(ADDRESS($D25+2,AO$2+1,,,"Instances"))="","",INDIRECT(ADDRESS($D25+2,AO$2+1,,,"Instances")))</f>
        <v>0</v>
      </c>
      <c r="AP25">
        <f>IFERROR(SMALL(AO5:AO36,ROW()-ROW($AP$5)+1),"")</f>
        <v>0</v>
      </c>
      <c r="AR25">
        <f>IFERROR(SUM(AP5:AP25),"")</f>
        <v>0</v>
      </c>
      <c r="AS25">
        <f>IF(INDIRECT(ADDRESS($D25+2,AS$2+1,,,"Instances"))="","",INDIRECT(ADDRESS($D25+2,AS$2+1,,,"Instances")))</f>
        <v>0</v>
      </c>
      <c r="AT25">
        <f>IFERROR(SMALL(AS5:AS36,ROW()-ROW($AT$5)+1),"")</f>
        <v>0</v>
      </c>
      <c r="AV25">
        <f>IFERROR(SUM(AT5:AT25),"")</f>
        <v>0</v>
      </c>
      <c r="AW25">
        <f>IF(INDIRECT(ADDRESS($D25+2,AW$2+1,,,"Instances"))="","",INDIRECT(ADDRESS($D25+2,AW$2+1,,,"Instances")))</f>
        <v>0</v>
      </c>
      <c r="AX25">
        <f>IFERROR(SMALL(AW5:AW36,ROW()-ROW($AX$5)+1),"")</f>
        <v>0</v>
      </c>
      <c r="AZ25">
        <f>IFERROR(SUM(AX5:AX25),"")</f>
        <v>0</v>
      </c>
      <c r="BA25">
        <f>IF(INDIRECT(ADDRESS($D25+2,BA$2+1,,,"Instances"))="","",INDIRECT(ADDRESS($D25+2,BA$2+1,,,"Instances")))</f>
        <v>0</v>
      </c>
      <c r="BB25">
        <f>IFERROR(SMALL(BA5:BA36,ROW()-ROW($BB$5)+1),"")</f>
        <v>0</v>
      </c>
      <c r="BD25">
        <f>IFERROR(SUM(BB5:BB25),"")</f>
        <v>0</v>
      </c>
      <c r="BE25">
        <f>IF(INDIRECT(ADDRESS($D25+2,BE$2+1,,,"Instances"))="","",INDIRECT(ADDRESS($D25+2,BE$2+1,,,"Instances")))</f>
        <v>0</v>
      </c>
      <c r="BF25">
        <f>IFERROR(SMALL(BE5:BE36,ROW()-ROW($BF$5)+1),"")</f>
        <v>0</v>
      </c>
      <c r="BH25">
        <f>IFERROR(SUM(BF5:BF25),"")</f>
        <v>0</v>
      </c>
      <c r="BI25">
        <f>IF(INDIRECT(ADDRESS($D25+2,BI$2+1,,,"Instances"))="","",INDIRECT(ADDRESS($D25+2,BI$2+1,,,"Instances")))</f>
        <v>0</v>
      </c>
      <c r="BJ25">
        <f>IFERROR(SMALL(BI5:BI36,ROW()-ROW($BJ$5)+1),"")</f>
        <v>0</v>
      </c>
      <c r="BL25">
        <f>IFERROR(SUM(BJ5:BJ25),"")</f>
        <v>0</v>
      </c>
      <c r="BM25">
        <f>IF(INDIRECT(ADDRESS($D25+2,BM$2+1,,,"Instances"))="","",INDIRECT(ADDRESS($D25+2,BM$2+1,,,"Instances")))</f>
        <v>0</v>
      </c>
      <c r="BN25">
        <f>IFERROR(SMALL(BM5:BM36,ROW()-ROW($BN$5)+1),"")</f>
        <v>0</v>
      </c>
      <c r="BP25">
        <f>IFERROR(SUM(BN5:BN25),"")</f>
        <v>0</v>
      </c>
      <c r="BR25">
        <v>21</v>
      </c>
      <c r="BS25" cm="1">
        <f t="array" ref="BS25">_xlfn.SWITCH(Charts!$B$3,"average", AVERAGE(INDIRECT(ADDRESS(20+3,BS$2+1,,,"Instances") &amp; ":" &amp; ADDRESS(20+3,BS$2+1))),"median", MEDIAN(INDIRECT(ADDRESS(20+3,BS$2+1,,,"Instances") &amp; ":" &amp; ADDRESS(20+3,BS$2+1))),"min", MIN(INDIRECT(ADDRESS(20+3,BS$2+1,,,"Instances") &amp; ":" &amp; ADDRESS(20+3,BS$2+1))),"max", MAX(INDIRECT(ADDRESS(20+3,BS$2+1,,,"Instances") &amp; ":" &amp; ADDRESS(20+3,BS$2+1))),"diff", MAX(INDIRECT(ADDRESS(20+3,BS$2+1,,,"Instances") &amp; ":" &amp; ADDRESS(20+3,BS$2+1)))-MIN(INDIRECT(ADDRESS(20+3,BS$2+1,,,"Instances") &amp; ":" &amp; ADDRESS(20+3,BS$2+1))))</f>
        <v>0</v>
      </c>
      <c r="BT25">
        <f>IFERROR(SMALL(BS5:BS36,ROW()-ROW($BT$5)+1),"")</f>
        <v>0</v>
      </c>
      <c r="BV25">
        <f>IFERROR(SUM(BT5:BT25),"")</f>
        <v>0</v>
      </c>
      <c r="BW25" cm="1">
        <f t="array" ref="BW25">_xlfn.SWITCH(Charts!$B$3,"average", AVERAGE(INDIRECT(ADDRESS(20+3,BW$2+1,,,"Instances") &amp; ":" &amp; ADDRESS(20+3,BW$2+1))),"median", MEDIAN(INDIRECT(ADDRESS(20+3,BW$2+1,,,"Instances") &amp; ":" &amp; ADDRESS(20+3,BW$2+1))),"min", MIN(INDIRECT(ADDRESS(20+3,BW$2+1,,,"Instances") &amp; ":" &amp; ADDRESS(20+3,BW$2+1))),"max", MAX(INDIRECT(ADDRESS(20+3,BW$2+1,,,"Instances") &amp; ":" &amp; ADDRESS(20+3,BW$2+1))),"diff", MAX(INDIRECT(ADDRESS(20+3,BW$2+1,,,"Instances") &amp; ":" &amp; ADDRESS(20+3,BW$2+1)))-MIN(INDIRECT(ADDRESS(20+3,BW$2+1,,,"Instances") &amp; ":" &amp; ADDRESS(20+3,BW$2+1))))</f>
        <v>0</v>
      </c>
      <c r="BX25">
        <f>IFERROR(SMALL(BW5:BW36,ROW()-ROW($BX$5)+1),"")</f>
        <v>0</v>
      </c>
      <c r="BZ25">
        <f>IFERROR(SUM(BX5:BX25),"")</f>
        <v>0</v>
      </c>
      <c r="CA25" cm="1">
        <f t="array" ref="CA25">_xlfn.SWITCH(Charts!$B$3,"average", AVERAGE(INDIRECT(ADDRESS(20+3,CA$2+1,,,"Instances") &amp; ":" &amp; ADDRESS(20+3,CA$2+1))),"median", MEDIAN(INDIRECT(ADDRESS(20+3,CA$2+1,,,"Instances") &amp; ":" &amp; ADDRESS(20+3,CA$2+1))),"min", MIN(INDIRECT(ADDRESS(20+3,CA$2+1,,,"Instances") &amp; ":" &amp; ADDRESS(20+3,CA$2+1))),"max", MAX(INDIRECT(ADDRESS(20+3,CA$2+1,,,"Instances") &amp; ":" &amp; ADDRESS(20+3,CA$2+1))),"diff", MAX(INDIRECT(ADDRESS(20+3,CA$2+1,,,"Instances") &amp; ":" &amp; ADDRESS(20+3,CA$2+1)))-MIN(INDIRECT(ADDRESS(20+3,CA$2+1,,,"Instances") &amp; ":" &amp; ADDRESS(20+3,CA$2+1))))</f>
        <v>0</v>
      </c>
      <c r="CB25">
        <f>IFERROR(SMALL(CA5:CA36,ROW()-ROW($CB$5)+1),"")</f>
        <v>0</v>
      </c>
      <c r="CD25">
        <f>IFERROR(SUM(CB5:CB25),"")</f>
        <v>0</v>
      </c>
      <c r="CE25" cm="1">
        <f t="array" ref="CE25">_xlfn.SWITCH(Charts!$B$3,"average", AVERAGE(INDIRECT(ADDRESS(20+3,CE$2+1,,,"Instances") &amp; ":" &amp; ADDRESS(20+3,CE$2+1))),"median", MEDIAN(INDIRECT(ADDRESS(20+3,CE$2+1,,,"Instances") &amp; ":" &amp; ADDRESS(20+3,CE$2+1))),"min", MIN(INDIRECT(ADDRESS(20+3,CE$2+1,,,"Instances") &amp; ":" &amp; ADDRESS(20+3,CE$2+1))),"max", MAX(INDIRECT(ADDRESS(20+3,CE$2+1,,,"Instances") &amp; ":" &amp; ADDRESS(20+3,CE$2+1))),"diff", MAX(INDIRECT(ADDRESS(20+3,CE$2+1,,,"Instances") &amp; ":" &amp; ADDRESS(20+3,CE$2+1)))-MIN(INDIRECT(ADDRESS(20+3,CE$2+1,,,"Instances") &amp; ":" &amp; ADDRESS(20+3,CE$2+1))))</f>
        <v>0</v>
      </c>
      <c r="CF25">
        <f>IFERROR(SMALL(CE5:CE36,ROW()-ROW($CF$5)+1),"")</f>
        <v>0</v>
      </c>
      <c r="CH25">
        <f>IFERROR(SUM(CF5:CF25),"")</f>
        <v>0</v>
      </c>
      <c r="CI25" cm="1">
        <f t="array" ref="CI25">_xlfn.SWITCH(Charts!$B$3,"average", AVERAGE(INDIRECT(ADDRESS(20+3,CI$2+1,,,"Instances") &amp; ":" &amp; ADDRESS(20+3,CI$2+1))),"median", MEDIAN(INDIRECT(ADDRESS(20+3,CI$2+1,,,"Instances") &amp; ":" &amp; ADDRESS(20+3,CI$2+1))),"min", MIN(INDIRECT(ADDRESS(20+3,CI$2+1,,,"Instances") &amp; ":" &amp; ADDRESS(20+3,CI$2+1))),"max", MAX(INDIRECT(ADDRESS(20+3,CI$2+1,,,"Instances") &amp; ":" &amp; ADDRESS(20+3,CI$2+1))),"diff", MAX(INDIRECT(ADDRESS(20+3,CI$2+1,,,"Instances") &amp; ":" &amp; ADDRESS(20+3,CI$2+1)))-MIN(INDIRECT(ADDRESS(20+3,CI$2+1,,,"Instances") &amp; ":" &amp; ADDRESS(20+3,CI$2+1))))</f>
        <v>0</v>
      </c>
      <c r="CJ25">
        <f>IFERROR(SMALL(CI5:CI36,ROW()-ROW($CJ$5)+1),"")</f>
        <v>0</v>
      </c>
      <c r="CL25">
        <f>IFERROR(SUM(CJ5:CJ25),"")</f>
        <v>0</v>
      </c>
      <c r="CM25" cm="1">
        <f t="array" ref="CM25">_xlfn.SWITCH(Charts!$B$3,"average", AVERAGE(INDIRECT(ADDRESS(20+3,CM$2+1,,,"Instances") &amp; ":" &amp; ADDRESS(20+3,CM$2+1))),"median", MEDIAN(INDIRECT(ADDRESS(20+3,CM$2+1,,,"Instances") &amp; ":" &amp; ADDRESS(20+3,CM$2+1))),"min", MIN(INDIRECT(ADDRESS(20+3,CM$2+1,,,"Instances") &amp; ":" &amp; ADDRESS(20+3,CM$2+1))),"max", MAX(INDIRECT(ADDRESS(20+3,CM$2+1,,,"Instances") &amp; ":" &amp; ADDRESS(20+3,CM$2+1))),"diff", MAX(INDIRECT(ADDRESS(20+3,CM$2+1,,,"Instances") &amp; ":" &amp; ADDRESS(20+3,CM$2+1)))-MIN(INDIRECT(ADDRESS(20+3,CM$2+1,,,"Instances") &amp; ":" &amp; ADDRESS(20+3,CM$2+1))))</f>
        <v>0</v>
      </c>
      <c r="CN25">
        <f>IFERROR(SMALL(CM5:CM36,ROW()-ROW($CN$5)+1),"")</f>
        <v>0</v>
      </c>
      <c r="CP25">
        <f>IFERROR(SUM(CN5:CN25),"")</f>
        <v>0</v>
      </c>
      <c r="CQ25" cm="1">
        <f t="array" ref="CQ25">_xlfn.SWITCH(Charts!$B$3,"average", AVERAGE(INDIRECT(ADDRESS(20+3,CQ$2+1,,,"Instances") &amp; ":" &amp; ADDRESS(20+3,CQ$2+1))),"median", MEDIAN(INDIRECT(ADDRESS(20+3,CQ$2+1,,,"Instances") &amp; ":" &amp; ADDRESS(20+3,CQ$2+1))),"min", MIN(INDIRECT(ADDRESS(20+3,CQ$2+1,,,"Instances") &amp; ":" &amp; ADDRESS(20+3,CQ$2+1))),"max", MAX(INDIRECT(ADDRESS(20+3,CQ$2+1,,,"Instances") &amp; ":" &amp; ADDRESS(20+3,CQ$2+1))),"diff", MAX(INDIRECT(ADDRESS(20+3,CQ$2+1,,,"Instances") &amp; ":" &amp; ADDRESS(20+3,CQ$2+1)))-MIN(INDIRECT(ADDRESS(20+3,CQ$2+1,,,"Instances") &amp; ":" &amp; ADDRESS(20+3,CQ$2+1))))</f>
        <v>0</v>
      </c>
      <c r="CR25">
        <f>IFERROR(SMALL(CQ5:CQ36,ROW()-ROW($CR$5)+1),"")</f>
        <v>0</v>
      </c>
      <c r="CT25">
        <f>IFERROR(SUM(CR5:CR25),"")</f>
        <v>0</v>
      </c>
      <c r="CU25" cm="1">
        <f t="array" ref="CU25">_xlfn.SWITCH(Charts!$B$3,"average", AVERAGE(INDIRECT(ADDRESS(20+3,CU$2+1,,,"Instances") &amp; ":" &amp; ADDRESS(20+3,CU$2+1))),"median", MEDIAN(INDIRECT(ADDRESS(20+3,CU$2+1,,,"Instances") &amp; ":" &amp; ADDRESS(20+3,CU$2+1))),"min", MIN(INDIRECT(ADDRESS(20+3,CU$2+1,,,"Instances") &amp; ":" &amp; ADDRESS(20+3,CU$2+1))),"max", MAX(INDIRECT(ADDRESS(20+3,CU$2+1,,,"Instances") &amp; ":" &amp; ADDRESS(20+3,CU$2+1))),"diff", MAX(INDIRECT(ADDRESS(20+3,CU$2+1,,,"Instances") &amp; ":" &amp; ADDRESS(20+3,CU$2+1)))-MIN(INDIRECT(ADDRESS(20+3,CU$2+1,,,"Instances") &amp; ":" &amp; ADDRESS(20+3,CU$2+1))))</f>
        <v>0</v>
      </c>
      <c r="CV25">
        <f>IFERROR(SMALL(CU5:CU36,ROW()-ROW($CV$5)+1),"")</f>
        <v>0</v>
      </c>
      <c r="CX25">
        <f>IFERROR(SUM(CV5:CV25),"")</f>
        <v>0</v>
      </c>
      <c r="CY25" cm="1">
        <f t="array" ref="CY25">_xlfn.SWITCH(Charts!$B$3,"average", AVERAGE(INDIRECT(ADDRESS(20+3,CY$2+1,,,"Instances") &amp; ":" &amp; ADDRESS(20+3,CY$2+1))),"median", MEDIAN(INDIRECT(ADDRESS(20+3,CY$2+1,,,"Instances") &amp; ":" &amp; ADDRESS(20+3,CY$2+1))),"min", MIN(INDIRECT(ADDRESS(20+3,CY$2+1,,,"Instances") &amp; ":" &amp; ADDRESS(20+3,CY$2+1))),"max", MAX(INDIRECT(ADDRESS(20+3,CY$2+1,,,"Instances") &amp; ":" &amp; ADDRESS(20+3,CY$2+1))),"diff", MAX(INDIRECT(ADDRESS(20+3,CY$2+1,,,"Instances") &amp; ":" &amp; ADDRESS(20+3,CY$2+1)))-MIN(INDIRECT(ADDRESS(20+3,CY$2+1,,,"Instances") &amp; ":" &amp; ADDRESS(20+3,CY$2+1))))</f>
        <v>0</v>
      </c>
      <c r="CZ25">
        <f>IFERROR(SMALL(CY5:CY36,ROW()-ROW($CZ$5)+1),"")</f>
        <v>0</v>
      </c>
      <c r="DB25">
        <f>IFERROR(SUM(CZ5:CZ25),"")</f>
        <v>0</v>
      </c>
      <c r="DC25" cm="1">
        <f t="array" ref="DC25">_xlfn.SWITCH(Charts!$B$3,"average", AVERAGE(INDIRECT(ADDRESS(20+3,DC$2+1,,,"Instances") &amp; ":" &amp; ADDRESS(20+3,DC$2+1))),"median", MEDIAN(INDIRECT(ADDRESS(20+3,DC$2+1,,,"Instances") &amp; ":" &amp; ADDRESS(20+3,DC$2+1))),"min", MIN(INDIRECT(ADDRESS(20+3,DC$2+1,,,"Instances") &amp; ":" &amp; ADDRESS(20+3,DC$2+1))),"max", MAX(INDIRECT(ADDRESS(20+3,DC$2+1,,,"Instances") &amp; ":" &amp; ADDRESS(20+3,DC$2+1))),"diff", MAX(INDIRECT(ADDRESS(20+3,DC$2+1,,,"Instances") &amp; ":" &amp; ADDRESS(20+3,DC$2+1)))-MIN(INDIRECT(ADDRESS(20+3,DC$2+1,,,"Instances") &amp; ":" &amp; ADDRESS(20+3,DC$2+1))))</f>
        <v>0</v>
      </c>
      <c r="DD25">
        <f>IFERROR(SMALL(DC5:DC36,ROW()-ROW($DD$5)+1),"")</f>
        <v>0</v>
      </c>
      <c r="DF25">
        <f>IFERROR(SUM(DD5:DD25),"")</f>
        <v>0</v>
      </c>
      <c r="DG25" cm="1">
        <f t="array" ref="DG25">_xlfn.SWITCH(Charts!$B$3,"average", AVERAGE(INDIRECT(ADDRESS(20+3,DG$2+1,,,"Instances") &amp; ":" &amp; ADDRESS(20+3,DG$2+1))),"median", MEDIAN(INDIRECT(ADDRESS(20+3,DG$2+1,,,"Instances") &amp; ":" &amp; ADDRESS(20+3,DG$2+1))),"min", MIN(INDIRECT(ADDRESS(20+3,DG$2+1,,,"Instances") &amp; ":" &amp; ADDRESS(20+3,DG$2+1))),"max", MAX(INDIRECT(ADDRESS(20+3,DG$2+1,,,"Instances") &amp; ":" &amp; ADDRESS(20+3,DG$2+1))),"diff", MAX(INDIRECT(ADDRESS(20+3,DG$2+1,,,"Instances") &amp; ":" &amp; ADDRESS(20+3,DG$2+1)))-MIN(INDIRECT(ADDRESS(20+3,DG$2+1,,,"Instances") &amp; ":" &amp; ADDRESS(20+3,DG$2+1))))</f>
        <v>0</v>
      </c>
      <c r="DH25">
        <f>IFERROR(SMALL(DG5:DG36,ROW()-ROW($DH$5)+1),"")</f>
        <v>0</v>
      </c>
      <c r="DJ25">
        <f>IFERROR(SUM(DH5:DH25),"")</f>
        <v>0</v>
      </c>
      <c r="DK25" cm="1">
        <f t="array" ref="DK25">_xlfn.SWITCH(Charts!$B$3,"average", AVERAGE(INDIRECT(ADDRESS(20+3,DK$2+1,,,"Instances") &amp; ":" &amp; ADDRESS(20+3,DK$2+1))),"median", MEDIAN(INDIRECT(ADDRESS(20+3,DK$2+1,,,"Instances") &amp; ":" &amp; ADDRESS(20+3,DK$2+1))),"min", MIN(INDIRECT(ADDRESS(20+3,DK$2+1,,,"Instances") &amp; ":" &amp; ADDRESS(20+3,DK$2+1))),"max", MAX(INDIRECT(ADDRESS(20+3,DK$2+1,,,"Instances") &amp; ":" &amp; ADDRESS(20+3,DK$2+1))),"diff", MAX(INDIRECT(ADDRESS(20+3,DK$2+1,,,"Instances") &amp; ":" &amp; ADDRESS(20+3,DK$2+1)))-MIN(INDIRECT(ADDRESS(20+3,DK$2+1,,,"Instances") &amp; ":" &amp; ADDRESS(20+3,DK$2+1))))</f>
        <v>0</v>
      </c>
      <c r="DL25">
        <f>IFERROR(SMALL(DK5:DK36,ROW()-ROW($DL$5)+1),"")</f>
        <v>0</v>
      </c>
      <c r="DN25">
        <f>IFERROR(SUM(DL5:DL25),"")</f>
        <v>0</v>
      </c>
      <c r="DO25" cm="1">
        <f t="array" ref="DO25">_xlfn.SWITCH(Charts!$B$3,"average", AVERAGE(INDIRECT(ADDRESS(20+3,DO$2+1,,,"Instances") &amp; ":" &amp; ADDRESS(20+3,DO$2+1))),"median", MEDIAN(INDIRECT(ADDRESS(20+3,DO$2+1,,,"Instances") &amp; ":" &amp; ADDRESS(20+3,DO$2+1))),"min", MIN(INDIRECT(ADDRESS(20+3,DO$2+1,,,"Instances") &amp; ":" &amp; ADDRESS(20+3,DO$2+1))),"max", MAX(INDIRECT(ADDRESS(20+3,DO$2+1,,,"Instances") &amp; ":" &amp; ADDRESS(20+3,DO$2+1))),"diff", MAX(INDIRECT(ADDRESS(20+3,DO$2+1,,,"Instances") &amp; ":" &amp; ADDRESS(20+3,DO$2+1)))-MIN(INDIRECT(ADDRESS(20+3,DO$2+1,,,"Instances") &amp; ":" &amp; ADDRESS(20+3,DO$2+1))))</f>
        <v>0</v>
      </c>
      <c r="DP25">
        <f>IFERROR(SMALL(DO5:DO36,ROW()-ROW($DP$5)+1),"")</f>
        <v>0</v>
      </c>
      <c r="DR25">
        <f>IFERROR(SUM(DP5:DP25),"")</f>
        <v>0</v>
      </c>
      <c r="DS25" cm="1">
        <f t="array" ref="DS25">_xlfn.SWITCH(Charts!$B$3,"average", AVERAGE(INDIRECT(ADDRESS(20+3,DS$2+1,,,"Instances") &amp; ":" &amp; ADDRESS(20+3,DS$2+1))),"median", MEDIAN(INDIRECT(ADDRESS(20+3,DS$2+1,,,"Instances") &amp; ":" &amp; ADDRESS(20+3,DS$2+1))),"min", MIN(INDIRECT(ADDRESS(20+3,DS$2+1,,,"Instances") &amp; ":" &amp; ADDRESS(20+3,DS$2+1))),"max", MAX(INDIRECT(ADDRESS(20+3,DS$2+1,,,"Instances") &amp; ":" &amp; ADDRESS(20+3,DS$2+1))),"diff", MAX(INDIRECT(ADDRESS(20+3,DS$2+1,,,"Instances") &amp; ":" &amp; ADDRESS(20+3,DS$2+1)))-MIN(INDIRECT(ADDRESS(20+3,DS$2+1,,,"Instances") &amp; ":" &amp; ADDRESS(20+3,DS$2+1))))</f>
        <v>0</v>
      </c>
      <c r="DT25">
        <f>IFERROR(SMALL(DS5:DS36,ROW()-ROW($DT$5)+1),"")</f>
        <v>0</v>
      </c>
      <c r="DV25">
        <f>IFERROR(SUM(DT5:DT25),"")</f>
        <v>0</v>
      </c>
      <c r="DW25" cm="1">
        <f t="array" ref="DW25">_xlfn.SWITCH(Charts!$B$3,"average", AVERAGE(INDIRECT(ADDRESS(20+3,DW$2+1,,,"Instances") &amp; ":" &amp; ADDRESS(20+3,DW$2+1))),"median", MEDIAN(INDIRECT(ADDRESS(20+3,DW$2+1,,,"Instances") &amp; ":" &amp; ADDRESS(20+3,DW$2+1))),"min", MIN(INDIRECT(ADDRESS(20+3,DW$2+1,,,"Instances") &amp; ":" &amp; ADDRESS(20+3,DW$2+1))),"max", MAX(INDIRECT(ADDRESS(20+3,DW$2+1,,,"Instances") &amp; ":" &amp; ADDRESS(20+3,DW$2+1))),"diff", MAX(INDIRECT(ADDRESS(20+3,DW$2+1,,,"Instances") &amp; ":" &amp; ADDRESS(20+3,DW$2+1)))-MIN(INDIRECT(ADDRESS(20+3,DW$2+1,,,"Instances") &amp; ":" &amp; ADDRESS(20+3,DW$2+1))))</f>
        <v>0</v>
      </c>
      <c r="DX25">
        <f>IFERROR(SMALL(DW5:DW36,ROW()-ROW($DX$5)+1),"")</f>
        <v>0</v>
      </c>
      <c r="DZ25">
        <f>IFERROR(SUM(DX5:DX25),"")</f>
        <v>0</v>
      </c>
      <c r="EA25" cm="1">
        <f t="array" ref="EA25">_xlfn.SWITCH(Charts!$B$3,"average", AVERAGE(INDIRECT(ADDRESS(20+3,EA$2+1,,,"Instances") &amp; ":" &amp; ADDRESS(20+3,EA$2+1))),"median", MEDIAN(INDIRECT(ADDRESS(20+3,EA$2+1,,,"Instances") &amp; ":" &amp; ADDRESS(20+3,EA$2+1))),"min", MIN(INDIRECT(ADDRESS(20+3,EA$2+1,,,"Instances") &amp; ":" &amp; ADDRESS(20+3,EA$2+1))),"max", MAX(INDIRECT(ADDRESS(20+3,EA$2+1,,,"Instances") &amp; ":" &amp; ADDRESS(20+3,EA$2+1))),"diff", MAX(INDIRECT(ADDRESS(20+3,EA$2+1,,,"Instances") &amp; ":" &amp; ADDRESS(20+3,EA$2+1)))-MIN(INDIRECT(ADDRESS(20+3,EA$2+1,,,"Instances") &amp; ":" &amp; ADDRESS(20+3,EA$2+1))))</f>
        <v>0</v>
      </c>
      <c r="EB25">
        <f>IFERROR(SMALL(EA5:EA36,ROW()-ROW($EB$5)+1),"")</f>
        <v>0</v>
      </c>
      <c r="ED25">
        <f>IFERROR(SUM(EB5:EB25),"")</f>
        <v>0</v>
      </c>
      <c r="EG25">
        <f>IF(Charts!$B$3="none",E192,IF(BS192="",NA(),BS192))</f>
        <v>0</v>
      </c>
      <c r="EH25">
        <f>IF(Charts!$B$3="none",F192,IF(BT192="",NA(),BT192))</f>
        <v>0</v>
      </c>
      <c r="EI25">
        <f>IF(Charts!$B$3="none",G192,IF(BU192="",NA(),BU192))</f>
        <v>0</v>
      </c>
      <c r="EJ25">
        <f>IF(Charts!$B$3="none",H192,IF(BV192="",NA(),BV192))</f>
        <v>0</v>
      </c>
      <c r="EK25">
        <f>IF(Charts!$B$3="none",I192,IF(BW192="",NA(),BW192))</f>
        <v>0</v>
      </c>
      <c r="EL25">
        <f>IF(Charts!$B$3="none",J192,IF(BX192="",NA(),BX192))</f>
        <v>0</v>
      </c>
      <c r="EM25">
        <f>IF(Charts!$B$3="none",K192,IF(BY192="",NA(),BY192))</f>
        <v>0</v>
      </c>
      <c r="EN25">
        <f>IF(Charts!$B$3="none",L192,IF(BZ192="",NA(),BZ192))</f>
        <v>0</v>
      </c>
      <c r="EO25">
        <f>IF(Charts!$B$3="none",M192,IF(CA192="",NA(),CA192))</f>
        <v>0</v>
      </c>
      <c r="EP25">
        <f>IF(Charts!$B$3="none",N192,IF(CB192="",NA(),CB192))</f>
        <v>0</v>
      </c>
      <c r="EQ25">
        <f>IF(Charts!$B$3="none",O192,IF(CC192="",NA(),CC192))</f>
        <v>0</v>
      </c>
      <c r="ER25">
        <f>IF(Charts!$B$3="none",P192,IF(CD192="",NA(),CD192))</f>
        <v>0</v>
      </c>
      <c r="ES25">
        <f>IF(Charts!$B$3="none",Q192,IF(CE192="",NA(),CE192))</f>
        <v>0</v>
      </c>
      <c r="ET25">
        <f>IF(Charts!$B$3="none",R192,IF(CF192="",NA(),CF192))</f>
        <v>0</v>
      </c>
      <c r="EU25">
        <f>IF(Charts!$B$3="none",S192,IF(CG192="",NA(),CG192))</f>
        <v>0</v>
      </c>
      <c r="EV25">
        <f>IF(Charts!$B$3="none",T192,IF(CH192="",NA(),CH192))</f>
        <v>0</v>
      </c>
      <c r="EW25">
        <f>IF(Charts!$B$3="none",U192,IF(CI192="",NA(),CI192))</f>
        <v>0</v>
      </c>
      <c r="EX25">
        <f>IF(Charts!$B$3="none",V192,IF(CJ192="",NA(),CJ192))</f>
        <v>0</v>
      </c>
      <c r="EY25">
        <f>IF(Charts!$B$3="none",W192,IF(CK192="",NA(),CK192))</f>
        <v>0</v>
      </c>
      <c r="EZ25">
        <f>IF(Charts!$B$3="none",X192,IF(CL192="",NA(),CL192))</f>
        <v>0</v>
      </c>
      <c r="FA25">
        <f>IF(Charts!$B$3="none",Y192,IF(CM192="",NA(),CM192))</f>
        <v>0</v>
      </c>
      <c r="FB25">
        <f>IF(Charts!$B$3="none",Z192,IF(CN192="",NA(),CN192))</f>
        <v>0</v>
      </c>
      <c r="FC25">
        <f>IF(Charts!$B$3="none",AA192,IF(CO192="",NA(),CO192))</f>
        <v>0</v>
      </c>
      <c r="FD25">
        <f>IF(Charts!$B$3="none",AB192,IF(CP192="",NA(),CP192))</f>
        <v>0</v>
      </c>
      <c r="FE25">
        <f>IF(Charts!$B$3="none",AC192,IF(CQ192="",NA(),CQ192))</f>
        <v>0</v>
      </c>
      <c r="FF25">
        <f>IF(Charts!$B$3="none",AD192,IF(CR192="",NA(),CR192))</f>
        <v>0</v>
      </c>
      <c r="FG25">
        <f>IF(Charts!$B$3="none",AE192,IF(CS192="",NA(),CS192))</f>
        <v>0</v>
      </c>
      <c r="FH25">
        <f>IF(Charts!$B$3="none",AF192,IF(CT192="",NA(),CT192))</f>
        <v>0</v>
      </c>
      <c r="FI25">
        <f>IF(Charts!$B$3="none",AG192,IF(CU192="",NA(),CU192))</f>
        <v>0</v>
      </c>
      <c r="FJ25">
        <f>IF(Charts!$B$3="none",AH192,IF(CV192="",NA(),CV192))</f>
        <v>0</v>
      </c>
      <c r="FK25">
        <f>IF(Charts!$B$3="none",AI192,IF(CW192="",NA(),CW192))</f>
        <v>0</v>
      </c>
      <c r="FL25">
        <f>IF(Charts!$B$3="none",AJ192,IF(CX192="",NA(),CX192))</f>
        <v>0</v>
      </c>
      <c r="FM25">
        <f>IF(Charts!$B$3="none",AK192,IF(CY192="",NA(),CY192))</f>
        <v>0</v>
      </c>
      <c r="FN25">
        <f>IF(Charts!$B$3="none",AL192,IF(CZ192="",NA(),CZ192))</f>
        <v>0</v>
      </c>
      <c r="FO25">
        <f>IF(Charts!$B$3="none",AM192,IF(DA192="",NA(),DA192))</f>
        <v>0</v>
      </c>
      <c r="FP25">
        <f>IF(Charts!$B$3="none",AN192,IF(DB192="",NA(),DB192))</f>
        <v>0</v>
      </c>
      <c r="FQ25">
        <f>IF(Charts!$B$3="none",AO192,IF(DC192="",NA(),DC192))</f>
        <v>0</v>
      </c>
      <c r="FR25">
        <f>IF(Charts!$B$3="none",AP192,IF(DD192="",NA(),DD192))</f>
        <v>0</v>
      </c>
      <c r="FS25">
        <f>IF(Charts!$B$3="none",AQ192,IF(DE192="",NA(),DE192))</f>
        <v>0</v>
      </c>
      <c r="FT25">
        <f>IF(Charts!$B$3="none",AR192,IF(DF192="",NA(),DF192))</f>
        <v>0</v>
      </c>
      <c r="FU25">
        <f>IF(Charts!$B$3="none",AS192,IF(DG192="",NA(),DG192))</f>
        <v>0</v>
      </c>
      <c r="FV25">
        <f>IF(Charts!$B$3="none",AT192,IF(DH192="",NA(),DH192))</f>
        <v>0</v>
      </c>
      <c r="FW25">
        <f>IF(Charts!$B$3="none",AU192,IF(DI192="",NA(),DI192))</f>
        <v>0</v>
      </c>
      <c r="FX25">
        <f>IF(Charts!$B$3="none",AV192,IF(DJ192="",NA(),DJ192))</f>
        <v>0</v>
      </c>
      <c r="FY25">
        <f>IF(Charts!$B$3="none",AW192,IF(DK192="",NA(),DK192))</f>
        <v>0</v>
      </c>
      <c r="FZ25">
        <f>IF(Charts!$B$3="none",AX192,IF(DL192="",NA(),DL192))</f>
        <v>0</v>
      </c>
      <c r="GA25">
        <f>IF(Charts!$B$3="none",AY192,IF(DM192="",NA(),DM192))</f>
        <v>0</v>
      </c>
      <c r="GB25">
        <f>IF(Charts!$B$3="none",AZ192,IF(DN192="",NA(),DN192))</f>
        <v>0</v>
      </c>
      <c r="GC25">
        <f>IF(Charts!$B$3="none",BA192,IF(DO192="",NA(),DO192))</f>
        <v>0</v>
      </c>
      <c r="GD25">
        <f>IF(Charts!$B$3="none",BB192,IF(DP192="",NA(),DP192))</f>
        <v>0</v>
      </c>
      <c r="GE25">
        <f>IF(Charts!$B$3="none",BC192,IF(DQ192="",NA(),DQ192))</f>
        <v>0</v>
      </c>
      <c r="GF25">
        <f>IF(Charts!$B$3="none",BD192,IF(DR192="",NA(),DR192))</f>
        <v>0</v>
      </c>
      <c r="GG25">
        <f>IF(Charts!$B$3="none",BE192,IF(DS192="",NA(),DS192))</f>
        <v>0</v>
      </c>
      <c r="GH25">
        <f>IF(Charts!$B$3="none",BF192,IF(DT192="",NA(),DT192))</f>
        <v>0</v>
      </c>
      <c r="GI25">
        <f>IF(Charts!$B$3="none",BG192,IF(DU192="",NA(),DU192))</f>
        <v>0</v>
      </c>
      <c r="GJ25">
        <f>IF(Charts!$B$3="none",BH192,IF(DV192="",NA(),DV192))</f>
        <v>0</v>
      </c>
      <c r="GK25">
        <f>IF(Charts!$B$3="none",BI192,IF(DW192="",NA(),DW192))</f>
        <v>0</v>
      </c>
      <c r="GL25">
        <f>IF(Charts!$B$3="none",BJ192,IF(DX192="",NA(),DX192))</f>
        <v>0</v>
      </c>
      <c r="GM25">
        <f>IF(Charts!$B$3="none",BK192,IF(DY192="",NA(),DY192))</f>
        <v>0</v>
      </c>
      <c r="GN25">
        <f>IF(Charts!$B$3="none",BL192,IF(DZ192="",NA(),DZ192))</f>
        <v>0</v>
      </c>
      <c r="GO25">
        <f>IF(Charts!$B$3="none",BM192,IF(EA192="",NA(),EA192))</f>
        <v>0</v>
      </c>
      <c r="GP25">
        <f>IF(Charts!$B$3="none",BN192,IF(EB192="",NA(),EB192))</f>
        <v>0</v>
      </c>
      <c r="GQ25">
        <f>IF(Charts!$B$3="none",BO192,IF(EC192="",NA(),EC192))</f>
        <v>0</v>
      </c>
      <c r="GR25">
        <f>IF(Charts!$B$3="none",BP192,IF(ED192="",NA(),ED192))</f>
        <v>0</v>
      </c>
    </row>
    <row r="26" spans="1:200">
      <c r="D26">
        <v>22</v>
      </c>
      <c r="E26">
        <f>IF(INDIRECT(ADDRESS($D26+2,E$2+1,,,"Instances"))="","",INDIRECT(ADDRESS($D26+2,E$2+1,,,"Instances")))</f>
        <v>0</v>
      </c>
      <c r="F26">
        <f>IFERROR(SMALL(E5:E36,ROW()-ROW($F$5)+1),"")</f>
        <v>0</v>
      </c>
      <c r="H26">
        <f>IFERROR(SUM(F5:F26),"")</f>
        <v>0</v>
      </c>
      <c r="I26">
        <f>IF(INDIRECT(ADDRESS($D26+2,I$2+1,,,"Instances"))="","",INDIRECT(ADDRESS($D26+2,I$2+1,,,"Instances")))</f>
        <v>0</v>
      </c>
      <c r="J26">
        <f>IFERROR(SMALL(I5:I36,ROW()-ROW($J$5)+1),"")</f>
        <v>0</v>
      </c>
      <c r="L26">
        <f>IFERROR(SUM(J5:J26),"")</f>
        <v>0</v>
      </c>
      <c r="M26">
        <f>IF(INDIRECT(ADDRESS($D26+2,M$2+1,,,"Instances"))="","",INDIRECT(ADDRESS($D26+2,M$2+1,,,"Instances")))</f>
        <v>0</v>
      </c>
      <c r="N26">
        <f>IFERROR(SMALL(M5:M36,ROW()-ROW($N$5)+1),"")</f>
        <v>0</v>
      </c>
      <c r="P26">
        <f>IFERROR(SUM(N5:N26),"")</f>
        <v>0</v>
      </c>
      <c r="Q26">
        <f>IF(INDIRECT(ADDRESS($D26+2,Q$2+1,,,"Instances"))="","",INDIRECT(ADDRESS($D26+2,Q$2+1,,,"Instances")))</f>
        <v>0</v>
      </c>
      <c r="R26">
        <f>IFERROR(SMALL(Q5:Q36,ROW()-ROW($R$5)+1),"")</f>
        <v>0</v>
      </c>
      <c r="T26">
        <f>IFERROR(SUM(R5:R26),"")</f>
        <v>0</v>
      </c>
      <c r="U26">
        <f>IF(INDIRECT(ADDRESS($D26+2,U$2+1,,,"Instances"))="","",INDIRECT(ADDRESS($D26+2,U$2+1,,,"Instances")))</f>
        <v>0</v>
      </c>
      <c r="V26">
        <f>IFERROR(SMALL(U5:U36,ROW()-ROW($V$5)+1),"")</f>
        <v>0</v>
      </c>
      <c r="X26">
        <f>IFERROR(SUM(V5:V26),"")</f>
        <v>0</v>
      </c>
      <c r="Y26">
        <f>IF(INDIRECT(ADDRESS($D26+2,Y$2+1,,,"Instances"))="","",INDIRECT(ADDRESS($D26+2,Y$2+1,,,"Instances")))</f>
        <v>0</v>
      </c>
      <c r="Z26">
        <f>IFERROR(SMALL(Y5:Y36,ROW()-ROW($Z$5)+1),"")</f>
        <v>0</v>
      </c>
      <c r="AB26">
        <f>IFERROR(SUM(Z5:Z26),"")</f>
        <v>0</v>
      </c>
      <c r="AC26">
        <f>IF(INDIRECT(ADDRESS($D26+2,AC$2+1,,,"Instances"))="","",INDIRECT(ADDRESS($D26+2,AC$2+1,,,"Instances")))</f>
        <v>0</v>
      </c>
      <c r="AD26">
        <f>IFERROR(SMALL(AC5:AC36,ROW()-ROW($AD$5)+1),"")</f>
        <v>0</v>
      </c>
      <c r="AF26">
        <f>IFERROR(SUM(AD5:AD26),"")</f>
        <v>0</v>
      </c>
      <c r="AG26">
        <f>IF(INDIRECT(ADDRESS($D26+2,AG$2+1,,,"Instances"))="","",INDIRECT(ADDRESS($D26+2,AG$2+1,,,"Instances")))</f>
        <v>0</v>
      </c>
      <c r="AH26">
        <f>IFERROR(SMALL(AG5:AG36,ROW()-ROW($AH$5)+1),"")</f>
        <v>0</v>
      </c>
      <c r="AJ26">
        <f>IFERROR(SUM(AH5:AH26),"")</f>
        <v>0</v>
      </c>
      <c r="AK26">
        <f>IF(INDIRECT(ADDRESS($D26+2,AK$2+1,,,"Instances"))="","",INDIRECT(ADDRESS($D26+2,AK$2+1,,,"Instances")))</f>
        <v>0</v>
      </c>
      <c r="AL26">
        <f>IFERROR(SMALL(AK5:AK36,ROW()-ROW($AL$5)+1),"")</f>
        <v>0</v>
      </c>
      <c r="AN26">
        <f>IFERROR(SUM(AL5:AL26),"")</f>
        <v>0</v>
      </c>
      <c r="AO26">
        <f>IF(INDIRECT(ADDRESS($D26+2,AO$2+1,,,"Instances"))="","",INDIRECT(ADDRESS($D26+2,AO$2+1,,,"Instances")))</f>
        <v>0</v>
      </c>
      <c r="AP26">
        <f>IFERROR(SMALL(AO5:AO36,ROW()-ROW($AP$5)+1),"")</f>
        <v>0</v>
      </c>
      <c r="AR26">
        <f>IFERROR(SUM(AP5:AP26),"")</f>
        <v>0</v>
      </c>
      <c r="AS26">
        <f>IF(INDIRECT(ADDRESS($D26+2,AS$2+1,,,"Instances"))="","",INDIRECT(ADDRESS($D26+2,AS$2+1,,,"Instances")))</f>
        <v>0</v>
      </c>
      <c r="AT26">
        <f>IFERROR(SMALL(AS5:AS36,ROW()-ROW($AT$5)+1),"")</f>
        <v>0</v>
      </c>
      <c r="AV26">
        <f>IFERROR(SUM(AT5:AT26),"")</f>
        <v>0</v>
      </c>
      <c r="AW26">
        <f>IF(INDIRECT(ADDRESS($D26+2,AW$2+1,,,"Instances"))="","",INDIRECT(ADDRESS($D26+2,AW$2+1,,,"Instances")))</f>
        <v>0</v>
      </c>
      <c r="AX26">
        <f>IFERROR(SMALL(AW5:AW36,ROW()-ROW($AX$5)+1),"")</f>
        <v>0</v>
      </c>
      <c r="AZ26">
        <f>IFERROR(SUM(AX5:AX26),"")</f>
        <v>0</v>
      </c>
      <c r="BA26">
        <f>IF(INDIRECT(ADDRESS($D26+2,BA$2+1,,,"Instances"))="","",INDIRECT(ADDRESS($D26+2,BA$2+1,,,"Instances")))</f>
        <v>0</v>
      </c>
      <c r="BB26">
        <f>IFERROR(SMALL(BA5:BA36,ROW()-ROW($BB$5)+1),"")</f>
        <v>0</v>
      </c>
      <c r="BD26">
        <f>IFERROR(SUM(BB5:BB26),"")</f>
        <v>0</v>
      </c>
      <c r="BE26">
        <f>IF(INDIRECT(ADDRESS($D26+2,BE$2+1,,,"Instances"))="","",INDIRECT(ADDRESS($D26+2,BE$2+1,,,"Instances")))</f>
        <v>0</v>
      </c>
      <c r="BF26">
        <f>IFERROR(SMALL(BE5:BE36,ROW()-ROW($BF$5)+1),"")</f>
        <v>0</v>
      </c>
      <c r="BH26">
        <f>IFERROR(SUM(BF5:BF26),"")</f>
        <v>0</v>
      </c>
      <c r="BI26">
        <f>IF(INDIRECT(ADDRESS($D26+2,BI$2+1,,,"Instances"))="","",INDIRECT(ADDRESS($D26+2,BI$2+1,,,"Instances")))</f>
        <v>0</v>
      </c>
      <c r="BJ26">
        <f>IFERROR(SMALL(BI5:BI36,ROW()-ROW($BJ$5)+1),"")</f>
        <v>0</v>
      </c>
      <c r="BL26">
        <f>IFERROR(SUM(BJ5:BJ26),"")</f>
        <v>0</v>
      </c>
      <c r="BM26">
        <f>IF(INDIRECT(ADDRESS($D26+2,BM$2+1,,,"Instances"))="","",INDIRECT(ADDRESS($D26+2,BM$2+1,,,"Instances")))</f>
        <v>0</v>
      </c>
      <c r="BN26">
        <f>IFERROR(SMALL(BM5:BM36,ROW()-ROW($BN$5)+1),"")</f>
        <v>0</v>
      </c>
      <c r="BP26">
        <f>IFERROR(SUM(BN5:BN26),"")</f>
        <v>0</v>
      </c>
      <c r="BR26">
        <v>22</v>
      </c>
      <c r="BS26" cm="1">
        <f t="array" ref="BS26">_xlfn.SWITCH(Charts!$B$3,"average", AVERAGE(INDIRECT(ADDRESS(21+3,BS$2+1,,,"Instances") &amp; ":" &amp; ADDRESS(21+3,BS$2+1))),"median", MEDIAN(INDIRECT(ADDRESS(21+3,BS$2+1,,,"Instances") &amp; ":" &amp; ADDRESS(21+3,BS$2+1))),"min", MIN(INDIRECT(ADDRESS(21+3,BS$2+1,,,"Instances") &amp; ":" &amp; ADDRESS(21+3,BS$2+1))),"max", MAX(INDIRECT(ADDRESS(21+3,BS$2+1,,,"Instances") &amp; ":" &amp; ADDRESS(21+3,BS$2+1))),"diff", MAX(INDIRECT(ADDRESS(21+3,BS$2+1,,,"Instances") &amp; ":" &amp; ADDRESS(21+3,BS$2+1)))-MIN(INDIRECT(ADDRESS(21+3,BS$2+1,,,"Instances") &amp; ":" &amp; ADDRESS(21+3,BS$2+1))))</f>
        <v>0</v>
      </c>
      <c r="BT26">
        <f>IFERROR(SMALL(BS5:BS36,ROW()-ROW($BT$5)+1),"")</f>
        <v>0</v>
      </c>
      <c r="BV26">
        <f>IFERROR(SUM(BT5:BT26),"")</f>
        <v>0</v>
      </c>
      <c r="BW26" cm="1">
        <f t="array" ref="BW26">_xlfn.SWITCH(Charts!$B$3,"average", AVERAGE(INDIRECT(ADDRESS(21+3,BW$2+1,,,"Instances") &amp; ":" &amp; ADDRESS(21+3,BW$2+1))),"median", MEDIAN(INDIRECT(ADDRESS(21+3,BW$2+1,,,"Instances") &amp; ":" &amp; ADDRESS(21+3,BW$2+1))),"min", MIN(INDIRECT(ADDRESS(21+3,BW$2+1,,,"Instances") &amp; ":" &amp; ADDRESS(21+3,BW$2+1))),"max", MAX(INDIRECT(ADDRESS(21+3,BW$2+1,,,"Instances") &amp; ":" &amp; ADDRESS(21+3,BW$2+1))),"diff", MAX(INDIRECT(ADDRESS(21+3,BW$2+1,,,"Instances") &amp; ":" &amp; ADDRESS(21+3,BW$2+1)))-MIN(INDIRECT(ADDRESS(21+3,BW$2+1,,,"Instances") &amp; ":" &amp; ADDRESS(21+3,BW$2+1))))</f>
        <v>0</v>
      </c>
      <c r="BX26">
        <f>IFERROR(SMALL(BW5:BW36,ROW()-ROW($BX$5)+1),"")</f>
        <v>0</v>
      </c>
      <c r="BZ26">
        <f>IFERROR(SUM(BX5:BX26),"")</f>
        <v>0</v>
      </c>
      <c r="CA26" cm="1">
        <f t="array" ref="CA26">_xlfn.SWITCH(Charts!$B$3,"average", AVERAGE(INDIRECT(ADDRESS(21+3,CA$2+1,,,"Instances") &amp; ":" &amp; ADDRESS(21+3,CA$2+1))),"median", MEDIAN(INDIRECT(ADDRESS(21+3,CA$2+1,,,"Instances") &amp; ":" &amp; ADDRESS(21+3,CA$2+1))),"min", MIN(INDIRECT(ADDRESS(21+3,CA$2+1,,,"Instances") &amp; ":" &amp; ADDRESS(21+3,CA$2+1))),"max", MAX(INDIRECT(ADDRESS(21+3,CA$2+1,,,"Instances") &amp; ":" &amp; ADDRESS(21+3,CA$2+1))),"diff", MAX(INDIRECT(ADDRESS(21+3,CA$2+1,,,"Instances") &amp; ":" &amp; ADDRESS(21+3,CA$2+1)))-MIN(INDIRECT(ADDRESS(21+3,CA$2+1,,,"Instances") &amp; ":" &amp; ADDRESS(21+3,CA$2+1))))</f>
        <v>0</v>
      </c>
      <c r="CB26">
        <f>IFERROR(SMALL(CA5:CA36,ROW()-ROW($CB$5)+1),"")</f>
        <v>0</v>
      </c>
      <c r="CD26">
        <f>IFERROR(SUM(CB5:CB26),"")</f>
        <v>0</v>
      </c>
      <c r="CE26" cm="1">
        <f t="array" ref="CE26">_xlfn.SWITCH(Charts!$B$3,"average", AVERAGE(INDIRECT(ADDRESS(21+3,CE$2+1,,,"Instances") &amp; ":" &amp; ADDRESS(21+3,CE$2+1))),"median", MEDIAN(INDIRECT(ADDRESS(21+3,CE$2+1,,,"Instances") &amp; ":" &amp; ADDRESS(21+3,CE$2+1))),"min", MIN(INDIRECT(ADDRESS(21+3,CE$2+1,,,"Instances") &amp; ":" &amp; ADDRESS(21+3,CE$2+1))),"max", MAX(INDIRECT(ADDRESS(21+3,CE$2+1,,,"Instances") &amp; ":" &amp; ADDRESS(21+3,CE$2+1))),"diff", MAX(INDIRECT(ADDRESS(21+3,CE$2+1,,,"Instances") &amp; ":" &amp; ADDRESS(21+3,CE$2+1)))-MIN(INDIRECT(ADDRESS(21+3,CE$2+1,,,"Instances") &amp; ":" &amp; ADDRESS(21+3,CE$2+1))))</f>
        <v>0</v>
      </c>
      <c r="CF26">
        <f>IFERROR(SMALL(CE5:CE36,ROW()-ROW($CF$5)+1),"")</f>
        <v>0</v>
      </c>
      <c r="CH26">
        <f>IFERROR(SUM(CF5:CF26),"")</f>
        <v>0</v>
      </c>
      <c r="CI26" cm="1">
        <f t="array" ref="CI26">_xlfn.SWITCH(Charts!$B$3,"average", AVERAGE(INDIRECT(ADDRESS(21+3,CI$2+1,,,"Instances") &amp; ":" &amp; ADDRESS(21+3,CI$2+1))),"median", MEDIAN(INDIRECT(ADDRESS(21+3,CI$2+1,,,"Instances") &amp; ":" &amp; ADDRESS(21+3,CI$2+1))),"min", MIN(INDIRECT(ADDRESS(21+3,CI$2+1,,,"Instances") &amp; ":" &amp; ADDRESS(21+3,CI$2+1))),"max", MAX(INDIRECT(ADDRESS(21+3,CI$2+1,,,"Instances") &amp; ":" &amp; ADDRESS(21+3,CI$2+1))),"diff", MAX(INDIRECT(ADDRESS(21+3,CI$2+1,,,"Instances") &amp; ":" &amp; ADDRESS(21+3,CI$2+1)))-MIN(INDIRECT(ADDRESS(21+3,CI$2+1,,,"Instances") &amp; ":" &amp; ADDRESS(21+3,CI$2+1))))</f>
        <v>0</v>
      </c>
      <c r="CJ26">
        <f>IFERROR(SMALL(CI5:CI36,ROW()-ROW($CJ$5)+1),"")</f>
        <v>0</v>
      </c>
      <c r="CL26">
        <f>IFERROR(SUM(CJ5:CJ26),"")</f>
        <v>0</v>
      </c>
      <c r="CM26" cm="1">
        <f t="array" ref="CM26">_xlfn.SWITCH(Charts!$B$3,"average", AVERAGE(INDIRECT(ADDRESS(21+3,CM$2+1,,,"Instances") &amp; ":" &amp; ADDRESS(21+3,CM$2+1))),"median", MEDIAN(INDIRECT(ADDRESS(21+3,CM$2+1,,,"Instances") &amp; ":" &amp; ADDRESS(21+3,CM$2+1))),"min", MIN(INDIRECT(ADDRESS(21+3,CM$2+1,,,"Instances") &amp; ":" &amp; ADDRESS(21+3,CM$2+1))),"max", MAX(INDIRECT(ADDRESS(21+3,CM$2+1,,,"Instances") &amp; ":" &amp; ADDRESS(21+3,CM$2+1))),"diff", MAX(INDIRECT(ADDRESS(21+3,CM$2+1,,,"Instances") &amp; ":" &amp; ADDRESS(21+3,CM$2+1)))-MIN(INDIRECT(ADDRESS(21+3,CM$2+1,,,"Instances") &amp; ":" &amp; ADDRESS(21+3,CM$2+1))))</f>
        <v>0</v>
      </c>
      <c r="CN26">
        <f>IFERROR(SMALL(CM5:CM36,ROW()-ROW($CN$5)+1),"")</f>
        <v>0</v>
      </c>
      <c r="CP26">
        <f>IFERROR(SUM(CN5:CN26),"")</f>
        <v>0</v>
      </c>
      <c r="CQ26" cm="1">
        <f t="array" ref="CQ26">_xlfn.SWITCH(Charts!$B$3,"average", AVERAGE(INDIRECT(ADDRESS(21+3,CQ$2+1,,,"Instances") &amp; ":" &amp; ADDRESS(21+3,CQ$2+1))),"median", MEDIAN(INDIRECT(ADDRESS(21+3,CQ$2+1,,,"Instances") &amp; ":" &amp; ADDRESS(21+3,CQ$2+1))),"min", MIN(INDIRECT(ADDRESS(21+3,CQ$2+1,,,"Instances") &amp; ":" &amp; ADDRESS(21+3,CQ$2+1))),"max", MAX(INDIRECT(ADDRESS(21+3,CQ$2+1,,,"Instances") &amp; ":" &amp; ADDRESS(21+3,CQ$2+1))),"diff", MAX(INDIRECT(ADDRESS(21+3,CQ$2+1,,,"Instances") &amp; ":" &amp; ADDRESS(21+3,CQ$2+1)))-MIN(INDIRECT(ADDRESS(21+3,CQ$2+1,,,"Instances") &amp; ":" &amp; ADDRESS(21+3,CQ$2+1))))</f>
        <v>0</v>
      </c>
      <c r="CR26">
        <f>IFERROR(SMALL(CQ5:CQ36,ROW()-ROW($CR$5)+1),"")</f>
        <v>0</v>
      </c>
      <c r="CT26">
        <f>IFERROR(SUM(CR5:CR26),"")</f>
        <v>0</v>
      </c>
      <c r="CU26" cm="1">
        <f t="array" ref="CU26">_xlfn.SWITCH(Charts!$B$3,"average", AVERAGE(INDIRECT(ADDRESS(21+3,CU$2+1,,,"Instances") &amp; ":" &amp; ADDRESS(21+3,CU$2+1))),"median", MEDIAN(INDIRECT(ADDRESS(21+3,CU$2+1,,,"Instances") &amp; ":" &amp; ADDRESS(21+3,CU$2+1))),"min", MIN(INDIRECT(ADDRESS(21+3,CU$2+1,,,"Instances") &amp; ":" &amp; ADDRESS(21+3,CU$2+1))),"max", MAX(INDIRECT(ADDRESS(21+3,CU$2+1,,,"Instances") &amp; ":" &amp; ADDRESS(21+3,CU$2+1))),"diff", MAX(INDIRECT(ADDRESS(21+3,CU$2+1,,,"Instances") &amp; ":" &amp; ADDRESS(21+3,CU$2+1)))-MIN(INDIRECT(ADDRESS(21+3,CU$2+1,,,"Instances") &amp; ":" &amp; ADDRESS(21+3,CU$2+1))))</f>
        <v>0</v>
      </c>
      <c r="CV26">
        <f>IFERROR(SMALL(CU5:CU36,ROW()-ROW($CV$5)+1),"")</f>
        <v>0</v>
      </c>
      <c r="CX26">
        <f>IFERROR(SUM(CV5:CV26),"")</f>
        <v>0</v>
      </c>
      <c r="CY26" cm="1">
        <f t="array" ref="CY26">_xlfn.SWITCH(Charts!$B$3,"average", AVERAGE(INDIRECT(ADDRESS(21+3,CY$2+1,,,"Instances") &amp; ":" &amp; ADDRESS(21+3,CY$2+1))),"median", MEDIAN(INDIRECT(ADDRESS(21+3,CY$2+1,,,"Instances") &amp; ":" &amp; ADDRESS(21+3,CY$2+1))),"min", MIN(INDIRECT(ADDRESS(21+3,CY$2+1,,,"Instances") &amp; ":" &amp; ADDRESS(21+3,CY$2+1))),"max", MAX(INDIRECT(ADDRESS(21+3,CY$2+1,,,"Instances") &amp; ":" &amp; ADDRESS(21+3,CY$2+1))),"diff", MAX(INDIRECT(ADDRESS(21+3,CY$2+1,,,"Instances") &amp; ":" &amp; ADDRESS(21+3,CY$2+1)))-MIN(INDIRECT(ADDRESS(21+3,CY$2+1,,,"Instances") &amp; ":" &amp; ADDRESS(21+3,CY$2+1))))</f>
        <v>0</v>
      </c>
      <c r="CZ26">
        <f>IFERROR(SMALL(CY5:CY36,ROW()-ROW($CZ$5)+1),"")</f>
        <v>0</v>
      </c>
      <c r="DB26">
        <f>IFERROR(SUM(CZ5:CZ26),"")</f>
        <v>0</v>
      </c>
      <c r="DC26" cm="1">
        <f t="array" ref="DC26">_xlfn.SWITCH(Charts!$B$3,"average", AVERAGE(INDIRECT(ADDRESS(21+3,DC$2+1,,,"Instances") &amp; ":" &amp; ADDRESS(21+3,DC$2+1))),"median", MEDIAN(INDIRECT(ADDRESS(21+3,DC$2+1,,,"Instances") &amp; ":" &amp; ADDRESS(21+3,DC$2+1))),"min", MIN(INDIRECT(ADDRESS(21+3,DC$2+1,,,"Instances") &amp; ":" &amp; ADDRESS(21+3,DC$2+1))),"max", MAX(INDIRECT(ADDRESS(21+3,DC$2+1,,,"Instances") &amp; ":" &amp; ADDRESS(21+3,DC$2+1))),"diff", MAX(INDIRECT(ADDRESS(21+3,DC$2+1,,,"Instances") &amp; ":" &amp; ADDRESS(21+3,DC$2+1)))-MIN(INDIRECT(ADDRESS(21+3,DC$2+1,,,"Instances") &amp; ":" &amp; ADDRESS(21+3,DC$2+1))))</f>
        <v>0</v>
      </c>
      <c r="DD26">
        <f>IFERROR(SMALL(DC5:DC36,ROW()-ROW($DD$5)+1),"")</f>
        <v>0</v>
      </c>
      <c r="DF26">
        <f>IFERROR(SUM(DD5:DD26),"")</f>
        <v>0</v>
      </c>
      <c r="DG26" cm="1">
        <f t="array" ref="DG26">_xlfn.SWITCH(Charts!$B$3,"average", AVERAGE(INDIRECT(ADDRESS(21+3,DG$2+1,,,"Instances") &amp; ":" &amp; ADDRESS(21+3,DG$2+1))),"median", MEDIAN(INDIRECT(ADDRESS(21+3,DG$2+1,,,"Instances") &amp; ":" &amp; ADDRESS(21+3,DG$2+1))),"min", MIN(INDIRECT(ADDRESS(21+3,DG$2+1,,,"Instances") &amp; ":" &amp; ADDRESS(21+3,DG$2+1))),"max", MAX(INDIRECT(ADDRESS(21+3,DG$2+1,,,"Instances") &amp; ":" &amp; ADDRESS(21+3,DG$2+1))),"diff", MAX(INDIRECT(ADDRESS(21+3,DG$2+1,,,"Instances") &amp; ":" &amp; ADDRESS(21+3,DG$2+1)))-MIN(INDIRECT(ADDRESS(21+3,DG$2+1,,,"Instances") &amp; ":" &amp; ADDRESS(21+3,DG$2+1))))</f>
        <v>0</v>
      </c>
      <c r="DH26">
        <f>IFERROR(SMALL(DG5:DG36,ROW()-ROW($DH$5)+1),"")</f>
        <v>0</v>
      </c>
      <c r="DJ26">
        <f>IFERROR(SUM(DH5:DH26),"")</f>
        <v>0</v>
      </c>
      <c r="DK26" cm="1">
        <f t="array" ref="DK26">_xlfn.SWITCH(Charts!$B$3,"average", AVERAGE(INDIRECT(ADDRESS(21+3,DK$2+1,,,"Instances") &amp; ":" &amp; ADDRESS(21+3,DK$2+1))),"median", MEDIAN(INDIRECT(ADDRESS(21+3,DK$2+1,,,"Instances") &amp; ":" &amp; ADDRESS(21+3,DK$2+1))),"min", MIN(INDIRECT(ADDRESS(21+3,DK$2+1,,,"Instances") &amp; ":" &amp; ADDRESS(21+3,DK$2+1))),"max", MAX(INDIRECT(ADDRESS(21+3,DK$2+1,,,"Instances") &amp; ":" &amp; ADDRESS(21+3,DK$2+1))),"diff", MAX(INDIRECT(ADDRESS(21+3,DK$2+1,,,"Instances") &amp; ":" &amp; ADDRESS(21+3,DK$2+1)))-MIN(INDIRECT(ADDRESS(21+3,DK$2+1,,,"Instances") &amp; ":" &amp; ADDRESS(21+3,DK$2+1))))</f>
        <v>0</v>
      </c>
      <c r="DL26">
        <f>IFERROR(SMALL(DK5:DK36,ROW()-ROW($DL$5)+1),"")</f>
        <v>0</v>
      </c>
      <c r="DN26">
        <f>IFERROR(SUM(DL5:DL26),"")</f>
        <v>0</v>
      </c>
      <c r="DO26" cm="1">
        <f t="array" ref="DO26">_xlfn.SWITCH(Charts!$B$3,"average", AVERAGE(INDIRECT(ADDRESS(21+3,DO$2+1,,,"Instances") &amp; ":" &amp; ADDRESS(21+3,DO$2+1))),"median", MEDIAN(INDIRECT(ADDRESS(21+3,DO$2+1,,,"Instances") &amp; ":" &amp; ADDRESS(21+3,DO$2+1))),"min", MIN(INDIRECT(ADDRESS(21+3,DO$2+1,,,"Instances") &amp; ":" &amp; ADDRESS(21+3,DO$2+1))),"max", MAX(INDIRECT(ADDRESS(21+3,DO$2+1,,,"Instances") &amp; ":" &amp; ADDRESS(21+3,DO$2+1))),"diff", MAX(INDIRECT(ADDRESS(21+3,DO$2+1,,,"Instances") &amp; ":" &amp; ADDRESS(21+3,DO$2+1)))-MIN(INDIRECT(ADDRESS(21+3,DO$2+1,,,"Instances") &amp; ":" &amp; ADDRESS(21+3,DO$2+1))))</f>
        <v>0</v>
      </c>
      <c r="DP26">
        <f>IFERROR(SMALL(DO5:DO36,ROW()-ROW($DP$5)+1),"")</f>
        <v>0</v>
      </c>
      <c r="DR26">
        <f>IFERROR(SUM(DP5:DP26),"")</f>
        <v>0</v>
      </c>
      <c r="DS26" cm="1">
        <f t="array" ref="DS26">_xlfn.SWITCH(Charts!$B$3,"average", AVERAGE(INDIRECT(ADDRESS(21+3,DS$2+1,,,"Instances") &amp; ":" &amp; ADDRESS(21+3,DS$2+1))),"median", MEDIAN(INDIRECT(ADDRESS(21+3,DS$2+1,,,"Instances") &amp; ":" &amp; ADDRESS(21+3,DS$2+1))),"min", MIN(INDIRECT(ADDRESS(21+3,DS$2+1,,,"Instances") &amp; ":" &amp; ADDRESS(21+3,DS$2+1))),"max", MAX(INDIRECT(ADDRESS(21+3,DS$2+1,,,"Instances") &amp; ":" &amp; ADDRESS(21+3,DS$2+1))),"diff", MAX(INDIRECT(ADDRESS(21+3,DS$2+1,,,"Instances") &amp; ":" &amp; ADDRESS(21+3,DS$2+1)))-MIN(INDIRECT(ADDRESS(21+3,DS$2+1,,,"Instances") &amp; ":" &amp; ADDRESS(21+3,DS$2+1))))</f>
        <v>0</v>
      </c>
      <c r="DT26">
        <f>IFERROR(SMALL(DS5:DS36,ROW()-ROW($DT$5)+1),"")</f>
        <v>0</v>
      </c>
      <c r="DV26">
        <f>IFERROR(SUM(DT5:DT26),"")</f>
        <v>0</v>
      </c>
      <c r="DW26" cm="1">
        <f t="array" ref="DW26">_xlfn.SWITCH(Charts!$B$3,"average", AVERAGE(INDIRECT(ADDRESS(21+3,DW$2+1,,,"Instances") &amp; ":" &amp; ADDRESS(21+3,DW$2+1))),"median", MEDIAN(INDIRECT(ADDRESS(21+3,DW$2+1,,,"Instances") &amp; ":" &amp; ADDRESS(21+3,DW$2+1))),"min", MIN(INDIRECT(ADDRESS(21+3,DW$2+1,,,"Instances") &amp; ":" &amp; ADDRESS(21+3,DW$2+1))),"max", MAX(INDIRECT(ADDRESS(21+3,DW$2+1,,,"Instances") &amp; ":" &amp; ADDRESS(21+3,DW$2+1))),"diff", MAX(INDIRECT(ADDRESS(21+3,DW$2+1,,,"Instances") &amp; ":" &amp; ADDRESS(21+3,DW$2+1)))-MIN(INDIRECT(ADDRESS(21+3,DW$2+1,,,"Instances") &amp; ":" &amp; ADDRESS(21+3,DW$2+1))))</f>
        <v>0</v>
      </c>
      <c r="DX26">
        <f>IFERROR(SMALL(DW5:DW36,ROW()-ROW($DX$5)+1),"")</f>
        <v>0</v>
      </c>
      <c r="DZ26">
        <f>IFERROR(SUM(DX5:DX26),"")</f>
        <v>0</v>
      </c>
      <c r="EA26" cm="1">
        <f t="array" ref="EA26">_xlfn.SWITCH(Charts!$B$3,"average", AVERAGE(INDIRECT(ADDRESS(21+3,EA$2+1,,,"Instances") &amp; ":" &amp; ADDRESS(21+3,EA$2+1))),"median", MEDIAN(INDIRECT(ADDRESS(21+3,EA$2+1,,,"Instances") &amp; ":" &amp; ADDRESS(21+3,EA$2+1))),"min", MIN(INDIRECT(ADDRESS(21+3,EA$2+1,,,"Instances") &amp; ":" &amp; ADDRESS(21+3,EA$2+1))),"max", MAX(INDIRECT(ADDRESS(21+3,EA$2+1,,,"Instances") &amp; ":" &amp; ADDRESS(21+3,EA$2+1))),"diff", MAX(INDIRECT(ADDRESS(21+3,EA$2+1,,,"Instances") &amp; ":" &amp; ADDRESS(21+3,EA$2+1)))-MIN(INDIRECT(ADDRESS(21+3,EA$2+1,,,"Instances") &amp; ":" &amp; ADDRESS(21+3,EA$2+1))))</f>
        <v>0</v>
      </c>
      <c r="EB26">
        <f>IFERROR(SMALL(EA5:EA36,ROW()-ROW($EB$5)+1),"")</f>
        <v>0</v>
      </c>
      <c r="ED26">
        <f>IFERROR(SUM(EB5:EB26),"")</f>
        <v>0</v>
      </c>
      <c r="EG26">
        <f>IF(Charts!$B$3="none",E193,IF(BS193="",NA(),BS193))</f>
        <v>0</v>
      </c>
      <c r="EH26">
        <f>IF(Charts!$B$3="none",F193,IF(BT193="",NA(),BT193))</f>
        <v>0</v>
      </c>
      <c r="EI26">
        <f>IF(Charts!$B$3="none",G193,IF(BU193="",NA(),BU193))</f>
        <v>0</v>
      </c>
      <c r="EJ26">
        <f>IF(Charts!$B$3="none",H193,IF(BV193="",NA(),BV193))</f>
        <v>0</v>
      </c>
      <c r="EK26">
        <f>IF(Charts!$B$3="none",I193,IF(BW193="",NA(),BW193))</f>
        <v>0</v>
      </c>
      <c r="EL26">
        <f>IF(Charts!$B$3="none",J193,IF(BX193="",NA(),BX193))</f>
        <v>0</v>
      </c>
      <c r="EM26">
        <f>IF(Charts!$B$3="none",K193,IF(BY193="",NA(),BY193))</f>
        <v>0</v>
      </c>
      <c r="EN26">
        <f>IF(Charts!$B$3="none",L193,IF(BZ193="",NA(),BZ193))</f>
        <v>0</v>
      </c>
      <c r="EO26">
        <f>IF(Charts!$B$3="none",M193,IF(CA193="",NA(),CA193))</f>
        <v>0</v>
      </c>
      <c r="EP26">
        <f>IF(Charts!$B$3="none",N193,IF(CB193="",NA(),CB193))</f>
        <v>0</v>
      </c>
      <c r="EQ26">
        <f>IF(Charts!$B$3="none",O193,IF(CC193="",NA(),CC193))</f>
        <v>0</v>
      </c>
      <c r="ER26">
        <f>IF(Charts!$B$3="none",P193,IF(CD193="",NA(),CD193))</f>
        <v>0</v>
      </c>
      <c r="ES26">
        <f>IF(Charts!$B$3="none",Q193,IF(CE193="",NA(),CE193))</f>
        <v>0</v>
      </c>
      <c r="ET26">
        <f>IF(Charts!$B$3="none",R193,IF(CF193="",NA(),CF193))</f>
        <v>0</v>
      </c>
      <c r="EU26">
        <f>IF(Charts!$B$3="none",S193,IF(CG193="",NA(),CG193))</f>
        <v>0</v>
      </c>
      <c r="EV26">
        <f>IF(Charts!$B$3="none",T193,IF(CH193="",NA(),CH193))</f>
        <v>0</v>
      </c>
      <c r="EW26">
        <f>IF(Charts!$B$3="none",U193,IF(CI193="",NA(),CI193))</f>
        <v>0</v>
      </c>
      <c r="EX26">
        <f>IF(Charts!$B$3="none",V193,IF(CJ193="",NA(),CJ193))</f>
        <v>0</v>
      </c>
      <c r="EY26">
        <f>IF(Charts!$B$3="none",W193,IF(CK193="",NA(),CK193))</f>
        <v>0</v>
      </c>
      <c r="EZ26">
        <f>IF(Charts!$B$3="none",X193,IF(CL193="",NA(),CL193))</f>
        <v>0</v>
      </c>
      <c r="FA26">
        <f>IF(Charts!$B$3="none",Y193,IF(CM193="",NA(),CM193))</f>
        <v>0</v>
      </c>
      <c r="FB26">
        <f>IF(Charts!$B$3="none",Z193,IF(CN193="",NA(),CN193))</f>
        <v>0</v>
      </c>
      <c r="FC26">
        <f>IF(Charts!$B$3="none",AA193,IF(CO193="",NA(),CO193))</f>
        <v>0</v>
      </c>
      <c r="FD26">
        <f>IF(Charts!$B$3="none",AB193,IF(CP193="",NA(),CP193))</f>
        <v>0</v>
      </c>
      <c r="FE26">
        <f>IF(Charts!$B$3="none",AC193,IF(CQ193="",NA(),CQ193))</f>
        <v>0</v>
      </c>
      <c r="FF26">
        <f>IF(Charts!$B$3="none",AD193,IF(CR193="",NA(),CR193))</f>
        <v>0</v>
      </c>
      <c r="FG26">
        <f>IF(Charts!$B$3="none",AE193,IF(CS193="",NA(),CS193))</f>
        <v>0</v>
      </c>
      <c r="FH26">
        <f>IF(Charts!$B$3="none",AF193,IF(CT193="",NA(),CT193))</f>
        <v>0</v>
      </c>
      <c r="FI26">
        <f>IF(Charts!$B$3="none",AG193,IF(CU193="",NA(),CU193))</f>
        <v>0</v>
      </c>
      <c r="FJ26">
        <f>IF(Charts!$B$3="none",AH193,IF(CV193="",NA(),CV193))</f>
        <v>0</v>
      </c>
      <c r="FK26">
        <f>IF(Charts!$B$3="none",AI193,IF(CW193="",NA(),CW193))</f>
        <v>0</v>
      </c>
      <c r="FL26">
        <f>IF(Charts!$B$3="none",AJ193,IF(CX193="",NA(),CX193))</f>
        <v>0</v>
      </c>
      <c r="FM26">
        <f>IF(Charts!$B$3="none",AK193,IF(CY193="",NA(),CY193))</f>
        <v>0</v>
      </c>
      <c r="FN26">
        <f>IF(Charts!$B$3="none",AL193,IF(CZ193="",NA(),CZ193))</f>
        <v>0</v>
      </c>
      <c r="FO26">
        <f>IF(Charts!$B$3="none",AM193,IF(DA193="",NA(),DA193))</f>
        <v>0</v>
      </c>
      <c r="FP26">
        <f>IF(Charts!$B$3="none",AN193,IF(DB193="",NA(),DB193))</f>
        <v>0</v>
      </c>
      <c r="FQ26">
        <f>IF(Charts!$B$3="none",AO193,IF(DC193="",NA(),DC193))</f>
        <v>0</v>
      </c>
      <c r="FR26">
        <f>IF(Charts!$B$3="none",AP193,IF(DD193="",NA(),DD193))</f>
        <v>0</v>
      </c>
      <c r="FS26">
        <f>IF(Charts!$B$3="none",AQ193,IF(DE193="",NA(),DE193))</f>
        <v>0</v>
      </c>
      <c r="FT26">
        <f>IF(Charts!$B$3="none",AR193,IF(DF193="",NA(),DF193))</f>
        <v>0</v>
      </c>
      <c r="FU26">
        <f>IF(Charts!$B$3="none",AS193,IF(DG193="",NA(),DG193))</f>
        <v>0</v>
      </c>
      <c r="FV26">
        <f>IF(Charts!$B$3="none",AT193,IF(DH193="",NA(),DH193))</f>
        <v>0</v>
      </c>
      <c r="FW26">
        <f>IF(Charts!$B$3="none",AU193,IF(DI193="",NA(),DI193))</f>
        <v>0</v>
      </c>
      <c r="FX26">
        <f>IF(Charts!$B$3="none",AV193,IF(DJ193="",NA(),DJ193))</f>
        <v>0</v>
      </c>
      <c r="FY26">
        <f>IF(Charts!$B$3="none",AW193,IF(DK193="",NA(),DK193))</f>
        <v>0</v>
      </c>
      <c r="FZ26">
        <f>IF(Charts!$B$3="none",AX193,IF(DL193="",NA(),DL193))</f>
        <v>0</v>
      </c>
      <c r="GA26">
        <f>IF(Charts!$B$3="none",AY193,IF(DM193="",NA(),DM193))</f>
        <v>0</v>
      </c>
      <c r="GB26">
        <f>IF(Charts!$B$3="none",AZ193,IF(DN193="",NA(),DN193))</f>
        <v>0</v>
      </c>
      <c r="GC26">
        <f>IF(Charts!$B$3="none",BA193,IF(DO193="",NA(),DO193))</f>
        <v>0</v>
      </c>
      <c r="GD26">
        <f>IF(Charts!$B$3="none",BB193,IF(DP193="",NA(),DP193))</f>
        <v>0</v>
      </c>
      <c r="GE26">
        <f>IF(Charts!$B$3="none",BC193,IF(DQ193="",NA(),DQ193))</f>
        <v>0</v>
      </c>
      <c r="GF26">
        <f>IF(Charts!$B$3="none",BD193,IF(DR193="",NA(),DR193))</f>
        <v>0</v>
      </c>
      <c r="GG26">
        <f>IF(Charts!$B$3="none",BE193,IF(DS193="",NA(),DS193))</f>
        <v>0</v>
      </c>
      <c r="GH26">
        <f>IF(Charts!$B$3="none",BF193,IF(DT193="",NA(),DT193))</f>
        <v>0</v>
      </c>
      <c r="GI26">
        <f>IF(Charts!$B$3="none",BG193,IF(DU193="",NA(),DU193))</f>
        <v>0</v>
      </c>
      <c r="GJ26">
        <f>IF(Charts!$B$3="none",BH193,IF(DV193="",NA(),DV193))</f>
        <v>0</v>
      </c>
      <c r="GK26">
        <f>IF(Charts!$B$3="none",BI193,IF(DW193="",NA(),DW193))</f>
        <v>0</v>
      </c>
      <c r="GL26">
        <f>IF(Charts!$B$3="none",BJ193,IF(DX193="",NA(),DX193))</f>
        <v>0</v>
      </c>
      <c r="GM26">
        <f>IF(Charts!$B$3="none",BK193,IF(DY193="",NA(),DY193))</f>
        <v>0</v>
      </c>
      <c r="GN26">
        <f>IF(Charts!$B$3="none",BL193,IF(DZ193="",NA(),DZ193))</f>
        <v>0</v>
      </c>
      <c r="GO26">
        <f>IF(Charts!$B$3="none",BM193,IF(EA193="",NA(),EA193))</f>
        <v>0</v>
      </c>
      <c r="GP26">
        <f>IF(Charts!$B$3="none",BN193,IF(EB193="",NA(),EB193))</f>
        <v>0</v>
      </c>
      <c r="GQ26">
        <f>IF(Charts!$B$3="none",BO193,IF(EC193="",NA(),EC193))</f>
        <v>0</v>
      </c>
      <c r="GR26">
        <f>IF(Charts!$B$3="none",BP193,IF(ED193="",NA(),ED193))</f>
        <v>0</v>
      </c>
    </row>
    <row r="27" spans="1:200">
      <c r="D27">
        <v>23</v>
      </c>
      <c r="E27">
        <f>IF(INDIRECT(ADDRESS($D27+2,E$2+1,,,"Instances"))="","",INDIRECT(ADDRESS($D27+2,E$2+1,,,"Instances")))</f>
        <v>0</v>
      </c>
      <c r="F27">
        <f>IFERROR(SMALL(E5:E36,ROW()-ROW($F$5)+1),"")</f>
        <v>0</v>
      </c>
      <c r="H27">
        <f>IFERROR(SUM(F5:F27),"")</f>
        <v>0</v>
      </c>
      <c r="I27">
        <f>IF(INDIRECT(ADDRESS($D27+2,I$2+1,,,"Instances"))="","",INDIRECT(ADDRESS($D27+2,I$2+1,,,"Instances")))</f>
        <v>0</v>
      </c>
      <c r="J27">
        <f>IFERROR(SMALL(I5:I36,ROW()-ROW($J$5)+1),"")</f>
        <v>0</v>
      </c>
      <c r="L27">
        <f>IFERROR(SUM(J5:J27),"")</f>
        <v>0</v>
      </c>
      <c r="M27">
        <f>IF(INDIRECT(ADDRESS($D27+2,M$2+1,,,"Instances"))="","",INDIRECT(ADDRESS($D27+2,M$2+1,,,"Instances")))</f>
        <v>0</v>
      </c>
      <c r="N27">
        <f>IFERROR(SMALL(M5:M36,ROW()-ROW($N$5)+1),"")</f>
        <v>0</v>
      </c>
      <c r="P27">
        <f>IFERROR(SUM(N5:N27),"")</f>
        <v>0</v>
      </c>
      <c r="Q27">
        <f>IF(INDIRECT(ADDRESS($D27+2,Q$2+1,,,"Instances"))="","",INDIRECT(ADDRESS($D27+2,Q$2+1,,,"Instances")))</f>
        <v>0</v>
      </c>
      <c r="R27">
        <f>IFERROR(SMALL(Q5:Q36,ROW()-ROW($R$5)+1),"")</f>
        <v>0</v>
      </c>
      <c r="T27">
        <f>IFERROR(SUM(R5:R27),"")</f>
        <v>0</v>
      </c>
      <c r="U27">
        <f>IF(INDIRECT(ADDRESS($D27+2,U$2+1,,,"Instances"))="","",INDIRECT(ADDRESS($D27+2,U$2+1,,,"Instances")))</f>
        <v>0</v>
      </c>
      <c r="V27">
        <f>IFERROR(SMALL(U5:U36,ROW()-ROW($V$5)+1),"")</f>
        <v>0</v>
      </c>
      <c r="X27">
        <f>IFERROR(SUM(V5:V27),"")</f>
        <v>0</v>
      </c>
      <c r="Y27">
        <f>IF(INDIRECT(ADDRESS($D27+2,Y$2+1,,,"Instances"))="","",INDIRECT(ADDRESS($D27+2,Y$2+1,,,"Instances")))</f>
        <v>0</v>
      </c>
      <c r="Z27">
        <f>IFERROR(SMALL(Y5:Y36,ROW()-ROW($Z$5)+1),"")</f>
        <v>0</v>
      </c>
      <c r="AB27">
        <f>IFERROR(SUM(Z5:Z27),"")</f>
        <v>0</v>
      </c>
      <c r="AC27">
        <f>IF(INDIRECT(ADDRESS($D27+2,AC$2+1,,,"Instances"))="","",INDIRECT(ADDRESS($D27+2,AC$2+1,,,"Instances")))</f>
        <v>0</v>
      </c>
      <c r="AD27">
        <f>IFERROR(SMALL(AC5:AC36,ROW()-ROW($AD$5)+1),"")</f>
        <v>0</v>
      </c>
      <c r="AF27">
        <f>IFERROR(SUM(AD5:AD27),"")</f>
        <v>0</v>
      </c>
      <c r="AG27">
        <f>IF(INDIRECT(ADDRESS($D27+2,AG$2+1,,,"Instances"))="","",INDIRECT(ADDRESS($D27+2,AG$2+1,,,"Instances")))</f>
        <v>0</v>
      </c>
      <c r="AH27">
        <f>IFERROR(SMALL(AG5:AG36,ROW()-ROW($AH$5)+1),"")</f>
        <v>0</v>
      </c>
      <c r="AJ27">
        <f>IFERROR(SUM(AH5:AH27),"")</f>
        <v>0</v>
      </c>
      <c r="AK27">
        <f>IF(INDIRECT(ADDRESS($D27+2,AK$2+1,,,"Instances"))="","",INDIRECT(ADDRESS($D27+2,AK$2+1,,,"Instances")))</f>
        <v>0</v>
      </c>
      <c r="AL27">
        <f>IFERROR(SMALL(AK5:AK36,ROW()-ROW($AL$5)+1),"")</f>
        <v>0</v>
      </c>
      <c r="AN27">
        <f>IFERROR(SUM(AL5:AL27),"")</f>
        <v>0</v>
      </c>
      <c r="AO27">
        <f>IF(INDIRECT(ADDRESS($D27+2,AO$2+1,,,"Instances"))="","",INDIRECT(ADDRESS($D27+2,AO$2+1,,,"Instances")))</f>
        <v>0</v>
      </c>
      <c r="AP27">
        <f>IFERROR(SMALL(AO5:AO36,ROW()-ROW($AP$5)+1),"")</f>
        <v>0</v>
      </c>
      <c r="AR27">
        <f>IFERROR(SUM(AP5:AP27),"")</f>
        <v>0</v>
      </c>
      <c r="AS27">
        <f>IF(INDIRECT(ADDRESS($D27+2,AS$2+1,,,"Instances"))="","",INDIRECT(ADDRESS($D27+2,AS$2+1,,,"Instances")))</f>
        <v>0</v>
      </c>
      <c r="AT27">
        <f>IFERROR(SMALL(AS5:AS36,ROW()-ROW($AT$5)+1),"")</f>
        <v>0</v>
      </c>
      <c r="AV27">
        <f>IFERROR(SUM(AT5:AT27),"")</f>
        <v>0</v>
      </c>
      <c r="AW27">
        <f>IF(INDIRECT(ADDRESS($D27+2,AW$2+1,,,"Instances"))="","",INDIRECT(ADDRESS($D27+2,AW$2+1,,,"Instances")))</f>
        <v>0</v>
      </c>
      <c r="AX27">
        <f>IFERROR(SMALL(AW5:AW36,ROW()-ROW($AX$5)+1),"")</f>
        <v>0</v>
      </c>
      <c r="AZ27">
        <f>IFERROR(SUM(AX5:AX27),"")</f>
        <v>0</v>
      </c>
      <c r="BA27">
        <f>IF(INDIRECT(ADDRESS($D27+2,BA$2+1,,,"Instances"))="","",INDIRECT(ADDRESS($D27+2,BA$2+1,,,"Instances")))</f>
        <v>0</v>
      </c>
      <c r="BB27">
        <f>IFERROR(SMALL(BA5:BA36,ROW()-ROW($BB$5)+1),"")</f>
        <v>0</v>
      </c>
      <c r="BD27">
        <f>IFERROR(SUM(BB5:BB27),"")</f>
        <v>0</v>
      </c>
      <c r="BE27">
        <f>IF(INDIRECT(ADDRESS($D27+2,BE$2+1,,,"Instances"))="","",INDIRECT(ADDRESS($D27+2,BE$2+1,,,"Instances")))</f>
        <v>0</v>
      </c>
      <c r="BF27">
        <f>IFERROR(SMALL(BE5:BE36,ROW()-ROW($BF$5)+1),"")</f>
        <v>0</v>
      </c>
      <c r="BH27">
        <f>IFERROR(SUM(BF5:BF27),"")</f>
        <v>0</v>
      </c>
      <c r="BI27">
        <f>IF(INDIRECT(ADDRESS($D27+2,BI$2+1,,,"Instances"))="","",INDIRECT(ADDRESS($D27+2,BI$2+1,,,"Instances")))</f>
        <v>0</v>
      </c>
      <c r="BJ27">
        <f>IFERROR(SMALL(BI5:BI36,ROW()-ROW($BJ$5)+1),"")</f>
        <v>0</v>
      </c>
      <c r="BL27">
        <f>IFERROR(SUM(BJ5:BJ27),"")</f>
        <v>0</v>
      </c>
      <c r="BM27">
        <f>IF(INDIRECT(ADDRESS($D27+2,BM$2+1,,,"Instances"))="","",INDIRECT(ADDRESS($D27+2,BM$2+1,,,"Instances")))</f>
        <v>0</v>
      </c>
      <c r="BN27">
        <f>IFERROR(SMALL(BM5:BM36,ROW()-ROW($BN$5)+1),"")</f>
        <v>0</v>
      </c>
      <c r="BP27">
        <f>IFERROR(SUM(BN5:BN27),"")</f>
        <v>0</v>
      </c>
      <c r="BR27">
        <v>23</v>
      </c>
      <c r="BS27" cm="1">
        <f t="array" ref="BS27">_xlfn.SWITCH(Charts!$B$3,"average", AVERAGE(INDIRECT(ADDRESS(22+3,BS$2+1,,,"Instances") &amp; ":" &amp; ADDRESS(22+3,BS$2+1))),"median", MEDIAN(INDIRECT(ADDRESS(22+3,BS$2+1,,,"Instances") &amp; ":" &amp; ADDRESS(22+3,BS$2+1))),"min", MIN(INDIRECT(ADDRESS(22+3,BS$2+1,,,"Instances") &amp; ":" &amp; ADDRESS(22+3,BS$2+1))),"max", MAX(INDIRECT(ADDRESS(22+3,BS$2+1,,,"Instances") &amp; ":" &amp; ADDRESS(22+3,BS$2+1))),"diff", MAX(INDIRECT(ADDRESS(22+3,BS$2+1,,,"Instances") &amp; ":" &amp; ADDRESS(22+3,BS$2+1)))-MIN(INDIRECT(ADDRESS(22+3,BS$2+1,,,"Instances") &amp; ":" &amp; ADDRESS(22+3,BS$2+1))))</f>
        <v>0</v>
      </c>
      <c r="BT27">
        <f>IFERROR(SMALL(BS5:BS36,ROW()-ROW($BT$5)+1),"")</f>
        <v>0</v>
      </c>
      <c r="BV27">
        <f>IFERROR(SUM(BT5:BT27),"")</f>
        <v>0</v>
      </c>
      <c r="BW27" cm="1">
        <f t="array" ref="BW27">_xlfn.SWITCH(Charts!$B$3,"average", AVERAGE(INDIRECT(ADDRESS(22+3,BW$2+1,,,"Instances") &amp; ":" &amp; ADDRESS(22+3,BW$2+1))),"median", MEDIAN(INDIRECT(ADDRESS(22+3,BW$2+1,,,"Instances") &amp; ":" &amp; ADDRESS(22+3,BW$2+1))),"min", MIN(INDIRECT(ADDRESS(22+3,BW$2+1,,,"Instances") &amp; ":" &amp; ADDRESS(22+3,BW$2+1))),"max", MAX(INDIRECT(ADDRESS(22+3,BW$2+1,,,"Instances") &amp; ":" &amp; ADDRESS(22+3,BW$2+1))),"diff", MAX(INDIRECT(ADDRESS(22+3,BW$2+1,,,"Instances") &amp; ":" &amp; ADDRESS(22+3,BW$2+1)))-MIN(INDIRECT(ADDRESS(22+3,BW$2+1,,,"Instances") &amp; ":" &amp; ADDRESS(22+3,BW$2+1))))</f>
        <v>0</v>
      </c>
      <c r="BX27">
        <f>IFERROR(SMALL(BW5:BW36,ROW()-ROW($BX$5)+1),"")</f>
        <v>0</v>
      </c>
      <c r="BZ27">
        <f>IFERROR(SUM(BX5:BX27),"")</f>
        <v>0</v>
      </c>
      <c r="CA27" cm="1">
        <f t="array" ref="CA27">_xlfn.SWITCH(Charts!$B$3,"average", AVERAGE(INDIRECT(ADDRESS(22+3,CA$2+1,,,"Instances") &amp; ":" &amp; ADDRESS(22+3,CA$2+1))),"median", MEDIAN(INDIRECT(ADDRESS(22+3,CA$2+1,,,"Instances") &amp; ":" &amp; ADDRESS(22+3,CA$2+1))),"min", MIN(INDIRECT(ADDRESS(22+3,CA$2+1,,,"Instances") &amp; ":" &amp; ADDRESS(22+3,CA$2+1))),"max", MAX(INDIRECT(ADDRESS(22+3,CA$2+1,,,"Instances") &amp; ":" &amp; ADDRESS(22+3,CA$2+1))),"diff", MAX(INDIRECT(ADDRESS(22+3,CA$2+1,,,"Instances") &amp; ":" &amp; ADDRESS(22+3,CA$2+1)))-MIN(INDIRECT(ADDRESS(22+3,CA$2+1,,,"Instances") &amp; ":" &amp; ADDRESS(22+3,CA$2+1))))</f>
        <v>0</v>
      </c>
      <c r="CB27">
        <f>IFERROR(SMALL(CA5:CA36,ROW()-ROW($CB$5)+1),"")</f>
        <v>0</v>
      </c>
      <c r="CD27">
        <f>IFERROR(SUM(CB5:CB27),"")</f>
        <v>0</v>
      </c>
      <c r="CE27" cm="1">
        <f t="array" ref="CE27">_xlfn.SWITCH(Charts!$B$3,"average", AVERAGE(INDIRECT(ADDRESS(22+3,CE$2+1,,,"Instances") &amp; ":" &amp; ADDRESS(22+3,CE$2+1))),"median", MEDIAN(INDIRECT(ADDRESS(22+3,CE$2+1,,,"Instances") &amp; ":" &amp; ADDRESS(22+3,CE$2+1))),"min", MIN(INDIRECT(ADDRESS(22+3,CE$2+1,,,"Instances") &amp; ":" &amp; ADDRESS(22+3,CE$2+1))),"max", MAX(INDIRECT(ADDRESS(22+3,CE$2+1,,,"Instances") &amp; ":" &amp; ADDRESS(22+3,CE$2+1))),"diff", MAX(INDIRECT(ADDRESS(22+3,CE$2+1,,,"Instances") &amp; ":" &amp; ADDRESS(22+3,CE$2+1)))-MIN(INDIRECT(ADDRESS(22+3,CE$2+1,,,"Instances") &amp; ":" &amp; ADDRESS(22+3,CE$2+1))))</f>
        <v>0</v>
      </c>
      <c r="CF27">
        <f>IFERROR(SMALL(CE5:CE36,ROW()-ROW($CF$5)+1),"")</f>
        <v>0</v>
      </c>
      <c r="CH27">
        <f>IFERROR(SUM(CF5:CF27),"")</f>
        <v>0</v>
      </c>
      <c r="CI27" cm="1">
        <f t="array" ref="CI27">_xlfn.SWITCH(Charts!$B$3,"average", AVERAGE(INDIRECT(ADDRESS(22+3,CI$2+1,,,"Instances") &amp; ":" &amp; ADDRESS(22+3,CI$2+1))),"median", MEDIAN(INDIRECT(ADDRESS(22+3,CI$2+1,,,"Instances") &amp; ":" &amp; ADDRESS(22+3,CI$2+1))),"min", MIN(INDIRECT(ADDRESS(22+3,CI$2+1,,,"Instances") &amp; ":" &amp; ADDRESS(22+3,CI$2+1))),"max", MAX(INDIRECT(ADDRESS(22+3,CI$2+1,,,"Instances") &amp; ":" &amp; ADDRESS(22+3,CI$2+1))),"diff", MAX(INDIRECT(ADDRESS(22+3,CI$2+1,,,"Instances") &amp; ":" &amp; ADDRESS(22+3,CI$2+1)))-MIN(INDIRECT(ADDRESS(22+3,CI$2+1,,,"Instances") &amp; ":" &amp; ADDRESS(22+3,CI$2+1))))</f>
        <v>0</v>
      </c>
      <c r="CJ27">
        <f>IFERROR(SMALL(CI5:CI36,ROW()-ROW($CJ$5)+1),"")</f>
        <v>0</v>
      </c>
      <c r="CL27">
        <f>IFERROR(SUM(CJ5:CJ27),"")</f>
        <v>0</v>
      </c>
      <c r="CM27" cm="1">
        <f t="array" ref="CM27">_xlfn.SWITCH(Charts!$B$3,"average", AVERAGE(INDIRECT(ADDRESS(22+3,CM$2+1,,,"Instances") &amp; ":" &amp; ADDRESS(22+3,CM$2+1))),"median", MEDIAN(INDIRECT(ADDRESS(22+3,CM$2+1,,,"Instances") &amp; ":" &amp; ADDRESS(22+3,CM$2+1))),"min", MIN(INDIRECT(ADDRESS(22+3,CM$2+1,,,"Instances") &amp; ":" &amp; ADDRESS(22+3,CM$2+1))),"max", MAX(INDIRECT(ADDRESS(22+3,CM$2+1,,,"Instances") &amp; ":" &amp; ADDRESS(22+3,CM$2+1))),"diff", MAX(INDIRECT(ADDRESS(22+3,CM$2+1,,,"Instances") &amp; ":" &amp; ADDRESS(22+3,CM$2+1)))-MIN(INDIRECT(ADDRESS(22+3,CM$2+1,,,"Instances") &amp; ":" &amp; ADDRESS(22+3,CM$2+1))))</f>
        <v>0</v>
      </c>
      <c r="CN27">
        <f>IFERROR(SMALL(CM5:CM36,ROW()-ROW($CN$5)+1),"")</f>
        <v>0</v>
      </c>
      <c r="CP27">
        <f>IFERROR(SUM(CN5:CN27),"")</f>
        <v>0</v>
      </c>
      <c r="CQ27" cm="1">
        <f t="array" ref="CQ27">_xlfn.SWITCH(Charts!$B$3,"average", AVERAGE(INDIRECT(ADDRESS(22+3,CQ$2+1,,,"Instances") &amp; ":" &amp; ADDRESS(22+3,CQ$2+1))),"median", MEDIAN(INDIRECT(ADDRESS(22+3,CQ$2+1,,,"Instances") &amp; ":" &amp; ADDRESS(22+3,CQ$2+1))),"min", MIN(INDIRECT(ADDRESS(22+3,CQ$2+1,,,"Instances") &amp; ":" &amp; ADDRESS(22+3,CQ$2+1))),"max", MAX(INDIRECT(ADDRESS(22+3,CQ$2+1,,,"Instances") &amp; ":" &amp; ADDRESS(22+3,CQ$2+1))),"diff", MAX(INDIRECT(ADDRESS(22+3,CQ$2+1,,,"Instances") &amp; ":" &amp; ADDRESS(22+3,CQ$2+1)))-MIN(INDIRECT(ADDRESS(22+3,CQ$2+1,,,"Instances") &amp; ":" &amp; ADDRESS(22+3,CQ$2+1))))</f>
        <v>0</v>
      </c>
      <c r="CR27">
        <f>IFERROR(SMALL(CQ5:CQ36,ROW()-ROW($CR$5)+1),"")</f>
        <v>0</v>
      </c>
      <c r="CT27">
        <f>IFERROR(SUM(CR5:CR27),"")</f>
        <v>0</v>
      </c>
      <c r="CU27" cm="1">
        <f t="array" ref="CU27">_xlfn.SWITCH(Charts!$B$3,"average", AVERAGE(INDIRECT(ADDRESS(22+3,CU$2+1,,,"Instances") &amp; ":" &amp; ADDRESS(22+3,CU$2+1))),"median", MEDIAN(INDIRECT(ADDRESS(22+3,CU$2+1,,,"Instances") &amp; ":" &amp; ADDRESS(22+3,CU$2+1))),"min", MIN(INDIRECT(ADDRESS(22+3,CU$2+1,,,"Instances") &amp; ":" &amp; ADDRESS(22+3,CU$2+1))),"max", MAX(INDIRECT(ADDRESS(22+3,CU$2+1,,,"Instances") &amp; ":" &amp; ADDRESS(22+3,CU$2+1))),"diff", MAX(INDIRECT(ADDRESS(22+3,CU$2+1,,,"Instances") &amp; ":" &amp; ADDRESS(22+3,CU$2+1)))-MIN(INDIRECT(ADDRESS(22+3,CU$2+1,,,"Instances") &amp; ":" &amp; ADDRESS(22+3,CU$2+1))))</f>
        <v>0</v>
      </c>
      <c r="CV27">
        <f>IFERROR(SMALL(CU5:CU36,ROW()-ROW($CV$5)+1),"")</f>
        <v>0</v>
      </c>
      <c r="CX27">
        <f>IFERROR(SUM(CV5:CV27),"")</f>
        <v>0</v>
      </c>
      <c r="CY27" cm="1">
        <f t="array" ref="CY27">_xlfn.SWITCH(Charts!$B$3,"average", AVERAGE(INDIRECT(ADDRESS(22+3,CY$2+1,,,"Instances") &amp; ":" &amp; ADDRESS(22+3,CY$2+1))),"median", MEDIAN(INDIRECT(ADDRESS(22+3,CY$2+1,,,"Instances") &amp; ":" &amp; ADDRESS(22+3,CY$2+1))),"min", MIN(INDIRECT(ADDRESS(22+3,CY$2+1,,,"Instances") &amp; ":" &amp; ADDRESS(22+3,CY$2+1))),"max", MAX(INDIRECT(ADDRESS(22+3,CY$2+1,,,"Instances") &amp; ":" &amp; ADDRESS(22+3,CY$2+1))),"diff", MAX(INDIRECT(ADDRESS(22+3,CY$2+1,,,"Instances") &amp; ":" &amp; ADDRESS(22+3,CY$2+1)))-MIN(INDIRECT(ADDRESS(22+3,CY$2+1,,,"Instances") &amp; ":" &amp; ADDRESS(22+3,CY$2+1))))</f>
        <v>0</v>
      </c>
      <c r="CZ27">
        <f>IFERROR(SMALL(CY5:CY36,ROW()-ROW($CZ$5)+1),"")</f>
        <v>0</v>
      </c>
      <c r="DB27">
        <f>IFERROR(SUM(CZ5:CZ27),"")</f>
        <v>0</v>
      </c>
      <c r="DC27" cm="1">
        <f t="array" ref="DC27">_xlfn.SWITCH(Charts!$B$3,"average", AVERAGE(INDIRECT(ADDRESS(22+3,DC$2+1,,,"Instances") &amp; ":" &amp; ADDRESS(22+3,DC$2+1))),"median", MEDIAN(INDIRECT(ADDRESS(22+3,DC$2+1,,,"Instances") &amp; ":" &amp; ADDRESS(22+3,DC$2+1))),"min", MIN(INDIRECT(ADDRESS(22+3,DC$2+1,,,"Instances") &amp; ":" &amp; ADDRESS(22+3,DC$2+1))),"max", MAX(INDIRECT(ADDRESS(22+3,DC$2+1,,,"Instances") &amp; ":" &amp; ADDRESS(22+3,DC$2+1))),"diff", MAX(INDIRECT(ADDRESS(22+3,DC$2+1,,,"Instances") &amp; ":" &amp; ADDRESS(22+3,DC$2+1)))-MIN(INDIRECT(ADDRESS(22+3,DC$2+1,,,"Instances") &amp; ":" &amp; ADDRESS(22+3,DC$2+1))))</f>
        <v>0</v>
      </c>
      <c r="DD27">
        <f>IFERROR(SMALL(DC5:DC36,ROW()-ROW($DD$5)+1),"")</f>
        <v>0</v>
      </c>
      <c r="DF27">
        <f>IFERROR(SUM(DD5:DD27),"")</f>
        <v>0</v>
      </c>
      <c r="DG27" cm="1">
        <f t="array" ref="DG27">_xlfn.SWITCH(Charts!$B$3,"average", AVERAGE(INDIRECT(ADDRESS(22+3,DG$2+1,,,"Instances") &amp; ":" &amp; ADDRESS(22+3,DG$2+1))),"median", MEDIAN(INDIRECT(ADDRESS(22+3,DG$2+1,,,"Instances") &amp; ":" &amp; ADDRESS(22+3,DG$2+1))),"min", MIN(INDIRECT(ADDRESS(22+3,DG$2+1,,,"Instances") &amp; ":" &amp; ADDRESS(22+3,DG$2+1))),"max", MAX(INDIRECT(ADDRESS(22+3,DG$2+1,,,"Instances") &amp; ":" &amp; ADDRESS(22+3,DG$2+1))),"diff", MAX(INDIRECT(ADDRESS(22+3,DG$2+1,,,"Instances") &amp; ":" &amp; ADDRESS(22+3,DG$2+1)))-MIN(INDIRECT(ADDRESS(22+3,DG$2+1,,,"Instances") &amp; ":" &amp; ADDRESS(22+3,DG$2+1))))</f>
        <v>0</v>
      </c>
      <c r="DH27">
        <f>IFERROR(SMALL(DG5:DG36,ROW()-ROW($DH$5)+1),"")</f>
        <v>0</v>
      </c>
      <c r="DJ27">
        <f>IFERROR(SUM(DH5:DH27),"")</f>
        <v>0</v>
      </c>
      <c r="DK27" cm="1">
        <f t="array" ref="DK27">_xlfn.SWITCH(Charts!$B$3,"average", AVERAGE(INDIRECT(ADDRESS(22+3,DK$2+1,,,"Instances") &amp; ":" &amp; ADDRESS(22+3,DK$2+1))),"median", MEDIAN(INDIRECT(ADDRESS(22+3,DK$2+1,,,"Instances") &amp; ":" &amp; ADDRESS(22+3,DK$2+1))),"min", MIN(INDIRECT(ADDRESS(22+3,DK$2+1,,,"Instances") &amp; ":" &amp; ADDRESS(22+3,DK$2+1))),"max", MAX(INDIRECT(ADDRESS(22+3,DK$2+1,,,"Instances") &amp; ":" &amp; ADDRESS(22+3,DK$2+1))),"diff", MAX(INDIRECT(ADDRESS(22+3,DK$2+1,,,"Instances") &amp; ":" &amp; ADDRESS(22+3,DK$2+1)))-MIN(INDIRECT(ADDRESS(22+3,DK$2+1,,,"Instances") &amp; ":" &amp; ADDRESS(22+3,DK$2+1))))</f>
        <v>0</v>
      </c>
      <c r="DL27">
        <f>IFERROR(SMALL(DK5:DK36,ROW()-ROW($DL$5)+1),"")</f>
        <v>0</v>
      </c>
      <c r="DN27">
        <f>IFERROR(SUM(DL5:DL27),"")</f>
        <v>0</v>
      </c>
      <c r="DO27" cm="1">
        <f t="array" ref="DO27">_xlfn.SWITCH(Charts!$B$3,"average", AVERAGE(INDIRECT(ADDRESS(22+3,DO$2+1,,,"Instances") &amp; ":" &amp; ADDRESS(22+3,DO$2+1))),"median", MEDIAN(INDIRECT(ADDRESS(22+3,DO$2+1,,,"Instances") &amp; ":" &amp; ADDRESS(22+3,DO$2+1))),"min", MIN(INDIRECT(ADDRESS(22+3,DO$2+1,,,"Instances") &amp; ":" &amp; ADDRESS(22+3,DO$2+1))),"max", MAX(INDIRECT(ADDRESS(22+3,DO$2+1,,,"Instances") &amp; ":" &amp; ADDRESS(22+3,DO$2+1))),"diff", MAX(INDIRECT(ADDRESS(22+3,DO$2+1,,,"Instances") &amp; ":" &amp; ADDRESS(22+3,DO$2+1)))-MIN(INDIRECT(ADDRESS(22+3,DO$2+1,,,"Instances") &amp; ":" &amp; ADDRESS(22+3,DO$2+1))))</f>
        <v>0</v>
      </c>
      <c r="DP27">
        <f>IFERROR(SMALL(DO5:DO36,ROW()-ROW($DP$5)+1),"")</f>
        <v>0</v>
      </c>
      <c r="DR27">
        <f>IFERROR(SUM(DP5:DP27),"")</f>
        <v>0</v>
      </c>
      <c r="DS27" cm="1">
        <f t="array" ref="DS27">_xlfn.SWITCH(Charts!$B$3,"average", AVERAGE(INDIRECT(ADDRESS(22+3,DS$2+1,,,"Instances") &amp; ":" &amp; ADDRESS(22+3,DS$2+1))),"median", MEDIAN(INDIRECT(ADDRESS(22+3,DS$2+1,,,"Instances") &amp; ":" &amp; ADDRESS(22+3,DS$2+1))),"min", MIN(INDIRECT(ADDRESS(22+3,DS$2+1,,,"Instances") &amp; ":" &amp; ADDRESS(22+3,DS$2+1))),"max", MAX(INDIRECT(ADDRESS(22+3,DS$2+1,,,"Instances") &amp; ":" &amp; ADDRESS(22+3,DS$2+1))),"diff", MAX(INDIRECT(ADDRESS(22+3,DS$2+1,,,"Instances") &amp; ":" &amp; ADDRESS(22+3,DS$2+1)))-MIN(INDIRECT(ADDRESS(22+3,DS$2+1,,,"Instances") &amp; ":" &amp; ADDRESS(22+3,DS$2+1))))</f>
        <v>0</v>
      </c>
      <c r="DT27">
        <f>IFERROR(SMALL(DS5:DS36,ROW()-ROW($DT$5)+1),"")</f>
        <v>0</v>
      </c>
      <c r="DV27">
        <f>IFERROR(SUM(DT5:DT27),"")</f>
        <v>0</v>
      </c>
      <c r="DW27" cm="1">
        <f t="array" ref="DW27">_xlfn.SWITCH(Charts!$B$3,"average", AVERAGE(INDIRECT(ADDRESS(22+3,DW$2+1,,,"Instances") &amp; ":" &amp; ADDRESS(22+3,DW$2+1))),"median", MEDIAN(INDIRECT(ADDRESS(22+3,DW$2+1,,,"Instances") &amp; ":" &amp; ADDRESS(22+3,DW$2+1))),"min", MIN(INDIRECT(ADDRESS(22+3,DW$2+1,,,"Instances") &amp; ":" &amp; ADDRESS(22+3,DW$2+1))),"max", MAX(INDIRECT(ADDRESS(22+3,DW$2+1,,,"Instances") &amp; ":" &amp; ADDRESS(22+3,DW$2+1))),"diff", MAX(INDIRECT(ADDRESS(22+3,DW$2+1,,,"Instances") &amp; ":" &amp; ADDRESS(22+3,DW$2+1)))-MIN(INDIRECT(ADDRESS(22+3,DW$2+1,,,"Instances") &amp; ":" &amp; ADDRESS(22+3,DW$2+1))))</f>
        <v>0</v>
      </c>
      <c r="DX27">
        <f>IFERROR(SMALL(DW5:DW36,ROW()-ROW($DX$5)+1),"")</f>
        <v>0</v>
      </c>
      <c r="DZ27">
        <f>IFERROR(SUM(DX5:DX27),"")</f>
        <v>0</v>
      </c>
      <c r="EA27" cm="1">
        <f t="array" ref="EA27">_xlfn.SWITCH(Charts!$B$3,"average", AVERAGE(INDIRECT(ADDRESS(22+3,EA$2+1,,,"Instances") &amp; ":" &amp; ADDRESS(22+3,EA$2+1))),"median", MEDIAN(INDIRECT(ADDRESS(22+3,EA$2+1,,,"Instances") &amp; ":" &amp; ADDRESS(22+3,EA$2+1))),"min", MIN(INDIRECT(ADDRESS(22+3,EA$2+1,,,"Instances") &amp; ":" &amp; ADDRESS(22+3,EA$2+1))),"max", MAX(INDIRECT(ADDRESS(22+3,EA$2+1,,,"Instances") &amp; ":" &amp; ADDRESS(22+3,EA$2+1))),"diff", MAX(INDIRECT(ADDRESS(22+3,EA$2+1,,,"Instances") &amp; ":" &amp; ADDRESS(22+3,EA$2+1)))-MIN(INDIRECT(ADDRESS(22+3,EA$2+1,,,"Instances") &amp; ":" &amp; ADDRESS(22+3,EA$2+1))))</f>
        <v>0</v>
      </c>
      <c r="EB27">
        <f>IFERROR(SMALL(EA5:EA36,ROW()-ROW($EB$5)+1),"")</f>
        <v>0</v>
      </c>
      <c r="ED27">
        <f>IFERROR(SUM(EB5:EB27),"")</f>
        <v>0</v>
      </c>
      <c r="EG27">
        <f>IF(Charts!$B$3="none",E194,IF(BS194="",NA(),BS194))</f>
        <v>0</v>
      </c>
      <c r="EH27">
        <f>IF(Charts!$B$3="none",F194,IF(BT194="",NA(),BT194))</f>
        <v>0</v>
      </c>
      <c r="EI27">
        <f>IF(Charts!$B$3="none",G194,IF(BU194="",NA(),BU194))</f>
        <v>0</v>
      </c>
      <c r="EJ27">
        <f>IF(Charts!$B$3="none",H194,IF(BV194="",NA(),BV194))</f>
        <v>0</v>
      </c>
      <c r="EK27">
        <f>IF(Charts!$B$3="none",I194,IF(BW194="",NA(),BW194))</f>
        <v>0</v>
      </c>
      <c r="EL27">
        <f>IF(Charts!$B$3="none",J194,IF(BX194="",NA(),BX194))</f>
        <v>0</v>
      </c>
      <c r="EM27">
        <f>IF(Charts!$B$3="none",K194,IF(BY194="",NA(),BY194))</f>
        <v>0</v>
      </c>
      <c r="EN27">
        <f>IF(Charts!$B$3="none",L194,IF(BZ194="",NA(),BZ194))</f>
        <v>0</v>
      </c>
      <c r="EO27">
        <f>IF(Charts!$B$3="none",M194,IF(CA194="",NA(),CA194))</f>
        <v>0</v>
      </c>
      <c r="EP27">
        <f>IF(Charts!$B$3="none",N194,IF(CB194="",NA(),CB194))</f>
        <v>0</v>
      </c>
      <c r="EQ27">
        <f>IF(Charts!$B$3="none",O194,IF(CC194="",NA(),CC194))</f>
        <v>0</v>
      </c>
      <c r="ER27">
        <f>IF(Charts!$B$3="none",P194,IF(CD194="",NA(),CD194))</f>
        <v>0</v>
      </c>
      <c r="ES27">
        <f>IF(Charts!$B$3="none",Q194,IF(CE194="",NA(),CE194))</f>
        <v>0</v>
      </c>
      <c r="ET27">
        <f>IF(Charts!$B$3="none",R194,IF(CF194="",NA(),CF194))</f>
        <v>0</v>
      </c>
      <c r="EU27">
        <f>IF(Charts!$B$3="none",S194,IF(CG194="",NA(),CG194))</f>
        <v>0</v>
      </c>
      <c r="EV27">
        <f>IF(Charts!$B$3="none",T194,IF(CH194="",NA(),CH194))</f>
        <v>0</v>
      </c>
      <c r="EW27">
        <f>IF(Charts!$B$3="none",U194,IF(CI194="",NA(),CI194))</f>
        <v>0</v>
      </c>
      <c r="EX27">
        <f>IF(Charts!$B$3="none",V194,IF(CJ194="",NA(),CJ194))</f>
        <v>0</v>
      </c>
      <c r="EY27">
        <f>IF(Charts!$B$3="none",W194,IF(CK194="",NA(),CK194))</f>
        <v>0</v>
      </c>
      <c r="EZ27">
        <f>IF(Charts!$B$3="none",X194,IF(CL194="",NA(),CL194))</f>
        <v>0</v>
      </c>
      <c r="FA27">
        <f>IF(Charts!$B$3="none",Y194,IF(CM194="",NA(),CM194))</f>
        <v>0</v>
      </c>
      <c r="FB27">
        <f>IF(Charts!$B$3="none",Z194,IF(CN194="",NA(),CN194))</f>
        <v>0</v>
      </c>
      <c r="FC27">
        <f>IF(Charts!$B$3="none",AA194,IF(CO194="",NA(),CO194))</f>
        <v>0</v>
      </c>
      <c r="FD27">
        <f>IF(Charts!$B$3="none",AB194,IF(CP194="",NA(),CP194))</f>
        <v>0</v>
      </c>
      <c r="FE27">
        <f>IF(Charts!$B$3="none",AC194,IF(CQ194="",NA(),CQ194))</f>
        <v>0</v>
      </c>
      <c r="FF27">
        <f>IF(Charts!$B$3="none",AD194,IF(CR194="",NA(),CR194))</f>
        <v>0</v>
      </c>
      <c r="FG27">
        <f>IF(Charts!$B$3="none",AE194,IF(CS194="",NA(),CS194))</f>
        <v>0</v>
      </c>
      <c r="FH27">
        <f>IF(Charts!$B$3="none",AF194,IF(CT194="",NA(),CT194))</f>
        <v>0</v>
      </c>
      <c r="FI27">
        <f>IF(Charts!$B$3="none",AG194,IF(CU194="",NA(),CU194))</f>
        <v>0</v>
      </c>
      <c r="FJ27">
        <f>IF(Charts!$B$3="none",AH194,IF(CV194="",NA(),CV194))</f>
        <v>0</v>
      </c>
      <c r="FK27">
        <f>IF(Charts!$B$3="none",AI194,IF(CW194="",NA(),CW194))</f>
        <v>0</v>
      </c>
      <c r="FL27">
        <f>IF(Charts!$B$3="none",AJ194,IF(CX194="",NA(),CX194))</f>
        <v>0</v>
      </c>
      <c r="FM27">
        <f>IF(Charts!$B$3="none",AK194,IF(CY194="",NA(),CY194))</f>
        <v>0</v>
      </c>
      <c r="FN27">
        <f>IF(Charts!$B$3="none",AL194,IF(CZ194="",NA(),CZ194))</f>
        <v>0</v>
      </c>
      <c r="FO27">
        <f>IF(Charts!$B$3="none",AM194,IF(DA194="",NA(),DA194))</f>
        <v>0</v>
      </c>
      <c r="FP27">
        <f>IF(Charts!$B$3="none",AN194,IF(DB194="",NA(),DB194))</f>
        <v>0</v>
      </c>
      <c r="FQ27">
        <f>IF(Charts!$B$3="none",AO194,IF(DC194="",NA(),DC194))</f>
        <v>0</v>
      </c>
      <c r="FR27">
        <f>IF(Charts!$B$3="none",AP194,IF(DD194="",NA(),DD194))</f>
        <v>0</v>
      </c>
      <c r="FS27">
        <f>IF(Charts!$B$3="none",AQ194,IF(DE194="",NA(),DE194))</f>
        <v>0</v>
      </c>
      <c r="FT27">
        <f>IF(Charts!$B$3="none",AR194,IF(DF194="",NA(),DF194))</f>
        <v>0</v>
      </c>
      <c r="FU27">
        <f>IF(Charts!$B$3="none",AS194,IF(DG194="",NA(),DG194))</f>
        <v>0</v>
      </c>
      <c r="FV27">
        <f>IF(Charts!$B$3="none",AT194,IF(DH194="",NA(),DH194))</f>
        <v>0</v>
      </c>
      <c r="FW27">
        <f>IF(Charts!$B$3="none",AU194,IF(DI194="",NA(),DI194))</f>
        <v>0</v>
      </c>
      <c r="FX27">
        <f>IF(Charts!$B$3="none",AV194,IF(DJ194="",NA(),DJ194))</f>
        <v>0</v>
      </c>
      <c r="FY27">
        <f>IF(Charts!$B$3="none",AW194,IF(DK194="",NA(),DK194))</f>
        <v>0</v>
      </c>
      <c r="FZ27">
        <f>IF(Charts!$B$3="none",AX194,IF(DL194="",NA(),DL194))</f>
        <v>0</v>
      </c>
      <c r="GA27">
        <f>IF(Charts!$B$3="none",AY194,IF(DM194="",NA(),DM194))</f>
        <v>0</v>
      </c>
      <c r="GB27">
        <f>IF(Charts!$B$3="none",AZ194,IF(DN194="",NA(),DN194))</f>
        <v>0</v>
      </c>
      <c r="GC27">
        <f>IF(Charts!$B$3="none",BA194,IF(DO194="",NA(),DO194))</f>
        <v>0</v>
      </c>
      <c r="GD27">
        <f>IF(Charts!$B$3="none",BB194,IF(DP194="",NA(),DP194))</f>
        <v>0</v>
      </c>
      <c r="GE27">
        <f>IF(Charts!$B$3="none",BC194,IF(DQ194="",NA(),DQ194))</f>
        <v>0</v>
      </c>
      <c r="GF27">
        <f>IF(Charts!$B$3="none",BD194,IF(DR194="",NA(),DR194))</f>
        <v>0</v>
      </c>
      <c r="GG27">
        <f>IF(Charts!$B$3="none",BE194,IF(DS194="",NA(),DS194))</f>
        <v>0</v>
      </c>
      <c r="GH27">
        <f>IF(Charts!$B$3="none",BF194,IF(DT194="",NA(),DT194))</f>
        <v>0</v>
      </c>
      <c r="GI27">
        <f>IF(Charts!$B$3="none",BG194,IF(DU194="",NA(),DU194))</f>
        <v>0</v>
      </c>
      <c r="GJ27">
        <f>IF(Charts!$B$3="none",BH194,IF(DV194="",NA(),DV194))</f>
        <v>0</v>
      </c>
      <c r="GK27">
        <f>IF(Charts!$B$3="none",BI194,IF(DW194="",NA(),DW194))</f>
        <v>0</v>
      </c>
      <c r="GL27">
        <f>IF(Charts!$B$3="none",BJ194,IF(DX194="",NA(),DX194))</f>
        <v>0</v>
      </c>
      <c r="GM27">
        <f>IF(Charts!$B$3="none",BK194,IF(DY194="",NA(),DY194))</f>
        <v>0</v>
      </c>
      <c r="GN27">
        <f>IF(Charts!$B$3="none",BL194,IF(DZ194="",NA(),DZ194))</f>
        <v>0</v>
      </c>
      <c r="GO27">
        <f>IF(Charts!$B$3="none",BM194,IF(EA194="",NA(),EA194))</f>
        <v>0</v>
      </c>
      <c r="GP27">
        <f>IF(Charts!$B$3="none",BN194,IF(EB194="",NA(),EB194))</f>
        <v>0</v>
      </c>
      <c r="GQ27">
        <f>IF(Charts!$B$3="none",BO194,IF(EC194="",NA(),EC194))</f>
        <v>0</v>
      </c>
      <c r="GR27">
        <f>IF(Charts!$B$3="none",BP194,IF(ED194="",NA(),ED194))</f>
        <v>0</v>
      </c>
    </row>
    <row r="28" spans="1:200">
      <c r="D28">
        <v>24</v>
      </c>
      <c r="E28">
        <f>IF(INDIRECT(ADDRESS($D28+2,E$2+1,,,"Instances"))="","",INDIRECT(ADDRESS($D28+2,E$2+1,,,"Instances")))</f>
        <v>0</v>
      </c>
      <c r="F28">
        <f>IFERROR(SMALL(E5:E36,ROW()-ROW($F$5)+1),"")</f>
        <v>0</v>
      </c>
      <c r="H28">
        <f>IFERROR(SUM(F5:F28),"")</f>
        <v>0</v>
      </c>
      <c r="I28">
        <f>IF(INDIRECT(ADDRESS($D28+2,I$2+1,,,"Instances"))="","",INDIRECT(ADDRESS($D28+2,I$2+1,,,"Instances")))</f>
        <v>0</v>
      </c>
      <c r="J28">
        <f>IFERROR(SMALL(I5:I36,ROW()-ROW($J$5)+1),"")</f>
        <v>0</v>
      </c>
      <c r="L28">
        <f>IFERROR(SUM(J5:J28),"")</f>
        <v>0</v>
      </c>
      <c r="M28">
        <f>IF(INDIRECT(ADDRESS($D28+2,M$2+1,,,"Instances"))="","",INDIRECT(ADDRESS($D28+2,M$2+1,,,"Instances")))</f>
        <v>0</v>
      </c>
      <c r="N28">
        <f>IFERROR(SMALL(M5:M36,ROW()-ROW($N$5)+1),"")</f>
        <v>0</v>
      </c>
      <c r="P28">
        <f>IFERROR(SUM(N5:N28),"")</f>
        <v>0</v>
      </c>
      <c r="Q28">
        <f>IF(INDIRECT(ADDRESS($D28+2,Q$2+1,,,"Instances"))="","",INDIRECT(ADDRESS($D28+2,Q$2+1,,,"Instances")))</f>
        <v>0</v>
      </c>
      <c r="R28">
        <f>IFERROR(SMALL(Q5:Q36,ROW()-ROW($R$5)+1),"")</f>
        <v>0</v>
      </c>
      <c r="T28">
        <f>IFERROR(SUM(R5:R28),"")</f>
        <v>0</v>
      </c>
      <c r="U28">
        <f>IF(INDIRECT(ADDRESS($D28+2,U$2+1,,,"Instances"))="","",INDIRECT(ADDRESS($D28+2,U$2+1,,,"Instances")))</f>
        <v>0</v>
      </c>
      <c r="V28">
        <f>IFERROR(SMALL(U5:U36,ROW()-ROW($V$5)+1),"")</f>
        <v>0</v>
      </c>
      <c r="X28">
        <f>IFERROR(SUM(V5:V28),"")</f>
        <v>0</v>
      </c>
      <c r="Y28">
        <f>IF(INDIRECT(ADDRESS($D28+2,Y$2+1,,,"Instances"))="","",INDIRECT(ADDRESS($D28+2,Y$2+1,,,"Instances")))</f>
        <v>0</v>
      </c>
      <c r="Z28">
        <f>IFERROR(SMALL(Y5:Y36,ROW()-ROW($Z$5)+1),"")</f>
        <v>0</v>
      </c>
      <c r="AB28">
        <f>IFERROR(SUM(Z5:Z28),"")</f>
        <v>0</v>
      </c>
      <c r="AC28">
        <f>IF(INDIRECT(ADDRESS($D28+2,AC$2+1,,,"Instances"))="","",INDIRECT(ADDRESS($D28+2,AC$2+1,,,"Instances")))</f>
        <v>0</v>
      </c>
      <c r="AD28">
        <f>IFERROR(SMALL(AC5:AC36,ROW()-ROW($AD$5)+1),"")</f>
        <v>0</v>
      </c>
      <c r="AF28">
        <f>IFERROR(SUM(AD5:AD28),"")</f>
        <v>0</v>
      </c>
      <c r="AG28">
        <f>IF(INDIRECT(ADDRESS($D28+2,AG$2+1,,,"Instances"))="","",INDIRECT(ADDRESS($D28+2,AG$2+1,,,"Instances")))</f>
        <v>0</v>
      </c>
      <c r="AH28">
        <f>IFERROR(SMALL(AG5:AG36,ROW()-ROW($AH$5)+1),"")</f>
        <v>0</v>
      </c>
      <c r="AJ28">
        <f>IFERROR(SUM(AH5:AH28),"")</f>
        <v>0</v>
      </c>
      <c r="AK28">
        <f>IF(INDIRECT(ADDRESS($D28+2,AK$2+1,,,"Instances"))="","",INDIRECT(ADDRESS($D28+2,AK$2+1,,,"Instances")))</f>
        <v>0</v>
      </c>
      <c r="AL28">
        <f>IFERROR(SMALL(AK5:AK36,ROW()-ROW($AL$5)+1),"")</f>
        <v>0</v>
      </c>
      <c r="AN28">
        <f>IFERROR(SUM(AL5:AL28),"")</f>
        <v>0</v>
      </c>
      <c r="AO28">
        <f>IF(INDIRECT(ADDRESS($D28+2,AO$2+1,,,"Instances"))="","",INDIRECT(ADDRESS($D28+2,AO$2+1,,,"Instances")))</f>
        <v>0</v>
      </c>
      <c r="AP28">
        <f>IFERROR(SMALL(AO5:AO36,ROW()-ROW($AP$5)+1),"")</f>
        <v>0</v>
      </c>
      <c r="AR28">
        <f>IFERROR(SUM(AP5:AP28),"")</f>
        <v>0</v>
      </c>
      <c r="AS28">
        <f>IF(INDIRECT(ADDRESS($D28+2,AS$2+1,,,"Instances"))="","",INDIRECT(ADDRESS($D28+2,AS$2+1,,,"Instances")))</f>
        <v>0</v>
      </c>
      <c r="AT28">
        <f>IFERROR(SMALL(AS5:AS36,ROW()-ROW($AT$5)+1),"")</f>
        <v>0</v>
      </c>
      <c r="AV28">
        <f>IFERROR(SUM(AT5:AT28),"")</f>
        <v>0</v>
      </c>
      <c r="AW28">
        <f>IF(INDIRECT(ADDRESS($D28+2,AW$2+1,,,"Instances"))="","",INDIRECT(ADDRESS($D28+2,AW$2+1,,,"Instances")))</f>
        <v>0</v>
      </c>
      <c r="AX28">
        <f>IFERROR(SMALL(AW5:AW36,ROW()-ROW($AX$5)+1),"")</f>
        <v>0</v>
      </c>
      <c r="AZ28">
        <f>IFERROR(SUM(AX5:AX28),"")</f>
        <v>0</v>
      </c>
      <c r="BA28">
        <f>IF(INDIRECT(ADDRESS($D28+2,BA$2+1,,,"Instances"))="","",INDIRECT(ADDRESS($D28+2,BA$2+1,,,"Instances")))</f>
        <v>0</v>
      </c>
      <c r="BB28">
        <f>IFERROR(SMALL(BA5:BA36,ROW()-ROW($BB$5)+1),"")</f>
        <v>0</v>
      </c>
      <c r="BD28">
        <f>IFERROR(SUM(BB5:BB28),"")</f>
        <v>0</v>
      </c>
      <c r="BE28">
        <f>IF(INDIRECT(ADDRESS($D28+2,BE$2+1,,,"Instances"))="","",INDIRECT(ADDRESS($D28+2,BE$2+1,,,"Instances")))</f>
        <v>0</v>
      </c>
      <c r="BF28">
        <f>IFERROR(SMALL(BE5:BE36,ROW()-ROW($BF$5)+1),"")</f>
        <v>0</v>
      </c>
      <c r="BH28">
        <f>IFERROR(SUM(BF5:BF28),"")</f>
        <v>0</v>
      </c>
      <c r="BI28">
        <f>IF(INDIRECT(ADDRESS($D28+2,BI$2+1,,,"Instances"))="","",INDIRECT(ADDRESS($D28+2,BI$2+1,,,"Instances")))</f>
        <v>0</v>
      </c>
      <c r="BJ28">
        <f>IFERROR(SMALL(BI5:BI36,ROW()-ROW($BJ$5)+1),"")</f>
        <v>0</v>
      </c>
      <c r="BL28">
        <f>IFERROR(SUM(BJ5:BJ28),"")</f>
        <v>0</v>
      </c>
      <c r="BM28">
        <f>IF(INDIRECT(ADDRESS($D28+2,BM$2+1,,,"Instances"))="","",INDIRECT(ADDRESS($D28+2,BM$2+1,,,"Instances")))</f>
        <v>0</v>
      </c>
      <c r="BN28">
        <f>IFERROR(SMALL(BM5:BM36,ROW()-ROW($BN$5)+1),"")</f>
        <v>0</v>
      </c>
      <c r="BP28">
        <f>IFERROR(SUM(BN5:BN28),"")</f>
        <v>0</v>
      </c>
      <c r="BR28">
        <v>24</v>
      </c>
      <c r="BS28" cm="1">
        <f t="array" ref="BS28">_xlfn.SWITCH(Charts!$B$3,"average", AVERAGE(INDIRECT(ADDRESS(23+3,BS$2+1,,,"Instances") &amp; ":" &amp; ADDRESS(23+3,BS$2+1))),"median", MEDIAN(INDIRECT(ADDRESS(23+3,BS$2+1,,,"Instances") &amp; ":" &amp; ADDRESS(23+3,BS$2+1))),"min", MIN(INDIRECT(ADDRESS(23+3,BS$2+1,,,"Instances") &amp; ":" &amp; ADDRESS(23+3,BS$2+1))),"max", MAX(INDIRECT(ADDRESS(23+3,BS$2+1,,,"Instances") &amp; ":" &amp; ADDRESS(23+3,BS$2+1))),"diff", MAX(INDIRECT(ADDRESS(23+3,BS$2+1,,,"Instances") &amp; ":" &amp; ADDRESS(23+3,BS$2+1)))-MIN(INDIRECT(ADDRESS(23+3,BS$2+1,,,"Instances") &amp; ":" &amp; ADDRESS(23+3,BS$2+1))))</f>
        <v>0</v>
      </c>
      <c r="BT28">
        <f>IFERROR(SMALL(BS5:BS36,ROW()-ROW($BT$5)+1),"")</f>
        <v>0</v>
      </c>
      <c r="BV28">
        <f>IFERROR(SUM(BT5:BT28),"")</f>
        <v>0</v>
      </c>
      <c r="BW28" cm="1">
        <f t="array" ref="BW28">_xlfn.SWITCH(Charts!$B$3,"average", AVERAGE(INDIRECT(ADDRESS(23+3,BW$2+1,,,"Instances") &amp; ":" &amp; ADDRESS(23+3,BW$2+1))),"median", MEDIAN(INDIRECT(ADDRESS(23+3,BW$2+1,,,"Instances") &amp; ":" &amp; ADDRESS(23+3,BW$2+1))),"min", MIN(INDIRECT(ADDRESS(23+3,BW$2+1,,,"Instances") &amp; ":" &amp; ADDRESS(23+3,BW$2+1))),"max", MAX(INDIRECT(ADDRESS(23+3,BW$2+1,,,"Instances") &amp; ":" &amp; ADDRESS(23+3,BW$2+1))),"diff", MAX(INDIRECT(ADDRESS(23+3,BW$2+1,,,"Instances") &amp; ":" &amp; ADDRESS(23+3,BW$2+1)))-MIN(INDIRECT(ADDRESS(23+3,BW$2+1,,,"Instances") &amp; ":" &amp; ADDRESS(23+3,BW$2+1))))</f>
        <v>0</v>
      </c>
      <c r="BX28">
        <f>IFERROR(SMALL(BW5:BW36,ROW()-ROW($BX$5)+1),"")</f>
        <v>0</v>
      </c>
      <c r="BZ28">
        <f>IFERROR(SUM(BX5:BX28),"")</f>
        <v>0</v>
      </c>
      <c r="CA28" cm="1">
        <f t="array" ref="CA28">_xlfn.SWITCH(Charts!$B$3,"average", AVERAGE(INDIRECT(ADDRESS(23+3,CA$2+1,,,"Instances") &amp; ":" &amp; ADDRESS(23+3,CA$2+1))),"median", MEDIAN(INDIRECT(ADDRESS(23+3,CA$2+1,,,"Instances") &amp; ":" &amp; ADDRESS(23+3,CA$2+1))),"min", MIN(INDIRECT(ADDRESS(23+3,CA$2+1,,,"Instances") &amp; ":" &amp; ADDRESS(23+3,CA$2+1))),"max", MAX(INDIRECT(ADDRESS(23+3,CA$2+1,,,"Instances") &amp; ":" &amp; ADDRESS(23+3,CA$2+1))),"diff", MAX(INDIRECT(ADDRESS(23+3,CA$2+1,,,"Instances") &amp; ":" &amp; ADDRESS(23+3,CA$2+1)))-MIN(INDIRECT(ADDRESS(23+3,CA$2+1,,,"Instances") &amp; ":" &amp; ADDRESS(23+3,CA$2+1))))</f>
        <v>0</v>
      </c>
      <c r="CB28">
        <f>IFERROR(SMALL(CA5:CA36,ROW()-ROW($CB$5)+1),"")</f>
        <v>0</v>
      </c>
      <c r="CD28">
        <f>IFERROR(SUM(CB5:CB28),"")</f>
        <v>0</v>
      </c>
      <c r="CE28" cm="1">
        <f t="array" ref="CE28">_xlfn.SWITCH(Charts!$B$3,"average", AVERAGE(INDIRECT(ADDRESS(23+3,CE$2+1,,,"Instances") &amp; ":" &amp; ADDRESS(23+3,CE$2+1))),"median", MEDIAN(INDIRECT(ADDRESS(23+3,CE$2+1,,,"Instances") &amp; ":" &amp; ADDRESS(23+3,CE$2+1))),"min", MIN(INDIRECT(ADDRESS(23+3,CE$2+1,,,"Instances") &amp; ":" &amp; ADDRESS(23+3,CE$2+1))),"max", MAX(INDIRECT(ADDRESS(23+3,CE$2+1,,,"Instances") &amp; ":" &amp; ADDRESS(23+3,CE$2+1))),"diff", MAX(INDIRECT(ADDRESS(23+3,CE$2+1,,,"Instances") &amp; ":" &amp; ADDRESS(23+3,CE$2+1)))-MIN(INDIRECT(ADDRESS(23+3,CE$2+1,,,"Instances") &amp; ":" &amp; ADDRESS(23+3,CE$2+1))))</f>
        <v>0</v>
      </c>
      <c r="CF28">
        <f>IFERROR(SMALL(CE5:CE36,ROW()-ROW($CF$5)+1),"")</f>
        <v>0</v>
      </c>
      <c r="CH28">
        <f>IFERROR(SUM(CF5:CF28),"")</f>
        <v>0</v>
      </c>
      <c r="CI28" cm="1">
        <f t="array" ref="CI28">_xlfn.SWITCH(Charts!$B$3,"average", AVERAGE(INDIRECT(ADDRESS(23+3,CI$2+1,,,"Instances") &amp; ":" &amp; ADDRESS(23+3,CI$2+1))),"median", MEDIAN(INDIRECT(ADDRESS(23+3,CI$2+1,,,"Instances") &amp; ":" &amp; ADDRESS(23+3,CI$2+1))),"min", MIN(INDIRECT(ADDRESS(23+3,CI$2+1,,,"Instances") &amp; ":" &amp; ADDRESS(23+3,CI$2+1))),"max", MAX(INDIRECT(ADDRESS(23+3,CI$2+1,,,"Instances") &amp; ":" &amp; ADDRESS(23+3,CI$2+1))),"diff", MAX(INDIRECT(ADDRESS(23+3,CI$2+1,,,"Instances") &amp; ":" &amp; ADDRESS(23+3,CI$2+1)))-MIN(INDIRECT(ADDRESS(23+3,CI$2+1,,,"Instances") &amp; ":" &amp; ADDRESS(23+3,CI$2+1))))</f>
        <v>0</v>
      </c>
      <c r="CJ28">
        <f>IFERROR(SMALL(CI5:CI36,ROW()-ROW($CJ$5)+1),"")</f>
        <v>0</v>
      </c>
      <c r="CL28">
        <f>IFERROR(SUM(CJ5:CJ28),"")</f>
        <v>0</v>
      </c>
      <c r="CM28" cm="1">
        <f t="array" ref="CM28">_xlfn.SWITCH(Charts!$B$3,"average", AVERAGE(INDIRECT(ADDRESS(23+3,CM$2+1,,,"Instances") &amp; ":" &amp; ADDRESS(23+3,CM$2+1))),"median", MEDIAN(INDIRECT(ADDRESS(23+3,CM$2+1,,,"Instances") &amp; ":" &amp; ADDRESS(23+3,CM$2+1))),"min", MIN(INDIRECT(ADDRESS(23+3,CM$2+1,,,"Instances") &amp; ":" &amp; ADDRESS(23+3,CM$2+1))),"max", MAX(INDIRECT(ADDRESS(23+3,CM$2+1,,,"Instances") &amp; ":" &amp; ADDRESS(23+3,CM$2+1))),"diff", MAX(INDIRECT(ADDRESS(23+3,CM$2+1,,,"Instances") &amp; ":" &amp; ADDRESS(23+3,CM$2+1)))-MIN(INDIRECT(ADDRESS(23+3,CM$2+1,,,"Instances") &amp; ":" &amp; ADDRESS(23+3,CM$2+1))))</f>
        <v>0</v>
      </c>
      <c r="CN28">
        <f>IFERROR(SMALL(CM5:CM36,ROW()-ROW($CN$5)+1),"")</f>
        <v>0</v>
      </c>
      <c r="CP28">
        <f>IFERROR(SUM(CN5:CN28),"")</f>
        <v>0</v>
      </c>
      <c r="CQ28" cm="1">
        <f t="array" ref="CQ28">_xlfn.SWITCH(Charts!$B$3,"average", AVERAGE(INDIRECT(ADDRESS(23+3,CQ$2+1,,,"Instances") &amp; ":" &amp; ADDRESS(23+3,CQ$2+1))),"median", MEDIAN(INDIRECT(ADDRESS(23+3,CQ$2+1,,,"Instances") &amp; ":" &amp; ADDRESS(23+3,CQ$2+1))),"min", MIN(INDIRECT(ADDRESS(23+3,CQ$2+1,,,"Instances") &amp; ":" &amp; ADDRESS(23+3,CQ$2+1))),"max", MAX(INDIRECT(ADDRESS(23+3,CQ$2+1,,,"Instances") &amp; ":" &amp; ADDRESS(23+3,CQ$2+1))),"diff", MAX(INDIRECT(ADDRESS(23+3,CQ$2+1,,,"Instances") &amp; ":" &amp; ADDRESS(23+3,CQ$2+1)))-MIN(INDIRECT(ADDRESS(23+3,CQ$2+1,,,"Instances") &amp; ":" &amp; ADDRESS(23+3,CQ$2+1))))</f>
        <v>0</v>
      </c>
      <c r="CR28">
        <f>IFERROR(SMALL(CQ5:CQ36,ROW()-ROW($CR$5)+1),"")</f>
        <v>0</v>
      </c>
      <c r="CT28">
        <f>IFERROR(SUM(CR5:CR28),"")</f>
        <v>0</v>
      </c>
      <c r="CU28" cm="1">
        <f t="array" ref="CU28">_xlfn.SWITCH(Charts!$B$3,"average", AVERAGE(INDIRECT(ADDRESS(23+3,CU$2+1,,,"Instances") &amp; ":" &amp; ADDRESS(23+3,CU$2+1))),"median", MEDIAN(INDIRECT(ADDRESS(23+3,CU$2+1,,,"Instances") &amp; ":" &amp; ADDRESS(23+3,CU$2+1))),"min", MIN(INDIRECT(ADDRESS(23+3,CU$2+1,,,"Instances") &amp; ":" &amp; ADDRESS(23+3,CU$2+1))),"max", MAX(INDIRECT(ADDRESS(23+3,CU$2+1,,,"Instances") &amp; ":" &amp; ADDRESS(23+3,CU$2+1))),"diff", MAX(INDIRECT(ADDRESS(23+3,CU$2+1,,,"Instances") &amp; ":" &amp; ADDRESS(23+3,CU$2+1)))-MIN(INDIRECT(ADDRESS(23+3,CU$2+1,,,"Instances") &amp; ":" &amp; ADDRESS(23+3,CU$2+1))))</f>
        <v>0</v>
      </c>
      <c r="CV28">
        <f>IFERROR(SMALL(CU5:CU36,ROW()-ROW($CV$5)+1),"")</f>
        <v>0</v>
      </c>
      <c r="CX28">
        <f>IFERROR(SUM(CV5:CV28),"")</f>
        <v>0</v>
      </c>
      <c r="CY28" cm="1">
        <f t="array" ref="CY28">_xlfn.SWITCH(Charts!$B$3,"average", AVERAGE(INDIRECT(ADDRESS(23+3,CY$2+1,,,"Instances") &amp; ":" &amp; ADDRESS(23+3,CY$2+1))),"median", MEDIAN(INDIRECT(ADDRESS(23+3,CY$2+1,,,"Instances") &amp; ":" &amp; ADDRESS(23+3,CY$2+1))),"min", MIN(INDIRECT(ADDRESS(23+3,CY$2+1,,,"Instances") &amp; ":" &amp; ADDRESS(23+3,CY$2+1))),"max", MAX(INDIRECT(ADDRESS(23+3,CY$2+1,,,"Instances") &amp; ":" &amp; ADDRESS(23+3,CY$2+1))),"diff", MAX(INDIRECT(ADDRESS(23+3,CY$2+1,,,"Instances") &amp; ":" &amp; ADDRESS(23+3,CY$2+1)))-MIN(INDIRECT(ADDRESS(23+3,CY$2+1,,,"Instances") &amp; ":" &amp; ADDRESS(23+3,CY$2+1))))</f>
        <v>0</v>
      </c>
      <c r="CZ28">
        <f>IFERROR(SMALL(CY5:CY36,ROW()-ROW($CZ$5)+1),"")</f>
        <v>0</v>
      </c>
      <c r="DB28">
        <f>IFERROR(SUM(CZ5:CZ28),"")</f>
        <v>0</v>
      </c>
      <c r="DC28" cm="1">
        <f t="array" ref="DC28">_xlfn.SWITCH(Charts!$B$3,"average", AVERAGE(INDIRECT(ADDRESS(23+3,DC$2+1,,,"Instances") &amp; ":" &amp; ADDRESS(23+3,DC$2+1))),"median", MEDIAN(INDIRECT(ADDRESS(23+3,DC$2+1,,,"Instances") &amp; ":" &amp; ADDRESS(23+3,DC$2+1))),"min", MIN(INDIRECT(ADDRESS(23+3,DC$2+1,,,"Instances") &amp; ":" &amp; ADDRESS(23+3,DC$2+1))),"max", MAX(INDIRECT(ADDRESS(23+3,DC$2+1,,,"Instances") &amp; ":" &amp; ADDRESS(23+3,DC$2+1))),"diff", MAX(INDIRECT(ADDRESS(23+3,DC$2+1,,,"Instances") &amp; ":" &amp; ADDRESS(23+3,DC$2+1)))-MIN(INDIRECT(ADDRESS(23+3,DC$2+1,,,"Instances") &amp; ":" &amp; ADDRESS(23+3,DC$2+1))))</f>
        <v>0</v>
      </c>
      <c r="DD28">
        <f>IFERROR(SMALL(DC5:DC36,ROW()-ROW($DD$5)+1),"")</f>
        <v>0</v>
      </c>
      <c r="DF28">
        <f>IFERROR(SUM(DD5:DD28),"")</f>
        <v>0</v>
      </c>
      <c r="DG28" cm="1">
        <f t="array" ref="DG28">_xlfn.SWITCH(Charts!$B$3,"average", AVERAGE(INDIRECT(ADDRESS(23+3,DG$2+1,,,"Instances") &amp; ":" &amp; ADDRESS(23+3,DG$2+1))),"median", MEDIAN(INDIRECT(ADDRESS(23+3,DG$2+1,,,"Instances") &amp; ":" &amp; ADDRESS(23+3,DG$2+1))),"min", MIN(INDIRECT(ADDRESS(23+3,DG$2+1,,,"Instances") &amp; ":" &amp; ADDRESS(23+3,DG$2+1))),"max", MAX(INDIRECT(ADDRESS(23+3,DG$2+1,,,"Instances") &amp; ":" &amp; ADDRESS(23+3,DG$2+1))),"diff", MAX(INDIRECT(ADDRESS(23+3,DG$2+1,,,"Instances") &amp; ":" &amp; ADDRESS(23+3,DG$2+1)))-MIN(INDIRECT(ADDRESS(23+3,DG$2+1,,,"Instances") &amp; ":" &amp; ADDRESS(23+3,DG$2+1))))</f>
        <v>0</v>
      </c>
      <c r="DH28">
        <f>IFERROR(SMALL(DG5:DG36,ROW()-ROW($DH$5)+1),"")</f>
        <v>0</v>
      </c>
      <c r="DJ28">
        <f>IFERROR(SUM(DH5:DH28),"")</f>
        <v>0</v>
      </c>
      <c r="DK28" cm="1">
        <f t="array" ref="DK28">_xlfn.SWITCH(Charts!$B$3,"average", AVERAGE(INDIRECT(ADDRESS(23+3,DK$2+1,,,"Instances") &amp; ":" &amp; ADDRESS(23+3,DK$2+1))),"median", MEDIAN(INDIRECT(ADDRESS(23+3,DK$2+1,,,"Instances") &amp; ":" &amp; ADDRESS(23+3,DK$2+1))),"min", MIN(INDIRECT(ADDRESS(23+3,DK$2+1,,,"Instances") &amp; ":" &amp; ADDRESS(23+3,DK$2+1))),"max", MAX(INDIRECT(ADDRESS(23+3,DK$2+1,,,"Instances") &amp; ":" &amp; ADDRESS(23+3,DK$2+1))),"diff", MAX(INDIRECT(ADDRESS(23+3,DK$2+1,,,"Instances") &amp; ":" &amp; ADDRESS(23+3,DK$2+1)))-MIN(INDIRECT(ADDRESS(23+3,DK$2+1,,,"Instances") &amp; ":" &amp; ADDRESS(23+3,DK$2+1))))</f>
        <v>0</v>
      </c>
      <c r="DL28">
        <f>IFERROR(SMALL(DK5:DK36,ROW()-ROW($DL$5)+1),"")</f>
        <v>0</v>
      </c>
      <c r="DN28">
        <f>IFERROR(SUM(DL5:DL28),"")</f>
        <v>0</v>
      </c>
      <c r="DO28" cm="1">
        <f t="array" ref="DO28">_xlfn.SWITCH(Charts!$B$3,"average", AVERAGE(INDIRECT(ADDRESS(23+3,DO$2+1,,,"Instances") &amp; ":" &amp; ADDRESS(23+3,DO$2+1))),"median", MEDIAN(INDIRECT(ADDRESS(23+3,DO$2+1,,,"Instances") &amp; ":" &amp; ADDRESS(23+3,DO$2+1))),"min", MIN(INDIRECT(ADDRESS(23+3,DO$2+1,,,"Instances") &amp; ":" &amp; ADDRESS(23+3,DO$2+1))),"max", MAX(INDIRECT(ADDRESS(23+3,DO$2+1,,,"Instances") &amp; ":" &amp; ADDRESS(23+3,DO$2+1))),"diff", MAX(INDIRECT(ADDRESS(23+3,DO$2+1,,,"Instances") &amp; ":" &amp; ADDRESS(23+3,DO$2+1)))-MIN(INDIRECT(ADDRESS(23+3,DO$2+1,,,"Instances") &amp; ":" &amp; ADDRESS(23+3,DO$2+1))))</f>
        <v>0</v>
      </c>
      <c r="DP28">
        <f>IFERROR(SMALL(DO5:DO36,ROW()-ROW($DP$5)+1),"")</f>
        <v>0</v>
      </c>
      <c r="DR28">
        <f>IFERROR(SUM(DP5:DP28),"")</f>
        <v>0</v>
      </c>
      <c r="DS28" cm="1">
        <f t="array" ref="DS28">_xlfn.SWITCH(Charts!$B$3,"average", AVERAGE(INDIRECT(ADDRESS(23+3,DS$2+1,,,"Instances") &amp; ":" &amp; ADDRESS(23+3,DS$2+1))),"median", MEDIAN(INDIRECT(ADDRESS(23+3,DS$2+1,,,"Instances") &amp; ":" &amp; ADDRESS(23+3,DS$2+1))),"min", MIN(INDIRECT(ADDRESS(23+3,DS$2+1,,,"Instances") &amp; ":" &amp; ADDRESS(23+3,DS$2+1))),"max", MAX(INDIRECT(ADDRESS(23+3,DS$2+1,,,"Instances") &amp; ":" &amp; ADDRESS(23+3,DS$2+1))),"diff", MAX(INDIRECT(ADDRESS(23+3,DS$2+1,,,"Instances") &amp; ":" &amp; ADDRESS(23+3,DS$2+1)))-MIN(INDIRECT(ADDRESS(23+3,DS$2+1,,,"Instances") &amp; ":" &amp; ADDRESS(23+3,DS$2+1))))</f>
        <v>0</v>
      </c>
      <c r="DT28">
        <f>IFERROR(SMALL(DS5:DS36,ROW()-ROW($DT$5)+1),"")</f>
        <v>0</v>
      </c>
      <c r="DV28">
        <f>IFERROR(SUM(DT5:DT28),"")</f>
        <v>0</v>
      </c>
      <c r="DW28" cm="1">
        <f t="array" ref="DW28">_xlfn.SWITCH(Charts!$B$3,"average", AVERAGE(INDIRECT(ADDRESS(23+3,DW$2+1,,,"Instances") &amp; ":" &amp; ADDRESS(23+3,DW$2+1))),"median", MEDIAN(INDIRECT(ADDRESS(23+3,DW$2+1,,,"Instances") &amp; ":" &amp; ADDRESS(23+3,DW$2+1))),"min", MIN(INDIRECT(ADDRESS(23+3,DW$2+1,,,"Instances") &amp; ":" &amp; ADDRESS(23+3,DW$2+1))),"max", MAX(INDIRECT(ADDRESS(23+3,DW$2+1,,,"Instances") &amp; ":" &amp; ADDRESS(23+3,DW$2+1))),"diff", MAX(INDIRECT(ADDRESS(23+3,DW$2+1,,,"Instances") &amp; ":" &amp; ADDRESS(23+3,DW$2+1)))-MIN(INDIRECT(ADDRESS(23+3,DW$2+1,,,"Instances") &amp; ":" &amp; ADDRESS(23+3,DW$2+1))))</f>
        <v>0</v>
      </c>
      <c r="DX28">
        <f>IFERROR(SMALL(DW5:DW36,ROW()-ROW($DX$5)+1),"")</f>
        <v>0</v>
      </c>
      <c r="DZ28">
        <f>IFERROR(SUM(DX5:DX28),"")</f>
        <v>0</v>
      </c>
      <c r="EA28" cm="1">
        <f t="array" ref="EA28">_xlfn.SWITCH(Charts!$B$3,"average", AVERAGE(INDIRECT(ADDRESS(23+3,EA$2+1,,,"Instances") &amp; ":" &amp; ADDRESS(23+3,EA$2+1))),"median", MEDIAN(INDIRECT(ADDRESS(23+3,EA$2+1,,,"Instances") &amp; ":" &amp; ADDRESS(23+3,EA$2+1))),"min", MIN(INDIRECT(ADDRESS(23+3,EA$2+1,,,"Instances") &amp; ":" &amp; ADDRESS(23+3,EA$2+1))),"max", MAX(INDIRECT(ADDRESS(23+3,EA$2+1,,,"Instances") &amp; ":" &amp; ADDRESS(23+3,EA$2+1))),"diff", MAX(INDIRECT(ADDRESS(23+3,EA$2+1,,,"Instances") &amp; ":" &amp; ADDRESS(23+3,EA$2+1)))-MIN(INDIRECT(ADDRESS(23+3,EA$2+1,,,"Instances") &amp; ":" &amp; ADDRESS(23+3,EA$2+1))))</f>
        <v>0</v>
      </c>
      <c r="EB28">
        <f>IFERROR(SMALL(EA5:EA36,ROW()-ROW($EB$5)+1),"")</f>
        <v>0</v>
      </c>
      <c r="ED28">
        <f>IFERROR(SUM(EB5:EB28),"")</f>
        <v>0</v>
      </c>
      <c r="EG28">
        <f>IF(Charts!$B$3="none",E195,IF(BS195="",NA(),BS195))</f>
        <v>0</v>
      </c>
      <c r="EH28">
        <f>IF(Charts!$B$3="none",F195,IF(BT195="",NA(),BT195))</f>
        <v>0</v>
      </c>
      <c r="EI28">
        <f>IF(Charts!$B$3="none",G195,IF(BU195="",NA(),BU195))</f>
        <v>0</v>
      </c>
      <c r="EJ28">
        <f>IF(Charts!$B$3="none",H195,IF(BV195="",NA(),BV195))</f>
        <v>0</v>
      </c>
      <c r="EK28">
        <f>IF(Charts!$B$3="none",I195,IF(BW195="",NA(),BW195))</f>
        <v>0</v>
      </c>
      <c r="EL28">
        <f>IF(Charts!$B$3="none",J195,IF(BX195="",NA(),BX195))</f>
        <v>0</v>
      </c>
      <c r="EM28">
        <f>IF(Charts!$B$3="none",K195,IF(BY195="",NA(),BY195))</f>
        <v>0</v>
      </c>
      <c r="EN28">
        <f>IF(Charts!$B$3="none",L195,IF(BZ195="",NA(),BZ195))</f>
        <v>0</v>
      </c>
      <c r="EO28">
        <f>IF(Charts!$B$3="none",M195,IF(CA195="",NA(),CA195))</f>
        <v>0</v>
      </c>
      <c r="EP28">
        <f>IF(Charts!$B$3="none",N195,IF(CB195="",NA(),CB195))</f>
        <v>0</v>
      </c>
      <c r="EQ28">
        <f>IF(Charts!$B$3="none",O195,IF(CC195="",NA(),CC195))</f>
        <v>0</v>
      </c>
      <c r="ER28">
        <f>IF(Charts!$B$3="none",P195,IF(CD195="",NA(),CD195))</f>
        <v>0</v>
      </c>
      <c r="ES28">
        <f>IF(Charts!$B$3="none",Q195,IF(CE195="",NA(),CE195))</f>
        <v>0</v>
      </c>
      <c r="ET28">
        <f>IF(Charts!$B$3="none",R195,IF(CF195="",NA(),CF195))</f>
        <v>0</v>
      </c>
      <c r="EU28">
        <f>IF(Charts!$B$3="none",S195,IF(CG195="",NA(),CG195))</f>
        <v>0</v>
      </c>
      <c r="EV28">
        <f>IF(Charts!$B$3="none",T195,IF(CH195="",NA(),CH195))</f>
        <v>0</v>
      </c>
      <c r="EW28">
        <f>IF(Charts!$B$3="none",U195,IF(CI195="",NA(),CI195))</f>
        <v>0</v>
      </c>
      <c r="EX28">
        <f>IF(Charts!$B$3="none",V195,IF(CJ195="",NA(),CJ195))</f>
        <v>0</v>
      </c>
      <c r="EY28">
        <f>IF(Charts!$B$3="none",W195,IF(CK195="",NA(),CK195))</f>
        <v>0</v>
      </c>
      <c r="EZ28">
        <f>IF(Charts!$B$3="none",X195,IF(CL195="",NA(),CL195))</f>
        <v>0</v>
      </c>
      <c r="FA28">
        <f>IF(Charts!$B$3="none",Y195,IF(CM195="",NA(),CM195))</f>
        <v>0</v>
      </c>
      <c r="FB28">
        <f>IF(Charts!$B$3="none",Z195,IF(CN195="",NA(),CN195))</f>
        <v>0</v>
      </c>
      <c r="FC28">
        <f>IF(Charts!$B$3="none",AA195,IF(CO195="",NA(),CO195))</f>
        <v>0</v>
      </c>
      <c r="FD28">
        <f>IF(Charts!$B$3="none",AB195,IF(CP195="",NA(),CP195))</f>
        <v>0</v>
      </c>
      <c r="FE28">
        <f>IF(Charts!$B$3="none",AC195,IF(CQ195="",NA(),CQ195))</f>
        <v>0</v>
      </c>
      <c r="FF28">
        <f>IF(Charts!$B$3="none",AD195,IF(CR195="",NA(),CR195))</f>
        <v>0</v>
      </c>
      <c r="FG28">
        <f>IF(Charts!$B$3="none",AE195,IF(CS195="",NA(),CS195))</f>
        <v>0</v>
      </c>
      <c r="FH28">
        <f>IF(Charts!$B$3="none",AF195,IF(CT195="",NA(),CT195))</f>
        <v>0</v>
      </c>
      <c r="FI28">
        <f>IF(Charts!$B$3="none",AG195,IF(CU195="",NA(),CU195))</f>
        <v>0</v>
      </c>
      <c r="FJ28">
        <f>IF(Charts!$B$3="none",AH195,IF(CV195="",NA(),CV195))</f>
        <v>0</v>
      </c>
      <c r="FK28">
        <f>IF(Charts!$B$3="none",AI195,IF(CW195="",NA(),CW195))</f>
        <v>0</v>
      </c>
      <c r="FL28">
        <f>IF(Charts!$B$3="none",AJ195,IF(CX195="",NA(),CX195))</f>
        <v>0</v>
      </c>
      <c r="FM28">
        <f>IF(Charts!$B$3="none",AK195,IF(CY195="",NA(),CY195))</f>
        <v>0</v>
      </c>
      <c r="FN28">
        <f>IF(Charts!$B$3="none",AL195,IF(CZ195="",NA(),CZ195))</f>
        <v>0</v>
      </c>
      <c r="FO28">
        <f>IF(Charts!$B$3="none",AM195,IF(DA195="",NA(),DA195))</f>
        <v>0</v>
      </c>
      <c r="FP28">
        <f>IF(Charts!$B$3="none",AN195,IF(DB195="",NA(),DB195))</f>
        <v>0</v>
      </c>
      <c r="FQ28">
        <f>IF(Charts!$B$3="none",AO195,IF(DC195="",NA(),DC195))</f>
        <v>0</v>
      </c>
      <c r="FR28">
        <f>IF(Charts!$B$3="none",AP195,IF(DD195="",NA(),DD195))</f>
        <v>0</v>
      </c>
      <c r="FS28">
        <f>IF(Charts!$B$3="none",AQ195,IF(DE195="",NA(),DE195))</f>
        <v>0</v>
      </c>
      <c r="FT28">
        <f>IF(Charts!$B$3="none",AR195,IF(DF195="",NA(),DF195))</f>
        <v>0</v>
      </c>
      <c r="FU28">
        <f>IF(Charts!$B$3="none",AS195,IF(DG195="",NA(),DG195))</f>
        <v>0</v>
      </c>
      <c r="FV28">
        <f>IF(Charts!$B$3="none",AT195,IF(DH195="",NA(),DH195))</f>
        <v>0</v>
      </c>
      <c r="FW28">
        <f>IF(Charts!$B$3="none",AU195,IF(DI195="",NA(),DI195))</f>
        <v>0</v>
      </c>
      <c r="FX28">
        <f>IF(Charts!$B$3="none",AV195,IF(DJ195="",NA(),DJ195))</f>
        <v>0</v>
      </c>
      <c r="FY28">
        <f>IF(Charts!$B$3="none",AW195,IF(DK195="",NA(),DK195))</f>
        <v>0</v>
      </c>
      <c r="FZ28">
        <f>IF(Charts!$B$3="none",AX195,IF(DL195="",NA(),DL195))</f>
        <v>0</v>
      </c>
      <c r="GA28">
        <f>IF(Charts!$B$3="none",AY195,IF(DM195="",NA(),DM195))</f>
        <v>0</v>
      </c>
      <c r="GB28">
        <f>IF(Charts!$B$3="none",AZ195,IF(DN195="",NA(),DN195))</f>
        <v>0</v>
      </c>
      <c r="GC28">
        <f>IF(Charts!$B$3="none",BA195,IF(DO195="",NA(),DO195))</f>
        <v>0</v>
      </c>
      <c r="GD28">
        <f>IF(Charts!$B$3="none",BB195,IF(DP195="",NA(),DP195))</f>
        <v>0</v>
      </c>
      <c r="GE28">
        <f>IF(Charts!$B$3="none",BC195,IF(DQ195="",NA(),DQ195))</f>
        <v>0</v>
      </c>
      <c r="GF28">
        <f>IF(Charts!$B$3="none",BD195,IF(DR195="",NA(),DR195))</f>
        <v>0</v>
      </c>
      <c r="GG28">
        <f>IF(Charts!$B$3="none",BE195,IF(DS195="",NA(),DS195))</f>
        <v>0</v>
      </c>
      <c r="GH28">
        <f>IF(Charts!$B$3="none",BF195,IF(DT195="",NA(),DT195))</f>
        <v>0</v>
      </c>
      <c r="GI28">
        <f>IF(Charts!$B$3="none",BG195,IF(DU195="",NA(),DU195))</f>
        <v>0</v>
      </c>
      <c r="GJ28">
        <f>IF(Charts!$B$3="none",BH195,IF(DV195="",NA(),DV195))</f>
        <v>0</v>
      </c>
      <c r="GK28">
        <f>IF(Charts!$B$3="none",BI195,IF(DW195="",NA(),DW195))</f>
        <v>0</v>
      </c>
      <c r="GL28">
        <f>IF(Charts!$B$3="none",BJ195,IF(DX195="",NA(),DX195))</f>
        <v>0</v>
      </c>
      <c r="GM28">
        <f>IF(Charts!$B$3="none",BK195,IF(DY195="",NA(),DY195))</f>
        <v>0</v>
      </c>
      <c r="GN28">
        <f>IF(Charts!$B$3="none",BL195,IF(DZ195="",NA(),DZ195))</f>
        <v>0</v>
      </c>
      <c r="GO28">
        <f>IF(Charts!$B$3="none",BM195,IF(EA195="",NA(),EA195))</f>
        <v>0</v>
      </c>
      <c r="GP28">
        <f>IF(Charts!$B$3="none",BN195,IF(EB195="",NA(),EB195))</f>
        <v>0</v>
      </c>
      <c r="GQ28">
        <f>IF(Charts!$B$3="none",BO195,IF(EC195="",NA(),EC195))</f>
        <v>0</v>
      </c>
      <c r="GR28">
        <f>IF(Charts!$B$3="none",BP195,IF(ED195="",NA(),ED195))</f>
        <v>0</v>
      </c>
    </row>
    <row r="29" spans="1:200">
      <c r="D29">
        <v>25</v>
      </c>
      <c r="E29">
        <f>IF(INDIRECT(ADDRESS($D29+2,E$2+1,,,"Instances"))="","",INDIRECT(ADDRESS($D29+2,E$2+1,,,"Instances")))</f>
        <v>0</v>
      </c>
      <c r="F29">
        <f>IFERROR(SMALL(E5:E36,ROW()-ROW($F$5)+1),"")</f>
        <v>0</v>
      </c>
      <c r="H29">
        <f>IFERROR(SUM(F5:F29),"")</f>
        <v>0</v>
      </c>
      <c r="I29">
        <f>IF(INDIRECT(ADDRESS($D29+2,I$2+1,,,"Instances"))="","",INDIRECT(ADDRESS($D29+2,I$2+1,,,"Instances")))</f>
        <v>0</v>
      </c>
      <c r="J29">
        <f>IFERROR(SMALL(I5:I36,ROW()-ROW($J$5)+1),"")</f>
        <v>0</v>
      </c>
      <c r="L29">
        <f>IFERROR(SUM(J5:J29),"")</f>
        <v>0</v>
      </c>
      <c r="M29">
        <f>IF(INDIRECT(ADDRESS($D29+2,M$2+1,,,"Instances"))="","",INDIRECT(ADDRESS($D29+2,M$2+1,,,"Instances")))</f>
        <v>0</v>
      </c>
      <c r="N29">
        <f>IFERROR(SMALL(M5:M36,ROW()-ROW($N$5)+1),"")</f>
        <v>0</v>
      </c>
      <c r="P29">
        <f>IFERROR(SUM(N5:N29),"")</f>
        <v>0</v>
      </c>
      <c r="Q29">
        <f>IF(INDIRECT(ADDRESS($D29+2,Q$2+1,,,"Instances"))="","",INDIRECT(ADDRESS($D29+2,Q$2+1,,,"Instances")))</f>
        <v>0</v>
      </c>
      <c r="R29">
        <f>IFERROR(SMALL(Q5:Q36,ROW()-ROW($R$5)+1),"")</f>
        <v>0</v>
      </c>
      <c r="T29">
        <f>IFERROR(SUM(R5:R29),"")</f>
        <v>0</v>
      </c>
      <c r="U29">
        <f>IF(INDIRECT(ADDRESS($D29+2,U$2+1,,,"Instances"))="","",INDIRECT(ADDRESS($D29+2,U$2+1,,,"Instances")))</f>
        <v>0</v>
      </c>
      <c r="V29">
        <f>IFERROR(SMALL(U5:U36,ROW()-ROW($V$5)+1),"")</f>
        <v>0</v>
      </c>
      <c r="X29">
        <f>IFERROR(SUM(V5:V29),"")</f>
        <v>0</v>
      </c>
      <c r="Y29">
        <f>IF(INDIRECT(ADDRESS($D29+2,Y$2+1,,,"Instances"))="","",INDIRECT(ADDRESS($D29+2,Y$2+1,,,"Instances")))</f>
        <v>0</v>
      </c>
      <c r="Z29">
        <f>IFERROR(SMALL(Y5:Y36,ROW()-ROW($Z$5)+1),"")</f>
        <v>0</v>
      </c>
      <c r="AB29">
        <f>IFERROR(SUM(Z5:Z29),"")</f>
        <v>0</v>
      </c>
      <c r="AC29">
        <f>IF(INDIRECT(ADDRESS($D29+2,AC$2+1,,,"Instances"))="","",INDIRECT(ADDRESS($D29+2,AC$2+1,,,"Instances")))</f>
        <v>0</v>
      </c>
      <c r="AD29">
        <f>IFERROR(SMALL(AC5:AC36,ROW()-ROW($AD$5)+1),"")</f>
        <v>0</v>
      </c>
      <c r="AF29">
        <f>IFERROR(SUM(AD5:AD29),"")</f>
        <v>0</v>
      </c>
      <c r="AG29">
        <f>IF(INDIRECT(ADDRESS($D29+2,AG$2+1,,,"Instances"))="","",INDIRECT(ADDRESS($D29+2,AG$2+1,,,"Instances")))</f>
        <v>0</v>
      </c>
      <c r="AH29">
        <f>IFERROR(SMALL(AG5:AG36,ROW()-ROW($AH$5)+1),"")</f>
        <v>0</v>
      </c>
      <c r="AJ29">
        <f>IFERROR(SUM(AH5:AH29),"")</f>
        <v>0</v>
      </c>
      <c r="AK29">
        <f>IF(INDIRECT(ADDRESS($D29+2,AK$2+1,,,"Instances"))="","",INDIRECT(ADDRESS($D29+2,AK$2+1,,,"Instances")))</f>
        <v>0</v>
      </c>
      <c r="AL29">
        <f>IFERROR(SMALL(AK5:AK36,ROW()-ROW($AL$5)+1),"")</f>
        <v>0</v>
      </c>
      <c r="AN29">
        <f>IFERROR(SUM(AL5:AL29),"")</f>
        <v>0</v>
      </c>
      <c r="AO29">
        <f>IF(INDIRECT(ADDRESS($D29+2,AO$2+1,,,"Instances"))="","",INDIRECT(ADDRESS($D29+2,AO$2+1,,,"Instances")))</f>
        <v>0</v>
      </c>
      <c r="AP29">
        <f>IFERROR(SMALL(AO5:AO36,ROW()-ROW($AP$5)+1),"")</f>
        <v>0</v>
      </c>
      <c r="AR29">
        <f>IFERROR(SUM(AP5:AP29),"")</f>
        <v>0</v>
      </c>
      <c r="AS29">
        <f>IF(INDIRECT(ADDRESS($D29+2,AS$2+1,,,"Instances"))="","",INDIRECT(ADDRESS($D29+2,AS$2+1,,,"Instances")))</f>
        <v>0</v>
      </c>
      <c r="AT29">
        <f>IFERROR(SMALL(AS5:AS36,ROW()-ROW($AT$5)+1),"")</f>
        <v>0</v>
      </c>
      <c r="AV29">
        <f>IFERROR(SUM(AT5:AT29),"")</f>
        <v>0</v>
      </c>
      <c r="AW29">
        <f>IF(INDIRECT(ADDRESS($D29+2,AW$2+1,,,"Instances"))="","",INDIRECT(ADDRESS($D29+2,AW$2+1,,,"Instances")))</f>
        <v>0</v>
      </c>
      <c r="AX29">
        <f>IFERROR(SMALL(AW5:AW36,ROW()-ROW($AX$5)+1),"")</f>
        <v>0</v>
      </c>
      <c r="AZ29">
        <f>IFERROR(SUM(AX5:AX29),"")</f>
        <v>0</v>
      </c>
      <c r="BA29">
        <f>IF(INDIRECT(ADDRESS($D29+2,BA$2+1,,,"Instances"))="","",INDIRECT(ADDRESS($D29+2,BA$2+1,,,"Instances")))</f>
        <v>0</v>
      </c>
      <c r="BB29">
        <f>IFERROR(SMALL(BA5:BA36,ROW()-ROW($BB$5)+1),"")</f>
        <v>0</v>
      </c>
      <c r="BD29">
        <f>IFERROR(SUM(BB5:BB29),"")</f>
        <v>0</v>
      </c>
      <c r="BE29">
        <f>IF(INDIRECT(ADDRESS($D29+2,BE$2+1,,,"Instances"))="","",INDIRECT(ADDRESS($D29+2,BE$2+1,,,"Instances")))</f>
        <v>0</v>
      </c>
      <c r="BF29">
        <f>IFERROR(SMALL(BE5:BE36,ROW()-ROW($BF$5)+1),"")</f>
        <v>0</v>
      </c>
      <c r="BH29">
        <f>IFERROR(SUM(BF5:BF29),"")</f>
        <v>0</v>
      </c>
      <c r="BI29">
        <f>IF(INDIRECT(ADDRESS($D29+2,BI$2+1,,,"Instances"))="","",INDIRECT(ADDRESS($D29+2,BI$2+1,,,"Instances")))</f>
        <v>0</v>
      </c>
      <c r="BJ29">
        <f>IFERROR(SMALL(BI5:BI36,ROW()-ROW($BJ$5)+1),"")</f>
        <v>0</v>
      </c>
      <c r="BL29">
        <f>IFERROR(SUM(BJ5:BJ29),"")</f>
        <v>0</v>
      </c>
      <c r="BM29">
        <f>IF(INDIRECT(ADDRESS($D29+2,BM$2+1,,,"Instances"))="","",INDIRECT(ADDRESS($D29+2,BM$2+1,,,"Instances")))</f>
        <v>0</v>
      </c>
      <c r="BN29">
        <f>IFERROR(SMALL(BM5:BM36,ROW()-ROW($BN$5)+1),"")</f>
        <v>0</v>
      </c>
      <c r="BP29">
        <f>IFERROR(SUM(BN5:BN29),"")</f>
        <v>0</v>
      </c>
      <c r="BR29">
        <v>25</v>
      </c>
      <c r="BS29" cm="1">
        <f t="array" ref="BS29">_xlfn.SWITCH(Charts!$B$3,"average", AVERAGE(INDIRECT(ADDRESS(24+3,BS$2+1,,,"Instances") &amp; ":" &amp; ADDRESS(24+3,BS$2+1))),"median", MEDIAN(INDIRECT(ADDRESS(24+3,BS$2+1,,,"Instances") &amp; ":" &amp; ADDRESS(24+3,BS$2+1))),"min", MIN(INDIRECT(ADDRESS(24+3,BS$2+1,,,"Instances") &amp; ":" &amp; ADDRESS(24+3,BS$2+1))),"max", MAX(INDIRECT(ADDRESS(24+3,BS$2+1,,,"Instances") &amp; ":" &amp; ADDRESS(24+3,BS$2+1))),"diff", MAX(INDIRECT(ADDRESS(24+3,BS$2+1,,,"Instances") &amp; ":" &amp; ADDRESS(24+3,BS$2+1)))-MIN(INDIRECT(ADDRESS(24+3,BS$2+1,,,"Instances") &amp; ":" &amp; ADDRESS(24+3,BS$2+1))))</f>
        <v>0</v>
      </c>
      <c r="BT29">
        <f>IFERROR(SMALL(BS5:BS36,ROW()-ROW($BT$5)+1),"")</f>
        <v>0</v>
      </c>
      <c r="BV29">
        <f>IFERROR(SUM(BT5:BT29),"")</f>
        <v>0</v>
      </c>
      <c r="BW29" cm="1">
        <f t="array" ref="BW29">_xlfn.SWITCH(Charts!$B$3,"average", AVERAGE(INDIRECT(ADDRESS(24+3,BW$2+1,,,"Instances") &amp; ":" &amp; ADDRESS(24+3,BW$2+1))),"median", MEDIAN(INDIRECT(ADDRESS(24+3,BW$2+1,,,"Instances") &amp; ":" &amp; ADDRESS(24+3,BW$2+1))),"min", MIN(INDIRECT(ADDRESS(24+3,BW$2+1,,,"Instances") &amp; ":" &amp; ADDRESS(24+3,BW$2+1))),"max", MAX(INDIRECT(ADDRESS(24+3,BW$2+1,,,"Instances") &amp; ":" &amp; ADDRESS(24+3,BW$2+1))),"diff", MAX(INDIRECT(ADDRESS(24+3,BW$2+1,,,"Instances") &amp; ":" &amp; ADDRESS(24+3,BW$2+1)))-MIN(INDIRECT(ADDRESS(24+3,BW$2+1,,,"Instances") &amp; ":" &amp; ADDRESS(24+3,BW$2+1))))</f>
        <v>0</v>
      </c>
      <c r="BX29">
        <f>IFERROR(SMALL(BW5:BW36,ROW()-ROW($BX$5)+1),"")</f>
        <v>0</v>
      </c>
      <c r="BZ29">
        <f>IFERROR(SUM(BX5:BX29),"")</f>
        <v>0</v>
      </c>
      <c r="CA29" cm="1">
        <f t="array" ref="CA29">_xlfn.SWITCH(Charts!$B$3,"average", AVERAGE(INDIRECT(ADDRESS(24+3,CA$2+1,,,"Instances") &amp; ":" &amp; ADDRESS(24+3,CA$2+1))),"median", MEDIAN(INDIRECT(ADDRESS(24+3,CA$2+1,,,"Instances") &amp; ":" &amp; ADDRESS(24+3,CA$2+1))),"min", MIN(INDIRECT(ADDRESS(24+3,CA$2+1,,,"Instances") &amp; ":" &amp; ADDRESS(24+3,CA$2+1))),"max", MAX(INDIRECT(ADDRESS(24+3,CA$2+1,,,"Instances") &amp; ":" &amp; ADDRESS(24+3,CA$2+1))),"diff", MAX(INDIRECT(ADDRESS(24+3,CA$2+1,,,"Instances") &amp; ":" &amp; ADDRESS(24+3,CA$2+1)))-MIN(INDIRECT(ADDRESS(24+3,CA$2+1,,,"Instances") &amp; ":" &amp; ADDRESS(24+3,CA$2+1))))</f>
        <v>0</v>
      </c>
      <c r="CB29">
        <f>IFERROR(SMALL(CA5:CA36,ROW()-ROW($CB$5)+1),"")</f>
        <v>0</v>
      </c>
      <c r="CD29">
        <f>IFERROR(SUM(CB5:CB29),"")</f>
        <v>0</v>
      </c>
      <c r="CE29" cm="1">
        <f t="array" ref="CE29">_xlfn.SWITCH(Charts!$B$3,"average", AVERAGE(INDIRECT(ADDRESS(24+3,CE$2+1,,,"Instances") &amp; ":" &amp; ADDRESS(24+3,CE$2+1))),"median", MEDIAN(INDIRECT(ADDRESS(24+3,CE$2+1,,,"Instances") &amp; ":" &amp; ADDRESS(24+3,CE$2+1))),"min", MIN(INDIRECT(ADDRESS(24+3,CE$2+1,,,"Instances") &amp; ":" &amp; ADDRESS(24+3,CE$2+1))),"max", MAX(INDIRECT(ADDRESS(24+3,CE$2+1,,,"Instances") &amp; ":" &amp; ADDRESS(24+3,CE$2+1))),"diff", MAX(INDIRECT(ADDRESS(24+3,CE$2+1,,,"Instances") &amp; ":" &amp; ADDRESS(24+3,CE$2+1)))-MIN(INDIRECT(ADDRESS(24+3,CE$2+1,,,"Instances") &amp; ":" &amp; ADDRESS(24+3,CE$2+1))))</f>
        <v>0</v>
      </c>
      <c r="CF29">
        <f>IFERROR(SMALL(CE5:CE36,ROW()-ROW($CF$5)+1),"")</f>
        <v>0</v>
      </c>
      <c r="CH29">
        <f>IFERROR(SUM(CF5:CF29),"")</f>
        <v>0</v>
      </c>
      <c r="CI29" cm="1">
        <f t="array" ref="CI29">_xlfn.SWITCH(Charts!$B$3,"average", AVERAGE(INDIRECT(ADDRESS(24+3,CI$2+1,,,"Instances") &amp; ":" &amp; ADDRESS(24+3,CI$2+1))),"median", MEDIAN(INDIRECT(ADDRESS(24+3,CI$2+1,,,"Instances") &amp; ":" &amp; ADDRESS(24+3,CI$2+1))),"min", MIN(INDIRECT(ADDRESS(24+3,CI$2+1,,,"Instances") &amp; ":" &amp; ADDRESS(24+3,CI$2+1))),"max", MAX(INDIRECT(ADDRESS(24+3,CI$2+1,,,"Instances") &amp; ":" &amp; ADDRESS(24+3,CI$2+1))),"diff", MAX(INDIRECT(ADDRESS(24+3,CI$2+1,,,"Instances") &amp; ":" &amp; ADDRESS(24+3,CI$2+1)))-MIN(INDIRECT(ADDRESS(24+3,CI$2+1,,,"Instances") &amp; ":" &amp; ADDRESS(24+3,CI$2+1))))</f>
        <v>0</v>
      </c>
      <c r="CJ29">
        <f>IFERROR(SMALL(CI5:CI36,ROW()-ROW($CJ$5)+1),"")</f>
        <v>0</v>
      </c>
      <c r="CL29">
        <f>IFERROR(SUM(CJ5:CJ29),"")</f>
        <v>0</v>
      </c>
      <c r="CM29" cm="1">
        <f t="array" ref="CM29">_xlfn.SWITCH(Charts!$B$3,"average", AVERAGE(INDIRECT(ADDRESS(24+3,CM$2+1,,,"Instances") &amp; ":" &amp; ADDRESS(24+3,CM$2+1))),"median", MEDIAN(INDIRECT(ADDRESS(24+3,CM$2+1,,,"Instances") &amp; ":" &amp; ADDRESS(24+3,CM$2+1))),"min", MIN(INDIRECT(ADDRESS(24+3,CM$2+1,,,"Instances") &amp; ":" &amp; ADDRESS(24+3,CM$2+1))),"max", MAX(INDIRECT(ADDRESS(24+3,CM$2+1,,,"Instances") &amp; ":" &amp; ADDRESS(24+3,CM$2+1))),"diff", MAX(INDIRECT(ADDRESS(24+3,CM$2+1,,,"Instances") &amp; ":" &amp; ADDRESS(24+3,CM$2+1)))-MIN(INDIRECT(ADDRESS(24+3,CM$2+1,,,"Instances") &amp; ":" &amp; ADDRESS(24+3,CM$2+1))))</f>
        <v>0</v>
      </c>
      <c r="CN29">
        <f>IFERROR(SMALL(CM5:CM36,ROW()-ROW($CN$5)+1),"")</f>
        <v>0</v>
      </c>
      <c r="CP29">
        <f>IFERROR(SUM(CN5:CN29),"")</f>
        <v>0</v>
      </c>
      <c r="CQ29" cm="1">
        <f t="array" ref="CQ29">_xlfn.SWITCH(Charts!$B$3,"average", AVERAGE(INDIRECT(ADDRESS(24+3,CQ$2+1,,,"Instances") &amp; ":" &amp; ADDRESS(24+3,CQ$2+1))),"median", MEDIAN(INDIRECT(ADDRESS(24+3,CQ$2+1,,,"Instances") &amp; ":" &amp; ADDRESS(24+3,CQ$2+1))),"min", MIN(INDIRECT(ADDRESS(24+3,CQ$2+1,,,"Instances") &amp; ":" &amp; ADDRESS(24+3,CQ$2+1))),"max", MAX(INDIRECT(ADDRESS(24+3,CQ$2+1,,,"Instances") &amp; ":" &amp; ADDRESS(24+3,CQ$2+1))),"diff", MAX(INDIRECT(ADDRESS(24+3,CQ$2+1,,,"Instances") &amp; ":" &amp; ADDRESS(24+3,CQ$2+1)))-MIN(INDIRECT(ADDRESS(24+3,CQ$2+1,,,"Instances") &amp; ":" &amp; ADDRESS(24+3,CQ$2+1))))</f>
        <v>0</v>
      </c>
      <c r="CR29">
        <f>IFERROR(SMALL(CQ5:CQ36,ROW()-ROW($CR$5)+1),"")</f>
        <v>0</v>
      </c>
      <c r="CT29">
        <f>IFERROR(SUM(CR5:CR29),"")</f>
        <v>0</v>
      </c>
      <c r="CU29" cm="1">
        <f t="array" ref="CU29">_xlfn.SWITCH(Charts!$B$3,"average", AVERAGE(INDIRECT(ADDRESS(24+3,CU$2+1,,,"Instances") &amp; ":" &amp; ADDRESS(24+3,CU$2+1))),"median", MEDIAN(INDIRECT(ADDRESS(24+3,CU$2+1,,,"Instances") &amp; ":" &amp; ADDRESS(24+3,CU$2+1))),"min", MIN(INDIRECT(ADDRESS(24+3,CU$2+1,,,"Instances") &amp; ":" &amp; ADDRESS(24+3,CU$2+1))),"max", MAX(INDIRECT(ADDRESS(24+3,CU$2+1,,,"Instances") &amp; ":" &amp; ADDRESS(24+3,CU$2+1))),"diff", MAX(INDIRECT(ADDRESS(24+3,CU$2+1,,,"Instances") &amp; ":" &amp; ADDRESS(24+3,CU$2+1)))-MIN(INDIRECT(ADDRESS(24+3,CU$2+1,,,"Instances") &amp; ":" &amp; ADDRESS(24+3,CU$2+1))))</f>
        <v>0</v>
      </c>
      <c r="CV29">
        <f>IFERROR(SMALL(CU5:CU36,ROW()-ROW($CV$5)+1),"")</f>
        <v>0</v>
      </c>
      <c r="CX29">
        <f>IFERROR(SUM(CV5:CV29),"")</f>
        <v>0</v>
      </c>
      <c r="CY29" cm="1">
        <f t="array" ref="CY29">_xlfn.SWITCH(Charts!$B$3,"average", AVERAGE(INDIRECT(ADDRESS(24+3,CY$2+1,,,"Instances") &amp; ":" &amp; ADDRESS(24+3,CY$2+1))),"median", MEDIAN(INDIRECT(ADDRESS(24+3,CY$2+1,,,"Instances") &amp; ":" &amp; ADDRESS(24+3,CY$2+1))),"min", MIN(INDIRECT(ADDRESS(24+3,CY$2+1,,,"Instances") &amp; ":" &amp; ADDRESS(24+3,CY$2+1))),"max", MAX(INDIRECT(ADDRESS(24+3,CY$2+1,,,"Instances") &amp; ":" &amp; ADDRESS(24+3,CY$2+1))),"diff", MAX(INDIRECT(ADDRESS(24+3,CY$2+1,,,"Instances") &amp; ":" &amp; ADDRESS(24+3,CY$2+1)))-MIN(INDIRECT(ADDRESS(24+3,CY$2+1,,,"Instances") &amp; ":" &amp; ADDRESS(24+3,CY$2+1))))</f>
        <v>0</v>
      </c>
      <c r="CZ29">
        <f>IFERROR(SMALL(CY5:CY36,ROW()-ROW($CZ$5)+1),"")</f>
        <v>0</v>
      </c>
      <c r="DB29">
        <f>IFERROR(SUM(CZ5:CZ29),"")</f>
        <v>0</v>
      </c>
      <c r="DC29" cm="1">
        <f t="array" ref="DC29">_xlfn.SWITCH(Charts!$B$3,"average", AVERAGE(INDIRECT(ADDRESS(24+3,DC$2+1,,,"Instances") &amp; ":" &amp; ADDRESS(24+3,DC$2+1))),"median", MEDIAN(INDIRECT(ADDRESS(24+3,DC$2+1,,,"Instances") &amp; ":" &amp; ADDRESS(24+3,DC$2+1))),"min", MIN(INDIRECT(ADDRESS(24+3,DC$2+1,,,"Instances") &amp; ":" &amp; ADDRESS(24+3,DC$2+1))),"max", MAX(INDIRECT(ADDRESS(24+3,DC$2+1,,,"Instances") &amp; ":" &amp; ADDRESS(24+3,DC$2+1))),"diff", MAX(INDIRECT(ADDRESS(24+3,DC$2+1,,,"Instances") &amp; ":" &amp; ADDRESS(24+3,DC$2+1)))-MIN(INDIRECT(ADDRESS(24+3,DC$2+1,,,"Instances") &amp; ":" &amp; ADDRESS(24+3,DC$2+1))))</f>
        <v>0</v>
      </c>
      <c r="DD29">
        <f>IFERROR(SMALL(DC5:DC36,ROW()-ROW($DD$5)+1),"")</f>
        <v>0</v>
      </c>
      <c r="DF29">
        <f>IFERROR(SUM(DD5:DD29),"")</f>
        <v>0</v>
      </c>
      <c r="DG29" cm="1">
        <f t="array" ref="DG29">_xlfn.SWITCH(Charts!$B$3,"average", AVERAGE(INDIRECT(ADDRESS(24+3,DG$2+1,,,"Instances") &amp; ":" &amp; ADDRESS(24+3,DG$2+1))),"median", MEDIAN(INDIRECT(ADDRESS(24+3,DG$2+1,,,"Instances") &amp; ":" &amp; ADDRESS(24+3,DG$2+1))),"min", MIN(INDIRECT(ADDRESS(24+3,DG$2+1,,,"Instances") &amp; ":" &amp; ADDRESS(24+3,DG$2+1))),"max", MAX(INDIRECT(ADDRESS(24+3,DG$2+1,,,"Instances") &amp; ":" &amp; ADDRESS(24+3,DG$2+1))),"diff", MAX(INDIRECT(ADDRESS(24+3,DG$2+1,,,"Instances") &amp; ":" &amp; ADDRESS(24+3,DG$2+1)))-MIN(INDIRECT(ADDRESS(24+3,DG$2+1,,,"Instances") &amp; ":" &amp; ADDRESS(24+3,DG$2+1))))</f>
        <v>0</v>
      </c>
      <c r="DH29">
        <f>IFERROR(SMALL(DG5:DG36,ROW()-ROW($DH$5)+1),"")</f>
        <v>0</v>
      </c>
      <c r="DJ29">
        <f>IFERROR(SUM(DH5:DH29),"")</f>
        <v>0</v>
      </c>
      <c r="DK29" cm="1">
        <f t="array" ref="DK29">_xlfn.SWITCH(Charts!$B$3,"average", AVERAGE(INDIRECT(ADDRESS(24+3,DK$2+1,,,"Instances") &amp; ":" &amp; ADDRESS(24+3,DK$2+1))),"median", MEDIAN(INDIRECT(ADDRESS(24+3,DK$2+1,,,"Instances") &amp; ":" &amp; ADDRESS(24+3,DK$2+1))),"min", MIN(INDIRECT(ADDRESS(24+3,DK$2+1,,,"Instances") &amp; ":" &amp; ADDRESS(24+3,DK$2+1))),"max", MAX(INDIRECT(ADDRESS(24+3,DK$2+1,,,"Instances") &amp; ":" &amp; ADDRESS(24+3,DK$2+1))),"diff", MAX(INDIRECT(ADDRESS(24+3,DK$2+1,,,"Instances") &amp; ":" &amp; ADDRESS(24+3,DK$2+1)))-MIN(INDIRECT(ADDRESS(24+3,DK$2+1,,,"Instances") &amp; ":" &amp; ADDRESS(24+3,DK$2+1))))</f>
        <v>0</v>
      </c>
      <c r="DL29">
        <f>IFERROR(SMALL(DK5:DK36,ROW()-ROW($DL$5)+1),"")</f>
        <v>0</v>
      </c>
      <c r="DN29">
        <f>IFERROR(SUM(DL5:DL29),"")</f>
        <v>0</v>
      </c>
      <c r="DO29" cm="1">
        <f t="array" ref="DO29">_xlfn.SWITCH(Charts!$B$3,"average", AVERAGE(INDIRECT(ADDRESS(24+3,DO$2+1,,,"Instances") &amp; ":" &amp; ADDRESS(24+3,DO$2+1))),"median", MEDIAN(INDIRECT(ADDRESS(24+3,DO$2+1,,,"Instances") &amp; ":" &amp; ADDRESS(24+3,DO$2+1))),"min", MIN(INDIRECT(ADDRESS(24+3,DO$2+1,,,"Instances") &amp; ":" &amp; ADDRESS(24+3,DO$2+1))),"max", MAX(INDIRECT(ADDRESS(24+3,DO$2+1,,,"Instances") &amp; ":" &amp; ADDRESS(24+3,DO$2+1))),"diff", MAX(INDIRECT(ADDRESS(24+3,DO$2+1,,,"Instances") &amp; ":" &amp; ADDRESS(24+3,DO$2+1)))-MIN(INDIRECT(ADDRESS(24+3,DO$2+1,,,"Instances") &amp; ":" &amp; ADDRESS(24+3,DO$2+1))))</f>
        <v>0</v>
      </c>
      <c r="DP29">
        <f>IFERROR(SMALL(DO5:DO36,ROW()-ROW($DP$5)+1),"")</f>
        <v>0</v>
      </c>
      <c r="DR29">
        <f>IFERROR(SUM(DP5:DP29),"")</f>
        <v>0</v>
      </c>
      <c r="DS29" cm="1">
        <f t="array" ref="DS29">_xlfn.SWITCH(Charts!$B$3,"average", AVERAGE(INDIRECT(ADDRESS(24+3,DS$2+1,,,"Instances") &amp; ":" &amp; ADDRESS(24+3,DS$2+1))),"median", MEDIAN(INDIRECT(ADDRESS(24+3,DS$2+1,,,"Instances") &amp; ":" &amp; ADDRESS(24+3,DS$2+1))),"min", MIN(INDIRECT(ADDRESS(24+3,DS$2+1,,,"Instances") &amp; ":" &amp; ADDRESS(24+3,DS$2+1))),"max", MAX(INDIRECT(ADDRESS(24+3,DS$2+1,,,"Instances") &amp; ":" &amp; ADDRESS(24+3,DS$2+1))),"diff", MAX(INDIRECT(ADDRESS(24+3,DS$2+1,,,"Instances") &amp; ":" &amp; ADDRESS(24+3,DS$2+1)))-MIN(INDIRECT(ADDRESS(24+3,DS$2+1,,,"Instances") &amp; ":" &amp; ADDRESS(24+3,DS$2+1))))</f>
        <v>0</v>
      </c>
      <c r="DT29">
        <f>IFERROR(SMALL(DS5:DS36,ROW()-ROW($DT$5)+1),"")</f>
        <v>0</v>
      </c>
      <c r="DV29">
        <f>IFERROR(SUM(DT5:DT29),"")</f>
        <v>0</v>
      </c>
      <c r="DW29" cm="1">
        <f t="array" ref="DW29">_xlfn.SWITCH(Charts!$B$3,"average", AVERAGE(INDIRECT(ADDRESS(24+3,DW$2+1,,,"Instances") &amp; ":" &amp; ADDRESS(24+3,DW$2+1))),"median", MEDIAN(INDIRECT(ADDRESS(24+3,DW$2+1,,,"Instances") &amp; ":" &amp; ADDRESS(24+3,DW$2+1))),"min", MIN(INDIRECT(ADDRESS(24+3,DW$2+1,,,"Instances") &amp; ":" &amp; ADDRESS(24+3,DW$2+1))),"max", MAX(INDIRECT(ADDRESS(24+3,DW$2+1,,,"Instances") &amp; ":" &amp; ADDRESS(24+3,DW$2+1))),"diff", MAX(INDIRECT(ADDRESS(24+3,DW$2+1,,,"Instances") &amp; ":" &amp; ADDRESS(24+3,DW$2+1)))-MIN(INDIRECT(ADDRESS(24+3,DW$2+1,,,"Instances") &amp; ":" &amp; ADDRESS(24+3,DW$2+1))))</f>
        <v>0</v>
      </c>
      <c r="DX29">
        <f>IFERROR(SMALL(DW5:DW36,ROW()-ROW($DX$5)+1),"")</f>
        <v>0</v>
      </c>
      <c r="DZ29">
        <f>IFERROR(SUM(DX5:DX29),"")</f>
        <v>0</v>
      </c>
      <c r="EA29" cm="1">
        <f t="array" ref="EA29">_xlfn.SWITCH(Charts!$B$3,"average", AVERAGE(INDIRECT(ADDRESS(24+3,EA$2+1,,,"Instances") &amp; ":" &amp; ADDRESS(24+3,EA$2+1))),"median", MEDIAN(INDIRECT(ADDRESS(24+3,EA$2+1,,,"Instances") &amp; ":" &amp; ADDRESS(24+3,EA$2+1))),"min", MIN(INDIRECT(ADDRESS(24+3,EA$2+1,,,"Instances") &amp; ":" &amp; ADDRESS(24+3,EA$2+1))),"max", MAX(INDIRECT(ADDRESS(24+3,EA$2+1,,,"Instances") &amp; ":" &amp; ADDRESS(24+3,EA$2+1))),"diff", MAX(INDIRECT(ADDRESS(24+3,EA$2+1,,,"Instances") &amp; ":" &amp; ADDRESS(24+3,EA$2+1)))-MIN(INDIRECT(ADDRESS(24+3,EA$2+1,,,"Instances") &amp; ":" &amp; ADDRESS(24+3,EA$2+1))))</f>
        <v>0</v>
      </c>
      <c r="EB29">
        <f>IFERROR(SMALL(EA5:EA36,ROW()-ROW($EB$5)+1),"")</f>
        <v>0</v>
      </c>
      <c r="ED29">
        <f>IFERROR(SUM(EB5:EB29),"")</f>
        <v>0</v>
      </c>
      <c r="EG29">
        <f>IF(Charts!$B$3="none",E196,IF(BS196="",NA(),BS196))</f>
        <v>0</v>
      </c>
      <c r="EH29">
        <f>IF(Charts!$B$3="none",F196,IF(BT196="",NA(),BT196))</f>
        <v>0</v>
      </c>
      <c r="EI29">
        <f>IF(Charts!$B$3="none",G196,IF(BU196="",NA(),BU196))</f>
        <v>0</v>
      </c>
      <c r="EJ29">
        <f>IF(Charts!$B$3="none",H196,IF(BV196="",NA(),BV196))</f>
        <v>0</v>
      </c>
      <c r="EK29">
        <f>IF(Charts!$B$3="none",I196,IF(BW196="",NA(),BW196))</f>
        <v>0</v>
      </c>
      <c r="EL29">
        <f>IF(Charts!$B$3="none",J196,IF(BX196="",NA(),BX196))</f>
        <v>0</v>
      </c>
      <c r="EM29">
        <f>IF(Charts!$B$3="none",K196,IF(BY196="",NA(),BY196))</f>
        <v>0</v>
      </c>
      <c r="EN29">
        <f>IF(Charts!$B$3="none",L196,IF(BZ196="",NA(),BZ196))</f>
        <v>0</v>
      </c>
      <c r="EO29">
        <f>IF(Charts!$B$3="none",M196,IF(CA196="",NA(),CA196))</f>
        <v>0</v>
      </c>
      <c r="EP29">
        <f>IF(Charts!$B$3="none",N196,IF(CB196="",NA(),CB196))</f>
        <v>0</v>
      </c>
      <c r="EQ29">
        <f>IF(Charts!$B$3="none",O196,IF(CC196="",NA(),CC196))</f>
        <v>0</v>
      </c>
      <c r="ER29">
        <f>IF(Charts!$B$3="none",P196,IF(CD196="",NA(),CD196))</f>
        <v>0</v>
      </c>
      <c r="ES29">
        <f>IF(Charts!$B$3="none",Q196,IF(CE196="",NA(),CE196))</f>
        <v>0</v>
      </c>
      <c r="ET29">
        <f>IF(Charts!$B$3="none",R196,IF(CF196="",NA(),CF196))</f>
        <v>0</v>
      </c>
      <c r="EU29">
        <f>IF(Charts!$B$3="none",S196,IF(CG196="",NA(),CG196))</f>
        <v>0</v>
      </c>
      <c r="EV29">
        <f>IF(Charts!$B$3="none",T196,IF(CH196="",NA(),CH196))</f>
        <v>0</v>
      </c>
      <c r="EW29">
        <f>IF(Charts!$B$3="none",U196,IF(CI196="",NA(),CI196))</f>
        <v>0</v>
      </c>
      <c r="EX29">
        <f>IF(Charts!$B$3="none",V196,IF(CJ196="",NA(),CJ196))</f>
        <v>0</v>
      </c>
      <c r="EY29">
        <f>IF(Charts!$B$3="none",W196,IF(CK196="",NA(),CK196))</f>
        <v>0</v>
      </c>
      <c r="EZ29">
        <f>IF(Charts!$B$3="none",X196,IF(CL196="",NA(),CL196))</f>
        <v>0</v>
      </c>
      <c r="FA29">
        <f>IF(Charts!$B$3="none",Y196,IF(CM196="",NA(),CM196))</f>
        <v>0</v>
      </c>
      <c r="FB29">
        <f>IF(Charts!$B$3="none",Z196,IF(CN196="",NA(),CN196))</f>
        <v>0</v>
      </c>
      <c r="FC29">
        <f>IF(Charts!$B$3="none",AA196,IF(CO196="",NA(),CO196))</f>
        <v>0</v>
      </c>
      <c r="FD29">
        <f>IF(Charts!$B$3="none",AB196,IF(CP196="",NA(),CP196))</f>
        <v>0</v>
      </c>
      <c r="FE29">
        <f>IF(Charts!$B$3="none",AC196,IF(CQ196="",NA(),CQ196))</f>
        <v>0</v>
      </c>
      <c r="FF29">
        <f>IF(Charts!$B$3="none",AD196,IF(CR196="",NA(),CR196))</f>
        <v>0</v>
      </c>
      <c r="FG29">
        <f>IF(Charts!$B$3="none",AE196,IF(CS196="",NA(),CS196))</f>
        <v>0</v>
      </c>
      <c r="FH29">
        <f>IF(Charts!$B$3="none",AF196,IF(CT196="",NA(),CT196))</f>
        <v>0</v>
      </c>
      <c r="FI29">
        <f>IF(Charts!$B$3="none",AG196,IF(CU196="",NA(),CU196))</f>
        <v>0</v>
      </c>
      <c r="FJ29">
        <f>IF(Charts!$B$3="none",AH196,IF(CV196="",NA(),CV196))</f>
        <v>0</v>
      </c>
      <c r="FK29">
        <f>IF(Charts!$B$3="none",AI196,IF(CW196="",NA(),CW196))</f>
        <v>0</v>
      </c>
      <c r="FL29">
        <f>IF(Charts!$B$3="none",AJ196,IF(CX196="",NA(),CX196))</f>
        <v>0</v>
      </c>
      <c r="FM29">
        <f>IF(Charts!$B$3="none",AK196,IF(CY196="",NA(),CY196))</f>
        <v>0</v>
      </c>
      <c r="FN29">
        <f>IF(Charts!$B$3="none",AL196,IF(CZ196="",NA(),CZ196))</f>
        <v>0</v>
      </c>
      <c r="FO29">
        <f>IF(Charts!$B$3="none",AM196,IF(DA196="",NA(),DA196))</f>
        <v>0</v>
      </c>
      <c r="FP29">
        <f>IF(Charts!$B$3="none",AN196,IF(DB196="",NA(),DB196))</f>
        <v>0</v>
      </c>
      <c r="FQ29">
        <f>IF(Charts!$B$3="none",AO196,IF(DC196="",NA(),DC196))</f>
        <v>0</v>
      </c>
      <c r="FR29">
        <f>IF(Charts!$B$3="none",AP196,IF(DD196="",NA(),DD196))</f>
        <v>0</v>
      </c>
      <c r="FS29">
        <f>IF(Charts!$B$3="none",AQ196,IF(DE196="",NA(),DE196))</f>
        <v>0</v>
      </c>
      <c r="FT29">
        <f>IF(Charts!$B$3="none",AR196,IF(DF196="",NA(),DF196))</f>
        <v>0</v>
      </c>
      <c r="FU29">
        <f>IF(Charts!$B$3="none",AS196,IF(DG196="",NA(),DG196))</f>
        <v>0</v>
      </c>
      <c r="FV29">
        <f>IF(Charts!$B$3="none",AT196,IF(DH196="",NA(),DH196))</f>
        <v>0</v>
      </c>
      <c r="FW29">
        <f>IF(Charts!$B$3="none",AU196,IF(DI196="",NA(),DI196))</f>
        <v>0</v>
      </c>
      <c r="FX29">
        <f>IF(Charts!$B$3="none",AV196,IF(DJ196="",NA(),DJ196))</f>
        <v>0</v>
      </c>
      <c r="FY29">
        <f>IF(Charts!$B$3="none",AW196,IF(DK196="",NA(),DK196))</f>
        <v>0</v>
      </c>
      <c r="FZ29">
        <f>IF(Charts!$B$3="none",AX196,IF(DL196="",NA(),DL196))</f>
        <v>0</v>
      </c>
      <c r="GA29">
        <f>IF(Charts!$B$3="none",AY196,IF(DM196="",NA(),DM196))</f>
        <v>0</v>
      </c>
      <c r="GB29">
        <f>IF(Charts!$B$3="none",AZ196,IF(DN196="",NA(),DN196))</f>
        <v>0</v>
      </c>
      <c r="GC29">
        <f>IF(Charts!$B$3="none",BA196,IF(DO196="",NA(),DO196))</f>
        <v>0</v>
      </c>
      <c r="GD29">
        <f>IF(Charts!$B$3="none",BB196,IF(DP196="",NA(),DP196))</f>
        <v>0</v>
      </c>
      <c r="GE29">
        <f>IF(Charts!$B$3="none",BC196,IF(DQ196="",NA(),DQ196))</f>
        <v>0</v>
      </c>
      <c r="GF29">
        <f>IF(Charts!$B$3="none",BD196,IF(DR196="",NA(),DR196))</f>
        <v>0</v>
      </c>
      <c r="GG29">
        <f>IF(Charts!$B$3="none",BE196,IF(DS196="",NA(),DS196))</f>
        <v>0</v>
      </c>
      <c r="GH29">
        <f>IF(Charts!$B$3="none",BF196,IF(DT196="",NA(),DT196))</f>
        <v>0</v>
      </c>
      <c r="GI29">
        <f>IF(Charts!$B$3="none",BG196,IF(DU196="",NA(),DU196))</f>
        <v>0</v>
      </c>
      <c r="GJ29">
        <f>IF(Charts!$B$3="none",BH196,IF(DV196="",NA(),DV196))</f>
        <v>0</v>
      </c>
      <c r="GK29">
        <f>IF(Charts!$B$3="none",BI196,IF(DW196="",NA(),DW196))</f>
        <v>0</v>
      </c>
      <c r="GL29">
        <f>IF(Charts!$B$3="none",BJ196,IF(DX196="",NA(),DX196))</f>
        <v>0</v>
      </c>
      <c r="GM29">
        <f>IF(Charts!$B$3="none",BK196,IF(DY196="",NA(),DY196))</f>
        <v>0</v>
      </c>
      <c r="GN29">
        <f>IF(Charts!$B$3="none",BL196,IF(DZ196="",NA(),DZ196))</f>
        <v>0</v>
      </c>
      <c r="GO29">
        <f>IF(Charts!$B$3="none",BM196,IF(EA196="",NA(),EA196))</f>
        <v>0</v>
      </c>
      <c r="GP29">
        <f>IF(Charts!$B$3="none",BN196,IF(EB196="",NA(),EB196))</f>
        <v>0</v>
      </c>
      <c r="GQ29">
        <f>IF(Charts!$B$3="none",BO196,IF(EC196="",NA(),EC196))</f>
        <v>0</v>
      </c>
      <c r="GR29">
        <f>IF(Charts!$B$3="none",BP196,IF(ED196="",NA(),ED196))</f>
        <v>0</v>
      </c>
    </row>
    <row r="30" spans="1:200">
      <c r="D30">
        <v>26</v>
      </c>
      <c r="E30">
        <f>IF(INDIRECT(ADDRESS($D30+2,E$2+1,,,"Instances"))="","",INDIRECT(ADDRESS($D30+2,E$2+1,,,"Instances")))</f>
        <v>0</v>
      </c>
      <c r="F30">
        <f>IFERROR(SMALL(E5:E36,ROW()-ROW($F$5)+1),"")</f>
        <v>0</v>
      </c>
      <c r="H30">
        <f>IFERROR(SUM(F5:F30),"")</f>
        <v>0</v>
      </c>
      <c r="I30">
        <f>IF(INDIRECT(ADDRESS($D30+2,I$2+1,,,"Instances"))="","",INDIRECT(ADDRESS($D30+2,I$2+1,,,"Instances")))</f>
        <v>0</v>
      </c>
      <c r="J30">
        <f>IFERROR(SMALL(I5:I36,ROW()-ROW($J$5)+1),"")</f>
        <v>0</v>
      </c>
      <c r="L30">
        <f>IFERROR(SUM(J5:J30),"")</f>
        <v>0</v>
      </c>
      <c r="M30">
        <f>IF(INDIRECT(ADDRESS($D30+2,M$2+1,,,"Instances"))="","",INDIRECT(ADDRESS($D30+2,M$2+1,,,"Instances")))</f>
        <v>0</v>
      </c>
      <c r="N30">
        <f>IFERROR(SMALL(M5:M36,ROW()-ROW($N$5)+1),"")</f>
        <v>0</v>
      </c>
      <c r="P30">
        <f>IFERROR(SUM(N5:N30),"")</f>
        <v>0</v>
      </c>
      <c r="Q30">
        <f>IF(INDIRECT(ADDRESS($D30+2,Q$2+1,,,"Instances"))="","",INDIRECT(ADDRESS($D30+2,Q$2+1,,,"Instances")))</f>
        <v>0</v>
      </c>
      <c r="R30">
        <f>IFERROR(SMALL(Q5:Q36,ROW()-ROW($R$5)+1),"")</f>
        <v>0</v>
      </c>
      <c r="T30">
        <f>IFERROR(SUM(R5:R30),"")</f>
        <v>0</v>
      </c>
      <c r="U30">
        <f>IF(INDIRECT(ADDRESS($D30+2,U$2+1,,,"Instances"))="","",INDIRECT(ADDRESS($D30+2,U$2+1,,,"Instances")))</f>
        <v>0</v>
      </c>
      <c r="V30">
        <f>IFERROR(SMALL(U5:U36,ROW()-ROW($V$5)+1),"")</f>
        <v>0</v>
      </c>
      <c r="X30">
        <f>IFERROR(SUM(V5:V30),"")</f>
        <v>0</v>
      </c>
      <c r="Y30">
        <f>IF(INDIRECT(ADDRESS($D30+2,Y$2+1,,,"Instances"))="","",INDIRECT(ADDRESS($D30+2,Y$2+1,,,"Instances")))</f>
        <v>0</v>
      </c>
      <c r="Z30">
        <f>IFERROR(SMALL(Y5:Y36,ROW()-ROW($Z$5)+1),"")</f>
        <v>0</v>
      </c>
      <c r="AB30">
        <f>IFERROR(SUM(Z5:Z30),"")</f>
        <v>0</v>
      </c>
      <c r="AC30">
        <f>IF(INDIRECT(ADDRESS($D30+2,AC$2+1,,,"Instances"))="","",INDIRECT(ADDRESS($D30+2,AC$2+1,,,"Instances")))</f>
        <v>0</v>
      </c>
      <c r="AD30">
        <f>IFERROR(SMALL(AC5:AC36,ROW()-ROW($AD$5)+1),"")</f>
        <v>0</v>
      </c>
      <c r="AF30">
        <f>IFERROR(SUM(AD5:AD30),"")</f>
        <v>0</v>
      </c>
      <c r="AG30">
        <f>IF(INDIRECT(ADDRESS($D30+2,AG$2+1,,,"Instances"))="","",INDIRECT(ADDRESS($D30+2,AG$2+1,,,"Instances")))</f>
        <v>0</v>
      </c>
      <c r="AH30">
        <f>IFERROR(SMALL(AG5:AG36,ROW()-ROW($AH$5)+1),"")</f>
        <v>0</v>
      </c>
      <c r="AJ30">
        <f>IFERROR(SUM(AH5:AH30),"")</f>
        <v>0</v>
      </c>
      <c r="AK30">
        <f>IF(INDIRECT(ADDRESS($D30+2,AK$2+1,,,"Instances"))="","",INDIRECT(ADDRESS($D30+2,AK$2+1,,,"Instances")))</f>
        <v>0</v>
      </c>
      <c r="AL30">
        <f>IFERROR(SMALL(AK5:AK36,ROW()-ROW($AL$5)+1),"")</f>
        <v>0</v>
      </c>
      <c r="AN30">
        <f>IFERROR(SUM(AL5:AL30),"")</f>
        <v>0</v>
      </c>
      <c r="AO30">
        <f>IF(INDIRECT(ADDRESS($D30+2,AO$2+1,,,"Instances"))="","",INDIRECT(ADDRESS($D30+2,AO$2+1,,,"Instances")))</f>
        <v>0</v>
      </c>
      <c r="AP30">
        <f>IFERROR(SMALL(AO5:AO36,ROW()-ROW($AP$5)+1),"")</f>
        <v>0</v>
      </c>
      <c r="AR30">
        <f>IFERROR(SUM(AP5:AP30),"")</f>
        <v>0</v>
      </c>
      <c r="AS30">
        <f>IF(INDIRECT(ADDRESS($D30+2,AS$2+1,,,"Instances"))="","",INDIRECT(ADDRESS($D30+2,AS$2+1,,,"Instances")))</f>
        <v>0</v>
      </c>
      <c r="AT30">
        <f>IFERROR(SMALL(AS5:AS36,ROW()-ROW($AT$5)+1),"")</f>
        <v>0</v>
      </c>
      <c r="AV30">
        <f>IFERROR(SUM(AT5:AT30),"")</f>
        <v>0</v>
      </c>
      <c r="AW30">
        <f>IF(INDIRECT(ADDRESS($D30+2,AW$2+1,,,"Instances"))="","",INDIRECT(ADDRESS($D30+2,AW$2+1,,,"Instances")))</f>
        <v>0</v>
      </c>
      <c r="AX30">
        <f>IFERROR(SMALL(AW5:AW36,ROW()-ROW($AX$5)+1),"")</f>
        <v>0</v>
      </c>
      <c r="AZ30">
        <f>IFERROR(SUM(AX5:AX30),"")</f>
        <v>0</v>
      </c>
      <c r="BA30">
        <f>IF(INDIRECT(ADDRESS($D30+2,BA$2+1,,,"Instances"))="","",INDIRECT(ADDRESS($D30+2,BA$2+1,,,"Instances")))</f>
        <v>0</v>
      </c>
      <c r="BB30">
        <f>IFERROR(SMALL(BA5:BA36,ROW()-ROW($BB$5)+1),"")</f>
        <v>0</v>
      </c>
      <c r="BD30">
        <f>IFERROR(SUM(BB5:BB30),"")</f>
        <v>0</v>
      </c>
      <c r="BE30">
        <f>IF(INDIRECT(ADDRESS($D30+2,BE$2+1,,,"Instances"))="","",INDIRECT(ADDRESS($D30+2,BE$2+1,,,"Instances")))</f>
        <v>0</v>
      </c>
      <c r="BF30">
        <f>IFERROR(SMALL(BE5:BE36,ROW()-ROW($BF$5)+1),"")</f>
        <v>0</v>
      </c>
      <c r="BH30">
        <f>IFERROR(SUM(BF5:BF30),"")</f>
        <v>0</v>
      </c>
      <c r="BI30">
        <f>IF(INDIRECT(ADDRESS($D30+2,BI$2+1,,,"Instances"))="","",INDIRECT(ADDRESS($D30+2,BI$2+1,,,"Instances")))</f>
        <v>0</v>
      </c>
      <c r="BJ30">
        <f>IFERROR(SMALL(BI5:BI36,ROW()-ROW($BJ$5)+1),"")</f>
        <v>0</v>
      </c>
      <c r="BL30">
        <f>IFERROR(SUM(BJ5:BJ30),"")</f>
        <v>0</v>
      </c>
      <c r="BM30">
        <f>IF(INDIRECT(ADDRESS($D30+2,BM$2+1,,,"Instances"))="","",INDIRECT(ADDRESS($D30+2,BM$2+1,,,"Instances")))</f>
        <v>0</v>
      </c>
      <c r="BN30">
        <f>IFERROR(SMALL(BM5:BM36,ROW()-ROW($BN$5)+1),"")</f>
        <v>0</v>
      </c>
      <c r="BP30">
        <f>IFERROR(SUM(BN5:BN30),"")</f>
        <v>0</v>
      </c>
      <c r="BR30">
        <v>26</v>
      </c>
      <c r="BS30" cm="1">
        <f t="array" ref="BS30">_xlfn.SWITCH(Charts!$B$3,"average", AVERAGE(INDIRECT(ADDRESS(25+3,BS$2+1,,,"Instances") &amp; ":" &amp; ADDRESS(25+3,BS$2+1))),"median", MEDIAN(INDIRECT(ADDRESS(25+3,BS$2+1,,,"Instances") &amp; ":" &amp; ADDRESS(25+3,BS$2+1))),"min", MIN(INDIRECT(ADDRESS(25+3,BS$2+1,,,"Instances") &amp; ":" &amp; ADDRESS(25+3,BS$2+1))),"max", MAX(INDIRECT(ADDRESS(25+3,BS$2+1,,,"Instances") &amp; ":" &amp; ADDRESS(25+3,BS$2+1))),"diff", MAX(INDIRECT(ADDRESS(25+3,BS$2+1,,,"Instances") &amp; ":" &amp; ADDRESS(25+3,BS$2+1)))-MIN(INDIRECT(ADDRESS(25+3,BS$2+1,,,"Instances") &amp; ":" &amp; ADDRESS(25+3,BS$2+1))))</f>
        <v>0</v>
      </c>
      <c r="BT30">
        <f>IFERROR(SMALL(BS5:BS36,ROW()-ROW($BT$5)+1),"")</f>
        <v>0</v>
      </c>
      <c r="BV30">
        <f>IFERROR(SUM(BT5:BT30),"")</f>
        <v>0</v>
      </c>
      <c r="BW30" cm="1">
        <f t="array" ref="BW30">_xlfn.SWITCH(Charts!$B$3,"average", AVERAGE(INDIRECT(ADDRESS(25+3,BW$2+1,,,"Instances") &amp; ":" &amp; ADDRESS(25+3,BW$2+1))),"median", MEDIAN(INDIRECT(ADDRESS(25+3,BW$2+1,,,"Instances") &amp; ":" &amp; ADDRESS(25+3,BW$2+1))),"min", MIN(INDIRECT(ADDRESS(25+3,BW$2+1,,,"Instances") &amp; ":" &amp; ADDRESS(25+3,BW$2+1))),"max", MAX(INDIRECT(ADDRESS(25+3,BW$2+1,,,"Instances") &amp; ":" &amp; ADDRESS(25+3,BW$2+1))),"diff", MAX(INDIRECT(ADDRESS(25+3,BW$2+1,,,"Instances") &amp; ":" &amp; ADDRESS(25+3,BW$2+1)))-MIN(INDIRECT(ADDRESS(25+3,BW$2+1,,,"Instances") &amp; ":" &amp; ADDRESS(25+3,BW$2+1))))</f>
        <v>0</v>
      </c>
      <c r="BX30">
        <f>IFERROR(SMALL(BW5:BW36,ROW()-ROW($BX$5)+1),"")</f>
        <v>0</v>
      </c>
      <c r="BZ30">
        <f>IFERROR(SUM(BX5:BX30),"")</f>
        <v>0</v>
      </c>
      <c r="CA30" cm="1">
        <f t="array" ref="CA30">_xlfn.SWITCH(Charts!$B$3,"average", AVERAGE(INDIRECT(ADDRESS(25+3,CA$2+1,,,"Instances") &amp; ":" &amp; ADDRESS(25+3,CA$2+1))),"median", MEDIAN(INDIRECT(ADDRESS(25+3,CA$2+1,,,"Instances") &amp; ":" &amp; ADDRESS(25+3,CA$2+1))),"min", MIN(INDIRECT(ADDRESS(25+3,CA$2+1,,,"Instances") &amp; ":" &amp; ADDRESS(25+3,CA$2+1))),"max", MAX(INDIRECT(ADDRESS(25+3,CA$2+1,,,"Instances") &amp; ":" &amp; ADDRESS(25+3,CA$2+1))),"diff", MAX(INDIRECT(ADDRESS(25+3,CA$2+1,,,"Instances") &amp; ":" &amp; ADDRESS(25+3,CA$2+1)))-MIN(INDIRECT(ADDRESS(25+3,CA$2+1,,,"Instances") &amp; ":" &amp; ADDRESS(25+3,CA$2+1))))</f>
        <v>0</v>
      </c>
      <c r="CB30">
        <f>IFERROR(SMALL(CA5:CA36,ROW()-ROW($CB$5)+1),"")</f>
        <v>0</v>
      </c>
      <c r="CD30">
        <f>IFERROR(SUM(CB5:CB30),"")</f>
        <v>0</v>
      </c>
      <c r="CE30" cm="1">
        <f t="array" ref="CE30">_xlfn.SWITCH(Charts!$B$3,"average", AVERAGE(INDIRECT(ADDRESS(25+3,CE$2+1,,,"Instances") &amp; ":" &amp; ADDRESS(25+3,CE$2+1))),"median", MEDIAN(INDIRECT(ADDRESS(25+3,CE$2+1,,,"Instances") &amp; ":" &amp; ADDRESS(25+3,CE$2+1))),"min", MIN(INDIRECT(ADDRESS(25+3,CE$2+1,,,"Instances") &amp; ":" &amp; ADDRESS(25+3,CE$2+1))),"max", MAX(INDIRECT(ADDRESS(25+3,CE$2+1,,,"Instances") &amp; ":" &amp; ADDRESS(25+3,CE$2+1))),"diff", MAX(INDIRECT(ADDRESS(25+3,CE$2+1,,,"Instances") &amp; ":" &amp; ADDRESS(25+3,CE$2+1)))-MIN(INDIRECT(ADDRESS(25+3,CE$2+1,,,"Instances") &amp; ":" &amp; ADDRESS(25+3,CE$2+1))))</f>
        <v>0</v>
      </c>
      <c r="CF30">
        <f>IFERROR(SMALL(CE5:CE36,ROW()-ROW($CF$5)+1),"")</f>
        <v>0</v>
      </c>
      <c r="CH30">
        <f>IFERROR(SUM(CF5:CF30),"")</f>
        <v>0</v>
      </c>
      <c r="CI30" cm="1">
        <f t="array" ref="CI30">_xlfn.SWITCH(Charts!$B$3,"average", AVERAGE(INDIRECT(ADDRESS(25+3,CI$2+1,,,"Instances") &amp; ":" &amp; ADDRESS(25+3,CI$2+1))),"median", MEDIAN(INDIRECT(ADDRESS(25+3,CI$2+1,,,"Instances") &amp; ":" &amp; ADDRESS(25+3,CI$2+1))),"min", MIN(INDIRECT(ADDRESS(25+3,CI$2+1,,,"Instances") &amp; ":" &amp; ADDRESS(25+3,CI$2+1))),"max", MAX(INDIRECT(ADDRESS(25+3,CI$2+1,,,"Instances") &amp; ":" &amp; ADDRESS(25+3,CI$2+1))),"diff", MAX(INDIRECT(ADDRESS(25+3,CI$2+1,,,"Instances") &amp; ":" &amp; ADDRESS(25+3,CI$2+1)))-MIN(INDIRECT(ADDRESS(25+3,CI$2+1,,,"Instances") &amp; ":" &amp; ADDRESS(25+3,CI$2+1))))</f>
        <v>0</v>
      </c>
      <c r="CJ30">
        <f>IFERROR(SMALL(CI5:CI36,ROW()-ROW($CJ$5)+1),"")</f>
        <v>0</v>
      </c>
      <c r="CL30">
        <f>IFERROR(SUM(CJ5:CJ30),"")</f>
        <v>0</v>
      </c>
      <c r="CM30" cm="1">
        <f t="array" ref="CM30">_xlfn.SWITCH(Charts!$B$3,"average", AVERAGE(INDIRECT(ADDRESS(25+3,CM$2+1,,,"Instances") &amp; ":" &amp; ADDRESS(25+3,CM$2+1))),"median", MEDIAN(INDIRECT(ADDRESS(25+3,CM$2+1,,,"Instances") &amp; ":" &amp; ADDRESS(25+3,CM$2+1))),"min", MIN(INDIRECT(ADDRESS(25+3,CM$2+1,,,"Instances") &amp; ":" &amp; ADDRESS(25+3,CM$2+1))),"max", MAX(INDIRECT(ADDRESS(25+3,CM$2+1,,,"Instances") &amp; ":" &amp; ADDRESS(25+3,CM$2+1))),"diff", MAX(INDIRECT(ADDRESS(25+3,CM$2+1,,,"Instances") &amp; ":" &amp; ADDRESS(25+3,CM$2+1)))-MIN(INDIRECT(ADDRESS(25+3,CM$2+1,,,"Instances") &amp; ":" &amp; ADDRESS(25+3,CM$2+1))))</f>
        <v>0</v>
      </c>
      <c r="CN30">
        <f>IFERROR(SMALL(CM5:CM36,ROW()-ROW($CN$5)+1),"")</f>
        <v>0</v>
      </c>
      <c r="CP30">
        <f>IFERROR(SUM(CN5:CN30),"")</f>
        <v>0</v>
      </c>
      <c r="CQ30" cm="1">
        <f t="array" ref="CQ30">_xlfn.SWITCH(Charts!$B$3,"average", AVERAGE(INDIRECT(ADDRESS(25+3,CQ$2+1,,,"Instances") &amp; ":" &amp; ADDRESS(25+3,CQ$2+1))),"median", MEDIAN(INDIRECT(ADDRESS(25+3,CQ$2+1,,,"Instances") &amp; ":" &amp; ADDRESS(25+3,CQ$2+1))),"min", MIN(INDIRECT(ADDRESS(25+3,CQ$2+1,,,"Instances") &amp; ":" &amp; ADDRESS(25+3,CQ$2+1))),"max", MAX(INDIRECT(ADDRESS(25+3,CQ$2+1,,,"Instances") &amp; ":" &amp; ADDRESS(25+3,CQ$2+1))),"diff", MAX(INDIRECT(ADDRESS(25+3,CQ$2+1,,,"Instances") &amp; ":" &amp; ADDRESS(25+3,CQ$2+1)))-MIN(INDIRECT(ADDRESS(25+3,CQ$2+1,,,"Instances") &amp; ":" &amp; ADDRESS(25+3,CQ$2+1))))</f>
        <v>0</v>
      </c>
      <c r="CR30">
        <f>IFERROR(SMALL(CQ5:CQ36,ROW()-ROW($CR$5)+1),"")</f>
        <v>0</v>
      </c>
      <c r="CT30">
        <f>IFERROR(SUM(CR5:CR30),"")</f>
        <v>0</v>
      </c>
      <c r="CU30" cm="1">
        <f t="array" ref="CU30">_xlfn.SWITCH(Charts!$B$3,"average", AVERAGE(INDIRECT(ADDRESS(25+3,CU$2+1,,,"Instances") &amp; ":" &amp; ADDRESS(25+3,CU$2+1))),"median", MEDIAN(INDIRECT(ADDRESS(25+3,CU$2+1,,,"Instances") &amp; ":" &amp; ADDRESS(25+3,CU$2+1))),"min", MIN(INDIRECT(ADDRESS(25+3,CU$2+1,,,"Instances") &amp; ":" &amp; ADDRESS(25+3,CU$2+1))),"max", MAX(INDIRECT(ADDRESS(25+3,CU$2+1,,,"Instances") &amp; ":" &amp; ADDRESS(25+3,CU$2+1))),"diff", MAX(INDIRECT(ADDRESS(25+3,CU$2+1,,,"Instances") &amp; ":" &amp; ADDRESS(25+3,CU$2+1)))-MIN(INDIRECT(ADDRESS(25+3,CU$2+1,,,"Instances") &amp; ":" &amp; ADDRESS(25+3,CU$2+1))))</f>
        <v>0</v>
      </c>
      <c r="CV30">
        <f>IFERROR(SMALL(CU5:CU36,ROW()-ROW($CV$5)+1),"")</f>
        <v>0</v>
      </c>
      <c r="CX30">
        <f>IFERROR(SUM(CV5:CV30),"")</f>
        <v>0</v>
      </c>
      <c r="CY30" cm="1">
        <f t="array" ref="CY30">_xlfn.SWITCH(Charts!$B$3,"average", AVERAGE(INDIRECT(ADDRESS(25+3,CY$2+1,,,"Instances") &amp; ":" &amp; ADDRESS(25+3,CY$2+1))),"median", MEDIAN(INDIRECT(ADDRESS(25+3,CY$2+1,,,"Instances") &amp; ":" &amp; ADDRESS(25+3,CY$2+1))),"min", MIN(INDIRECT(ADDRESS(25+3,CY$2+1,,,"Instances") &amp; ":" &amp; ADDRESS(25+3,CY$2+1))),"max", MAX(INDIRECT(ADDRESS(25+3,CY$2+1,,,"Instances") &amp; ":" &amp; ADDRESS(25+3,CY$2+1))),"diff", MAX(INDIRECT(ADDRESS(25+3,CY$2+1,,,"Instances") &amp; ":" &amp; ADDRESS(25+3,CY$2+1)))-MIN(INDIRECT(ADDRESS(25+3,CY$2+1,,,"Instances") &amp; ":" &amp; ADDRESS(25+3,CY$2+1))))</f>
        <v>0</v>
      </c>
      <c r="CZ30">
        <f>IFERROR(SMALL(CY5:CY36,ROW()-ROW($CZ$5)+1),"")</f>
        <v>0</v>
      </c>
      <c r="DB30">
        <f>IFERROR(SUM(CZ5:CZ30),"")</f>
        <v>0</v>
      </c>
      <c r="DC30" cm="1">
        <f t="array" ref="DC30">_xlfn.SWITCH(Charts!$B$3,"average", AVERAGE(INDIRECT(ADDRESS(25+3,DC$2+1,,,"Instances") &amp; ":" &amp; ADDRESS(25+3,DC$2+1))),"median", MEDIAN(INDIRECT(ADDRESS(25+3,DC$2+1,,,"Instances") &amp; ":" &amp; ADDRESS(25+3,DC$2+1))),"min", MIN(INDIRECT(ADDRESS(25+3,DC$2+1,,,"Instances") &amp; ":" &amp; ADDRESS(25+3,DC$2+1))),"max", MAX(INDIRECT(ADDRESS(25+3,DC$2+1,,,"Instances") &amp; ":" &amp; ADDRESS(25+3,DC$2+1))),"diff", MAX(INDIRECT(ADDRESS(25+3,DC$2+1,,,"Instances") &amp; ":" &amp; ADDRESS(25+3,DC$2+1)))-MIN(INDIRECT(ADDRESS(25+3,DC$2+1,,,"Instances") &amp; ":" &amp; ADDRESS(25+3,DC$2+1))))</f>
        <v>0</v>
      </c>
      <c r="DD30">
        <f>IFERROR(SMALL(DC5:DC36,ROW()-ROW($DD$5)+1),"")</f>
        <v>0</v>
      </c>
      <c r="DF30">
        <f>IFERROR(SUM(DD5:DD30),"")</f>
        <v>0</v>
      </c>
      <c r="DG30" cm="1">
        <f t="array" ref="DG30">_xlfn.SWITCH(Charts!$B$3,"average", AVERAGE(INDIRECT(ADDRESS(25+3,DG$2+1,,,"Instances") &amp; ":" &amp; ADDRESS(25+3,DG$2+1))),"median", MEDIAN(INDIRECT(ADDRESS(25+3,DG$2+1,,,"Instances") &amp; ":" &amp; ADDRESS(25+3,DG$2+1))),"min", MIN(INDIRECT(ADDRESS(25+3,DG$2+1,,,"Instances") &amp; ":" &amp; ADDRESS(25+3,DG$2+1))),"max", MAX(INDIRECT(ADDRESS(25+3,DG$2+1,,,"Instances") &amp; ":" &amp; ADDRESS(25+3,DG$2+1))),"diff", MAX(INDIRECT(ADDRESS(25+3,DG$2+1,,,"Instances") &amp; ":" &amp; ADDRESS(25+3,DG$2+1)))-MIN(INDIRECT(ADDRESS(25+3,DG$2+1,,,"Instances") &amp; ":" &amp; ADDRESS(25+3,DG$2+1))))</f>
        <v>0</v>
      </c>
      <c r="DH30">
        <f>IFERROR(SMALL(DG5:DG36,ROW()-ROW($DH$5)+1),"")</f>
        <v>0</v>
      </c>
      <c r="DJ30">
        <f>IFERROR(SUM(DH5:DH30),"")</f>
        <v>0</v>
      </c>
      <c r="DK30" cm="1">
        <f t="array" ref="DK30">_xlfn.SWITCH(Charts!$B$3,"average", AVERAGE(INDIRECT(ADDRESS(25+3,DK$2+1,,,"Instances") &amp; ":" &amp; ADDRESS(25+3,DK$2+1))),"median", MEDIAN(INDIRECT(ADDRESS(25+3,DK$2+1,,,"Instances") &amp; ":" &amp; ADDRESS(25+3,DK$2+1))),"min", MIN(INDIRECT(ADDRESS(25+3,DK$2+1,,,"Instances") &amp; ":" &amp; ADDRESS(25+3,DK$2+1))),"max", MAX(INDIRECT(ADDRESS(25+3,DK$2+1,,,"Instances") &amp; ":" &amp; ADDRESS(25+3,DK$2+1))),"diff", MAX(INDIRECT(ADDRESS(25+3,DK$2+1,,,"Instances") &amp; ":" &amp; ADDRESS(25+3,DK$2+1)))-MIN(INDIRECT(ADDRESS(25+3,DK$2+1,,,"Instances") &amp; ":" &amp; ADDRESS(25+3,DK$2+1))))</f>
        <v>0</v>
      </c>
      <c r="DL30">
        <f>IFERROR(SMALL(DK5:DK36,ROW()-ROW($DL$5)+1),"")</f>
        <v>0</v>
      </c>
      <c r="DN30">
        <f>IFERROR(SUM(DL5:DL30),"")</f>
        <v>0</v>
      </c>
      <c r="DO30" cm="1">
        <f t="array" ref="DO30">_xlfn.SWITCH(Charts!$B$3,"average", AVERAGE(INDIRECT(ADDRESS(25+3,DO$2+1,,,"Instances") &amp; ":" &amp; ADDRESS(25+3,DO$2+1))),"median", MEDIAN(INDIRECT(ADDRESS(25+3,DO$2+1,,,"Instances") &amp; ":" &amp; ADDRESS(25+3,DO$2+1))),"min", MIN(INDIRECT(ADDRESS(25+3,DO$2+1,,,"Instances") &amp; ":" &amp; ADDRESS(25+3,DO$2+1))),"max", MAX(INDIRECT(ADDRESS(25+3,DO$2+1,,,"Instances") &amp; ":" &amp; ADDRESS(25+3,DO$2+1))),"diff", MAX(INDIRECT(ADDRESS(25+3,DO$2+1,,,"Instances") &amp; ":" &amp; ADDRESS(25+3,DO$2+1)))-MIN(INDIRECT(ADDRESS(25+3,DO$2+1,,,"Instances") &amp; ":" &amp; ADDRESS(25+3,DO$2+1))))</f>
        <v>0</v>
      </c>
      <c r="DP30">
        <f>IFERROR(SMALL(DO5:DO36,ROW()-ROW($DP$5)+1),"")</f>
        <v>0</v>
      </c>
      <c r="DR30">
        <f>IFERROR(SUM(DP5:DP30),"")</f>
        <v>0</v>
      </c>
      <c r="DS30" cm="1">
        <f t="array" ref="DS30">_xlfn.SWITCH(Charts!$B$3,"average", AVERAGE(INDIRECT(ADDRESS(25+3,DS$2+1,,,"Instances") &amp; ":" &amp; ADDRESS(25+3,DS$2+1))),"median", MEDIAN(INDIRECT(ADDRESS(25+3,DS$2+1,,,"Instances") &amp; ":" &amp; ADDRESS(25+3,DS$2+1))),"min", MIN(INDIRECT(ADDRESS(25+3,DS$2+1,,,"Instances") &amp; ":" &amp; ADDRESS(25+3,DS$2+1))),"max", MAX(INDIRECT(ADDRESS(25+3,DS$2+1,,,"Instances") &amp; ":" &amp; ADDRESS(25+3,DS$2+1))),"diff", MAX(INDIRECT(ADDRESS(25+3,DS$2+1,,,"Instances") &amp; ":" &amp; ADDRESS(25+3,DS$2+1)))-MIN(INDIRECT(ADDRESS(25+3,DS$2+1,,,"Instances") &amp; ":" &amp; ADDRESS(25+3,DS$2+1))))</f>
        <v>0</v>
      </c>
      <c r="DT30">
        <f>IFERROR(SMALL(DS5:DS36,ROW()-ROW($DT$5)+1),"")</f>
        <v>0</v>
      </c>
      <c r="DV30">
        <f>IFERROR(SUM(DT5:DT30),"")</f>
        <v>0</v>
      </c>
      <c r="DW30" cm="1">
        <f t="array" ref="DW30">_xlfn.SWITCH(Charts!$B$3,"average", AVERAGE(INDIRECT(ADDRESS(25+3,DW$2+1,,,"Instances") &amp; ":" &amp; ADDRESS(25+3,DW$2+1))),"median", MEDIAN(INDIRECT(ADDRESS(25+3,DW$2+1,,,"Instances") &amp; ":" &amp; ADDRESS(25+3,DW$2+1))),"min", MIN(INDIRECT(ADDRESS(25+3,DW$2+1,,,"Instances") &amp; ":" &amp; ADDRESS(25+3,DW$2+1))),"max", MAX(INDIRECT(ADDRESS(25+3,DW$2+1,,,"Instances") &amp; ":" &amp; ADDRESS(25+3,DW$2+1))),"diff", MAX(INDIRECT(ADDRESS(25+3,DW$2+1,,,"Instances") &amp; ":" &amp; ADDRESS(25+3,DW$2+1)))-MIN(INDIRECT(ADDRESS(25+3,DW$2+1,,,"Instances") &amp; ":" &amp; ADDRESS(25+3,DW$2+1))))</f>
        <v>0</v>
      </c>
      <c r="DX30">
        <f>IFERROR(SMALL(DW5:DW36,ROW()-ROW($DX$5)+1),"")</f>
        <v>0</v>
      </c>
      <c r="DZ30">
        <f>IFERROR(SUM(DX5:DX30),"")</f>
        <v>0</v>
      </c>
      <c r="EA30" cm="1">
        <f t="array" ref="EA30">_xlfn.SWITCH(Charts!$B$3,"average", AVERAGE(INDIRECT(ADDRESS(25+3,EA$2+1,,,"Instances") &amp; ":" &amp; ADDRESS(25+3,EA$2+1))),"median", MEDIAN(INDIRECT(ADDRESS(25+3,EA$2+1,,,"Instances") &amp; ":" &amp; ADDRESS(25+3,EA$2+1))),"min", MIN(INDIRECT(ADDRESS(25+3,EA$2+1,,,"Instances") &amp; ":" &amp; ADDRESS(25+3,EA$2+1))),"max", MAX(INDIRECT(ADDRESS(25+3,EA$2+1,,,"Instances") &amp; ":" &amp; ADDRESS(25+3,EA$2+1))),"diff", MAX(INDIRECT(ADDRESS(25+3,EA$2+1,,,"Instances") &amp; ":" &amp; ADDRESS(25+3,EA$2+1)))-MIN(INDIRECT(ADDRESS(25+3,EA$2+1,,,"Instances") &amp; ":" &amp; ADDRESS(25+3,EA$2+1))))</f>
        <v>0</v>
      </c>
      <c r="EB30">
        <f>IFERROR(SMALL(EA5:EA36,ROW()-ROW($EB$5)+1),"")</f>
        <v>0</v>
      </c>
      <c r="ED30">
        <f>IFERROR(SUM(EB5:EB30),"")</f>
        <v>0</v>
      </c>
      <c r="EG30">
        <f>IF(Charts!$B$3="none",E197,IF(BS197="",NA(),BS197))</f>
        <v>0</v>
      </c>
      <c r="EH30">
        <f>IF(Charts!$B$3="none",F197,IF(BT197="",NA(),BT197))</f>
        <v>0</v>
      </c>
      <c r="EI30">
        <f>IF(Charts!$B$3="none",G197,IF(BU197="",NA(),BU197))</f>
        <v>0</v>
      </c>
      <c r="EJ30">
        <f>IF(Charts!$B$3="none",H197,IF(BV197="",NA(),BV197))</f>
        <v>0</v>
      </c>
      <c r="EK30">
        <f>IF(Charts!$B$3="none",I197,IF(BW197="",NA(),BW197))</f>
        <v>0</v>
      </c>
      <c r="EL30">
        <f>IF(Charts!$B$3="none",J197,IF(BX197="",NA(),BX197))</f>
        <v>0</v>
      </c>
      <c r="EM30">
        <f>IF(Charts!$B$3="none",K197,IF(BY197="",NA(),BY197))</f>
        <v>0</v>
      </c>
      <c r="EN30">
        <f>IF(Charts!$B$3="none",L197,IF(BZ197="",NA(),BZ197))</f>
        <v>0</v>
      </c>
      <c r="EO30">
        <f>IF(Charts!$B$3="none",M197,IF(CA197="",NA(),CA197))</f>
        <v>0</v>
      </c>
      <c r="EP30">
        <f>IF(Charts!$B$3="none",N197,IF(CB197="",NA(),CB197))</f>
        <v>0</v>
      </c>
      <c r="EQ30">
        <f>IF(Charts!$B$3="none",O197,IF(CC197="",NA(),CC197))</f>
        <v>0</v>
      </c>
      <c r="ER30">
        <f>IF(Charts!$B$3="none",P197,IF(CD197="",NA(),CD197))</f>
        <v>0</v>
      </c>
      <c r="ES30">
        <f>IF(Charts!$B$3="none",Q197,IF(CE197="",NA(),CE197))</f>
        <v>0</v>
      </c>
      <c r="ET30">
        <f>IF(Charts!$B$3="none",R197,IF(CF197="",NA(),CF197))</f>
        <v>0</v>
      </c>
      <c r="EU30">
        <f>IF(Charts!$B$3="none",S197,IF(CG197="",NA(),CG197))</f>
        <v>0</v>
      </c>
      <c r="EV30">
        <f>IF(Charts!$B$3="none",T197,IF(CH197="",NA(),CH197))</f>
        <v>0</v>
      </c>
      <c r="EW30">
        <f>IF(Charts!$B$3="none",U197,IF(CI197="",NA(),CI197))</f>
        <v>0</v>
      </c>
      <c r="EX30">
        <f>IF(Charts!$B$3="none",V197,IF(CJ197="",NA(),CJ197))</f>
        <v>0</v>
      </c>
      <c r="EY30">
        <f>IF(Charts!$B$3="none",W197,IF(CK197="",NA(),CK197))</f>
        <v>0</v>
      </c>
      <c r="EZ30">
        <f>IF(Charts!$B$3="none",X197,IF(CL197="",NA(),CL197))</f>
        <v>0</v>
      </c>
      <c r="FA30">
        <f>IF(Charts!$B$3="none",Y197,IF(CM197="",NA(),CM197))</f>
        <v>0</v>
      </c>
      <c r="FB30">
        <f>IF(Charts!$B$3="none",Z197,IF(CN197="",NA(),CN197))</f>
        <v>0</v>
      </c>
      <c r="FC30">
        <f>IF(Charts!$B$3="none",AA197,IF(CO197="",NA(),CO197))</f>
        <v>0</v>
      </c>
      <c r="FD30">
        <f>IF(Charts!$B$3="none",AB197,IF(CP197="",NA(),CP197))</f>
        <v>0</v>
      </c>
      <c r="FE30">
        <f>IF(Charts!$B$3="none",AC197,IF(CQ197="",NA(),CQ197))</f>
        <v>0</v>
      </c>
      <c r="FF30">
        <f>IF(Charts!$B$3="none",AD197,IF(CR197="",NA(),CR197))</f>
        <v>0</v>
      </c>
      <c r="FG30">
        <f>IF(Charts!$B$3="none",AE197,IF(CS197="",NA(),CS197))</f>
        <v>0</v>
      </c>
      <c r="FH30">
        <f>IF(Charts!$B$3="none",AF197,IF(CT197="",NA(),CT197))</f>
        <v>0</v>
      </c>
      <c r="FI30">
        <f>IF(Charts!$B$3="none",AG197,IF(CU197="",NA(),CU197))</f>
        <v>0</v>
      </c>
      <c r="FJ30">
        <f>IF(Charts!$B$3="none",AH197,IF(CV197="",NA(),CV197))</f>
        <v>0</v>
      </c>
      <c r="FK30">
        <f>IF(Charts!$B$3="none",AI197,IF(CW197="",NA(),CW197))</f>
        <v>0</v>
      </c>
      <c r="FL30">
        <f>IF(Charts!$B$3="none",AJ197,IF(CX197="",NA(),CX197))</f>
        <v>0</v>
      </c>
      <c r="FM30">
        <f>IF(Charts!$B$3="none",AK197,IF(CY197="",NA(),CY197))</f>
        <v>0</v>
      </c>
      <c r="FN30">
        <f>IF(Charts!$B$3="none",AL197,IF(CZ197="",NA(),CZ197))</f>
        <v>0</v>
      </c>
      <c r="FO30">
        <f>IF(Charts!$B$3="none",AM197,IF(DA197="",NA(),DA197))</f>
        <v>0</v>
      </c>
      <c r="FP30">
        <f>IF(Charts!$B$3="none",AN197,IF(DB197="",NA(),DB197))</f>
        <v>0</v>
      </c>
      <c r="FQ30">
        <f>IF(Charts!$B$3="none",AO197,IF(DC197="",NA(),DC197))</f>
        <v>0</v>
      </c>
      <c r="FR30">
        <f>IF(Charts!$B$3="none",AP197,IF(DD197="",NA(),DD197))</f>
        <v>0</v>
      </c>
      <c r="FS30">
        <f>IF(Charts!$B$3="none",AQ197,IF(DE197="",NA(),DE197))</f>
        <v>0</v>
      </c>
      <c r="FT30">
        <f>IF(Charts!$B$3="none",AR197,IF(DF197="",NA(),DF197))</f>
        <v>0</v>
      </c>
      <c r="FU30">
        <f>IF(Charts!$B$3="none",AS197,IF(DG197="",NA(),DG197))</f>
        <v>0</v>
      </c>
      <c r="FV30">
        <f>IF(Charts!$B$3="none",AT197,IF(DH197="",NA(),DH197))</f>
        <v>0</v>
      </c>
      <c r="FW30">
        <f>IF(Charts!$B$3="none",AU197,IF(DI197="",NA(),DI197))</f>
        <v>0</v>
      </c>
      <c r="FX30">
        <f>IF(Charts!$B$3="none",AV197,IF(DJ197="",NA(),DJ197))</f>
        <v>0</v>
      </c>
      <c r="FY30">
        <f>IF(Charts!$B$3="none",AW197,IF(DK197="",NA(),DK197))</f>
        <v>0</v>
      </c>
      <c r="FZ30">
        <f>IF(Charts!$B$3="none",AX197,IF(DL197="",NA(),DL197))</f>
        <v>0</v>
      </c>
      <c r="GA30">
        <f>IF(Charts!$B$3="none",AY197,IF(DM197="",NA(),DM197))</f>
        <v>0</v>
      </c>
      <c r="GB30">
        <f>IF(Charts!$B$3="none",AZ197,IF(DN197="",NA(),DN197))</f>
        <v>0</v>
      </c>
      <c r="GC30">
        <f>IF(Charts!$B$3="none",BA197,IF(DO197="",NA(),DO197))</f>
        <v>0</v>
      </c>
      <c r="GD30">
        <f>IF(Charts!$B$3="none",BB197,IF(DP197="",NA(),DP197))</f>
        <v>0</v>
      </c>
      <c r="GE30">
        <f>IF(Charts!$B$3="none",BC197,IF(DQ197="",NA(),DQ197))</f>
        <v>0</v>
      </c>
      <c r="GF30">
        <f>IF(Charts!$B$3="none",BD197,IF(DR197="",NA(),DR197))</f>
        <v>0</v>
      </c>
      <c r="GG30">
        <f>IF(Charts!$B$3="none",BE197,IF(DS197="",NA(),DS197))</f>
        <v>0</v>
      </c>
      <c r="GH30">
        <f>IF(Charts!$B$3="none",BF197,IF(DT197="",NA(),DT197))</f>
        <v>0</v>
      </c>
      <c r="GI30">
        <f>IF(Charts!$B$3="none",BG197,IF(DU197="",NA(),DU197))</f>
        <v>0</v>
      </c>
      <c r="GJ30">
        <f>IF(Charts!$B$3="none",BH197,IF(DV197="",NA(),DV197))</f>
        <v>0</v>
      </c>
      <c r="GK30">
        <f>IF(Charts!$B$3="none",BI197,IF(DW197="",NA(),DW197))</f>
        <v>0</v>
      </c>
      <c r="GL30">
        <f>IF(Charts!$B$3="none",BJ197,IF(DX197="",NA(),DX197))</f>
        <v>0</v>
      </c>
      <c r="GM30">
        <f>IF(Charts!$B$3="none",BK197,IF(DY197="",NA(),DY197))</f>
        <v>0</v>
      </c>
      <c r="GN30">
        <f>IF(Charts!$B$3="none",BL197,IF(DZ197="",NA(),DZ197))</f>
        <v>0</v>
      </c>
      <c r="GO30">
        <f>IF(Charts!$B$3="none",BM197,IF(EA197="",NA(),EA197))</f>
        <v>0</v>
      </c>
      <c r="GP30">
        <f>IF(Charts!$B$3="none",BN197,IF(EB197="",NA(),EB197))</f>
        <v>0</v>
      </c>
      <c r="GQ30">
        <f>IF(Charts!$B$3="none",BO197,IF(EC197="",NA(),EC197))</f>
        <v>0</v>
      </c>
      <c r="GR30">
        <f>IF(Charts!$B$3="none",BP197,IF(ED197="",NA(),ED197))</f>
        <v>0</v>
      </c>
    </row>
    <row r="31" spans="1:200">
      <c r="D31">
        <v>27</v>
      </c>
      <c r="E31">
        <f>IF(INDIRECT(ADDRESS($D31+2,E$2+1,,,"Instances"))="","",INDIRECT(ADDRESS($D31+2,E$2+1,,,"Instances")))</f>
        <v>0</v>
      </c>
      <c r="F31">
        <f>IFERROR(SMALL(E5:E36,ROW()-ROW($F$5)+1),"")</f>
        <v>0</v>
      </c>
      <c r="H31">
        <f>IFERROR(SUM(F5:F31),"")</f>
        <v>0</v>
      </c>
      <c r="I31">
        <f>IF(INDIRECT(ADDRESS($D31+2,I$2+1,,,"Instances"))="","",INDIRECT(ADDRESS($D31+2,I$2+1,,,"Instances")))</f>
        <v>0</v>
      </c>
      <c r="J31">
        <f>IFERROR(SMALL(I5:I36,ROW()-ROW($J$5)+1),"")</f>
        <v>0</v>
      </c>
      <c r="L31">
        <f>IFERROR(SUM(J5:J31),"")</f>
        <v>0</v>
      </c>
      <c r="M31">
        <f>IF(INDIRECT(ADDRESS($D31+2,M$2+1,,,"Instances"))="","",INDIRECT(ADDRESS($D31+2,M$2+1,,,"Instances")))</f>
        <v>0</v>
      </c>
      <c r="N31">
        <f>IFERROR(SMALL(M5:M36,ROW()-ROW($N$5)+1),"")</f>
        <v>0</v>
      </c>
      <c r="P31">
        <f>IFERROR(SUM(N5:N31),"")</f>
        <v>0</v>
      </c>
      <c r="Q31">
        <f>IF(INDIRECT(ADDRESS($D31+2,Q$2+1,,,"Instances"))="","",INDIRECT(ADDRESS($D31+2,Q$2+1,,,"Instances")))</f>
        <v>0</v>
      </c>
      <c r="R31">
        <f>IFERROR(SMALL(Q5:Q36,ROW()-ROW($R$5)+1),"")</f>
        <v>0</v>
      </c>
      <c r="T31">
        <f>IFERROR(SUM(R5:R31),"")</f>
        <v>0</v>
      </c>
      <c r="U31">
        <f>IF(INDIRECT(ADDRESS($D31+2,U$2+1,,,"Instances"))="","",INDIRECT(ADDRESS($D31+2,U$2+1,,,"Instances")))</f>
        <v>0</v>
      </c>
      <c r="V31">
        <f>IFERROR(SMALL(U5:U36,ROW()-ROW($V$5)+1),"")</f>
        <v>0</v>
      </c>
      <c r="X31">
        <f>IFERROR(SUM(V5:V31),"")</f>
        <v>0</v>
      </c>
      <c r="Y31">
        <f>IF(INDIRECT(ADDRESS($D31+2,Y$2+1,,,"Instances"))="","",INDIRECT(ADDRESS($D31+2,Y$2+1,,,"Instances")))</f>
        <v>0</v>
      </c>
      <c r="Z31">
        <f>IFERROR(SMALL(Y5:Y36,ROW()-ROW($Z$5)+1),"")</f>
        <v>0</v>
      </c>
      <c r="AB31">
        <f>IFERROR(SUM(Z5:Z31),"")</f>
        <v>0</v>
      </c>
      <c r="AC31">
        <f>IF(INDIRECT(ADDRESS($D31+2,AC$2+1,,,"Instances"))="","",INDIRECT(ADDRESS($D31+2,AC$2+1,,,"Instances")))</f>
        <v>0</v>
      </c>
      <c r="AD31">
        <f>IFERROR(SMALL(AC5:AC36,ROW()-ROW($AD$5)+1),"")</f>
        <v>0</v>
      </c>
      <c r="AF31">
        <f>IFERROR(SUM(AD5:AD31),"")</f>
        <v>0</v>
      </c>
      <c r="AG31">
        <f>IF(INDIRECT(ADDRESS($D31+2,AG$2+1,,,"Instances"))="","",INDIRECT(ADDRESS($D31+2,AG$2+1,,,"Instances")))</f>
        <v>0</v>
      </c>
      <c r="AH31">
        <f>IFERROR(SMALL(AG5:AG36,ROW()-ROW($AH$5)+1),"")</f>
        <v>0</v>
      </c>
      <c r="AJ31">
        <f>IFERROR(SUM(AH5:AH31),"")</f>
        <v>0</v>
      </c>
      <c r="AK31">
        <f>IF(INDIRECT(ADDRESS($D31+2,AK$2+1,,,"Instances"))="","",INDIRECT(ADDRESS($D31+2,AK$2+1,,,"Instances")))</f>
        <v>0</v>
      </c>
      <c r="AL31">
        <f>IFERROR(SMALL(AK5:AK36,ROW()-ROW($AL$5)+1),"")</f>
        <v>0</v>
      </c>
      <c r="AN31">
        <f>IFERROR(SUM(AL5:AL31),"")</f>
        <v>0</v>
      </c>
      <c r="AO31">
        <f>IF(INDIRECT(ADDRESS($D31+2,AO$2+1,,,"Instances"))="","",INDIRECT(ADDRESS($D31+2,AO$2+1,,,"Instances")))</f>
        <v>0</v>
      </c>
      <c r="AP31">
        <f>IFERROR(SMALL(AO5:AO36,ROW()-ROW($AP$5)+1),"")</f>
        <v>0</v>
      </c>
      <c r="AR31">
        <f>IFERROR(SUM(AP5:AP31),"")</f>
        <v>0</v>
      </c>
      <c r="AS31">
        <f>IF(INDIRECT(ADDRESS($D31+2,AS$2+1,,,"Instances"))="","",INDIRECT(ADDRESS($D31+2,AS$2+1,,,"Instances")))</f>
        <v>0</v>
      </c>
      <c r="AT31">
        <f>IFERROR(SMALL(AS5:AS36,ROW()-ROW($AT$5)+1),"")</f>
        <v>0</v>
      </c>
      <c r="AV31">
        <f>IFERROR(SUM(AT5:AT31),"")</f>
        <v>0</v>
      </c>
      <c r="AW31">
        <f>IF(INDIRECT(ADDRESS($D31+2,AW$2+1,,,"Instances"))="","",INDIRECT(ADDRESS($D31+2,AW$2+1,,,"Instances")))</f>
        <v>0</v>
      </c>
      <c r="AX31">
        <f>IFERROR(SMALL(AW5:AW36,ROW()-ROW($AX$5)+1),"")</f>
        <v>0</v>
      </c>
      <c r="AZ31">
        <f>IFERROR(SUM(AX5:AX31),"")</f>
        <v>0</v>
      </c>
      <c r="BA31">
        <f>IF(INDIRECT(ADDRESS($D31+2,BA$2+1,,,"Instances"))="","",INDIRECT(ADDRESS($D31+2,BA$2+1,,,"Instances")))</f>
        <v>0</v>
      </c>
      <c r="BB31">
        <f>IFERROR(SMALL(BA5:BA36,ROW()-ROW($BB$5)+1),"")</f>
        <v>0</v>
      </c>
      <c r="BD31">
        <f>IFERROR(SUM(BB5:BB31),"")</f>
        <v>0</v>
      </c>
      <c r="BE31">
        <f>IF(INDIRECT(ADDRESS($D31+2,BE$2+1,,,"Instances"))="","",INDIRECT(ADDRESS($D31+2,BE$2+1,,,"Instances")))</f>
        <v>0</v>
      </c>
      <c r="BF31">
        <f>IFERROR(SMALL(BE5:BE36,ROW()-ROW($BF$5)+1),"")</f>
        <v>0</v>
      </c>
      <c r="BH31">
        <f>IFERROR(SUM(BF5:BF31),"")</f>
        <v>0</v>
      </c>
      <c r="BI31">
        <f>IF(INDIRECT(ADDRESS($D31+2,BI$2+1,,,"Instances"))="","",INDIRECT(ADDRESS($D31+2,BI$2+1,,,"Instances")))</f>
        <v>0</v>
      </c>
      <c r="BJ31">
        <f>IFERROR(SMALL(BI5:BI36,ROW()-ROW($BJ$5)+1),"")</f>
        <v>0</v>
      </c>
      <c r="BL31">
        <f>IFERROR(SUM(BJ5:BJ31),"")</f>
        <v>0</v>
      </c>
      <c r="BM31">
        <f>IF(INDIRECT(ADDRESS($D31+2,BM$2+1,,,"Instances"))="","",INDIRECT(ADDRESS($D31+2,BM$2+1,,,"Instances")))</f>
        <v>0</v>
      </c>
      <c r="BN31">
        <f>IFERROR(SMALL(BM5:BM36,ROW()-ROW($BN$5)+1),"")</f>
        <v>0</v>
      </c>
      <c r="BP31">
        <f>IFERROR(SUM(BN5:BN31),"")</f>
        <v>0</v>
      </c>
      <c r="BR31">
        <v>27</v>
      </c>
      <c r="BS31" cm="1">
        <f t="array" ref="BS31">_xlfn.SWITCH(Charts!$B$3,"average", AVERAGE(INDIRECT(ADDRESS(26+3,BS$2+1,,,"Instances") &amp; ":" &amp; ADDRESS(26+3,BS$2+1))),"median", MEDIAN(INDIRECT(ADDRESS(26+3,BS$2+1,,,"Instances") &amp; ":" &amp; ADDRESS(26+3,BS$2+1))),"min", MIN(INDIRECT(ADDRESS(26+3,BS$2+1,,,"Instances") &amp; ":" &amp; ADDRESS(26+3,BS$2+1))),"max", MAX(INDIRECT(ADDRESS(26+3,BS$2+1,,,"Instances") &amp; ":" &amp; ADDRESS(26+3,BS$2+1))),"diff", MAX(INDIRECT(ADDRESS(26+3,BS$2+1,,,"Instances") &amp; ":" &amp; ADDRESS(26+3,BS$2+1)))-MIN(INDIRECT(ADDRESS(26+3,BS$2+1,,,"Instances") &amp; ":" &amp; ADDRESS(26+3,BS$2+1))))</f>
        <v>0</v>
      </c>
      <c r="BT31">
        <f>IFERROR(SMALL(BS5:BS36,ROW()-ROW($BT$5)+1),"")</f>
        <v>0</v>
      </c>
      <c r="BV31">
        <f>IFERROR(SUM(BT5:BT31),"")</f>
        <v>0</v>
      </c>
      <c r="BW31" cm="1">
        <f t="array" ref="BW31">_xlfn.SWITCH(Charts!$B$3,"average", AVERAGE(INDIRECT(ADDRESS(26+3,BW$2+1,,,"Instances") &amp; ":" &amp; ADDRESS(26+3,BW$2+1))),"median", MEDIAN(INDIRECT(ADDRESS(26+3,BW$2+1,,,"Instances") &amp; ":" &amp; ADDRESS(26+3,BW$2+1))),"min", MIN(INDIRECT(ADDRESS(26+3,BW$2+1,,,"Instances") &amp; ":" &amp; ADDRESS(26+3,BW$2+1))),"max", MAX(INDIRECT(ADDRESS(26+3,BW$2+1,,,"Instances") &amp; ":" &amp; ADDRESS(26+3,BW$2+1))),"diff", MAX(INDIRECT(ADDRESS(26+3,BW$2+1,,,"Instances") &amp; ":" &amp; ADDRESS(26+3,BW$2+1)))-MIN(INDIRECT(ADDRESS(26+3,BW$2+1,,,"Instances") &amp; ":" &amp; ADDRESS(26+3,BW$2+1))))</f>
        <v>0</v>
      </c>
      <c r="BX31">
        <f>IFERROR(SMALL(BW5:BW36,ROW()-ROW($BX$5)+1),"")</f>
        <v>0</v>
      </c>
      <c r="BZ31">
        <f>IFERROR(SUM(BX5:BX31),"")</f>
        <v>0</v>
      </c>
      <c r="CA31" cm="1">
        <f t="array" ref="CA31">_xlfn.SWITCH(Charts!$B$3,"average", AVERAGE(INDIRECT(ADDRESS(26+3,CA$2+1,,,"Instances") &amp; ":" &amp; ADDRESS(26+3,CA$2+1))),"median", MEDIAN(INDIRECT(ADDRESS(26+3,CA$2+1,,,"Instances") &amp; ":" &amp; ADDRESS(26+3,CA$2+1))),"min", MIN(INDIRECT(ADDRESS(26+3,CA$2+1,,,"Instances") &amp; ":" &amp; ADDRESS(26+3,CA$2+1))),"max", MAX(INDIRECT(ADDRESS(26+3,CA$2+1,,,"Instances") &amp; ":" &amp; ADDRESS(26+3,CA$2+1))),"diff", MAX(INDIRECT(ADDRESS(26+3,CA$2+1,,,"Instances") &amp; ":" &amp; ADDRESS(26+3,CA$2+1)))-MIN(INDIRECT(ADDRESS(26+3,CA$2+1,,,"Instances") &amp; ":" &amp; ADDRESS(26+3,CA$2+1))))</f>
        <v>0</v>
      </c>
      <c r="CB31">
        <f>IFERROR(SMALL(CA5:CA36,ROW()-ROW($CB$5)+1),"")</f>
        <v>0</v>
      </c>
      <c r="CD31">
        <f>IFERROR(SUM(CB5:CB31),"")</f>
        <v>0</v>
      </c>
      <c r="CE31" cm="1">
        <f t="array" ref="CE31">_xlfn.SWITCH(Charts!$B$3,"average", AVERAGE(INDIRECT(ADDRESS(26+3,CE$2+1,,,"Instances") &amp; ":" &amp; ADDRESS(26+3,CE$2+1))),"median", MEDIAN(INDIRECT(ADDRESS(26+3,CE$2+1,,,"Instances") &amp; ":" &amp; ADDRESS(26+3,CE$2+1))),"min", MIN(INDIRECT(ADDRESS(26+3,CE$2+1,,,"Instances") &amp; ":" &amp; ADDRESS(26+3,CE$2+1))),"max", MAX(INDIRECT(ADDRESS(26+3,CE$2+1,,,"Instances") &amp; ":" &amp; ADDRESS(26+3,CE$2+1))),"diff", MAX(INDIRECT(ADDRESS(26+3,CE$2+1,,,"Instances") &amp; ":" &amp; ADDRESS(26+3,CE$2+1)))-MIN(INDIRECT(ADDRESS(26+3,CE$2+1,,,"Instances") &amp; ":" &amp; ADDRESS(26+3,CE$2+1))))</f>
        <v>0</v>
      </c>
      <c r="CF31">
        <f>IFERROR(SMALL(CE5:CE36,ROW()-ROW($CF$5)+1),"")</f>
        <v>0</v>
      </c>
      <c r="CH31">
        <f>IFERROR(SUM(CF5:CF31),"")</f>
        <v>0</v>
      </c>
      <c r="CI31" cm="1">
        <f t="array" ref="CI31">_xlfn.SWITCH(Charts!$B$3,"average", AVERAGE(INDIRECT(ADDRESS(26+3,CI$2+1,,,"Instances") &amp; ":" &amp; ADDRESS(26+3,CI$2+1))),"median", MEDIAN(INDIRECT(ADDRESS(26+3,CI$2+1,,,"Instances") &amp; ":" &amp; ADDRESS(26+3,CI$2+1))),"min", MIN(INDIRECT(ADDRESS(26+3,CI$2+1,,,"Instances") &amp; ":" &amp; ADDRESS(26+3,CI$2+1))),"max", MAX(INDIRECT(ADDRESS(26+3,CI$2+1,,,"Instances") &amp; ":" &amp; ADDRESS(26+3,CI$2+1))),"diff", MAX(INDIRECT(ADDRESS(26+3,CI$2+1,,,"Instances") &amp; ":" &amp; ADDRESS(26+3,CI$2+1)))-MIN(INDIRECT(ADDRESS(26+3,CI$2+1,,,"Instances") &amp; ":" &amp; ADDRESS(26+3,CI$2+1))))</f>
        <v>0</v>
      </c>
      <c r="CJ31">
        <f>IFERROR(SMALL(CI5:CI36,ROW()-ROW($CJ$5)+1),"")</f>
        <v>0</v>
      </c>
      <c r="CL31">
        <f>IFERROR(SUM(CJ5:CJ31),"")</f>
        <v>0</v>
      </c>
      <c r="CM31" cm="1">
        <f t="array" ref="CM31">_xlfn.SWITCH(Charts!$B$3,"average", AVERAGE(INDIRECT(ADDRESS(26+3,CM$2+1,,,"Instances") &amp; ":" &amp; ADDRESS(26+3,CM$2+1))),"median", MEDIAN(INDIRECT(ADDRESS(26+3,CM$2+1,,,"Instances") &amp; ":" &amp; ADDRESS(26+3,CM$2+1))),"min", MIN(INDIRECT(ADDRESS(26+3,CM$2+1,,,"Instances") &amp; ":" &amp; ADDRESS(26+3,CM$2+1))),"max", MAX(INDIRECT(ADDRESS(26+3,CM$2+1,,,"Instances") &amp; ":" &amp; ADDRESS(26+3,CM$2+1))),"diff", MAX(INDIRECT(ADDRESS(26+3,CM$2+1,,,"Instances") &amp; ":" &amp; ADDRESS(26+3,CM$2+1)))-MIN(INDIRECT(ADDRESS(26+3,CM$2+1,,,"Instances") &amp; ":" &amp; ADDRESS(26+3,CM$2+1))))</f>
        <v>0</v>
      </c>
      <c r="CN31">
        <f>IFERROR(SMALL(CM5:CM36,ROW()-ROW($CN$5)+1),"")</f>
        <v>0</v>
      </c>
      <c r="CP31">
        <f>IFERROR(SUM(CN5:CN31),"")</f>
        <v>0</v>
      </c>
      <c r="CQ31" cm="1">
        <f t="array" ref="CQ31">_xlfn.SWITCH(Charts!$B$3,"average", AVERAGE(INDIRECT(ADDRESS(26+3,CQ$2+1,,,"Instances") &amp; ":" &amp; ADDRESS(26+3,CQ$2+1))),"median", MEDIAN(INDIRECT(ADDRESS(26+3,CQ$2+1,,,"Instances") &amp; ":" &amp; ADDRESS(26+3,CQ$2+1))),"min", MIN(INDIRECT(ADDRESS(26+3,CQ$2+1,,,"Instances") &amp; ":" &amp; ADDRESS(26+3,CQ$2+1))),"max", MAX(INDIRECT(ADDRESS(26+3,CQ$2+1,,,"Instances") &amp; ":" &amp; ADDRESS(26+3,CQ$2+1))),"diff", MAX(INDIRECT(ADDRESS(26+3,CQ$2+1,,,"Instances") &amp; ":" &amp; ADDRESS(26+3,CQ$2+1)))-MIN(INDIRECT(ADDRESS(26+3,CQ$2+1,,,"Instances") &amp; ":" &amp; ADDRESS(26+3,CQ$2+1))))</f>
        <v>0</v>
      </c>
      <c r="CR31">
        <f>IFERROR(SMALL(CQ5:CQ36,ROW()-ROW($CR$5)+1),"")</f>
        <v>0</v>
      </c>
      <c r="CT31">
        <f>IFERROR(SUM(CR5:CR31),"")</f>
        <v>0</v>
      </c>
      <c r="CU31" cm="1">
        <f t="array" ref="CU31">_xlfn.SWITCH(Charts!$B$3,"average", AVERAGE(INDIRECT(ADDRESS(26+3,CU$2+1,,,"Instances") &amp; ":" &amp; ADDRESS(26+3,CU$2+1))),"median", MEDIAN(INDIRECT(ADDRESS(26+3,CU$2+1,,,"Instances") &amp; ":" &amp; ADDRESS(26+3,CU$2+1))),"min", MIN(INDIRECT(ADDRESS(26+3,CU$2+1,,,"Instances") &amp; ":" &amp; ADDRESS(26+3,CU$2+1))),"max", MAX(INDIRECT(ADDRESS(26+3,CU$2+1,,,"Instances") &amp; ":" &amp; ADDRESS(26+3,CU$2+1))),"diff", MAX(INDIRECT(ADDRESS(26+3,CU$2+1,,,"Instances") &amp; ":" &amp; ADDRESS(26+3,CU$2+1)))-MIN(INDIRECT(ADDRESS(26+3,CU$2+1,,,"Instances") &amp; ":" &amp; ADDRESS(26+3,CU$2+1))))</f>
        <v>0</v>
      </c>
      <c r="CV31">
        <f>IFERROR(SMALL(CU5:CU36,ROW()-ROW($CV$5)+1),"")</f>
        <v>0</v>
      </c>
      <c r="CX31">
        <f>IFERROR(SUM(CV5:CV31),"")</f>
        <v>0</v>
      </c>
      <c r="CY31" cm="1">
        <f t="array" ref="CY31">_xlfn.SWITCH(Charts!$B$3,"average", AVERAGE(INDIRECT(ADDRESS(26+3,CY$2+1,,,"Instances") &amp; ":" &amp; ADDRESS(26+3,CY$2+1))),"median", MEDIAN(INDIRECT(ADDRESS(26+3,CY$2+1,,,"Instances") &amp; ":" &amp; ADDRESS(26+3,CY$2+1))),"min", MIN(INDIRECT(ADDRESS(26+3,CY$2+1,,,"Instances") &amp; ":" &amp; ADDRESS(26+3,CY$2+1))),"max", MAX(INDIRECT(ADDRESS(26+3,CY$2+1,,,"Instances") &amp; ":" &amp; ADDRESS(26+3,CY$2+1))),"diff", MAX(INDIRECT(ADDRESS(26+3,CY$2+1,,,"Instances") &amp; ":" &amp; ADDRESS(26+3,CY$2+1)))-MIN(INDIRECT(ADDRESS(26+3,CY$2+1,,,"Instances") &amp; ":" &amp; ADDRESS(26+3,CY$2+1))))</f>
        <v>0</v>
      </c>
      <c r="CZ31">
        <f>IFERROR(SMALL(CY5:CY36,ROW()-ROW($CZ$5)+1),"")</f>
        <v>0</v>
      </c>
      <c r="DB31">
        <f>IFERROR(SUM(CZ5:CZ31),"")</f>
        <v>0</v>
      </c>
      <c r="DC31" cm="1">
        <f t="array" ref="DC31">_xlfn.SWITCH(Charts!$B$3,"average", AVERAGE(INDIRECT(ADDRESS(26+3,DC$2+1,,,"Instances") &amp; ":" &amp; ADDRESS(26+3,DC$2+1))),"median", MEDIAN(INDIRECT(ADDRESS(26+3,DC$2+1,,,"Instances") &amp; ":" &amp; ADDRESS(26+3,DC$2+1))),"min", MIN(INDIRECT(ADDRESS(26+3,DC$2+1,,,"Instances") &amp; ":" &amp; ADDRESS(26+3,DC$2+1))),"max", MAX(INDIRECT(ADDRESS(26+3,DC$2+1,,,"Instances") &amp; ":" &amp; ADDRESS(26+3,DC$2+1))),"diff", MAX(INDIRECT(ADDRESS(26+3,DC$2+1,,,"Instances") &amp; ":" &amp; ADDRESS(26+3,DC$2+1)))-MIN(INDIRECT(ADDRESS(26+3,DC$2+1,,,"Instances") &amp; ":" &amp; ADDRESS(26+3,DC$2+1))))</f>
        <v>0</v>
      </c>
      <c r="DD31">
        <f>IFERROR(SMALL(DC5:DC36,ROW()-ROW($DD$5)+1),"")</f>
        <v>0</v>
      </c>
      <c r="DF31">
        <f>IFERROR(SUM(DD5:DD31),"")</f>
        <v>0</v>
      </c>
      <c r="DG31" cm="1">
        <f t="array" ref="DG31">_xlfn.SWITCH(Charts!$B$3,"average", AVERAGE(INDIRECT(ADDRESS(26+3,DG$2+1,,,"Instances") &amp; ":" &amp; ADDRESS(26+3,DG$2+1))),"median", MEDIAN(INDIRECT(ADDRESS(26+3,DG$2+1,,,"Instances") &amp; ":" &amp; ADDRESS(26+3,DG$2+1))),"min", MIN(INDIRECT(ADDRESS(26+3,DG$2+1,,,"Instances") &amp; ":" &amp; ADDRESS(26+3,DG$2+1))),"max", MAX(INDIRECT(ADDRESS(26+3,DG$2+1,,,"Instances") &amp; ":" &amp; ADDRESS(26+3,DG$2+1))),"diff", MAX(INDIRECT(ADDRESS(26+3,DG$2+1,,,"Instances") &amp; ":" &amp; ADDRESS(26+3,DG$2+1)))-MIN(INDIRECT(ADDRESS(26+3,DG$2+1,,,"Instances") &amp; ":" &amp; ADDRESS(26+3,DG$2+1))))</f>
        <v>0</v>
      </c>
      <c r="DH31">
        <f>IFERROR(SMALL(DG5:DG36,ROW()-ROW($DH$5)+1),"")</f>
        <v>0</v>
      </c>
      <c r="DJ31">
        <f>IFERROR(SUM(DH5:DH31),"")</f>
        <v>0</v>
      </c>
      <c r="DK31" cm="1">
        <f t="array" ref="DK31">_xlfn.SWITCH(Charts!$B$3,"average", AVERAGE(INDIRECT(ADDRESS(26+3,DK$2+1,,,"Instances") &amp; ":" &amp; ADDRESS(26+3,DK$2+1))),"median", MEDIAN(INDIRECT(ADDRESS(26+3,DK$2+1,,,"Instances") &amp; ":" &amp; ADDRESS(26+3,DK$2+1))),"min", MIN(INDIRECT(ADDRESS(26+3,DK$2+1,,,"Instances") &amp; ":" &amp; ADDRESS(26+3,DK$2+1))),"max", MAX(INDIRECT(ADDRESS(26+3,DK$2+1,,,"Instances") &amp; ":" &amp; ADDRESS(26+3,DK$2+1))),"diff", MAX(INDIRECT(ADDRESS(26+3,DK$2+1,,,"Instances") &amp; ":" &amp; ADDRESS(26+3,DK$2+1)))-MIN(INDIRECT(ADDRESS(26+3,DK$2+1,,,"Instances") &amp; ":" &amp; ADDRESS(26+3,DK$2+1))))</f>
        <v>0</v>
      </c>
      <c r="DL31">
        <f>IFERROR(SMALL(DK5:DK36,ROW()-ROW($DL$5)+1),"")</f>
        <v>0</v>
      </c>
      <c r="DN31">
        <f>IFERROR(SUM(DL5:DL31),"")</f>
        <v>0</v>
      </c>
      <c r="DO31" cm="1">
        <f t="array" ref="DO31">_xlfn.SWITCH(Charts!$B$3,"average", AVERAGE(INDIRECT(ADDRESS(26+3,DO$2+1,,,"Instances") &amp; ":" &amp; ADDRESS(26+3,DO$2+1))),"median", MEDIAN(INDIRECT(ADDRESS(26+3,DO$2+1,,,"Instances") &amp; ":" &amp; ADDRESS(26+3,DO$2+1))),"min", MIN(INDIRECT(ADDRESS(26+3,DO$2+1,,,"Instances") &amp; ":" &amp; ADDRESS(26+3,DO$2+1))),"max", MAX(INDIRECT(ADDRESS(26+3,DO$2+1,,,"Instances") &amp; ":" &amp; ADDRESS(26+3,DO$2+1))),"diff", MAX(INDIRECT(ADDRESS(26+3,DO$2+1,,,"Instances") &amp; ":" &amp; ADDRESS(26+3,DO$2+1)))-MIN(INDIRECT(ADDRESS(26+3,DO$2+1,,,"Instances") &amp; ":" &amp; ADDRESS(26+3,DO$2+1))))</f>
        <v>0</v>
      </c>
      <c r="DP31">
        <f>IFERROR(SMALL(DO5:DO36,ROW()-ROW($DP$5)+1),"")</f>
        <v>0</v>
      </c>
      <c r="DR31">
        <f>IFERROR(SUM(DP5:DP31),"")</f>
        <v>0</v>
      </c>
      <c r="DS31" cm="1">
        <f t="array" ref="DS31">_xlfn.SWITCH(Charts!$B$3,"average", AVERAGE(INDIRECT(ADDRESS(26+3,DS$2+1,,,"Instances") &amp; ":" &amp; ADDRESS(26+3,DS$2+1))),"median", MEDIAN(INDIRECT(ADDRESS(26+3,DS$2+1,,,"Instances") &amp; ":" &amp; ADDRESS(26+3,DS$2+1))),"min", MIN(INDIRECT(ADDRESS(26+3,DS$2+1,,,"Instances") &amp; ":" &amp; ADDRESS(26+3,DS$2+1))),"max", MAX(INDIRECT(ADDRESS(26+3,DS$2+1,,,"Instances") &amp; ":" &amp; ADDRESS(26+3,DS$2+1))),"diff", MAX(INDIRECT(ADDRESS(26+3,DS$2+1,,,"Instances") &amp; ":" &amp; ADDRESS(26+3,DS$2+1)))-MIN(INDIRECT(ADDRESS(26+3,DS$2+1,,,"Instances") &amp; ":" &amp; ADDRESS(26+3,DS$2+1))))</f>
        <v>0</v>
      </c>
      <c r="DT31">
        <f>IFERROR(SMALL(DS5:DS36,ROW()-ROW($DT$5)+1),"")</f>
        <v>0</v>
      </c>
      <c r="DV31">
        <f>IFERROR(SUM(DT5:DT31),"")</f>
        <v>0</v>
      </c>
      <c r="DW31" cm="1">
        <f t="array" ref="DW31">_xlfn.SWITCH(Charts!$B$3,"average", AVERAGE(INDIRECT(ADDRESS(26+3,DW$2+1,,,"Instances") &amp; ":" &amp; ADDRESS(26+3,DW$2+1))),"median", MEDIAN(INDIRECT(ADDRESS(26+3,DW$2+1,,,"Instances") &amp; ":" &amp; ADDRESS(26+3,DW$2+1))),"min", MIN(INDIRECT(ADDRESS(26+3,DW$2+1,,,"Instances") &amp; ":" &amp; ADDRESS(26+3,DW$2+1))),"max", MAX(INDIRECT(ADDRESS(26+3,DW$2+1,,,"Instances") &amp; ":" &amp; ADDRESS(26+3,DW$2+1))),"diff", MAX(INDIRECT(ADDRESS(26+3,DW$2+1,,,"Instances") &amp; ":" &amp; ADDRESS(26+3,DW$2+1)))-MIN(INDIRECT(ADDRESS(26+3,DW$2+1,,,"Instances") &amp; ":" &amp; ADDRESS(26+3,DW$2+1))))</f>
        <v>0</v>
      </c>
      <c r="DX31">
        <f>IFERROR(SMALL(DW5:DW36,ROW()-ROW($DX$5)+1),"")</f>
        <v>0</v>
      </c>
      <c r="DZ31">
        <f>IFERROR(SUM(DX5:DX31),"")</f>
        <v>0</v>
      </c>
      <c r="EA31" cm="1">
        <f t="array" ref="EA31">_xlfn.SWITCH(Charts!$B$3,"average", AVERAGE(INDIRECT(ADDRESS(26+3,EA$2+1,,,"Instances") &amp; ":" &amp; ADDRESS(26+3,EA$2+1))),"median", MEDIAN(INDIRECT(ADDRESS(26+3,EA$2+1,,,"Instances") &amp; ":" &amp; ADDRESS(26+3,EA$2+1))),"min", MIN(INDIRECT(ADDRESS(26+3,EA$2+1,,,"Instances") &amp; ":" &amp; ADDRESS(26+3,EA$2+1))),"max", MAX(INDIRECT(ADDRESS(26+3,EA$2+1,,,"Instances") &amp; ":" &amp; ADDRESS(26+3,EA$2+1))),"diff", MAX(INDIRECT(ADDRESS(26+3,EA$2+1,,,"Instances") &amp; ":" &amp; ADDRESS(26+3,EA$2+1)))-MIN(INDIRECT(ADDRESS(26+3,EA$2+1,,,"Instances") &amp; ":" &amp; ADDRESS(26+3,EA$2+1))))</f>
        <v>0</v>
      </c>
      <c r="EB31">
        <f>IFERROR(SMALL(EA5:EA36,ROW()-ROW($EB$5)+1),"")</f>
        <v>0</v>
      </c>
      <c r="ED31">
        <f>IFERROR(SUM(EB5:EB31),"")</f>
        <v>0</v>
      </c>
      <c r="EG31">
        <f>IF(Charts!$B$3="none",E198,IF(BS198="",NA(),BS198))</f>
        <v>0</v>
      </c>
      <c r="EH31">
        <f>IF(Charts!$B$3="none",F198,IF(BT198="",NA(),BT198))</f>
        <v>0</v>
      </c>
      <c r="EI31">
        <f>IF(Charts!$B$3="none",G198,IF(BU198="",NA(),BU198))</f>
        <v>0</v>
      </c>
      <c r="EJ31">
        <f>IF(Charts!$B$3="none",H198,IF(BV198="",NA(),BV198))</f>
        <v>0</v>
      </c>
      <c r="EK31">
        <f>IF(Charts!$B$3="none",I198,IF(BW198="",NA(),BW198))</f>
        <v>0</v>
      </c>
      <c r="EL31">
        <f>IF(Charts!$B$3="none",J198,IF(BX198="",NA(),BX198))</f>
        <v>0</v>
      </c>
      <c r="EM31">
        <f>IF(Charts!$B$3="none",K198,IF(BY198="",NA(),BY198))</f>
        <v>0</v>
      </c>
      <c r="EN31">
        <f>IF(Charts!$B$3="none",L198,IF(BZ198="",NA(),BZ198))</f>
        <v>0</v>
      </c>
      <c r="EO31">
        <f>IF(Charts!$B$3="none",M198,IF(CA198="",NA(),CA198))</f>
        <v>0</v>
      </c>
      <c r="EP31">
        <f>IF(Charts!$B$3="none",N198,IF(CB198="",NA(),CB198))</f>
        <v>0</v>
      </c>
      <c r="EQ31">
        <f>IF(Charts!$B$3="none",O198,IF(CC198="",NA(),CC198))</f>
        <v>0</v>
      </c>
      <c r="ER31">
        <f>IF(Charts!$B$3="none",P198,IF(CD198="",NA(),CD198))</f>
        <v>0</v>
      </c>
      <c r="ES31">
        <f>IF(Charts!$B$3="none",Q198,IF(CE198="",NA(),CE198))</f>
        <v>0</v>
      </c>
      <c r="ET31">
        <f>IF(Charts!$B$3="none",R198,IF(CF198="",NA(),CF198))</f>
        <v>0</v>
      </c>
      <c r="EU31">
        <f>IF(Charts!$B$3="none",S198,IF(CG198="",NA(),CG198))</f>
        <v>0</v>
      </c>
      <c r="EV31">
        <f>IF(Charts!$B$3="none",T198,IF(CH198="",NA(),CH198))</f>
        <v>0</v>
      </c>
      <c r="EW31">
        <f>IF(Charts!$B$3="none",U198,IF(CI198="",NA(),CI198))</f>
        <v>0</v>
      </c>
      <c r="EX31">
        <f>IF(Charts!$B$3="none",V198,IF(CJ198="",NA(),CJ198))</f>
        <v>0</v>
      </c>
      <c r="EY31">
        <f>IF(Charts!$B$3="none",W198,IF(CK198="",NA(),CK198))</f>
        <v>0</v>
      </c>
      <c r="EZ31">
        <f>IF(Charts!$B$3="none",X198,IF(CL198="",NA(),CL198))</f>
        <v>0</v>
      </c>
      <c r="FA31">
        <f>IF(Charts!$B$3="none",Y198,IF(CM198="",NA(),CM198))</f>
        <v>0</v>
      </c>
      <c r="FB31">
        <f>IF(Charts!$B$3="none",Z198,IF(CN198="",NA(),CN198))</f>
        <v>0</v>
      </c>
      <c r="FC31">
        <f>IF(Charts!$B$3="none",AA198,IF(CO198="",NA(),CO198))</f>
        <v>0</v>
      </c>
      <c r="FD31">
        <f>IF(Charts!$B$3="none",AB198,IF(CP198="",NA(),CP198))</f>
        <v>0</v>
      </c>
      <c r="FE31">
        <f>IF(Charts!$B$3="none",AC198,IF(CQ198="",NA(),CQ198))</f>
        <v>0</v>
      </c>
      <c r="FF31">
        <f>IF(Charts!$B$3="none",AD198,IF(CR198="",NA(),CR198))</f>
        <v>0</v>
      </c>
      <c r="FG31">
        <f>IF(Charts!$B$3="none",AE198,IF(CS198="",NA(),CS198))</f>
        <v>0</v>
      </c>
      <c r="FH31">
        <f>IF(Charts!$B$3="none",AF198,IF(CT198="",NA(),CT198))</f>
        <v>0</v>
      </c>
      <c r="FI31">
        <f>IF(Charts!$B$3="none",AG198,IF(CU198="",NA(),CU198))</f>
        <v>0</v>
      </c>
      <c r="FJ31">
        <f>IF(Charts!$B$3="none",AH198,IF(CV198="",NA(),CV198))</f>
        <v>0</v>
      </c>
      <c r="FK31">
        <f>IF(Charts!$B$3="none",AI198,IF(CW198="",NA(),CW198))</f>
        <v>0</v>
      </c>
      <c r="FL31">
        <f>IF(Charts!$B$3="none",AJ198,IF(CX198="",NA(),CX198))</f>
        <v>0</v>
      </c>
      <c r="FM31">
        <f>IF(Charts!$B$3="none",AK198,IF(CY198="",NA(),CY198))</f>
        <v>0</v>
      </c>
      <c r="FN31">
        <f>IF(Charts!$B$3="none",AL198,IF(CZ198="",NA(),CZ198))</f>
        <v>0</v>
      </c>
      <c r="FO31">
        <f>IF(Charts!$B$3="none",AM198,IF(DA198="",NA(),DA198))</f>
        <v>0</v>
      </c>
      <c r="FP31">
        <f>IF(Charts!$B$3="none",AN198,IF(DB198="",NA(),DB198))</f>
        <v>0</v>
      </c>
      <c r="FQ31">
        <f>IF(Charts!$B$3="none",AO198,IF(DC198="",NA(),DC198))</f>
        <v>0</v>
      </c>
      <c r="FR31">
        <f>IF(Charts!$B$3="none",AP198,IF(DD198="",NA(),DD198))</f>
        <v>0</v>
      </c>
      <c r="FS31">
        <f>IF(Charts!$B$3="none",AQ198,IF(DE198="",NA(),DE198))</f>
        <v>0</v>
      </c>
      <c r="FT31">
        <f>IF(Charts!$B$3="none",AR198,IF(DF198="",NA(),DF198))</f>
        <v>0</v>
      </c>
      <c r="FU31">
        <f>IF(Charts!$B$3="none",AS198,IF(DG198="",NA(),DG198))</f>
        <v>0</v>
      </c>
      <c r="FV31">
        <f>IF(Charts!$B$3="none",AT198,IF(DH198="",NA(),DH198))</f>
        <v>0</v>
      </c>
      <c r="FW31">
        <f>IF(Charts!$B$3="none",AU198,IF(DI198="",NA(),DI198))</f>
        <v>0</v>
      </c>
      <c r="FX31">
        <f>IF(Charts!$B$3="none",AV198,IF(DJ198="",NA(),DJ198))</f>
        <v>0</v>
      </c>
      <c r="FY31">
        <f>IF(Charts!$B$3="none",AW198,IF(DK198="",NA(),DK198))</f>
        <v>0</v>
      </c>
      <c r="FZ31">
        <f>IF(Charts!$B$3="none",AX198,IF(DL198="",NA(),DL198))</f>
        <v>0</v>
      </c>
      <c r="GA31">
        <f>IF(Charts!$B$3="none",AY198,IF(DM198="",NA(),DM198))</f>
        <v>0</v>
      </c>
      <c r="GB31">
        <f>IF(Charts!$B$3="none",AZ198,IF(DN198="",NA(),DN198))</f>
        <v>0</v>
      </c>
      <c r="GC31">
        <f>IF(Charts!$B$3="none",BA198,IF(DO198="",NA(),DO198))</f>
        <v>0</v>
      </c>
      <c r="GD31">
        <f>IF(Charts!$B$3="none",BB198,IF(DP198="",NA(),DP198))</f>
        <v>0</v>
      </c>
      <c r="GE31">
        <f>IF(Charts!$B$3="none",BC198,IF(DQ198="",NA(),DQ198))</f>
        <v>0</v>
      </c>
      <c r="GF31">
        <f>IF(Charts!$B$3="none",BD198,IF(DR198="",NA(),DR198))</f>
        <v>0</v>
      </c>
      <c r="GG31">
        <f>IF(Charts!$B$3="none",BE198,IF(DS198="",NA(),DS198))</f>
        <v>0</v>
      </c>
      <c r="GH31">
        <f>IF(Charts!$B$3="none",BF198,IF(DT198="",NA(),DT198))</f>
        <v>0</v>
      </c>
      <c r="GI31">
        <f>IF(Charts!$B$3="none",BG198,IF(DU198="",NA(),DU198))</f>
        <v>0</v>
      </c>
      <c r="GJ31">
        <f>IF(Charts!$B$3="none",BH198,IF(DV198="",NA(),DV198))</f>
        <v>0</v>
      </c>
      <c r="GK31">
        <f>IF(Charts!$B$3="none",BI198,IF(DW198="",NA(),DW198))</f>
        <v>0</v>
      </c>
      <c r="GL31">
        <f>IF(Charts!$B$3="none",BJ198,IF(DX198="",NA(),DX198))</f>
        <v>0</v>
      </c>
      <c r="GM31">
        <f>IF(Charts!$B$3="none",BK198,IF(DY198="",NA(),DY198))</f>
        <v>0</v>
      </c>
      <c r="GN31">
        <f>IF(Charts!$B$3="none",BL198,IF(DZ198="",NA(),DZ198))</f>
        <v>0</v>
      </c>
      <c r="GO31">
        <f>IF(Charts!$B$3="none",BM198,IF(EA198="",NA(),EA198))</f>
        <v>0</v>
      </c>
      <c r="GP31">
        <f>IF(Charts!$B$3="none",BN198,IF(EB198="",NA(),EB198))</f>
        <v>0</v>
      </c>
      <c r="GQ31">
        <f>IF(Charts!$B$3="none",BO198,IF(EC198="",NA(),EC198))</f>
        <v>0</v>
      </c>
      <c r="GR31">
        <f>IF(Charts!$B$3="none",BP198,IF(ED198="",NA(),ED198))</f>
        <v>0</v>
      </c>
    </row>
    <row r="32" spans="1:200">
      <c r="D32">
        <v>28</v>
      </c>
      <c r="E32">
        <f>IF(INDIRECT(ADDRESS($D32+2,E$2+1,,,"Instances"))="","",INDIRECT(ADDRESS($D32+2,E$2+1,,,"Instances")))</f>
        <v>0</v>
      </c>
      <c r="F32">
        <f>IFERROR(SMALL(E5:E36,ROW()-ROW($F$5)+1),"")</f>
        <v>0</v>
      </c>
      <c r="H32">
        <f>IFERROR(SUM(F5:F32),"")</f>
        <v>0</v>
      </c>
      <c r="I32">
        <f>IF(INDIRECT(ADDRESS($D32+2,I$2+1,,,"Instances"))="","",INDIRECT(ADDRESS($D32+2,I$2+1,,,"Instances")))</f>
        <v>0</v>
      </c>
      <c r="J32">
        <f>IFERROR(SMALL(I5:I36,ROW()-ROW($J$5)+1),"")</f>
        <v>0</v>
      </c>
      <c r="L32">
        <f>IFERROR(SUM(J5:J32),"")</f>
        <v>0</v>
      </c>
      <c r="M32">
        <f>IF(INDIRECT(ADDRESS($D32+2,M$2+1,,,"Instances"))="","",INDIRECT(ADDRESS($D32+2,M$2+1,,,"Instances")))</f>
        <v>0</v>
      </c>
      <c r="N32">
        <f>IFERROR(SMALL(M5:M36,ROW()-ROW($N$5)+1),"")</f>
        <v>0</v>
      </c>
      <c r="P32">
        <f>IFERROR(SUM(N5:N32),"")</f>
        <v>0</v>
      </c>
      <c r="Q32">
        <f>IF(INDIRECT(ADDRESS($D32+2,Q$2+1,,,"Instances"))="","",INDIRECT(ADDRESS($D32+2,Q$2+1,,,"Instances")))</f>
        <v>0</v>
      </c>
      <c r="R32">
        <f>IFERROR(SMALL(Q5:Q36,ROW()-ROW($R$5)+1),"")</f>
        <v>0</v>
      </c>
      <c r="T32">
        <f>IFERROR(SUM(R5:R32),"")</f>
        <v>0</v>
      </c>
      <c r="U32">
        <f>IF(INDIRECT(ADDRESS($D32+2,U$2+1,,,"Instances"))="","",INDIRECT(ADDRESS($D32+2,U$2+1,,,"Instances")))</f>
        <v>0</v>
      </c>
      <c r="V32">
        <f>IFERROR(SMALL(U5:U36,ROW()-ROW($V$5)+1),"")</f>
        <v>0</v>
      </c>
      <c r="X32">
        <f>IFERROR(SUM(V5:V32),"")</f>
        <v>0</v>
      </c>
      <c r="Y32">
        <f>IF(INDIRECT(ADDRESS($D32+2,Y$2+1,,,"Instances"))="","",INDIRECT(ADDRESS($D32+2,Y$2+1,,,"Instances")))</f>
        <v>0</v>
      </c>
      <c r="Z32">
        <f>IFERROR(SMALL(Y5:Y36,ROW()-ROW($Z$5)+1),"")</f>
        <v>0</v>
      </c>
      <c r="AB32">
        <f>IFERROR(SUM(Z5:Z32),"")</f>
        <v>0</v>
      </c>
      <c r="AC32">
        <f>IF(INDIRECT(ADDRESS($D32+2,AC$2+1,,,"Instances"))="","",INDIRECT(ADDRESS($D32+2,AC$2+1,,,"Instances")))</f>
        <v>0</v>
      </c>
      <c r="AD32">
        <f>IFERROR(SMALL(AC5:AC36,ROW()-ROW($AD$5)+1),"")</f>
        <v>0</v>
      </c>
      <c r="AF32">
        <f>IFERROR(SUM(AD5:AD32),"")</f>
        <v>0</v>
      </c>
      <c r="AG32">
        <f>IF(INDIRECT(ADDRESS($D32+2,AG$2+1,,,"Instances"))="","",INDIRECT(ADDRESS($D32+2,AG$2+1,,,"Instances")))</f>
        <v>0</v>
      </c>
      <c r="AH32">
        <f>IFERROR(SMALL(AG5:AG36,ROW()-ROW($AH$5)+1),"")</f>
        <v>0</v>
      </c>
      <c r="AJ32">
        <f>IFERROR(SUM(AH5:AH32),"")</f>
        <v>0</v>
      </c>
      <c r="AK32">
        <f>IF(INDIRECT(ADDRESS($D32+2,AK$2+1,,,"Instances"))="","",INDIRECT(ADDRESS($D32+2,AK$2+1,,,"Instances")))</f>
        <v>0</v>
      </c>
      <c r="AL32">
        <f>IFERROR(SMALL(AK5:AK36,ROW()-ROW($AL$5)+1),"")</f>
        <v>0</v>
      </c>
      <c r="AN32">
        <f>IFERROR(SUM(AL5:AL32),"")</f>
        <v>0</v>
      </c>
      <c r="AO32">
        <f>IF(INDIRECT(ADDRESS($D32+2,AO$2+1,,,"Instances"))="","",INDIRECT(ADDRESS($D32+2,AO$2+1,,,"Instances")))</f>
        <v>0</v>
      </c>
      <c r="AP32">
        <f>IFERROR(SMALL(AO5:AO36,ROW()-ROW($AP$5)+1),"")</f>
        <v>0</v>
      </c>
      <c r="AR32">
        <f>IFERROR(SUM(AP5:AP32),"")</f>
        <v>0</v>
      </c>
      <c r="AS32">
        <f>IF(INDIRECT(ADDRESS($D32+2,AS$2+1,,,"Instances"))="","",INDIRECT(ADDRESS($D32+2,AS$2+1,,,"Instances")))</f>
        <v>0</v>
      </c>
      <c r="AT32">
        <f>IFERROR(SMALL(AS5:AS36,ROW()-ROW($AT$5)+1),"")</f>
        <v>0</v>
      </c>
      <c r="AV32">
        <f>IFERROR(SUM(AT5:AT32),"")</f>
        <v>0</v>
      </c>
      <c r="AW32">
        <f>IF(INDIRECT(ADDRESS($D32+2,AW$2+1,,,"Instances"))="","",INDIRECT(ADDRESS($D32+2,AW$2+1,,,"Instances")))</f>
        <v>0</v>
      </c>
      <c r="AX32">
        <f>IFERROR(SMALL(AW5:AW36,ROW()-ROW($AX$5)+1),"")</f>
        <v>0</v>
      </c>
      <c r="AZ32">
        <f>IFERROR(SUM(AX5:AX32),"")</f>
        <v>0</v>
      </c>
      <c r="BA32">
        <f>IF(INDIRECT(ADDRESS($D32+2,BA$2+1,,,"Instances"))="","",INDIRECT(ADDRESS($D32+2,BA$2+1,,,"Instances")))</f>
        <v>0</v>
      </c>
      <c r="BB32">
        <f>IFERROR(SMALL(BA5:BA36,ROW()-ROW($BB$5)+1),"")</f>
        <v>0</v>
      </c>
      <c r="BD32">
        <f>IFERROR(SUM(BB5:BB32),"")</f>
        <v>0</v>
      </c>
      <c r="BE32">
        <f>IF(INDIRECT(ADDRESS($D32+2,BE$2+1,,,"Instances"))="","",INDIRECT(ADDRESS($D32+2,BE$2+1,,,"Instances")))</f>
        <v>0</v>
      </c>
      <c r="BF32">
        <f>IFERROR(SMALL(BE5:BE36,ROW()-ROW($BF$5)+1),"")</f>
        <v>0</v>
      </c>
      <c r="BH32">
        <f>IFERROR(SUM(BF5:BF32),"")</f>
        <v>0</v>
      </c>
      <c r="BI32">
        <f>IF(INDIRECT(ADDRESS($D32+2,BI$2+1,,,"Instances"))="","",INDIRECT(ADDRESS($D32+2,BI$2+1,,,"Instances")))</f>
        <v>0</v>
      </c>
      <c r="BJ32">
        <f>IFERROR(SMALL(BI5:BI36,ROW()-ROW($BJ$5)+1),"")</f>
        <v>0</v>
      </c>
      <c r="BL32">
        <f>IFERROR(SUM(BJ5:BJ32),"")</f>
        <v>0</v>
      </c>
      <c r="BM32">
        <f>IF(INDIRECT(ADDRESS($D32+2,BM$2+1,,,"Instances"))="","",INDIRECT(ADDRESS($D32+2,BM$2+1,,,"Instances")))</f>
        <v>0</v>
      </c>
      <c r="BN32">
        <f>IFERROR(SMALL(BM5:BM36,ROW()-ROW($BN$5)+1),"")</f>
        <v>0</v>
      </c>
      <c r="BP32">
        <f>IFERROR(SUM(BN5:BN32),"")</f>
        <v>0</v>
      </c>
      <c r="BR32">
        <v>28</v>
      </c>
      <c r="BS32" cm="1">
        <f t="array" ref="BS32">_xlfn.SWITCH(Charts!$B$3,"average", AVERAGE(INDIRECT(ADDRESS(27+3,BS$2+1,,,"Instances") &amp; ":" &amp; ADDRESS(27+3,BS$2+1))),"median", MEDIAN(INDIRECT(ADDRESS(27+3,BS$2+1,,,"Instances") &amp; ":" &amp; ADDRESS(27+3,BS$2+1))),"min", MIN(INDIRECT(ADDRESS(27+3,BS$2+1,,,"Instances") &amp; ":" &amp; ADDRESS(27+3,BS$2+1))),"max", MAX(INDIRECT(ADDRESS(27+3,BS$2+1,,,"Instances") &amp; ":" &amp; ADDRESS(27+3,BS$2+1))),"diff", MAX(INDIRECT(ADDRESS(27+3,BS$2+1,,,"Instances") &amp; ":" &amp; ADDRESS(27+3,BS$2+1)))-MIN(INDIRECT(ADDRESS(27+3,BS$2+1,,,"Instances") &amp; ":" &amp; ADDRESS(27+3,BS$2+1))))</f>
        <v>0</v>
      </c>
      <c r="BT32">
        <f>IFERROR(SMALL(BS5:BS36,ROW()-ROW($BT$5)+1),"")</f>
        <v>0</v>
      </c>
      <c r="BV32">
        <f>IFERROR(SUM(BT5:BT32),"")</f>
        <v>0</v>
      </c>
      <c r="BW32" cm="1">
        <f t="array" ref="BW32">_xlfn.SWITCH(Charts!$B$3,"average", AVERAGE(INDIRECT(ADDRESS(27+3,BW$2+1,,,"Instances") &amp; ":" &amp; ADDRESS(27+3,BW$2+1))),"median", MEDIAN(INDIRECT(ADDRESS(27+3,BW$2+1,,,"Instances") &amp; ":" &amp; ADDRESS(27+3,BW$2+1))),"min", MIN(INDIRECT(ADDRESS(27+3,BW$2+1,,,"Instances") &amp; ":" &amp; ADDRESS(27+3,BW$2+1))),"max", MAX(INDIRECT(ADDRESS(27+3,BW$2+1,,,"Instances") &amp; ":" &amp; ADDRESS(27+3,BW$2+1))),"diff", MAX(INDIRECT(ADDRESS(27+3,BW$2+1,,,"Instances") &amp; ":" &amp; ADDRESS(27+3,BW$2+1)))-MIN(INDIRECT(ADDRESS(27+3,BW$2+1,,,"Instances") &amp; ":" &amp; ADDRESS(27+3,BW$2+1))))</f>
        <v>0</v>
      </c>
      <c r="BX32">
        <f>IFERROR(SMALL(BW5:BW36,ROW()-ROW($BX$5)+1),"")</f>
        <v>0</v>
      </c>
      <c r="BZ32">
        <f>IFERROR(SUM(BX5:BX32),"")</f>
        <v>0</v>
      </c>
      <c r="CA32" cm="1">
        <f t="array" ref="CA32">_xlfn.SWITCH(Charts!$B$3,"average", AVERAGE(INDIRECT(ADDRESS(27+3,CA$2+1,,,"Instances") &amp; ":" &amp; ADDRESS(27+3,CA$2+1))),"median", MEDIAN(INDIRECT(ADDRESS(27+3,CA$2+1,,,"Instances") &amp; ":" &amp; ADDRESS(27+3,CA$2+1))),"min", MIN(INDIRECT(ADDRESS(27+3,CA$2+1,,,"Instances") &amp; ":" &amp; ADDRESS(27+3,CA$2+1))),"max", MAX(INDIRECT(ADDRESS(27+3,CA$2+1,,,"Instances") &amp; ":" &amp; ADDRESS(27+3,CA$2+1))),"diff", MAX(INDIRECT(ADDRESS(27+3,CA$2+1,,,"Instances") &amp; ":" &amp; ADDRESS(27+3,CA$2+1)))-MIN(INDIRECT(ADDRESS(27+3,CA$2+1,,,"Instances") &amp; ":" &amp; ADDRESS(27+3,CA$2+1))))</f>
        <v>0</v>
      </c>
      <c r="CB32">
        <f>IFERROR(SMALL(CA5:CA36,ROW()-ROW($CB$5)+1),"")</f>
        <v>0</v>
      </c>
      <c r="CD32">
        <f>IFERROR(SUM(CB5:CB32),"")</f>
        <v>0</v>
      </c>
      <c r="CE32" cm="1">
        <f t="array" ref="CE32">_xlfn.SWITCH(Charts!$B$3,"average", AVERAGE(INDIRECT(ADDRESS(27+3,CE$2+1,,,"Instances") &amp; ":" &amp; ADDRESS(27+3,CE$2+1))),"median", MEDIAN(INDIRECT(ADDRESS(27+3,CE$2+1,,,"Instances") &amp; ":" &amp; ADDRESS(27+3,CE$2+1))),"min", MIN(INDIRECT(ADDRESS(27+3,CE$2+1,,,"Instances") &amp; ":" &amp; ADDRESS(27+3,CE$2+1))),"max", MAX(INDIRECT(ADDRESS(27+3,CE$2+1,,,"Instances") &amp; ":" &amp; ADDRESS(27+3,CE$2+1))),"diff", MAX(INDIRECT(ADDRESS(27+3,CE$2+1,,,"Instances") &amp; ":" &amp; ADDRESS(27+3,CE$2+1)))-MIN(INDIRECT(ADDRESS(27+3,CE$2+1,,,"Instances") &amp; ":" &amp; ADDRESS(27+3,CE$2+1))))</f>
        <v>0</v>
      </c>
      <c r="CF32">
        <f>IFERROR(SMALL(CE5:CE36,ROW()-ROW($CF$5)+1),"")</f>
        <v>0</v>
      </c>
      <c r="CH32">
        <f>IFERROR(SUM(CF5:CF32),"")</f>
        <v>0</v>
      </c>
      <c r="CI32" cm="1">
        <f t="array" ref="CI32">_xlfn.SWITCH(Charts!$B$3,"average", AVERAGE(INDIRECT(ADDRESS(27+3,CI$2+1,,,"Instances") &amp; ":" &amp; ADDRESS(27+3,CI$2+1))),"median", MEDIAN(INDIRECT(ADDRESS(27+3,CI$2+1,,,"Instances") &amp; ":" &amp; ADDRESS(27+3,CI$2+1))),"min", MIN(INDIRECT(ADDRESS(27+3,CI$2+1,,,"Instances") &amp; ":" &amp; ADDRESS(27+3,CI$2+1))),"max", MAX(INDIRECT(ADDRESS(27+3,CI$2+1,,,"Instances") &amp; ":" &amp; ADDRESS(27+3,CI$2+1))),"diff", MAX(INDIRECT(ADDRESS(27+3,CI$2+1,,,"Instances") &amp; ":" &amp; ADDRESS(27+3,CI$2+1)))-MIN(INDIRECT(ADDRESS(27+3,CI$2+1,,,"Instances") &amp; ":" &amp; ADDRESS(27+3,CI$2+1))))</f>
        <v>0</v>
      </c>
      <c r="CJ32">
        <f>IFERROR(SMALL(CI5:CI36,ROW()-ROW($CJ$5)+1),"")</f>
        <v>0</v>
      </c>
      <c r="CL32">
        <f>IFERROR(SUM(CJ5:CJ32),"")</f>
        <v>0</v>
      </c>
      <c r="CM32" cm="1">
        <f t="array" ref="CM32">_xlfn.SWITCH(Charts!$B$3,"average", AVERAGE(INDIRECT(ADDRESS(27+3,CM$2+1,,,"Instances") &amp; ":" &amp; ADDRESS(27+3,CM$2+1))),"median", MEDIAN(INDIRECT(ADDRESS(27+3,CM$2+1,,,"Instances") &amp; ":" &amp; ADDRESS(27+3,CM$2+1))),"min", MIN(INDIRECT(ADDRESS(27+3,CM$2+1,,,"Instances") &amp; ":" &amp; ADDRESS(27+3,CM$2+1))),"max", MAX(INDIRECT(ADDRESS(27+3,CM$2+1,,,"Instances") &amp; ":" &amp; ADDRESS(27+3,CM$2+1))),"diff", MAX(INDIRECT(ADDRESS(27+3,CM$2+1,,,"Instances") &amp; ":" &amp; ADDRESS(27+3,CM$2+1)))-MIN(INDIRECT(ADDRESS(27+3,CM$2+1,,,"Instances") &amp; ":" &amp; ADDRESS(27+3,CM$2+1))))</f>
        <v>0</v>
      </c>
      <c r="CN32">
        <f>IFERROR(SMALL(CM5:CM36,ROW()-ROW($CN$5)+1),"")</f>
        <v>0</v>
      </c>
      <c r="CP32">
        <f>IFERROR(SUM(CN5:CN32),"")</f>
        <v>0</v>
      </c>
      <c r="CQ32" cm="1">
        <f t="array" ref="CQ32">_xlfn.SWITCH(Charts!$B$3,"average", AVERAGE(INDIRECT(ADDRESS(27+3,CQ$2+1,,,"Instances") &amp; ":" &amp; ADDRESS(27+3,CQ$2+1))),"median", MEDIAN(INDIRECT(ADDRESS(27+3,CQ$2+1,,,"Instances") &amp; ":" &amp; ADDRESS(27+3,CQ$2+1))),"min", MIN(INDIRECT(ADDRESS(27+3,CQ$2+1,,,"Instances") &amp; ":" &amp; ADDRESS(27+3,CQ$2+1))),"max", MAX(INDIRECT(ADDRESS(27+3,CQ$2+1,,,"Instances") &amp; ":" &amp; ADDRESS(27+3,CQ$2+1))),"diff", MAX(INDIRECT(ADDRESS(27+3,CQ$2+1,,,"Instances") &amp; ":" &amp; ADDRESS(27+3,CQ$2+1)))-MIN(INDIRECT(ADDRESS(27+3,CQ$2+1,,,"Instances") &amp; ":" &amp; ADDRESS(27+3,CQ$2+1))))</f>
        <v>0</v>
      </c>
      <c r="CR32">
        <f>IFERROR(SMALL(CQ5:CQ36,ROW()-ROW($CR$5)+1),"")</f>
        <v>0</v>
      </c>
      <c r="CT32">
        <f>IFERROR(SUM(CR5:CR32),"")</f>
        <v>0</v>
      </c>
      <c r="CU32" cm="1">
        <f t="array" ref="CU32">_xlfn.SWITCH(Charts!$B$3,"average", AVERAGE(INDIRECT(ADDRESS(27+3,CU$2+1,,,"Instances") &amp; ":" &amp; ADDRESS(27+3,CU$2+1))),"median", MEDIAN(INDIRECT(ADDRESS(27+3,CU$2+1,,,"Instances") &amp; ":" &amp; ADDRESS(27+3,CU$2+1))),"min", MIN(INDIRECT(ADDRESS(27+3,CU$2+1,,,"Instances") &amp; ":" &amp; ADDRESS(27+3,CU$2+1))),"max", MAX(INDIRECT(ADDRESS(27+3,CU$2+1,,,"Instances") &amp; ":" &amp; ADDRESS(27+3,CU$2+1))),"diff", MAX(INDIRECT(ADDRESS(27+3,CU$2+1,,,"Instances") &amp; ":" &amp; ADDRESS(27+3,CU$2+1)))-MIN(INDIRECT(ADDRESS(27+3,CU$2+1,,,"Instances") &amp; ":" &amp; ADDRESS(27+3,CU$2+1))))</f>
        <v>0</v>
      </c>
      <c r="CV32">
        <f>IFERROR(SMALL(CU5:CU36,ROW()-ROW($CV$5)+1),"")</f>
        <v>0</v>
      </c>
      <c r="CX32">
        <f>IFERROR(SUM(CV5:CV32),"")</f>
        <v>0</v>
      </c>
      <c r="CY32" cm="1">
        <f t="array" ref="CY32">_xlfn.SWITCH(Charts!$B$3,"average", AVERAGE(INDIRECT(ADDRESS(27+3,CY$2+1,,,"Instances") &amp; ":" &amp; ADDRESS(27+3,CY$2+1))),"median", MEDIAN(INDIRECT(ADDRESS(27+3,CY$2+1,,,"Instances") &amp; ":" &amp; ADDRESS(27+3,CY$2+1))),"min", MIN(INDIRECT(ADDRESS(27+3,CY$2+1,,,"Instances") &amp; ":" &amp; ADDRESS(27+3,CY$2+1))),"max", MAX(INDIRECT(ADDRESS(27+3,CY$2+1,,,"Instances") &amp; ":" &amp; ADDRESS(27+3,CY$2+1))),"diff", MAX(INDIRECT(ADDRESS(27+3,CY$2+1,,,"Instances") &amp; ":" &amp; ADDRESS(27+3,CY$2+1)))-MIN(INDIRECT(ADDRESS(27+3,CY$2+1,,,"Instances") &amp; ":" &amp; ADDRESS(27+3,CY$2+1))))</f>
        <v>0</v>
      </c>
      <c r="CZ32">
        <f>IFERROR(SMALL(CY5:CY36,ROW()-ROW($CZ$5)+1),"")</f>
        <v>0</v>
      </c>
      <c r="DB32">
        <f>IFERROR(SUM(CZ5:CZ32),"")</f>
        <v>0</v>
      </c>
      <c r="DC32" cm="1">
        <f t="array" ref="DC32">_xlfn.SWITCH(Charts!$B$3,"average", AVERAGE(INDIRECT(ADDRESS(27+3,DC$2+1,,,"Instances") &amp; ":" &amp; ADDRESS(27+3,DC$2+1))),"median", MEDIAN(INDIRECT(ADDRESS(27+3,DC$2+1,,,"Instances") &amp; ":" &amp; ADDRESS(27+3,DC$2+1))),"min", MIN(INDIRECT(ADDRESS(27+3,DC$2+1,,,"Instances") &amp; ":" &amp; ADDRESS(27+3,DC$2+1))),"max", MAX(INDIRECT(ADDRESS(27+3,DC$2+1,,,"Instances") &amp; ":" &amp; ADDRESS(27+3,DC$2+1))),"diff", MAX(INDIRECT(ADDRESS(27+3,DC$2+1,,,"Instances") &amp; ":" &amp; ADDRESS(27+3,DC$2+1)))-MIN(INDIRECT(ADDRESS(27+3,DC$2+1,,,"Instances") &amp; ":" &amp; ADDRESS(27+3,DC$2+1))))</f>
        <v>0</v>
      </c>
      <c r="DD32">
        <f>IFERROR(SMALL(DC5:DC36,ROW()-ROW($DD$5)+1),"")</f>
        <v>0</v>
      </c>
      <c r="DF32">
        <f>IFERROR(SUM(DD5:DD32),"")</f>
        <v>0</v>
      </c>
      <c r="DG32" cm="1">
        <f t="array" ref="DG32">_xlfn.SWITCH(Charts!$B$3,"average", AVERAGE(INDIRECT(ADDRESS(27+3,DG$2+1,,,"Instances") &amp; ":" &amp; ADDRESS(27+3,DG$2+1))),"median", MEDIAN(INDIRECT(ADDRESS(27+3,DG$2+1,,,"Instances") &amp; ":" &amp; ADDRESS(27+3,DG$2+1))),"min", MIN(INDIRECT(ADDRESS(27+3,DG$2+1,,,"Instances") &amp; ":" &amp; ADDRESS(27+3,DG$2+1))),"max", MAX(INDIRECT(ADDRESS(27+3,DG$2+1,,,"Instances") &amp; ":" &amp; ADDRESS(27+3,DG$2+1))),"diff", MAX(INDIRECT(ADDRESS(27+3,DG$2+1,,,"Instances") &amp; ":" &amp; ADDRESS(27+3,DG$2+1)))-MIN(INDIRECT(ADDRESS(27+3,DG$2+1,,,"Instances") &amp; ":" &amp; ADDRESS(27+3,DG$2+1))))</f>
        <v>0</v>
      </c>
      <c r="DH32">
        <f>IFERROR(SMALL(DG5:DG36,ROW()-ROW($DH$5)+1),"")</f>
        <v>0</v>
      </c>
      <c r="DJ32">
        <f>IFERROR(SUM(DH5:DH32),"")</f>
        <v>0</v>
      </c>
      <c r="DK32" cm="1">
        <f t="array" ref="DK32">_xlfn.SWITCH(Charts!$B$3,"average", AVERAGE(INDIRECT(ADDRESS(27+3,DK$2+1,,,"Instances") &amp; ":" &amp; ADDRESS(27+3,DK$2+1))),"median", MEDIAN(INDIRECT(ADDRESS(27+3,DK$2+1,,,"Instances") &amp; ":" &amp; ADDRESS(27+3,DK$2+1))),"min", MIN(INDIRECT(ADDRESS(27+3,DK$2+1,,,"Instances") &amp; ":" &amp; ADDRESS(27+3,DK$2+1))),"max", MAX(INDIRECT(ADDRESS(27+3,DK$2+1,,,"Instances") &amp; ":" &amp; ADDRESS(27+3,DK$2+1))),"diff", MAX(INDIRECT(ADDRESS(27+3,DK$2+1,,,"Instances") &amp; ":" &amp; ADDRESS(27+3,DK$2+1)))-MIN(INDIRECT(ADDRESS(27+3,DK$2+1,,,"Instances") &amp; ":" &amp; ADDRESS(27+3,DK$2+1))))</f>
        <v>0</v>
      </c>
      <c r="DL32">
        <f>IFERROR(SMALL(DK5:DK36,ROW()-ROW($DL$5)+1),"")</f>
        <v>0</v>
      </c>
      <c r="DN32">
        <f>IFERROR(SUM(DL5:DL32),"")</f>
        <v>0</v>
      </c>
      <c r="DO32" cm="1">
        <f t="array" ref="DO32">_xlfn.SWITCH(Charts!$B$3,"average", AVERAGE(INDIRECT(ADDRESS(27+3,DO$2+1,,,"Instances") &amp; ":" &amp; ADDRESS(27+3,DO$2+1))),"median", MEDIAN(INDIRECT(ADDRESS(27+3,DO$2+1,,,"Instances") &amp; ":" &amp; ADDRESS(27+3,DO$2+1))),"min", MIN(INDIRECT(ADDRESS(27+3,DO$2+1,,,"Instances") &amp; ":" &amp; ADDRESS(27+3,DO$2+1))),"max", MAX(INDIRECT(ADDRESS(27+3,DO$2+1,,,"Instances") &amp; ":" &amp; ADDRESS(27+3,DO$2+1))),"diff", MAX(INDIRECT(ADDRESS(27+3,DO$2+1,,,"Instances") &amp; ":" &amp; ADDRESS(27+3,DO$2+1)))-MIN(INDIRECT(ADDRESS(27+3,DO$2+1,,,"Instances") &amp; ":" &amp; ADDRESS(27+3,DO$2+1))))</f>
        <v>0</v>
      </c>
      <c r="DP32">
        <f>IFERROR(SMALL(DO5:DO36,ROW()-ROW($DP$5)+1),"")</f>
        <v>0</v>
      </c>
      <c r="DR32">
        <f>IFERROR(SUM(DP5:DP32),"")</f>
        <v>0</v>
      </c>
      <c r="DS32" cm="1">
        <f t="array" ref="DS32">_xlfn.SWITCH(Charts!$B$3,"average", AVERAGE(INDIRECT(ADDRESS(27+3,DS$2+1,,,"Instances") &amp; ":" &amp; ADDRESS(27+3,DS$2+1))),"median", MEDIAN(INDIRECT(ADDRESS(27+3,DS$2+1,,,"Instances") &amp; ":" &amp; ADDRESS(27+3,DS$2+1))),"min", MIN(INDIRECT(ADDRESS(27+3,DS$2+1,,,"Instances") &amp; ":" &amp; ADDRESS(27+3,DS$2+1))),"max", MAX(INDIRECT(ADDRESS(27+3,DS$2+1,,,"Instances") &amp; ":" &amp; ADDRESS(27+3,DS$2+1))),"diff", MAX(INDIRECT(ADDRESS(27+3,DS$2+1,,,"Instances") &amp; ":" &amp; ADDRESS(27+3,DS$2+1)))-MIN(INDIRECT(ADDRESS(27+3,DS$2+1,,,"Instances") &amp; ":" &amp; ADDRESS(27+3,DS$2+1))))</f>
        <v>0</v>
      </c>
      <c r="DT32">
        <f>IFERROR(SMALL(DS5:DS36,ROW()-ROW($DT$5)+1),"")</f>
        <v>0</v>
      </c>
      <c r="DV32">
        <f>IFERROR(SUM(DT5:DT32),"")</f>
        <v>0</v>
      </c>
      <c r="DW32" cm="1">
        <f t="array" ref="DW32">_xlfn.SWITCH(Charts!$B$3,"average", AVERAGE(INDIRECT(ADDRESS(27+3,DW$2+1,,,"Instances") &amp; ":" &amp; ADDRESS(27+3,DW$2+1))),"median", MEDIAN(INDIRECT(ADDRESS(27+3,DW$2+1,,,"Instances") &amp; ":" &amp; ADDRESS(27+3,DW$2+1))),"min", MIN(INDIRECT(ADDRESS(27+3,DW$2+1,,,"Instances") &amp; ":" &amp; ADDRESS(27+3,DW$2+1))),"max", MAX(INDIRECT(ADDRESS(27+3,DW$2+1,,,"Instances") &amp; ":" &amp; ADDRESS(27+3,DW$2+1))),"diff", MAX(INDIRECT(ADDRESS(27+3,DW$2+1,,,"Instances") &amp; ":" &amp; ADDRESS(27+3,DW$2+1)))-MIN(INDIRECT(ADDRESS(27+3,DW$2+1,,,"Instances") &amp; ":" &amp; ADDRESS(27+3,DW$2+1))))</f>
        <v>0</v>
      </c>
      <c r="DX32">
        <f>IFERROR(SMALL(DW5:DW36,ROW()-ROW($DX$5)+1),"")</f>
        <v>0</v>
      </c>
      <c r="DZ32">
        <f>IFERROR(SUM(DX5:DX32),"")</f>
        <v>0</v>
      </c>
      <c r="EA32" cm="1">
        <f t="array" ref="EA32">_xlfn.SWITCH(Charts!$B$3,"average", AVERAGE(INDIRECT(ADDRESS(27+3,EA$2+1,,,"Instances") &amp; ":" &amp; ADDRESS(27+3,EA$2+1))),"median", MEDIAN(INDIRECT(ADDRESS(27+3,EA$2+1,,,"Instances") &amp; ":" &amp; ADDRESS(27+3,EA$2+1))),"min", MIN(INDIRECT(ADDRESS(27+3,EA$2+1,,,"Instances") &amp; ":" &amp; ADDRESS(27+3,EA$2+1))),"max", MAX(INDIRECT(ADDRESS(27+3,EA$2+1,,,"Instances") &amp; ":" &amp; ADDRESS(27+3,EA$2+1))),"diff", MAX(INDIRECT(ADDRESS(27+3,EA$2+1,,,"Instances") &amp; ":" &amp; ADDRESS(27+3,EA$2+1)))-MIN(INDIRECT(ADDRESS(27+3,EA$2+1,,,"Instances") &amp; ":" &amp; ADDRESS(27+3,EA$2+1))))</f>
        <v>0</v>
      </c>
      <c r="EB32">
        <f>IFERROR(SMALL(EA5:EA36,ROW()-ROW($EB$5)+1),"")</f>
        <v>0</v>
      </c>
      <c r="ED32">
        <f>IFERROR(SUM(EB5:EB32),"")</f>
        <v>0</v>
      </c>
      <c r="EG32">
        <f>IF(Charts!$B$3="none",E199,IF(BS199="",NA(),BS199))</f>
        <v>0</v>
      </c>
      <c r="EH32">
        <f>IF(Charts!$B$3="none",F199,IF(BT199="",NA(),BT199))</f>
        <v>0</v>
      </c>
      <c r="EI32">
        <f>IF(Charts!$B$3="none",G199,IF(BU199="",NA(),BU199))</f>
        <v>0</v>
      </c>
      <c r="EJ32">
        <f>IF(Charts!$B$3="none",H199,IF(BV199="",NA(),BV199))</f>
        <v>0</v>
      </c>
      <c r="EK32">
        <f>IF(Charts!$B$3="none",I199,IF(BW199="",NA(),BW199))</f>
        <v>0</v>
      </c>
      <c r="EL32">
        <f>IF(Charts!$B$3="none",J199,IF(BX199="",NA(),BX199))</f>
        <v>0</v>
      </c>
      <c r="EM32">
        <f>IF(Charts!$B$3="none",K199,IF(BY199="",NA(),BY199))</f>
        <v>0</v>
      </c>
      <c r="EN32">
        <f>IF(Charts!$B$3="none",L199,IF(BZ199="",NA(),BZ199))</f>
        <v>0</v>
      </c>
      <c r="EO32">
        <f>IF(Charts!$B$3="none",M199,IF(CA199="",NA(),CA199))</f>
        <v>0</v>
      </c>
      <c r="EP32">
        <f>IF(Charts!$B$3="none",N199,IF(CB199="",NA(),CB199))</f>
        <v>0</v>
      </c>
      <c r="EQ32">
        <f>IF(Charts!$B$3="none",O199,IF(CC199="",NA(),CC199))</f>
        <v>0</v>
      </c>
      <c r="ER32">
        <f>IF(Charts!$B$3="none",P199,IF(CD199="",NA(),CD199))</f>
        <v>0</v>
      </c>
      <c r="ES32">
        <f>IF(Charts!$B$3="none",Q199,IF(CE199="",NA(),CE199))</f>
        <v>0</v>
      </c>
      <c r="ET32">
        <f>IF(Charts!$B$3="none",R199,IF(CF199="",NA(),CF199))</f>
        <v>0</v>
      </c>
      <c r="EU32">
        <f>IF(Charts!$B$3="none",S199,IF(CG199="",NA(),CG199))</f>
        <v>0</v>
      </c>
      <c r="EV32">
        <f>IF(Charts!$B$3="none",T199,IF(CH199="",NA(),CH199))</f>
        <v>0</v>
      </c>
      <c r="EW32">
        <f>IF(Charts!$B$3="none",U199,IF(CI199="",NA(),CI199))</f>
        <v>0</v>
      </c>
      <c r="EX32">
        <f>IF(Charts!$B$3="none",V199,IF(CJ199="",NA(),CJ199))</f>
        <v>0</v>
      </c>
      <c r="EY32">
        <f>IF(Charts!$B$3="none",W199,IF(CK199="",NA(),CK199))</f>
        <v>0</v>
      </c>
      <c r="EZ32">
        <f>IF(Charts!$B$3="none",X199,IF(CL199="",NA(),CL199))</f>
        <v>0</v>
      </c>
      <c r="FA32">
        <f>IF(Charts!$B$3="none",Y199,IF(CM199="",NA(),CM199))</f>
        <v>0</v>
      </c>
      <c r="FB32">
        <f>IF(Charts!$B$3="none",Z199,IF(CN199="",NA(),CN199))</f>
        <v>0</v>
      </c>
      <c r="FC32">
        <f>IF(Charts!$B$3="none",AA199,IF(CO199="",NA(),CO199))</f>
        <v>0</v>
      </c>
      <c r="FD32">
        <f>IF(Charts!$B$3="none",AB199,IF(CP199="",NA(),CP199))</f>
        <v>0</v>
      </c>
      <c r="FE32">
        <f>IF(Charts!$B$3="none",AC199,IF(CQ199="",NA(),CQ199))</f>
        <v>0</v>
      </c>
      <c r="FF32">
        <f>IF(Charts!$B$3="none",AD199,IF(CR199="",NA(),CR199))</f>
        <v>0</v>
      </c>
      <c r="FG32">
        <f>IF(Charts!$B$3="none",AE199,IF(CS199="",NA(),CS199))</f>
        <v>0</v>
      </c>
      <c r="FH32">
        <f>IF(Charts!$B$3="none",AF199,IF(CT199="",NA(),CT199))</f>
        <v>0</v>
      </c>
      <c r="FI32">
        <f>IF(Charts!$B$3="none",AG199,IF(CU199="",NA(),CU199))</f>
        <v>0</v>
      </c>
      <c r="FJ32">
        <f>IF(Charts!$B$3="none",AH199,IF(CV199="",NA(),CV199))</f>
        <v>0</v>
      </c>
      <c r="FK32">
        <f>IF(Charts!$B$3="none",AI199,IF(CW199="",NA(),CW199))</f>
        <v>0</v>
      </c>
      <c r="FL32">
        <f>IF(Charts!$B$3="none",AJ199,IF(CX199="",NA(),CX199))</f>
        <v>0</v>
      </c>
      <c r="FM32">
        <f>IF(Charts!$B$3="none",AK199,IF(CY199="",NA(),CY199))</f>
        <v>0</v>
      </c>
      <c r="FN32">
        <f>IF(Charts!$B$3="none",AL199,IF(CZ199="",NA(),CZ199))</f>
        <v>0</v>
      </c>
      <c r="FO32">
        <f>IF(Charts!$B$3="none",AM199,IF(DA199="",NA(),DA199))</f>
        <v>0</v>
      </c>
      <c r="FP32">
        <f>IF(Charts!$B$3="none",AN199,IF(DB199="",NA(),DB199))</f>
        <v>0</v>
      </c>
      <c r="FQ32">
        <f>IF(Charts!$B$3="none",AO199,IF(DC199="",NA(),DC199))</f>
        <v>0</v>
      </c>
      <c r="FR32">
        <f>IF(Charts!$B$3="none",AP199,IF(DD199="",NA(),DD199))</f>
        <v>0</v>
      </c>
      <c r="FS32">
        <f>IF(Charts!$B$3="none",AQ199,IF(DE199="",NA(),DE199))</f>
        <v>0</v>
      </c>
      <c r="FT32">
        <f>IF(Charts!$B$3="none",AR199,IF(DF199="",NA(),DF199))</f>
        <v>0</v>
      </c>
      <c r="FU32">
        <f>IF(Charts!$B$3="none",AS199,IF(DG199="",NA(),DG199))</f>
        <v>0</v>
      </c>
      <c r="FV32">
        <f>IF(Charts!$B$3="none",AT199,IF(DH199="",NA(),DH199))</f>
        <v>0</v>
      </c>
      <c r="FW32">
        <f>IF(Charts!$B$3="none",AU199,IF(DI199="",NA(),DI199))</f>
        <v>0</v>
      </c>
      <c r="FX32">
        <f>IF(Charts!$B$3="none",AV199,IF(DJ199="",NA(),DJ199))</f>
        <v>0</v>
      </c>
      <c r="FY32">
        <f>IF(Charts!$B$3="none",AW199,IF(DK199="",NA(),DK199))</f>
        <v>0</v>
      </c>
      <c r="FZ32">
        <f>IF(Charts!$B$3="none",AX199,IF(DL199="",NA(),DL199))</f>
        <v>0</v>
      </c>
      <c r="GA32">
        <f>IF(Charts!$B$3="none",AY199,IF(DM199="",NA(),DM199))</f>
        <v>0</v>
      </c>
      <c r="GB32">
        <f>IF(Charts!$B$3="none",AZ199,IF(DN199="",NA(),DN199))</f>
        <v>0</v>
      </c>
      <c r="GC32">
        <f>IF(Charts!$B$3="none",BA199,IF(DO199="",NA(),DO199))</f>
        <v>0</v>
      </c>
      <c r="GD32">
        <f>IF(Charts!$B$3="none",BB199,IF(DP199="",NA(),DP199))</f>
        <v>0</v>
      </c>
      <c r="GE32">
        <f>IF(Charts!$B$3="none",BC199,IF(DQ199="",NA(),DQ199))</f>
        <v>0</v>
      </c>
      <c r="GF32">
        <f>IF(Charts!$B$3="none",BD199,IF(DR199="",NA(),DR199))</f>
        <v>0</v>
      </c>
      <c r="GG32">
        <f>IF(Charts!$B$3="none",BE199,IF(DS199="",NA(),DS199))</f>
        <v>0</v>
      </c>
      <c r="GH32">
        <f>IF(Charts!$B$3="none",BF199,IF(DT199="",NA(),DT199))</f>
        <v>0</v>
      </c>
      <c r="GI32">
        <f>IF(Charts!$B$3="none",BG199,IF(DU199="",NA(),DU199))</f>
        <v>0</v>
      </c>
      <c r="GJ32">
        <f>IF(Charts!$B$3="none",BH199,IF(DV199="",NA(),DV199))</f>
        <v>0</v>
      </c>
      <c r="GK32">
        <f>IF(Charts!$B$3="none",BI199,IF(DW199="",NA(),DW199))</f>
        <v>0</v>
      </c>
      <c r="GL32">
        <f>IF(Charts!$B$3="none",BJ199,IF(DX199="",NA(),DX199))</f>
        <v>0</v>
      </c>
      <c r="GM32">
        <f>IF(Charts!$B$3="none",BK199,IF(DY199="",NA(),DY199))</f>
        <v>0</v>
      </c>
      <c r="GN32">
        <f>IF(Charts!$B$3="none",BL199,IF(DZ199="",NA(),DZ199))</f>
        <v>0</v>
      </c>
      <c r="GO32">
        <f>IF(Charts!$B$3="none",BM199,IF(EA199="",NA(),EA199))</f>
        <v>0</v>
      </c>
      <c r="GP32">
        <f>IF(Charts!$B$3="none",BN199,IF(EB199="",NA(),EB199))</f>
        <v>0</v>
      </c>
      <c r="GQ32">
        <f>IF(Charts!$B$3="none",BO199,IF(EC199="",NA(),EC199))</f>
        <v>0</v>
      </c>
      <c r="GR32">
        <f>IF(Charts!$B$3="none",BP199,IF(ED199="",NA(),ED199))</f>
        <v>0</v>
      </c>
    </row>
    <row r="33" spans="4:200">
      <c r="D33">
        <v>29</v>
      </c>
      <c r="E33">
        <f>IF(INDIRECT(ADDRESS($D33+2,E$2+1,,,"Instances"))="","",INDIRECT(ADDRESS($D33+2,E$2+1,,,"Instances")))</f>
        <v>0</v>
      </c>
      <c r="F33">
        <f>IFERROR(SMALL(E5:E36,ROW()-ROW($F$5)+1),"")</f>
        <v>0</v>
      </c>
      <c r="H33">
        <f>IFERROR(SUM(F5:F33),"")</f>
        <v>0</v>
      </c>
      <c r="I33">
        <f>IF(INDIRECT(ADDRESS($D33+2,I$2+1,,,"Instances"))="","",INDIRECT(ADDRESS($D33+2,I$2+1,,,"Instances")))</f>
        <v>0</v>
      </c>
      <c r="J33">
        <f>IFERROR(SMALL(I5:I36,ROW()-ROW($J$5)+1),"")</f>
        <v>0</v>
      </c>
      <c r="L33">
        <f>IFERROR(SUM(J5:J33),"")</f>
        <v>0</v>
      </c>
      <c r="M33">
        <f>IF(INDIRECT(ADDRESS($D33+2,M$2+1,,,"Instances"))="","",INDIRECT(ADDRESS($D33+2,M$2+1,,,"Instances")))</f>
        <v>0</v>
      </c>
      <c r="N33">
        <f>IFERROR(SMALL(M5:M36,ROW()-ROW($N$5)+1),"")</f>
        <v>0</v>
      </c>
      <c r="P33">
        <f>IFERROR(SUM(N5:N33),"")</f>
        <v>0</v>
      </c>
      <c r="Q33">
        <f>IF(INDIRECT(ADDRESS($D33+2,Q$2+1,,,"Instances"))="","",INDIRECT(ADDRESS($D33+2,Q$2+1,,,"Instances")))</f>
        <v>0</v>
      </c>
      <c r="R33">
        <f>IFERROR(SMALL(Q5:Q36,ROW()-ROW($R$5)+1),"")</f>
        <v>0</v>
      </c>
      <c r="T33">
        <f>IFERROR(SUM(R5:R33),"")</f>
        <v>0</v>
      </c>
      <c r="U33">
        <f>IF(INDIRECT(ADDRESS($D33+2,U$2+1,,,"Instances"))="","",INDIRECT(ADDRESS($D33+2,U$2+1,,,"Instances")))</f>
        <v>0</v>
      </c>
      <c r="V33">
        <f>IFERROR(SMALL(U5:U36,ROW()-ROW($V$5)+1),"")</f>
        <v>0</v>
      </c>
      <c r="X33">
        <f>IFERROR(SUM(V5:V33),"")</f>
        <v>0</v>
      </c>
      <c r="Y33">
        <f>IF(INDIRECT(ADDRESS($D33+2,Y$2+1,,,"Instances"))="","",INDIRECT(ADDRESS($D33+2,Y$2+1,,,"Instances")))</f>
        <v>0</v>
      </c>
      <c r="Z33">
        <f>IFERROR(SMALL(Y5:Y36,ROW()-ROW($Z$5)+1),"")</f>
        <v>0</v>
      </c>
      <c r="AB33">
        <f>IFERROR(SUM(Z5:Z33),"")</f>
        <v>0</v>
      </c>
      <c r="AC33">
        <f>IF(INDIRECT(ADDRESS($D33+2,AC$2+1,,,"Instances"))="","",INDIRECT(ADDRESS($D33+2,AC$2+1,,,"Instances")))</f>
        <v>0</v>
      </c>
      <c r="AD33">
        <f>IFERROR(SMALL(AC5:AC36,ROW()-ROW($AD$5)+1),"")</f>
        <v>0</v>
      </c>
      <c r="AF33">
        <f>IFERROR(SUM(AD5:AD33),"")</f>
        <v>0</v>
      </c>
      <c r="AG33">
        <f>IF(INDIRECT(ADDRESS($D33+2,AG$2+1,,,"Instances"))="","",INDIRECT(ADDRESS($D33+2,AG$2+1,,,"Instances")))</f>
        <v>0</v>
      </c>
      <c r="AH33">
        <f>IFERROR(SMALL(AG5:AG36,ROW()-ROW($AH$5)+1),"")</f>
        <v>0</v>
      </c>
      <c r="AJ33">
        <f>IFERROR(SUM(AH5:AH33),"")</f>
        <v>0</v>
      </c>
      <c r="AK33">
        <f>IF(INDIRECT(ADDRESS($D33+2,AK$2+1,,,"Instances"))="","",INDIRECT(ADDRESS($D33+2,AK$2+1,,,"Instances")))</f>
        <v>0</v>
      </c>
      <c r="AL33">
        <f>IFERROR(SMALL(AK5:AK36,ROW()-ROW($AL$5)+1),"")</f>
        <v>0</v>
      </c>
      <c r="AN33">
        <f>IFERROR(SUM(AL5:AL33),"")</f>
        <v>0</v>
      </c>
      <c r="AO33">
        <f>IF(INDIRECT(ADDRESS($D33+2,AO$2+1,,,"Instances"))="","",INDIRECT(ADDRESS($D33+2,AO$2+1,,,"Instances")))</f>
        <v>0</v>
      </c>
      <c r="AP33">
        <f>IFERROR(SMALL(AO5:AO36,ROW()-ROW($AP$5)+1),"")</f>
        <v>0</v>
      </c>
      <c r="AR33">
        <f>IFERROR(SUM(AP5:AP33),"")</f>
        <v>0</v>
      </c>
      <c r="AS33">
        <f>IF(INDIRECT(ADDRESS($D33+2,AS$2+1,,,"Instances"))="","",INDIRECT(ADDRESS($D33+2,AS$2+1,,,"Instances")))</f>
        <v>0</v>
      </c>
      <c r="AT33">
        <f>IFERROR(SMALL(AS5:AS36,ROW()-ROW($AT$5)+1),"")</f>
        <v>0</v>
      </c>
      <c r="AV33">
        <f>IFERROR(SUM(AT5:AT33),"")</f>
        <v>0</v>
      </c>
      <c r="AW33">
        <f>IF(INDIRECT(ADDRESS($D33+2,AW$2+1,,,"Instances"))="","",INDIRECT(ADDRESS($D33+2,AW$2+1,,,"Instances")))</f>
        <v>0</v>
      </c>
      <c r="AX33">
        <f>IFERROR(SMALL(AW5:AW36,ROW()-ROW($AX$5)+1),"")</f>
        <v>0</v>
      </c>
      <c r="AZ33">
        <f>IFERROR(SUM(AX5:AX33),"")</f>
        <v>0</v>
      </c>
      <c r="BA33">
        <f>IF(INDIRECT(ADDRESS($D33+2,BA$2+1,,,"Instances"))="","",INDIRECT(ADDRESS($D33+2,BA$2+1,,,"Instances")))</f>
        <v>0</v>
      </c>
      <c r="BB33">
        <f>IFERROR(SMALL(BA5:BA36,ROW()-ROW($BB$5)+1),"")</f>
        <v>0</v>
      </c>
      <c r="BD33">
        <f>IFERROR(SUM(BB5:BB33),"")</f>
        <v>0</v>
      </c>
      <c r="BE33">
        <f>IF(INDIRECT(ADDRESS($D33+2,BE$2+1,,,"Instances"))="","",INDIRECT(ADDRESS($D33+2,BE$2+1,,,"Instances")))</f>
        <v>0</v>
      </c>
      <c r="BF33">
        <f>IFERROR(SMALL(BE5:BE36,ROW()-ROW($BF$5)+1),"")</f>
        <v>0</v>
      </c>
      <c r="BH33">
        <f>IFERROR(SUM(BF5:BF33),"")</f>
        <v>0</v>
      </c>
      <c r="BI33">
        <f>IF(INDIRECT(ADDRESS($D33+2,BI$2+1,,,"Instances"))="","",INDIRECT(ADDRESS($D33+2,BI$2+1,,,"Instances")))</f>
        <v>0</v>
      </c>
      <c r="BJ33">
        <f>IFERROR(SMALL(BI5:BI36,ROW()-ROW($BJ$5)+1),"")</f>
        <v>0</v>
      </c>
      <c r="BL33">
        <f>IFERROR(SUM(BJ5:BJ33),"")</f>
        <v>0</v>
      </c>
      <c r="BM33">
        <f>IF(INDIRECT(ADDRESS($D33+2,BM$2+1,,,"Instances"))="","",INDIRECT(ADDRESS($D33+2,BM$2+1,,,"Instances")))</f>
        <v>0</v>
      </c>
      <c r="BN33">
        <f>IFERROR(SMALL(BM5:BM36,ROW()-ROW($BN$5)+1),"")</f>
        <v>0</v>
      </c>
      <c r="BP33">
        <f>IFERROR(SUM(BN5:BN33),"")</f>
        <v>0</v>
      </c>
      <c r="BR33">
        <v>29</v>
      </c>
      <c r="BS33" cm="1">
        <f t="array" ref="BS33">_xlfn.SWITCH(Charts!$B$3,"average", AVERAGE(INDIRECT(ADDRESS(28+3,BS$2+1,,,"Instances") &amp; ":" &amp; ADDRESS(28+3,BS$2+1))),"median", MEDIAN(INDIRECT(ADDRESS(28+3,BS$2+1,,,"Instances") &amp; ":" &amp; ADDRESS(28+3,BS$2+1))),"min", MIN(INDIRECT(ADDRESS(28+3,BS$2+1,,,"Instances") &amp; ":" &amp; ADDRESS(28+3,BS$2+1))),"max", MAX(INDIRECT(ADDRESS(28+3,BS$2+1,,,"Instances") &amp; ":" &amp; ADDRESS(28+3,BS$2+1))),"diff", MAX(INDIRECT(ADDRESS(28+3,BS$2+1,,,"Instances") &amp; ":" &amp; ADDRESS(28+3,BS$2+1)))-MIN(INDIRECT(ADDRESS(28+3,BS$2+1,,,"Instances") &amp; ":" &amp; ADDRESS(28+3,BS$2+1))))</f>
        <v>0</v>
      </c>
      <c r="BT33">
        <f>IFERROR(SMALL(BS5:BS36,ROW()-ROW($BT$5)+1),"")</f>
        <v>0</v>
      </c>
      <c r="BV33">
        <f>IFERROR(SUM(BT5:BT33),"")</f>
        <v>0</v>
      </c>
      <c r="BW33" cm="1">
        <f t="array" ref="BW33">_xlfn.SWITCH(Charts!$B$3,"average", AVERAGE(INDIRECT(ADDRESS(28+3,BW$2+1,,,"Instances") &amp; ":" &amp; ADDRESS(28+3,BW$2+1))),"median", MEDIAN(INDIRECT(ADDRESS(28+3,BW$2+1,,,"Instances") &amp; ":" &amp; ADDRESS(28+3,BW$2+1))),"min", MIN(INDIRECT(ADDRESS(28+3,BW$2+1,,,"Instances") &amp; ":" &amp; ADDRESS(28+3,BW$2+1))),"max", MAX(INDIRECT(ADDRESS(28+3,BW$2+1,,,"Instances") &amp; ":" &amp; ADDRESS(28+3,BW$2+1))),"diff", MAX(INDIRECT(ADDRESS(28+3,BW$2+1,,,"Instances") &amp; ":" &amp; ADDRESS(28+3,BW$2+1)))-MIN(INDIRECT(ADDRESS(28+3,BW$2+1,,,"Instances") &amp; ":" &amp; ADDRESS(28+3,BW$2+1))))</f>
        <v>0</v>
      </c>
      <c r="BX33">
        <f>IFERROR(SMALL(BW5:BW36,ROW()-ROW($BX$5)+1),"")</f>
        <v>0</v>
      </c>
      <c r="BZ33">
        <f>IFERROR(SUM(BX5:BX33),"")</f>
        <v>0</v>
      </c>
      <c r="CA33" cm="1">
        <f t="array" ref="CA33">_xlfn.SWITCH(Charts!$B$3,"average", AVERAGE(INDIRECT(ADDRESS(28+3,CA$2+1,,,"Instances") &amp; ":" &amp; ADDRESS(28+3,CA$2+1))),"median", MEDIAN(INDIRECT(ADDRESS(28+3,CA$2+1,,,"Instances") &amp; ":" &amp; ADDRESS(28+3,CA$2+1))),"min", MIN(INDIRECT(ADDRESS(28+3,CA$2+1,,,"Instances") &amp; ":" &amp; ADDRESS(28+3,CA$2+1))),"max", MAX(INDIRECT(ADDRESS(28+3,CA$2+1,,,"Instances") &amp; ":" &amp; ADDRESS(28+3,CA$2+1))),"diff", MAX(INDIRECT(ADDRESS(28+3,CA$2+1,,,"Instances") &amp; ":" &amp; ADDRESS(28+3,CA$2+1)))-MIN(INDIRECT(ADDRESS(28+3,CA$2+1,,,"Instances") &amp; ":" &amp; ADDRESS(28+3,CA$2+1))))</f>
        <v>0</v>
      </c>
      <c r="CB33">
        <f>IFERROR(SMALL(CA5:CA36,ROW()-ROW($CB$5)+1),"")</f>
        <v>0</v>
      </c>
      <c r="CD33">
        <f>IFERROR(SUM(CB5:CB33),"")</f>
        <v>0</v>
      </c>
      <c r="CE33" cm="1">
        <f t="array" ref="CE33">_xlfn.SWITCH(Charts!$B$3,"average", AVERAGE(INDIRECT(ADDRESS(28+3,CE$2+1,,,"Instances") &amp; ":" &amp; ADDRESS(28+3,CE$2+1))),"median", MEDIAN(INDIRECT(ADDRESS(28+3,CE$2+1,,,"Instances") &amp; ":" &amp; ADDRESS(28+3,CE$2+1))),"min", MIN(INDIRECT(ADDRESS(28+3,CE$2+1,,,"Instances") &amp; ":" &amp; ADDRESS(28+3,CE$2+1))),"max", MAX(INDIRECT(ADDRESS(28+3,CE$2+1,,,"Instances") &amp; ":" &amp; ADDRESS(28+3,CE$2+1))),"diff", MAX(INDIRECT(ADDRESS(28+3,CE$2+1,,,"Instances") &amp; ":" &amp; ADDRESS(28+3,CE$2+1)))-MIN(INDIRECT(ADDRESS(28+3,CE$2+1,,,"Instances") &amp; ":" &amp; ADDRESS(28+3,CE$2+1))))</f>
        <v>0</v>
      </c>
      <c r="CF33">
        <f>IFERROR(SMALL(CE5:CE36,ROW()-ROW($CF$5)+1),"")</f>
        <v>0</v>
      </c>
      <c r="CH33">
        <f>IFERROR(SUM(CF5:CF33),"")</f>
        <v>0</v>
      </c>
      <c r="CI33" cm="1">
        <f t="array" ref="CI33">_xlfn.SWITCH(Charts!$B$3,"average", AVERAGE(INDIRECT(ADDRESS(28+3,CI$2+1,,,"Instances") &amp; ":" &amp; ADDRESS(28+3,CI$2+1))),"median", MEDIAN(INDIRECT(ADDRESS(28+3,CI$2+1,,,"Instances") &amp; ":" &amp; ADDRESS(28+3,CI$2+1))),"min", MIN(INDIRECT(ADDRESS(28+3,CI$2+1,,,"Instances") &amp; ":" &amp; ADDRESS(28+3,CI$2+1))),"max", MAX(INDIRECT(ADDRESS(28+3,CI$2+1,,,"Instances") &amp; ":" &amp; ADDRESS(28+3,CI$2+1))),"diff", MAX(INDIRECT(ADDRESS(28+3,CI$2+1,,,"Instances") &amp; ":" &amp; ADDRESS(28+3,CI$2+1)))-MIN(INDIRECT(ADDRESS(28+3,CI$2+1,,,"Instances") &amp; ":" &amp; ADDRESS(28+3,CI$2+1))))</f>
        <v>0</v>
      </c>
      <c r="CJ33">
        <f>IFERROR(SMALL(CI5:CI36,ROW()-ROW($CJ$5)+1),"")</f>
        <v>0</v>
      </c>
      <c r="CL33">
        <f>IFERROR(SUM(CJ5:CJ33),"")</f>
        <v>0</v>
      </c>
      <c r="CM33" cm="1">
        <f t="array" ref="CM33">_xlfn.SWITCH(Charts!$B$3,"average", AVERAGE(INDIRECT(ADDRESS(28+3,CM$2+1,,,"Instances") &amp; ":" &amp; ADDRESS(28+3,CM$2+1))),"median", MEDIAN(INDIRECT(ADDRESS(28+3,CM$2+1,,,"Instances") &amp; ":" &amp; ADDRESS(28+3,CM$2+1))),"min", MIN(INDIRECT(ADDRESS(28+3,CM$2+1,,,"Instances") &amp; ":" &amp; ADDRESS(28+3,CM$2+1))),"max", MAX(INDIRECT(ADDRESS(28+3,CM$2+1,,,"Instances") &amp; ":" &amp; ADDRESS(28+3,CM$2+1))),"diff", MAX(INDIRECT(ADDRESS(28+3,CM$2+1,,,"Instances") &amp; ":" &amp; ADDRESS(28+3,CM$2+1)))-MIN(INDIRECT(ADDRESS(28+3,CM$2+1,,,"Instances") &amp; ":" &amp; ADDRESS(28+3,CM$2+1))))</f>
        <v>0</v>
      </c>
      <c r="CN33">
        <f>IFERROR(SMALL(CM5:CM36,ROW()-ROW($CN$5)+1),"")</f>
        <v>0</v>
      </c>
      <c r="CP33">
        <f>IFERROR(SUM(CN5:CN33),"")</f>
        <v>0</v>
      </c>
      <c r="CQ33" cm="1">
        <f t="array" ref="CQ33">_xlfn.SWITCH(Charts!$B$3,"average", AVERAGE(INDIRECT(ADDRESS(28+3,CQ$2+1,,,"Instances") &amp; ":" &amp; ADDRESS(28+3,CQ$2+1))),"median", MEDIAN(INDIRECT(ADDRESS(28+3,CQ$2+1,,,"Instances") &amp; ":" &amp; ADDRESS(28+3,CQ$2+1))),"min", MIN(INDIRECT(ADDRESS(28+3,CQ$2+1,,,"Instances") &amp; ":" &amp; ADDRESS(28+3,CQ$2+1))),"max", MAX(INDIRECT(ADDRESS(28+3,CQ$2+1,,,"Instances") &amp; ":" &amp; ADDRESS(28+3,CQ$2+1))),"diff", MAX(INDIRECT(ADDRESS(28+3,CQ$2+1,,,"Instances") &amp; ":" &amp; ADDRESS(28+3,CQ$2+1)))-MIN(INDIRECT(ADDRESS(28+3,CQ$2+1,,,"Instances") &amp; ":" &amp; ADDRESS(28+3,CQ$2+1))))</f>
        <v>0</v>
      </c>
      <c r="CR33">
        <f>IFERROR(SMALL(CQ5:CQ36,ROW()-ROW($CR$5)+1),"")</f>
        <v>0</v>
      </c>
      <c r="CT33">
        <f>IFERROR(SUM(CR5:CR33),"")</f>
        <v>0</v>
      </c>
      <c r="CU33" cm="1">
        <f t="array" ref="CU33">_xlfn.SWITCH(Charts!$B$3,"average", AVERAGE(INDIRECT(ADDRESS(28+3,CU$2+1,,,"Instances") &amp; ":" &amp; ADDRESS(28+3,CU$2+1))),"median", MEDIAN(INDIRECT(ADDRESS(28+3,CU$2+1,,,"Instances") &amp; ":" &amp; ADDRESS(28+3,CU$2+1))),"min", MIN(INDIRECT(ADDRESS(28+3,CU$2+1,,,"Instances") &amp; ":" &amp; ADDRESS(28+3,CU$2+1))),"max", MAX(INDIRECT(ADDRESS(28+3,CU$2+1,,,"Instances") &amp; ":" &amp; ADDRESS(28+3,CU$2+1))),"diff", MAX(INDIRECT(ADDRESS(28+3,CU$2+1,,,"Instances") &amp; ":" &amp; ADDRESS(28+3,CU$2+1)))-MIN(INDIRECT(ADDRESS(28+3,CU$2+1,,,"Instances") &amp; ":" &amp; ADDRESS(28+3,CU$2+1))))</f>
        <v>0</v>
      </c>
      <c r="CV33">
        <f>IFERROR(SMALL(CU5:CU36,ROW()-ROW($CV$5)+1),"")</f>
        <v>0</v>
      </c>
      <c r="CX33">
        <f>IFERROR(SUM(CV5:CV33),"")</f>
        <v>0</v>
      </c>
      <c r="CY33" cm="1">
        <f t="array" ref="CY33">_xlfn.SWITCH(Charts!$B$3,"average", AVERAGE(INDIRECT(ADDRESS(28+3,CY$2+1,,,"Instances") &amp; ":" &amp; ADDRESS(28+3,CY$2+1))),"median", MEDIAN(INDIRECT(ADDRESS(28+3,CY$2+1,,,"Instances") &amp; ":" &amp; ADDRESS(28+3,CY$2+1))),"min", MIN(INDIRECT(ADDRESS(28+3,CY$2+1,,,"Instances") &amp; ":" &amp; ADDRESS(28+3,CY$2+1))),"max", MAX(INDIRECT(ADDRESS(28+3,CY$2+1,,,"Instances") &amp; ":" &amp; ADDRESS(28+3,CY$2+1))),"diff", MAX(INDIRECT(ADDRESS(28+3,CY$2+1,,,"Instances") &amp; ":" &amp; ADDRESS(28+3,CY$2+1)))-MIN(INDIRECT(ADDRESS(28+3,CY$2+1,,,"Instances") &amp; ":" &amp; ADDRESS(28+3,CY$2+1))))</f>
        <v>0</v>
      </c>
      <c r="CZ33">
        <f>IFERROR(SMALL(CY5:CY36,ROW()-ROW($CZ$5)+1),"")</f>
        <v>0</v>
      </c>
      <c r="DB33">
        <f>IFERROR(SUM(CZ5:CZ33),"")</f>
        <v>0</v>
      </c>
      <c r="DC33" cm="1">
        <f t="array" ref="DC33">_xlfn.SWITCH(Charts!$B$3,"average", AVERAGE(INDIRECT(ADDRESS(28+3,DC$2+1,,,"Instances") &amp; ":" &amp; ADDRESS(28+3,DC$2+1))),"median", MEDIAN(INDIRECT(ADDRESS(28+3,DC$2+1,,,"Instances") &amp; ":" &amp; ADDRESS(28+3,DC$2+1))),"min", MIN(INDIRECT(ADDRESS(28+3,DC$2+1,,,"Instances") &amp; ":" &amp; ADDRESS(28+3,DC$2+1))),"max", MAX(INDIRECT(ADDRESS(28+3,DC$2+1,,,"Instances") &amp; ":" &amp; ADDRESS(28+3,DC$2+1))),"diff", MAX(INDIRECT(ADDRESS(28+3,DC$2+1,,,"Instances") &amp; ":" &amp; ADDRESS(28+3,DC$2+1)))-MIN(INDIRECT(ADDRESS(28+3,DC$2+1,,,"Instances") &amp; ":" &amp; ADDRESS(28+3,DC$2+1))))</f>
        <v>0</v>
      </c>
      <c r="DD33">
        <f>IFERROR(SMALL(DC5:DC36,ROW()-ROW($DD$5)+1),"")</f>
        <v>0</v>
      </c>
      <c r="DF33">
        <f>IFERROR(SUM(DD5:DD33),"")</f>
        <v>0</v>
      </c>
      <c r="DG33" cm="1">
        <f t="array" ref="DG33">_xlfn.SWITCH(Charts!$B$3,"average", AVERAGE(INDIRECT(ADDRESS(28+3,DG$2+1,,,"Instances") &amp; ":" &amp; ADDRESS(28+3,DG$2+1))),"median", MEDIAN(INDIRECT(ADDRESS(28+3,DG$2+1,,,"Instances") &amp; ":" &amp; ADDRESS(28+3,DG$2+1))),"min", MIN(INDIRECT(ADDRESS(28+3,DG$2+1,,,"Instances") &amp; ":" &amp; ADDRESS(28+3,DG$2+1))),"max", MAX(INDIRECT(ADDRESS(28+3,DG$2+1,,,"Instances") &amp; ":" &amp; ADDRESS(28+3,DG$2+1))),"diff", MAX(INDIRECT(ADDRESS(28+3,DG$2+1,,,"Instances") &amp; ":" &amp; ADDRESS(28+3,DG$2+1)))-MIN(INDIRECT(ADDRESS(28+3,DG$2+1,,,"Instances") &amp; ":" &amp; ADDRESS(28+3,DG$2+1))))</f>
        <v>0</v>
      </c>
      <c r="DH33">
        <f>IFERROR(SMALL(DG5:DG36,ROW()-ROW($DH$5)+1),"")</f>
        <v>0</v>
      </c>
      <c r="DJ33">
        <f>IFERROR(SUM(DH5:DH33),"")</f>
        <v>0</v>
      </c>
      <c r="DK33" cm="1">
        <f t="array" ref="DK33">_xlfn.SWITCH(Charts!$B$3,"average", AVERAGE(INDIRECT(ADDRESS(28+3,DK$2+1,,,"Instances") &amp; ":" &amp; ADDRESS(28+3,DK$2+1))),"median", MEDIAN(INDIRECT(ADDRESS(28+3,DK$2+1,,,"Instances") &amp; ":" &amp; ADDRESS(28+3,DK$2+1))),"min", MIN(INDIRECT(ADDRESS(28+3,DK$2+1,,,"Instances") &amp; ":" &amp; ADDRESS(28+3,DK$2+1))),"max", MAX(INDIRECT(ADDRESS(28+3,DK$2+1,,,"Instances") &amp; ":" &amp; ADDRESS(28+3,DK$2+1))),"diff", MAX(INDIRECT(ADDRESS(28+3,DK$2+1,,,"Instances") &amp; ":" &amp; ADDRESS(28+3,DK$2+1)))-MIN(INDIRECT(ADDRESS(28+3,DK$2+1,,,"Instances") &amp; ":" &amp; ADDRESS(28+3,DK$2+1))))</f>
        <v>0</v>
      </c>
      <c r="DL33">
        <f>IFERROR(SMALL(DK5:DK36,ROW()-ROW($DL$5)+1),"")</f>
        <v>0</v>
      </c>
      <c r="DN33">
        <f>IFERROR(SUM(DL5:DL33),"")</f>
        <v>0</v>
      </c>
      <c r="DO33" cm="1">
        <f t="array" ref="DO33">_xlfn.SWITCH(Charts!$B$3,"average", AVERAGE(INDIRECT(ADDRESS(28+3,DO$2+1,,,"Instances") &amp; ":" &amp; ADDRESS(28+3,DO$2+1))),"median", MEDIAN(INDIRECT(ADDRESS(28+3,DO$2+1,,,"Instances") &amp; ":" &amp; ADDRESS(28+3,DO$2+1))),"min", MIN(INDIRECT(ADDRESS(28+3,DO$2+1,,,"Instances") &amp; ":" &amp; ADDRESS(28+3,DO$2+1))),"max", MAX(INDIRECT(ADDRESS(28+3,DO$2+1,,,"Instances") &amp; ":" &amp; ADDRESS(28+3,DO$2+1))),"diff", MAX(INDIRECT(ADDRESS(28+3,DO$2+1,,,"Instances") &amp; ":" &amp; ADDRESS(28+3,DO$2+1)))-MIN(INDIRECT(ADDRESS(28+3,DO$2+1,,,"Instances") &amp; ":" &amp; ADDRESS(28+3,DO$2+1))))</f>
        <v>0</v>
      </c>
      <c r="DP33">
        <f>IFERROR(SMALL(DO5:DO36,ROW()-ROW($DP$5)+1),"")</f>
        <v>0</v>
      </c>
      <c r="DR33">
        <f>IFERROR(SUM(DP5:DP33),"")</f>
        <v>0</v>
      </c>
      <c r="DS33" cm="1">
        <f t="array" ref="DS33">_xlfn.SWITCH(Charts!$B$3,"average", AVERAGE(INDIRECT(ADDRESS(28+3,DS$2+1,,,"Instances") &amp; ":" &amp; ADDRESS(28+3,DS$2+1))),"median", MEDIAN(INDIRECT(ADDRESS(28+3,DS$2+1,,,"Instances") &amp; ":" &amp; ADDRESS(28+3,DS$2+1))),"min", MIN(INDIRECT(ADDRESS(28+3,DS$2+1,,,"Instances") &amp; ":" &amp; ADDRESS(28+3,DS$2+1))),"max", MAX(INDIRECT(ADDRESS(28+3,DS$2+1,,,"Instances") &amp; ":" &amp; ADDRESS(28+3,DS$2+1))),"diff", MAX(INDIRECT(ADDRESS(28+3,DS$2+1,,,"Instances") &amp; ":" &amp; ADDRESS(28+3,DS$2+1)))-MIN(INDIRECT(ADDRESS(28+3,DS$2+1,,,"Instances") &amp; ":" &amp; ADDRESS(28+3,DS$2+1))))</f>
        <v>0</v>
      </c>
      <c r="DT33">
        <f>IFERROR(SMALL(DS5:DS36,ROW()-ROW($DT$5)+1),"")</f>
        <v>0</v>
      </c>
      <c r="DV33">
        <f>IFERROR(SUM(DT5:DT33),"")</f>
        <v>0</v>
      </c>
      <c r="DW33" cm="1">
        <f t="array" ref="DW33">_xlfn.SWITCH(Charts!$B$3,"average", AVERAGE(INDIRECT(ADDRESS(28+3,DW$2+1,,,"Instances") &amp; ":" &amp; ADDRESS(28+3,DW$2+1))),"median", MEDIAN(INDIRECT(ADDRESS(28+3,DW$2+1,,,"Instances") &amp; ":" &amp; ADDRESS(28+3,DW$2+1))),"min", MIN(INDIRECT(ADDRESS(28+3,DW$2+1,,,"Instances") &amp; ":" &amp; ADDRESS(28+3,DW$2+1))),"max", MAX(INDIRECT(ADDRESS(28+3,DW$2+1,,,"Instances") &amp; ":" &amp; ADDRESS(28+3,DW$2+1))),"diff", MAX(INDIRECT(ADDRESS(28+3,DW$2+1,,,"Instances") &amp; ":" &amp; ADDRESS(28+3,DW$2+1)))-MIN(INDIRECT(ADDRESS(28+3,DW$2+1,,,"Instances") &amp; ":" &amp; ADDRESS(28+3,DW$2+1))))</f>
        <v>0</v>
      </c>
      <c r="DX33">
        <f>IFERROR(SMALL(DW5:DW36,ROW()-ROW($DX$5)+1),"")</f>
        <v>0</v>
      </c>
      <c r="DZ33">
        <f>IFERROR(SUM(DX5:DX33),"")</f>
        <v>0</v>
      </c>
      <c r="EA33" cm="1">
        <f t="array" ref="EA33">_xlfn.SWITCH(Charts!$B$3,"average", AVERAGE(INDIRECT(ADDRESS(28+3,EA$2+1,,,"Instances") &amp; ":" &amp; ADDRESS(28+3,EA$2+1))),"median", MEDIAN(INDIRECT(ADDRESS(28+3,EA$2+1,,,"Instances") &amp; ":" &amp; ADDRESS(28+3,EA$2+1))),"min", MIN(INDIRECT(ADDRESS(28+3,EA$2+1,,,"Instances") &amp; ":" &amp; ADDRESS(28+3,EA$2+1))),"max", MAX(INDIRECT(ADDRESS(28+3,EA$2+1,,,"Instances") &amp; ":" &amp; ADDRESS(28+3,EA$2+1))),"diff", MAX(INDIRECT(ADDRESS(28+3,EA$2+1,,,"Instances") &amp; ":" &amp; ADDRESS(28+3,EA$2+1)))-MIN(INDIRECT(ADDRESS(28+3,EA$2+1,,,"Instances") &amp; ":" &amp; ADDRESS(28+3,EA$2+1))))</f>
        <v>0</v>
      </c>
      <c r="EB33">
        <f>IFERROR(SMALL(EA5:EA36,ROW()-ROW($EB$5)+1),"")</f>
        <v>0</v>
      </c>
      <c r="ED33">
        <f>IFERROR(SUM(EB5:EB33),"")</f>
        <v>0</v>
      </c>
      <c r="EG33">
        <f>IF(Charts!$B$3="none",E200,IF(BS200="",NA(),BS200))</f>
        <v>0</v>
      </c>
      <c r="EH33">
        <f>IF(Charts!$B$3="none",F200,IF(BT200="",NA(),BT200))</f>
        <v>0</v>
      </c>
      <c r="EI33">
        <f>IF(Charts!$B$3="none",G200,IF(BU200="",NA(),BU200))</f>
        <v>0</v>
      </c>
      <c r="EJ33">
        <f>IF(Charts!$B$3="none",H200,IF(BV200="",NA(),BV200))</f>
        <v>0</v>
      </c>
      <c r="EK33">
        <f>IF(Charts!$B$3="none",I200,IF(BW200="",NA(),BW200))</f>
        <v>0</v>
      </c>
      <c r="EL33">
        <f>IF(Charts!$B$3="none",J200,IF(BX200="",NA(),BX200))</f>
        <v>0</v>
      </c>
      <c r="EM33">
        <f>IF(Charts!$B$3="none",K200,IF(BY200="",NA(),BY200))</f>
        <v>0</v>
      </c>
      <c r="EN33">
        <f>IF(Charts!$B$3="none",L200,IF(BZ200="",NA(),BZ200))</f>
        <v>0</v>
      </c>
      <c r="EO33">
        <f>IF(Charts!$B$3="none",M200,IF(CA200="",NA(),CA200))</f>
        <v>0</v>
      </c>
      <c r="EP33">
        <f>IF(Charts!$B$3="none",N200,IF(CB200="",NA(),CB200))</f>
        <v>0</v>
      </c>
      <c r="EQ33">
        <f>IF(Charts!$B$3="none",O200,IF(CC200="",NA(),CC200))</f>
        <v>0</v>
      </c>
      <c r="ER33">
        <f>IF(Charts!$B$3="none",P200,IF(CD200="",NA(),CD200))</f>
        <v>0</v>
      </c>
      <c r="ES33">
        <f>IF(Charts!$B$3="none",Q200,IF(CE200="",NA(),CE200))</f>
        <v>0</v>
      </c>
      <c r="ET33">
        <f>IF(Charts!$B$3="none",R200,IF(CF200="",NA(),CF200))</f>
        <v>0</v>
      </c>
      <c r="EU33">
        <f>IF(Charts!$B$3="none",S200,IF(CG200="",NA(),CG200))</f>
        <v>0</v>
      </c>
      <c r="EV33">
        <f>IF(Charts!$B$3="none",T200,IF(CH200="",NA(),CH200))</f>
        <v>0</v>
      </c>
      <c r="EW33">
        <f>IF(Charts!$B$3="none",U200,IF(CI200="",NA(),CI200))</f>
        <v>0</v>
      </c>
      <c r="EX33">
        <f>IF(Charts!$B$3="none",V200,IF(CJ200="",NA(),CJ200))</f>
        <v>0</v>
      </c>
      <c r="EY33">
        <f>IF(Charts!$B$3="none",W200,IF(CK200="",NA(),CK200))</f>
        <v>0</v>
      </c>
      <c r="EZ33">
        <f>IF(Charts!$B$3="none",X200,IF(CL200="",NA(),CL200))</f>
        <v>0</v>
      </c>
      <c r="FA33">
        <f>IF(Charts!$B$3="none",Y200,IF(CM200="",NA(),CM200))</f>
        <v>0</v>
      </c>
      <c r="FB33">
        <f>IF(Charts!$B$3="none",Z200,IF(CN200="",NA(),CN200))</f>
        <v>0</v>
      </c>
      <c r="FC33">
        <f>IF(Charts!$B$3="none",AA200,IF(CO200="",NA(),CO200))</f>
        <v>0</v>
      </c>
      <c r="FD33">
        <f>IF(Charts!$B$3="none",AB200,IF(CP200="",NA(),CP200))</f>
        <v>0</v>
      </c>
      <c r="FE33">
        <f>IF(Charts!$B$3="none",AC200,IF(CQ200="",NA(),CQ200))</f>
        <v>0</v>
      </c>
      <c r="FF33">
        <f>IF(Charts!$B$3="none",AD200,IF(CR200="",NA(),CR200))</f>
        <v>0</v>
      </c>
      <c r="FG33">
        <f>IF(Charts!$B$3="none",AE200,IF(CS200="",NA(),CS200))</f>
        <v>0</v>
      </c>
      <c r="FH33">
        <f>IF(Charts!$B$3="none",AF200,IF(CT200="",NA(),CT200))</f>
        <v>0</v>
      </c>
      <c r="FI33">
        <f>IF(Charts!$B$3="none",AG200,IF(CU200="",NA(),CU200))</f>
        <v>0</v>
      </c>
      <c r="FJ33">
        <f>IF(Charts!$B$3="none",AH200,IF(CV200="",NA(),CV200))</f>
        <v>0</v>
      </c>
      <c r="FK33">
        <f>IF(Charts!$B$3="none",AI200,IF(CW200="",NA(),CW200))</f>
        <v>0</v>
      </c>
      <c r="FL33">
        <f>IF(Charts!$B$3="none",AJ200,IF(CX200="",NA(),CX200))</f>
        <v>0</v>
      </c>
      <c r="FM33">
        <f>IF(Charts!$B$3="none",AK200,IF(CY200="",NA(),CY200))</f>
        <v>0</v>
      </c>
      <c r="FN33">
        <f>IF(Charts!$B$3="none",AL200,IF(CZ200="",NA(),CZ200))</f>
        <v>0</v>
      </c>
      <c r="FO33">
        <f>IF(Charts!$B$3="none",AM200,IF(DA200="",NA(),DA200))</f>
        <v>0</v>
      </c>
      <c r="FP33">
        <f>IF(Charts!$B$3="none",AN200,IF(DB200="",NA(),DB200))</f>
        <v>0</v>
      </c>
      <c r="FQ33">
        <f>IF(Charts!$B$3="none",AO200,IF(DC200="",NA(),DC200))</f>
        <v>0</v>
      </c>
      <c r="FR33">
        <f>IF(Charts!$B$3="none",AP200,IF(DD200="",NA(),DD200))</f>
        <v>0</v>
      </c>
      <c r="FS33">
        <f>IF(Charts!$B$3="none",AQ200,IF(DE200="",NA(),DE200))</f>
        <v>0</v>
      </c>
      <c r="FT33">
        <f>IF(Charts!$B$3="none",AR200,IF(DF200="",NA(),DF200))</f>
        <v>0</v>
      </c>
      <c r="FU33">
        <f>IF(Charts!$B$3="none",AS200,IF(DG200="",NA(),DG200))</f>
        <v>0</v>
      </c>
      <c r="FV33">
        <f>IF(Charts!$B$3="none",AT200,IF(DH200="",NA(),DH200))</f>
        <v>0</v>
      </c>
      <c r="FW33">
        <f>IF(Charts!$B$3="none",AU200,IF(DI200="",NA(),DI200))</f>
        <v>0</v>
      </c>
      <c r="FX33">
        <f>IF(Charts!$B$3="none",AV200,IF(DJ200="",NA(),DJ200))</f>
        <v>0</v>
      </c>
      <c r="FY33">
        <f>IF(Charts!$B$3="none",AW200,IF(DK200="",NA(),DK200))</f>
        <v>0</v>
      </c>
      <c r="FZ33">
        <f>IF(Charts!$B$3="none",AX200,IF(DL200="",NA(),DL200))</f>
        <v>0</v>
      </c>
      <c r="GA33">
        <f>IF(Charts!$B$3="none",AY200,IF(DM200="",NA(),DM200))</f>
        <v>0</v>
      </c>
      <c r="GB33">
        <f>IF(Charts!$B$3="none",AZ200,IF(DN200="",NA(),DN200))</f>
        <v>0</v>
      </c>
      <c r="GC33">
        <f>IF(Charts!$B$3="none",BA200,IF(DO200="",NA(),DO200))</f>
        <v>0</v>
      </c>
      <c r="GD33">
        <f>IF(Charts!$B$3="none",BB200,IF(DP200="",NA(),DP200))</f>
        <v>0</v>
      </c>
      <c r="GE33">
        <f>IF(Charts!$B$3="none",BC200,IF(DQ200="",NA(),DQ200))</f>
        <v>0</v>
      </c>
      <c r="GF33">
        <f>IF(Charts!$B$3="none",BD200,IF(DR200="",NA(),DR200))</f>
        <v>0</v>
      </c>
      <c r="GG33">
        <f>IF(Charts!$B$3="none",BE200,IF(DS200="",NA(),DS200))</f>
        <v>0</v>
      </c>
      <c r="GH33">
        <f>IF(Charts!$B$3="none",BF200,IF(DT200="",NA(),DT200))</f>
        <v>0</v>
      </c>
      <c r="GI33">
        <f>IF(Charts!$B$3="none",BG200,IF(DU200="",NA(),DU200))</f>
        <v>0</v>
      </c>
      <c r="GJ33">
        <f>IF(Charts!$B$3="none",BH200,IF(DV200="",NA(),DV200))</f>
        <v>0</v>
      </c>
      <c r="GK33">
        <f>IF(Charts!$B$3="none",BI200,IF(DW200="",NA(),DW200))</f>
        <v>0</v>
      </c>
      <c r="GL33">
        <f>IF(Charts!$B$3="none",BJ200,IF(DX200="",NA(),DX200))</f>
        <v>0</v>
      </c>
      <c r="GM33">
        <f>IF(Charts!$B$3="none",BK200,IF(DY200="",NA(),DY200))</f>
        <v>0</v>
      </c>
      <c r="GN33">
        <f>IF(Charts!$B$3="none",BL200,IF(DZ200="",NA(),DZ200))</f>
        <v>0</v>
      </c>
      <c r="GO33">
        <f>IF(Charts!$B$3="none",BM200,IF(EA200="",NA(),EA200))</f>
        <v>0</v>
      </c>
      <c r="GP33">
        <f>IF(Charts!$B$3="none",BN200,IF(EB200="",NA(),EB200))</f>
        <v>0</v>
      </c>
      <c r="GQ33">
        <f>IF(Charts!$B$3="none",BO200,IF(EC200="",NA(),EC200))</f>
        <v>0</v>
      </c>
      <c r="GR33">
        <f>IF(Charts!$B$3="none",BP200,IF(ED200="",NA(),ED200))</f>
        <v>0</v>
      </c>
    </row>
    <row r="34" spans="4:200">
      <c r="D34">
        <v>30</v>
      </c>
      <c r="E34">
        <f>IF(INDIRECT(ADDRESS($D34+2,E$2+1,,,"Instances"))="","",INDIRECT(ADDRESS($D34+2,E$2+1,,,"Instances")))</f>
        <v>0</v>
      </c>
      <c r="F34">
        <f>IFERROR(SMALL(E5:E36,ROW()-ROW($F$5)+1),"")</f>
        <v>0</v>
      </c>
      <c r="H34">
        <f>IFERROR(SUM(F5:F34),"")</f>
        <v>0</v>
      </c>
      <c r="I34">
        <f>IF(INDIRECT(ADDRESS($D34+2,I$2+1,,,"Instances"))="","",INDIRECT(ADDRESS($D34+2,I$2+1,,,"Instances")))</f>
        <v>0</v>
      </c>
      <c r="J34">
        <f>IFERROR(SMALL(I5:I36,ROW()-ROW($J$5)+1),"")</f>
        <v>0</v>
      </c>
      <c r="L34">
        <f>IFERROR(SUM(J5:J34),"")</f>
        <v>0</v>
      </c>
      <c r="M34">
        <f>IF(INDIRECT(ADDRESS($D34+2,M$2+1,,,"Instances"))="","",INDIRECT(ADDRESS($D34+2,M$2+1,,,"Instances")))</f>
        <v>0</v>
      </c>
      <c r="N34">
        <f>IFERROR(SMALL(M5:M36,ROW()-ROW($N$5)+1),"")</f>
        <v>0</v>
      </c>
      <c r="P34">
        <f>IFERROR(SUM(N5:N34),"")</f>
        <v>0</v>
      </c>
      <c r="Q34">
        <f>IF(INDIRECT(ADDRESS($D34+2,Q$2+1,,,"Instances"))="","",INDIRECT(ADDRESS($D34+2,Q$2+1,,,"Instances")))</f>
        <v>0</v>
      </c>
      <c r="R34">
        <f>IFERROR(SMALL(Q5:Q36,ROW()-ROW($R$5)+1),"")</f>
        <v>0</v>
      </c>
      <c r="T34">
        <f>IFERROR(SUM(R5:R34),"")</f>
        <v>0</v>
      </c>
      <c r="U34">
        <f>IF(INDIRECT(ADDRESS($D34+2,U$2+1,,,"Instances"))="","",INDIRECT(ADDRESS($D34+2,U$2+1,,,"Instances")))</f>
        <v>0</v>
      </c>
      <c r="V34">
        <f>IFERROR(SMALL(U5:U36,ROW()-ROW($V$5)+1),"")</f>
        <v>0</v>
      </c>
      <c r="X34">
        <f>IFERROR(SUM(V5:V34),"")</f>
        <v>0</v>
      </c>
      <c r="Y34">
        <f>IF(INDIRECT(ADDRESS($D34+2,Y$2+1,,,"Instances"))="","",INDIRECT(ADDRESS($D34+2,Y$2+1,,,"Instances")))</f>
        <v>0</v>
      </c>
      <c r="Z34">
        <f>IFERROR(SMALL(Y5:Y36,ROW()-ROW($Z$5)+1),"")</f>
        <v>0</v>
      </c>
      <c r="AB34">
        <f>IFERROR(SUM(Z5:Z34),"")</f>
        <v>0</v>
      </c>
      <c r="AC34">
        <f>IF(INDIRECT(ADDRESS($D34+2,AC$2+1,,,"Instances"))="","",INDIRECT(ADDRESS($D34+2,AC$2+1,,,"Instances")))</f>
        <v>0</v>
      </c>
      <c r="AD34">
        <f>IFERROR(SMALL(AC5:AC36,ROW()-ROW($AD$5)+1),"")</f>
        <v>0</v>
      </c>
      <c r="AF34">
        <f>IFERROR(SUM(AD5:AD34),"")</f>
        <v>0</v>
      </c>
      <c r="AG34">
        <f>IF(INDIRECT(ADDRESS($D34+2,AG$2+1,,,"Instances"))="","",INDIRECT(ADDRESS($D34+2,AG$2+1,,,"Instances")))</f>
        <v>0</v>
      </c>
      <c r="AH34">
        <f>IFERROR(SMALL(AG5:AG36,ROW()-ROW($AH$5)+1),"")</f>
        <v>0</v>
      </c>
      <c r="AJ34">
        <f>IFERROR(SUM(AH5:AH34),"")</f>
        <v>0</v>
      </c>
      <c r="AK34">
        <f>IF(INDIRECT(ADDRESS($D34+2,AK$2+1,,,"Instances"))="","",INDIRECT(ADDRESS($D34+2,AK$2+1,,,"Instances")))</f>
        <v>0</v>
      </c>
      <c r="AL34">
        <f>IFERROR(SMALL(AK5:AK36,ROW()-ROW($AL$5)+1),"")</f>
        <v>0</v>
      </c>
      <c r="AN34">
        <f>IFERROR(SUM(AL5:AL34),"")</f>
        <v>0</v>
      </c>
      <c r="AO34">
        <f>IF(INDIRECT(ADDRESS($D34+2,AO$2+1,,,"Instances"))="","",INDIRECT(ADDRESS($D34+2,AO$2+1,,,"Instances")))</f>
        <v>0</v>
      </c>
      <c r="AP34">
        <f>IFERROR(SMALL(AO5:AO36,ROW()-ROW($AP$5)+1),"")</f>
        <v>0</v>
      </c>
      <c r="AR34">
        <f>IFERROR(SUM(AP5:AP34),"")</f>
        <v>0</v>
      </c>
      <c r="AS34">
        <f>IF(INDIRECT(ADDRESS($D34+2,AS$2+1,,,"Instances"))="","",INDIRECT(ADDRESS($D34+2,AS$2+1,,,"Instances")))</f>
        <v>0</v>
      </c>
      <c r="AT34">
        <f>IFERROR(SMALL(AS5:AS36,ROW()-ROW($AT$5)+1),"")</f>
        <v>0</v>
      </c>
      <c r="AV34">
        <f>IFERROR(SUM(AT5:AT34),"")</f>
        <v>0</v>
      </c>
      <c r="AW34">
        <f>IF(INDIRECT(ADDRESS($D34+2,AW$2+1,,,"Instances"))="","",INDIRECT(ADDRESS($D34+2,AW$2+1,,,"Instances")))</f>
        <v>0</v>
      </c>
      <c r="AX34">
        <f>IFERROR(SMALL(AW5:AW36,ROW()-ROW($AX$5)+1),"")</f>
        <v>0</v>
      </c>
      <c r="AZ34">
        <f>IFERROR(SUM(AX5:AX34),"")</f>
        <v>0</v>
      </c>
      <c r="BA34">
        <f>IF(INDIRECT(ADDRESS($D34+2,BA$2+1,,,"Instances"))="","",INDIRECT(ADDRESS($D34+2,BA$2+1,,,"Instances")))</f>
        <v>0</v>
      </c>
      <c r="BB34">
        <f>IFERROR(SMALL(BA5:BA36,ROW()-ROW($BB$5)+1),"")</f>
        <v>0</v>
      </c>
      <c r="BD34">
        <f>IFERROR(SUM(BB5:BB34),"")</f>
        <v>0</v>
      </c>
      <c r="BE34">
        <f>IF(INDIRECT(ADDRESS($D34+2,BE$2+1,,,"Instances"))="","",INDIRECT(ADDRESS($D34+2,BE$2+1,,,"Instances")))</f>
        <v>0</v>
      </c>
      <c r="BF34">
        <f>IFERROR(SMALL(BE5:BE36,ROW()-ROW($BF$5)+1),"")</f>
        <v>0</v>
      </c>
      <c r="BH34">
        <f>IFERROR(SUM(BF5:BF34),"")</f>
        <v>0</v>
      </c>
      <c r="BI34">
        <f>IF(INDIRECT(ADDRESS($D34+2,BI$2+1,,,"Instances"))="","",INDIRECT(ADDRESS($D34+2,BI$2+1,,,"Instances")))</f>
        <v>0</v>
      </c>
      <c r="BJ34">
        <f>IFERROR(SMALL(BI5:BI36,ROW()-ROW($BJ$5)+1),"")</f>
        <v>0</v>
      </c>
      <c r="BL34">
        <f>IFERROR(SUM(BJ5:BJ34),"")</f>
        <v>0</v>
      </c>
      <c r="BM34">
        <f>IF(INDIRECT(ADDRESS($D34+2,BM$2+1,,,"Instances"))="","",INDIRECT(ADDRESS($D34+2,BM$2+1,,,"Instances")))</f>
        <v>0</v>
      </c>
      <c r="BN34">
        <f>IFERROR(SMALL(BM5:BM36,ROW()-ROW($BN$5)+1),"")</f>
        <v>0</v>
      </c>
      <c r="BP34">
        <f>IFERROR(SUM(BN5:BN34),"")</f>
        <v>0</v>
      </c>
      <c r="BR34">
        <v>30</v>
      </c>
      <c r="BS34" cm="1">
        <f t="array" ref="BS34">_xlfn.SWITCH(Charts!$B$3,"average", AVERAGE(INDIRECT(ADDRESS(29+3,BS$2+1,,,"Instances") &amp; ":" &amp; ADDRESS(29+3,BS$2+1))),"median", MEDIAN(INDIRECT(ADDRESS(29+3,BS$2+1,,,"Instances") &amp; ":" &amp; ADDRESS(29+3,BS$2+1))),"min", MIN(INDIRECT(ADDRESS(29+3,BS$2+1,,,"Instances") &amp; ":" &amp; ADDRESS(29+3,BS$2+1))),"max", MAX(INDIRECT(ADDRESS(29+3,BS$2+1,,,"Instances") &amp; ":" &amp; ADDRESS(29+3,BS$2+1))),"diff", MAX(INDIRECT(ADDRESS(29+3,BS$2+1,,,"Instances") &amp; ":" &amp; ADDRESS(29+3,BS$2+1)))-MIN(INDIRECT(ADDRESS(29+3,BS$2+1,,,"Instances") &amp; ":" &amp; ADDRESS(29+3,BS$2+1))))</f>
        <v>0</v>
      </c>
      <c r="BT34">
        <f>IFERROR(SMALL(BS5:BS36,ROW()-ROW($BT$5)+1),"")</f>
        <v>0</v>
      </c>
      <c r="BV34">
        <f>IFERROR(SUM(BT5:BT34),"")</f>
        <v>0</v>
      </c>
      <c r="BW34" cm="1">
        <f t="array" ref="BW34">_xlfn.SWITCH(Charts!$B$3,"average", AVERAGE(INDIRECT(ADDRESS(29+3,BW$2+1,,,"Instances") &amp; ":" &amp; ADDRESS(29+3,BW$2+1))),"median", MEDIAN(INDIRECT(ADDRESS(29+3,BW$2+1,,,"Instances") &amp; ":" &amp; ADDRESS(29+3,BW$2+1))),"min", MIN(INDIRECT(ADDRESS(29+3,BW$2+1,,,"Instances") &amp; ":" &amp; ADDRESS(29+3,BW$2+1))),"max", MAX(INDIRECT(ADDRESS(29+3,BW$2+1,,,"Instances") &amp; ":" &amp; ADDRESS(29+3,BW$2+1))),"diff", MAX(INDIRECT(ADDRESS(29+3,BW$2+1,,,"Instances") &amp; ":" &amp; ADDRESS(29+3,BW$2+1)))-MIN(INDIRECT(ADDRESS(29+3,BW$2+1,,,"Instances") &amp; ":" &amp; ADDRESS(29+3,BW$2+1))))</f>
        <v>0</v>
      </c>
      <c r="BX34">
        <f>IFERROR(SMALL(BW5:BW36,ROW()-ROW($BX$5)+1),"")</f>
        <v>0</v>
      </c>
      <c r="BZ34">
        <f>IFERROR(SUM(BX5:BX34),"")</f>
        <v>0</v>
      </c>
      <c r="CA34" cm="1">
        <f t="array" ref="CA34">_xlfn.SWITCH(Charts!$B$3,"average", AVERAGE(INDIRECT(ADDRESS(29+3,CA$2+1,,,"Instances") &amp; ":" &amp; ADDRESS(29+3,CA$2+1))),"median", MEDIAN(INDIRECT(ADDRESS(29+3,CA$2+1,,,"Instances") &amp; ":" &amp; ADDRESS(29+3,CA$2+1))),"min", MIN(INDIRECT(ADDRESS(29+3,CA$2+1,,,"Instances") &amp; ":" &amp; ADDRESS(29+3,CA$2+1))),"max", MAX(INDIRECT(ADDRESS(29+3,CA$2+1,,,"Instances") &amp; ":" &amp; ADDRESS(29+3,CA$2+1))),"diff", MAX(INDIRECT(ADDRESS(29+3,CA$2+1,,,"Instances") &amp; ":" &amp; ADDRESS(29+3,CA$2+1)))-MIN(INDIRECT(ADDRESS(29+3,CA$2+1,,,"Instances") &amp; ":" &amp; ADDRESS(29+3,CA$2+1))))</f>
        <v>0</v>
      </c>
      <c r="CB34">
        <f>IFERROR(SMALL(CA5:CA36,ROW()-ROW($CB$5)+1),"")</f>
        <v>0</v>
      </c>
      <c r="CD34">
        <f>IFERROR(SUM(CB5:CB34),"")</f>
        <v>0</v>
      </c>
      <c r="CE34" cm="1">
        <f t="array" ref="CE34">_xlfn.SWITCH(Charts!$B$3,"average", AVERAGE(INDIRECT(ADDRESS(29+3,CE$2+1,,,"Instances") &amp; ":" &amp; ADDRESS(29+3,CE$2+1))),"median", MEDIAN(INDIRECT(ADDRESS(29+3,CE$2+1,,,"Instances") &amp; ":" &amp; ADDRESS(29+3,CE$2+1))),"min", MIN(INDIRECT(ADDRESS(29+3,CE$2+1,,,"Instances") &amp; ":" &amp; ADDRESS(29+3,CE$2+1))),"max", MAX(INDIRECT(ADDRESS(29+3,CE$2+1,,,"Instances") &amp; ":" &amp; ADDRESS(29+3,CE$2+1))),"diff", MAX(INDIRECT(ADDRESS(29+3,CE$2+1,,,"Instances") &amp; ":" &amp; ADDRESS(29+3,CE$2+1)))-MIN(INDIRECT(ADDRESS(29+3,CE$2+1,,,"Instances") &amp; ":" &amp; ADDRESS(29+3,CE$2+1))))</f>
        <v>0</v>
      </c>
      <c r="CF34">
        <f>IFERROR(SMALL(CE5:CE36,ROW()-ROW($CF$5)+1),"")</f>
        <v>0</v>
      </c>
      <c r="CH34">
        <f>IFERROR(SUM(CF5:CF34),"")</f>
        <v>0</v>
      </c>
      <c r="CI34" cm="1">
        <f t="array" ref="CI34">_xlfn.SWITCH(Charts!$B$3,"average", AVERAGE(INDIRECT(ADDRESS(29+3,CI$2+1,,,"Instances") &amp; ":" &amp; ADDRESS(29+3,CI$2+1))),"median", MEDIAN(INDIRECT(ADDRESS(29+3,CI$2+1,,,"Instances") &amp; ":" &amp; ADDRESS(29+3,CI$2+1))),"min", MIN(INDIRECT(ADDRESS(29+3,CI$2+1,,,"Instances") &amp; ":" &amp; ADDRESS(29+3,CI$2+1))),"max", MAX(INDIRECT(ADDRESS(29+3,CI$2+1,,,"Instances") &amp; ":" &amp; ADDRESS(29+3,CI$2+1))),"diff", MAX(INDIRECT(ADDRESS(29+3,CI$2+1,,,"Instances") &amp; ":" &amp; ADDRESS(29+3,CI$2+1)))-MIN(INDIRECT(ADDRESS(29+3,CI$2+1,,,"Instances") &amp; ":" &amp; ADDRESS(29+3,CI$2+1))))</f>
        <v>0</v>
      </c>
      <c r="CJ34">
        <f>IFERROR(SMALL(CI5:CI36,ROW()-ROW($CJ$5)+1),"")</f>
        <v>0</v>
      </c>
      <c r="CL34">
        <f>IFERROR(SUM(CJ5:CJ34),"")</f>
        <v>0</v>
      </c>
      <c r="CM34" cm="1">
        <f t="array" ref="CM34">_xlfn.SWITCH(Charts!$B$3,"average", AVERAGE(INDIRECT(ADDRESS(29+3,CM$2+1,,,"Instances") &amp; ":" &amp; ADDRESS(29+3,CM$2+1))),"median", MEDIAN(INDIRECT(ADDRESS(29+3,CM$2+1,,,"Instances") &amp; ":" &amp; ADDRESS(29+3,CM$2+1))),"min", MIN(INDIRECT(ADDRESS(29+3,CM$2+1,,,"Instances") &amp; ":" &amp; ADDRESS(29+3,CM$2+1))),"max", MAX(INDIRECT(ADDRESS(29+3,CM$2+1,,,"Instances") &amp; ":" &amp; ADDRESS(29+3,CM$2+1))),"diff", MAX(INDIRECT(ADDRESS(29+3,CM$2+1,,,"Instances") &amp; ":" &amp; ADDRESS(29+3,CM$2+1)))-MIN(INDIRECT(ADDRESS(29+3,CM$2+1,,,"Instances") &amp; ":" &amp; ADDRESS(29+3,CM$2+1))))</f>
        <v>0</v>
      </c>
      <c r="CN34">
        <f>IFERROR(SMALL(CM5:CM36,ROW()-ROW($CN$5)+1),"")</f>
        <v>0</v>
      </c>
      <c r="CP34">
        <f>IFERROR(SUM(CN5:CN34),"")</f>
        <v>0</v>
      </c>
      <c r="CQ34" cm="1">
        <f t="array" ref="CQ34">_xlfn.SWITCH(Charts!$B$3,"average", AVERAGE(INDIRECT(ADDRESS(29+3,CQ$2+1,,,"Instances") &amp; ":" &amp; ADDRESS(29+3,CQ$2+1))),"median", MEDIAN(INDIRECT(ADDRESS(29+3,CQ$2+1,,,"Instances") &amp; ":" &amp; ADDRESS(29+3,CQ$2+1))),"min", MIN(INDIRECT(ADDRESS(29+3,CQ$2+1,,,"Instances") &amp; ":" &amp; ADDRESS(29+3,CQ$2+1))),"max", MAX(INDIRECT(ADDRESS(29+3,CQ$2+1,,,"Instances") &amp; ":" &amp; ADDRESS(29+3,CQ$2+1))),"diff", MAX(INDIRECT(ADDRESS(29+3,CQ$2+1,,,"Instances") &amp; ":" &amp; ADDRESS(29+3,CQ$2+1)))-MIN(INDIRECT(ADDRESS(29+3,CQ$2+1,,,"Instances") &amp; ":" &amp; ADDRESS(29+3,CQ$2+1))))</f>
        <v>0</v>
      </c>
      <c r="CR34">
        <f>IFERROR(SMALL(CQ5:CQ36,ROW()-ROW($CR$5)+1),"")</f>
        <v>0</v>
      </c>
      <c r="CT34">
        <f>IFERROR(SUM(CR5:CR34),"")</f>
        <v>0</v>
      </c>
      <c r="CU34" cm="1">
        <f t="array" ref="CU34">_xlfn.SWITCH(Charts!$B$3,"average", AVERAGE(INDIRECT(ADDRESS(29+3,CU$2+1,,,"Instances") &amp; ":" &amp; ADDRESS(29+3,CU$2+1))),"median", MEDIAN(INDIRECT(ADDRESS(29+3,CU$2+1,,,"Instances") &amp; ":" &amp; ADDRESS(29+3,CU$2+1))),"min", MIN(INDIRECT(ADDRESS(29+3,CU$2+1,,,"Instances") &amp; ":" &amp; ADDRESS(29+3,CU$2+1))),"max", MAX(INDIRECT(ADDRESS(29+3,CU$2+1,,,"Instances") &amp; ":" &amp; ADDRESS(29+3,CU$2+1))),"diff", MAX(INDIRECT(ADDRESS(29+3,CU$2+1,,,"Instances") &amp; ":" &amp; ADDRESS(29+3,CU$2+1)))-MIN(INDIRECT(ADDRESS(29+3,CU$2+1,,,"Instances") &amp; ":" &amp; ADDRESS(29+3,CU$2+1))))</f>
        <v>0</v>
      </c>
      <c r="CV34">
        <f>IFERROR(SMALL(CU5:CU36,ROW()-ROW($CV$5)+1),"")</f>
        <v>0</v>
      </c>
      <c r="CX34">
        <f>IFERROR(SUM(CV5:CV34),"")</f>
        <v>0</v>
      </c>
      <c r="CY34" cm="1">
        <f t="array" ref="CY34">_xlfn.SWITCH(Charts!$B$3,"average", AVERAGE(INDIRECT(ADDRESS(29+3,CY$2+1,,,"Instances") &amp; ":" &amp; ADDRESS(29+3,CY$2+1))),"median", MEDIAN(INDIRECT(ADDRESS(29+3,CY$2+1,,,"Instances") &amp; ":" &amp; ADDRESS(29+3,CY$2+1))),"min", MIN(INDIRECT(ADDRESS(29+3,CY$2+1,,,"Instances") &amp; ":" &amp; ADDRESS(29+3,CY$2+1))),"max", MAX(INDIRECT(ADDRESS(29+3,CY$2+1,,,"Instances") &amp; ":" &amp; ADDRESS(29+3,CY$2+1))),"diff", MAX(INDIRECT(ADDRESS(29+3,CY$2+1,,,"Instances") &amp; ":" &amp; ADDRESS(29+3,CY$2+1)))-MIN(INDIRECT(ADDRESS(29+3,CY$2+1,,,"Instances") &amp; ":" &amp; ADDRESS(29+3,CY$2+1))))</f>
        <v>0</v>
      </c>
      <c r="CZ34">
        <f>IFERROR(SMALL(CY5:CY36,ROW()-ROW($CZ$5)+1),"")</f>
        <v>0</v>
      </c>
      <c r="DB34">
        <f>IFERROR(SUM(CZ5:CZ34),"")</f>
        <v>0</v>
      </c>
      <c r="DC34" cm="1">
        <f t="array" ref="DC34">_xlfn.SWITCH(Charts!$B$3,"average", AVERAGE(INDIRECT(ADDRESS(29+3,DC$2+1,,,"Instances") &amp; ":" &amp; ADDRESS(29+3,DC$2+1))),"median", MEDIAN(INDIRECT(ADDRESS(29+3,DC$2+1,,,"Instances") &amp; ":" &amp; ADDRESS(29+3,DC$2+1))),"min", MIN(INDIRECT(ADDRESS(29+3,DC$2+1,,,"Instances") &amp; ":" &amp; ADDRESS(29+3,DC$2+1))),"max", MAX(INDIRECT(ADDRESS(29+3,DC$2+1,,,"Instances") &amp; ":" &amp; ADDRESS(29+3,DC$2+1))),"diff", MAX(INDIRECT(ADDRESS(29+3,DC$2+1,,,"Instances") &amp; ":" &amp; ADDRESS(29+3,DC$2+1)))-MIN(INDIRECT(ADDRESS(29+3,DC$2+1,,,"Instances") &amp; ":" &amp; ADDRESS(29+3,DC$2+1))))</f>
        <v>0</v>
      </c>
      <c r="DD34">
        <f>IFERROR(SMALL(DC5:DC36,ROW()-ROW($DD$5)+1),"")</f>
        <v>0</v>
      </c>
      <c r="DF34">
        <f>IFERROR(SUM(DD5:DD34),"")</f>
        <v>0</v>
      </c>
      <c r="DG34" cm="1">
        <f t="array" ref="DG34">_xlfn.SWITCH(Charts!$B$3,"average", AVERAGE(INDIRECT(ADDRESS(29+3,DG$2+1,,,"Instances") &amp; ":" &amp; ADDRESS(29+3,DG$2+1))),"median", MEDIAN(INDIRECT(ADDRESS(29+3,DG$2+1,,,"Instances") &amp; ":" &amp; ADDRESS(29+3,DG$2+1))),"min", MIN(INDIRECT(ADDRESS(29+3,DG$2+1,,,"Instances") &amp; ":" &amp; ADDRESS(29+3,DG$2+1))),"max", MAX(INDIRECT(ADDRESS(29+3,DG$2+1,,,"Instances") &amp; ":" &amp; ADDRESS(29+3,DG$2+1))),"diff", MAX(INDIRECT(ADDRESS(29+3,DG$2+1,,,"Instances") &amp; ":" &amp; ADDRESS(29+3,DG$2+1)))-MIN(INDIRECT(ADDRESS(29+3,DG$2+1,,,"Instances") &amp; ":" &amp; ADDRESS(29+3,DG$2+1))))</f>
        <v>0</v>
      </c>
      <c r="DH34">
        <f>IFERROR(SMALL(DG5:DG36,ROW()-ROW($DH$5)+1),"")</f>
        <v>0</v>
      </c>
      <c r="DJ34">
        <f>IFERROR(SUM(DH5:DH34),"")</f>
        <v>0</v>
      </c>
      <c r="DK34" cm="1">
        <f t="array" ref="DK34">_xlfn.SWITCH(Charts!$B$3,"average", AVERAGE(INDIRECT(ADDRESS(29+3,DK$2+1,,,"Instances") &amp; ":" &amp; ADDRESS(29+3,DK$2+1))),"median", MEDIAN(INDIRECT(ADDRESS(29+3,DK$2+1,,,"Instances") &amp; ":" &amp; ADDRESS(29+3,DK$2+1))),"min", MIN(INDIRECT(ADDRESS(29+3,DK$2+1,,,"Instances") &amp; ":" &amp; ADDRESS(29+3,DK$2+1))),"max", MAX(INDIRECT(ADDRESS(29+3,DK$2+1,,,"Instances") &amp; ":" &amp; ADDRESS(29+3,DK$2+1))),"diff", MAX(INDIRECT(ADDRESS(29+3,DK$2+1,,,"Instances") &amp; ":" &amp; ADDRESS(29+3,DK$2+1)))-MIN(INDIRECT(ADDRESS(29+3,DK$2+1,,,"Instances") &amp; ":" &amp; ADDRESS(29+3,DK$2+1))))</f>
        <v>0</v>
      </c>
      <c r="DL34">
        <f>IFERROR(SMALL(DK5:DK36,ROW()-ROW($DL$5)+1),"")</f>
        <v>0</v>
      </c>
      <c r="DN34">
        <f>IFERROR(SUM(DL5:DL34),"")</f>
        <v>0</v>
      </c>
      <c r="DO34" cm="1">
        <f t="array" ref="DO34">_xlfn.SWITCH(Charts!$B$3,"average", AVERAGE(INDIRECT(ADDRESS(29+3,DO$2+1,,,"Instances") &amp; ":" &amp; ADDRESS(29+3,DO$2+1))),"median", MEDIAN(INDIRECT(ADDRESS(29+3,DO$2+1,,,"Instances") &amp; ":" &amp; ADDRESS(29+3,DO$2+1))),"min", MIN(INDIRECT(ADDRESS(29+3,DO$2+1,,,"Instances") &amp; ":" &amp; ADDRESS(29+3,DO$2+1))),"max", MAX(INDIRECT(ADDRESS(29+3,DO$2+1,,,"Instances") &amp; ":" &amp; ADDRESS(29+3,DO$2+1))),"diff", MAX(INDIRECT(ADDRESS(29+3,DO$2+1,,,"Instances") &amp; ":" &amp; ADDRESS(29+3,DO$2+1)))-MIN(INDIRECT(ADDRESS(29+3,DO$2+1,,,"Instances") &amp; ":" &amp; ADDRESS(29+3,DO$2+1))))</f>
        <v>0</v>
      </c>
      <c r="DP34">
        <f>IFERROR(SMALL(DO5:DO36,ROW()-ROW($DP$5)+1),"")</f>
        <v>0</v>
      </c>
      <c r="DR34">
        <f>IFERROR(SUM(DP5:DP34),"")</f>
        <v>0</v>
      </c>
      <c r="DS34" cm="1">
        <f t="array" ref="DS34">_xlfn.SWITCH(Charts!$B$3,"average", AVERAGE(INDIRECT(ADDRESS(29+3,DS$2+1,,,"Instances") &amp; ":" &amp; ADDRESS(29+3,DS$2+1))),"median", MEDIAN(INDIRECT(ADDRESS(29+3,DS$2+1,,,"Instances") &amp; ":" &amp; ADDRESS(29+3,DS$2+1))),"min", MIN(INDIRECT(ADDRESS(29+3,DS$2+1,,,"Instances") &amp; ":" &amp; ADDRESS(29+3,DS$2+1))),"max", MAX(INDIRECT(ADDRESS(29+3,DS$2+1,,,"Instances") &amp; ":" &amp; ADDRESS(29+3,DS$2+1))),"diff", MAX(INDIRECT(ADDRESS(29+3,DS$2+1,,,"Instances") &amp; ":" &amp; ADDRESS(29+3,DS$2+1)))-MIN(INDIRECT(ADDRESS(29+3,DS$2+1,,,"Instances") &amp; ":" &amp; ADDRESS(29+3,DS$2+1))))</f>
        <v>0</v>
      </c>
      <c r="DT34">
        <f>IFERROR(SMALL(DS5:DS36,ROW()-ROW($DT$5)+1),"")</f>
        <v>0</v>
      </c>
      <c r="DV34">
        <f>IFERROR(SUM(DT5:DT34),"")</f>
        <v>0</v>
      </c>
      <c r="DW34" cm="1">
        <f t="array" ref="DW34">_xlfn.SWITCH(Charts!$B$3,"average", AVERAGE(INDIRECT(ADDRESS(29+3,DW$2+1,,,"Instances") &amp; ":" &amp; ADDRESS(29+3,DW$2+1))),"median", MEDIAN(INDIRECT(ADDRESS(29+3,DW$2+1,,,"Instances") &amp; ":" &amp; ADDRESS(29+3,DW$2+1))),"min", MIN(INDIRECT(ADDRESS(29+3,DW$2+1,,,"Instances") &amp; ":" &amp; ADDRESS(29+3,DW$2+1))),"max", MAX(INDIRECT(ADDRESS(29+3,DW$2+1,,,"Instances") &amp; ":" &amp; ADDRESS(29+3,DW$2+1))),"diff", MAX(INDIRECT(ADDRESS(29+3,DW$2+1,,,"Instances") &amp; ":" &amp; ADDRESS(29+3,DW$2+1)))-MIN(INDIRECT(ADDRESS(29+3,DW$2+1,,,"Instances") &amp; ":" &amp; ADDRESS(29+3,DW$2+1))))</f>
        <v>0</v>
      </c>
      <c r="DX34">
        <f>IFERROR(SMALL(DW5:DW36,ROW()-ROW($DX$5)+1),"")</f>
        <v>0</v>
      </c>
      <c r="DZ34">
        <f>IFERROR(SUM(DX5:DX34),"")</f>
        <v>0</v>
      </c>
      <c r="EA34" cm="1">
        <f t="array" ref="EA34">_xlfn.SWITCH(Charts!$B$3,"average", AVERAGE(INDIRECT(ADDRESS(29+3,EA$2+1,,,"Instances") &amp; ":" &amp; ADDRESS(29+3,EA$2+1))),"median", MEDIAN(INDIRECT(ADDRESS(29+3,EA$2+1,,,"Instances") &amp; ":" &amp; ADDRESS(29+3,EA$2+1))),"min", MIN(INDIRECT(ADDRESS(29+3,EA$2+1,,,"Instances") &amp; ":" &amp; ADDRESS(29+3,EA$2+1))),"max", MAX(INDIRECT(ADDRESS(29+3,EA$2+1,,,"Instances") &amp; ":" &amp; ADDRESS(29+3,EA$2+1))),"diff", MAX(INDIRECT(ADDRESS(29+3,EA$2+1,,,"Instances") &amp; ":" &amp; ADDRESS(29+3,EA$2+1)))-MIN(INDIRECT(ADDRESS(29+3,EA$2+1,,,"Instances") &amp; ":" &amp; ADDRESS(29+3,EA$2+1))))</f>
        <v>0</v>
      </c>
      <c r="EB34">
        <f>IFERROR(SMALL(EA5:EA36,ROW()-ROW($EB$5)+1),"")</f>
        <v>0</v>
      </c>
      <c r="ED34">
        <f>IFERROR(SUM(EB5:EB34),"")</f>
        <v>0</v>
      </c>
      <c r="EG34">
        <f>IF(Charts!$B$3="none",E201,IF(BS201="",NA(),BS201))</f>
        <v>0</v>
      </c>
      <c r="EH34">
        <f>IF(Charts!$B$3="none",F201,IF(BT201="",NA(),BT201))</f>
        <v>0</v>
      </c>
      <c r="EI34">
        <f>IF(Charts!$B$3="none",G201,IF(BU201="",NA(),BU201))</f>
        <v>0</v>
      </c>
      <c r="EJ34">
        <f>IF(Charts!$B$3="none",H201,IF(BV201="",NA(),BV201))</f>
        <v>0</v>
      </c>
      <c r="EK34">
        <f>IF(Charts!$B$3="none",I201,IF(BW201="",NA(),BW201))</f>
        <v>0</v>
      </c>
      <c r="EL34">
        <f>IF(Charts!$B$3="none",J201,IF(BX201="",NA(),BX201))</f>
        <v>0</v>
      </c>
      <c r="EM34">
        <f>IF(Charts!$B$3="none",K201,IF(BY201="",NA(),BY201))</f>
        <v>0</v>
      </c>
      <c r="EN34">
        <f>IF(Charts!$B$3="none",L201,IF(BZ201="",NA(),BZ201))</f>
        <v>0</v>
      </c>
      <c r="EO34">
        <f>IF(Charts!$B$3="none",M201,IF(CA201="",NA(),CA201))</f>
        <v>0</v>
      </c>
      <c r="EP34">
        <f>IF(Charts!$B$3="none",N201,IF(CB201="",NA(),CB201))</f>
        <v>0</v>
      </c>
      <c r="EQ34">
        <f>IF(Charts!$B$3="none",O201,IF(CC201="",NA(),CC201))</f>
        <v>0</v>
      </c>
      <c r="ER34">
        <f>IF(Charts!$B$3="none",P201,IF(CD201="",NA(),CD201))</f>
        <v>0</v>
      </c>
      <c r="ES34">
        <f>IF(Charts!$B$3="none",Q201,IF(CE201="",NA(),CE201))</f>
        <v>0</v>
      </c>
      <c r="ET34">
        <f>IF(Charts!$B$3="none",R201,IF(CF201="",NA(),CF201))</f>
        <v>0</v>
      </c>
      <c r="EU34">
        <f>IF(Charts!$B$3="none",S201,IF(CG201="",NA(),CG201))</f>
        <v>0</v>
      </c>
      <c r="EV34">
        <f>IF(Charts!$B$3="none",T201,IF(CH201="",NA(),CH201))</f>
        <v>0</v>
      </c>
      <c r="EW34">
        <f>IF(Charts!$B$3="none",U201,IF(CI201="",NA(),CI201))</f>
        <v>0</v>
      </c>
      <c r="EX34">
        <f>IF(Charts!$B$3="none",V201,IF(CJ201="",NA(),CJ201))</f>
        <v>0</v>
      </c>
      <c r="EY34">
        <f>IF(Charts!$B$3="none",W201,IF(CK201="",NA(),CK201))</f>
        <v>0</v>
      </c>
      <c r="EZ34">
        <f>IF(Charts!$B$3="none",X201,IF(CL201="",NA(),CL201))</f>
        <v>0</v>
      </c>
      <c r="FA34">
        <f>IF(Charts!$B$3="none",Y201,IF(CM201="",NA(),CM201))</f>
        <v>0</v>
      </c>
      <c r="FB34">
        <f>IF(Charts!$B$3="none",Z201,IF(CN201="",NA(),CN201))</f>
        <v>0</v>
      </c>
      <c r="FC34">
        <f>IF(Charts!$B$3="none",AA201,IF(CO201="",NA(),CO201))</f>
        <v>0</v>
      </c>
      <c r="FD34">
        <f>IF(Charts!$B$3="none",AB201,IF(CP201="",NA(),CP201))</f>
        <v>0</v>
      </c>
      <c r="FE34">
        <f>IF(Charts!$B$3="none",AC201,IF(CQ201="",NA(),CQ201))</f>
        <v>0</v>
      </c>
      <c r="FF34">
        <f>IF(Charts!$B$3="none",AD201,IF(CR201="",NA(),CR201))</f>
        <v>0</v>
      </c>
      <c r="FG34">
        <f>IF(Charts!$B$3="none",AE201,IF(CS201="",NA(),CS201))</f>
        <v>0</v>
      </c>
      <c r="FH34">
        <f>IF(Charts!$B$3="none",AF201,IF(CT201="",NA(),CT201))</f>
        <v>0</v>
      </c>
      <c r="FI34">
        <f>IF(Charts!$B$3="none",AG201,IF(CU201="",NA(),CU201))</f>
        <v>0</v>
      </c>
      <c r="FJ34">
        <f>IF(Charts!$B$3="none",AH201,IF(CV201="",NA(),CV201))</f>
        <v>0</v>
      </c>
      <c r="FK34">
        <f>IF(Charts!$B$3="none",AI201,IF(CW201="",NA(),CW201))</f>
        <v>0</v>
      </c>
      <c r="FL34">
        <f>IF(Charts!$B$3="none",AJ201,IF(CX201="",NA(),CX201))</f>
        <v>0</v>
      </c>
      <c r="FM34">
        <f>IF(Charts!$B$3="none",AK201,IF(CY201="",NA(),CY201))</f>
        <v>0</v>
      </c>
      <c r="FN34">
        <f>IF(Charts!$B$3="none",AL201,IF(CZ201="",NA(),CZ201))</f>
        <v>0</v>
      </c>
      <c r="FO34">
        <f>IF(Charts!$B$3="none",AM201,IF(DA201="",NA(),DA201))</f>
        <v>0</v>
      </c>
      <c r="FP34">
        <f>IF(Charts!$B$3="none",AN201,IF(DB201="",NA(),DB201))</f>
        <v>0</v>
      </c>
      <c r="FQ34">
        <f>IF(Charts!$B$3="none",AO201,IF(DC201="",NA(),DC201))</f>
        <v>0</v>
      </c>
      <c r="FR34">
        <f>IF(Charts!$B$3="none",AP201,IF(DD201="",NA(),DD201))</f>
        <v>0</v>
      </c>
      <c r="FS34">
        <f>IF(Charts!$B$3="none",AQ201,IF(DE201="",NA(),DE201))</f>
        <v>0</v>
      </c>
      <c r="FT34">
        <f>IF(Charts!$B$3="none",AR201,IF(DF201="",NA(),DF201))</f>
        <v>0</v>
      </c>
      <c r="FU34">
        <f>IF(Charts!$B$3="none",AS201,IF(DG201="",NA(),DG201))</f>
        <v>0</v>
      </c>
      <c r="FV34">
        <f>IF(Charts!$B$3="none",AT201,IF(DH201="",NA(),DH201))</f>
        <v>0</v>
      </c>
      <c r="FW34">
        <f>IF(Charts!$B$3="none",AU201,IF(DI201="",NA(),DI201))</f>
        <v>0</v>
      </c>
      <c r="FX34">
        <f>IF(Charts!$B$3="none",AV201,IF(DJ201="",NA(),DJ201))</f>
        <v>0</v>
      </c>
      <c r="FY34">
        <f>IF(Charts!$B$3="none",AW201,IF(DK201="",NA(),DK201))</f>
        <v>0</v>
      </c>
      <c r="FZ34">
        <f>IF(Charts!$B$3="none",AX201,IF(DL201="",NA(),DL201))</f>
        <v>0</v>
      </c>
      <c r="GA34">
        <f>IF(Charts!$B$3="none",AY201,IF(DM201="",NA(),DM201))</f>
        <v>0</v>
      </c>
      <c r="GB34">
        <f>IF(Charts!$B$3="none",AZ201,IF(DN201="",NA(),DN201))</f>
        <v>0</v>
      </c>
      <c r="GC34">
        <f>IF(Charts!$B$3="none",BA201,IF(DO201="",NA(),DO201))</f>
        <v>0</v>
      </c>
      <c r="GD34">
        <f>IF(Charts!$B$3="none",BB201,IF(DP201="",NA(),DP201))</f>
        <v>0</v>
      </c>
      <c r="GE34">
        <f>IF(Charts!$B$3="none",BC201,IF(DQ201="",NA(),DQ201))</f>
        <v>0</v>
      </c>
      <c r="GF34">
        <f>IF(Charts!$B$3="none",BD201,IF(DR201="",NA(),DR201))</f>
        <v>0</v>
      </c>
      <c r="GG34">
        <f>IF(Charts!$B$3="none",BE201,IF(DS201="",NA(),DS201))</f>
        <v>0</v>
      </c>
      <c r="GH34">
        <f>IF(Charts!$B$3="none",BF201,IF(DT201="",NA(),DT201))</f>
        <v>0</v>
      </c>
      <c r="GI34">
        <f>IF(Charts!$B$3="none",BG201,IF(DU201="",NA(),DU201))</f>
        <v>0</v>
      </c>
      <c r="GJ34">
        <f>IF(Charts!$B$3="none",BH201,IF(DV201="",NA(),DV201))</f>
        <v>0</v>
      </c>
      <c r="GK34">
        <f>IF(Charts!$B$3="none",BI201,IF(DW201="",NA(),DW201))</f>
        <v>0</v>
      </c>
      <c r="GL34">
        <f>IF(Charts!$B$3="none",BJ201,IF(DX201="",NA(),DX201))</f>
        <v>0</v>
      </c>
      <c r="GM34">
        <f>IF(Charts!$B$3="none",BK201,IF(DY201="",NA(),DY201))</f>
        <v>0</v>
      </c>
      <c r="GN34">
        <f>IF(Charts!$B$3="none",BL201,IF(DZ201="",NA(),DZ201))</f>
        <v>0</v>
      </c>
      <c r="GO34">
        <f>IF(Charts!$B$3="none",BM201,IF(EA201="",NA(),EA201))</f>
        <v>0</v>
      </c>
      <c r="GP34">
        <f>IF(Charts!$B$3="none",BN201,IF(EB201="",NA(),EB201))</f>
        <v>0</v>
      </c>
      <c r="GQ34">
        <f>IF(Charts!$B$3="none",BO201,IF(EC201="",NA(),EC201))</f>
        <v>0</v>
      </c>
      <c r="GR34">
        <f>IF(Charts!$B$3="none",BP201,IF(ED201="",NA(),ED201))</f>
        <v>0</v>
      </c>
    </row>
    <row r="35" spans="4:200">
      <c r="D35">
        <v>31</v>
      </c>
      <c r="E35">
        <f>IF(INDIRECT(ADDRESS($D35+2,E$2+1,,,"Instances"))="","",INDIRECT(ADDRESS($D35+2,E$2+1,,,"Instances")))</f>
        <v>0</v>
      </c>
      <c r="F35">
        <f>IFERROR(SMALL(E5:E36,ROW()-ROW($F$5)+1),"")</f>
        <v>0</v>
      </c>
      <c r="H35">
        <f>IFERROR(SUM(F5:F35),"")</f>
        <v>0</v>
      </c>
      <c r="I35">
        <f>IF(INDIRECT(ADDRESS($D35+2,I$2+1,,,"Instances"))="","",INDIRECT(ADDRESS($D35+2,I$2+1,,,"Instances")))</f>
        <v>0</v>
      </c>
      <c r="J35">
        <f>IFERROR(SMALL(I5:I36,ROW()-ROW($J$5)+1),"")</f>
        <v>0</v>
      </c>
      <c r="L35">
        <f>IFERROR(SUM(J5:J35),"")</f>
        <v>0</v>
      </c>
      <c r="M35">
        <f>IF(INDIRECT(ADDRESS($D35+2,M$2+1,,,"Instances"))="","",INDIRECT(ADDRESS($D35+2,M$2+1,,,"Instances")))</f>
        <v>0</v>
      </c>
      <c r="N35">
        <f>IFERROR(SMALL(M5:M36,ROW()-ROW($N$5)+1),"")</f>
        <v>0</v>
      </c>
      <c r="P35">
        <f>IFERROR(SUM(N5:N35),"")</f>
        <v>0</v>
      </c>
      <c r="Q35">
        <f>IF(INDIRECT(ADDRESS($D35+2,Q$2+1,,,"Instances"))="","",INDIRECT(ADDRESS($D35+2,Q$2+1,,,"Instances")))</f>
        <v>0</v>
      </c>
      <c r="R35">
        <f>IFERROR(SMALL(Q5:Q36,ROW()-ROW($R$5)+1),"")</f>
        <v>0</v>
      </c>
      <c r="T35">
        <f>IFERROR(SUM(R5:R35),"")</f>
        <v>0</v>
      </c>
      <c r="U35">
        <f>IF(INDIRECT(ADDRESS($D35+2,U$2+1,,,"Instances"))="","",INDIRECT(ADDRESS($D35+2,U$2+1,,,"Instances")))</f>
        <v>0</v>
      </c>
      <c r="V35">
        <f>IFERROR(SMALL(U5:U36,ROW()-ROW($V$5)+1),"")</f>
        <v>0</v>
      </c>
      <c r="X35">
        <f>IFERROR(SUM(V5:V35),"")</f>
        <v>0</v>
      </c>
      <c r="Y35">
        <f>IF(INDIRECT(ADDRESS($D35+2,Y$2+1,,,"Instances"))="","",INDIRECT(ADDRESS($D35+2,Y$2+1,,,"Instances")))</f>
        <v>0</v>
      </c>
      <c r="Z35">
        <f>IFERROR(SMALL(Y5:Y36,ROW()-ROW($Z$5)+1),"")</f>
        <v>0</v>
      </c>
      <c r="AB35">
        <f>IFERROR(SUM(Z5:Z35),"")</f>
        <v>0</v>
      </c>
      <c r="AC35">
        <f>IF(INDIRECT(ADDRESS($D35+2,AC$2+1,,,"Instances"))="","",INDIRECT(ADDRESS($D35+2,AC$2+1,,,"Instances")))</f>
        <v>0</v>
      </c>
      <c r="AD35">
        <f>IFERROR(SMALL(AC5:AC36,ROW()-ROW($AD$5)+1),"")</f>
        <v>0</v>
      </c>
      <c r="AF35">
        <f>IFERROR(SUM(AD5:AD35),"")</f>
        <v>0</v>
      </c>
      <c r="AG35">
        <f>IF(INDIRECT(ADDRESS($D35+2,AG$2+1,,,"Instances"))="","",INDIRECT(ADDRESS($D35+2,AG$2+1,,,"Instances")))</f>
        <v>0</v>
      </c>
      <c r="AH35">
        <f>IFERROR(SMALL(AG5:AG36,ROW()-ROW($AH$5)+1),"")</f>
        <v>0</v>
      </c>
      <c r="AJ35">
        <f>IFERROR(SUM(AH5:AH35),"")</f>
        <v>0</v>
      </c>
      <c r="AK35">
        <f>IF(INDIRECT(ADDRESS($D35+2,AK$2+1,,,"Instances"))="","",INDIRECT(ADDRESS($D35+2,AK$2+1,,,"Instances")))</f>
        <v>0</v>
      </c>
      <c r="AL35">
        <f>IFERROR(SMALL(AK5:AK36,ROW()-ROW($AL$5)+1),"")</f>
        <v>0</v>
      </c>
      <c r="AN35">
        <f>IFERROR(SUM(AL5:AL35),"")</f>
        <v>0</v>
      </c>
      <c r="AO35">
        <f>IF(INDIRECT(ADDRESS($D35+2,AO$2+1,,,"Instances"))="","",INDIRECT(ADDRESS($D35+2,AO$2+1,,,"Instances")))</f>
        <v>0</v>
      </c>
      <c r="AP35">
        <f>IFERROR(SMALL(AO5:AO36,ROW()-ROW($AP$5)+1),"")</f>
        <v>0</v>
      </c>
      <c r="AR35">
        <f>IFERROR(SUM(AP5:AP35),"")</f>
        <v>0</v>
      </c>
      <c r="AS35">
        <f>IF(INDIRECT(ADDRESS($D35+2,AS$2+1,,,"Instances"))="","",INDIRECT(ADDRESS($D35+2,AS$2+1,,,"Instances")))</f>
        <v>0</v>
      </c>
      <c r="AT35">
        <f>IFERROR(SMALL(AS5:AS36,ROW()-ROW($AT$5)+1),"")</f>
        <v>0</v>
      </c>
      <c r="AV35">
        <f>IFERROR(SUM(AT5:AT35),"")</f>
        <v>0</v>
      </c>
      <c r="AW35">
        <f>IF(INDIRECT(ADDRESS($D35+2,AW$2+1,,,"Instances"))="","",INDIRECT(ADDRESS($D35+2,AW$2+1,,,"Instances")))</f>
        <v>0</v>
      </c>
      <c r="AX35">
        <f>IFERROR(SMALL(AW5:AW36,ROW()-ROW($AX$5)+1),"")</f>
        <v>0</v>
      </c>
      <c r="AZ35">
        <f>IFERROR(SUM(AX5:AX35),"")</f>
        <v>0</v>
      </c>
      <c r="BA35">
        <f>IF(INDIRECT(ADDRESS($D35+2,BA$2+1,,,"Instances"))="","",INDIRECT(ADDRESS($D35+2,BA$2+1,,,"Instances")))</f>
        <v>0</v>
      </c>
      <c r="BB35">
        <f>IFERROR(SMALL(BA5:BA36,ROW()-ROW($BB$5)+1),"")</f>
        <v>0</v>
      </c>
      <c r="BD35">
        <f>IFERROR(SUM(BB5:BB35),"")</f>
        <v>0</v>
      </c>
      <c r="BE35">
        <f>IF(INDIRECT(ADDRESS($D35+2,BE$2+1,,,"Instances"))="","",INDIRECT(ADDRESS($D35+2,BE$2+1,,,"Instances")))</f>
        <v>0</v>
      </c>
      <c r="BF35">
        <f>IFERROR(SMALL(BE5:BE36,ROW()-ROW($BF$5)+1),"")</f>
        <v>0</v>
      </c>
      <c r="BH35">
        <f>IFERROR(SUM(BF5:BF35),"")</f>
        <v>0</v>
      </c>
      <c r="BI35">
        <f>IF(INDIRECT(ADDRESS($D35+2,BI$2+1,,,"Instances"))="","",INDIRECT(ADDRESS($D35+2,BI$2+1,,,"Instances")))</f>
        <v>0</v>
      </c>
      <c r="BJ35">
        <f>IFERROR(SMALL(BI5:BI36,ROW()-ROW($BJ$5)+1),"")</f>
        <v>0</v>
      </c>
      <c r="BL35">
        <f>IFERROR(SUM(BJ5:BJ35),"")</f>
        <v>0</v>
      </c>
      <c r="BM35">
        <f>IF(INDIRECT(ADDRESS($D35+2,BM$2+1,,,"Instances"))="","",INDIRECT(ADDRESS($D35+2,BM$2+1,,,"Instances")))</f>
        <v>0</v>
      </c>
      <c r="BN35">
        <f>IFERROR(SMALL(BM5:BM36,ROW()-ROW($BN$5)+1),"")</f>
        <v>0</v>
      </c>
      <c r="BP35">
        <f>IFERROR(SUM(BN5:BN35),"")</f>
        <v>0</v>
      </c>
      <c r="BR35">
        <v>31</v>
      </c>
      <c r="BS35" cm="1">
        <f t="array" ref="BS35">_xlfn.SWITCH(Charts!$B$3,"average", AVERAGE(INDIRECT(ADDRESS(30+3,BS$2+1,,,"Instances") &amp; ":" &amp; ADDRESS(30+3,BS$2+1))),"median", MEDIAN(INDIRECT(ADDRESS(30+3,BS$2+1,,,"Instances") &amp; ":" &amp; ADDRESS(30+3,BS$2+1))),"min", MIN(INDIRECT(ADDRESS(30+3,BS$2+1,,,"Instances") &amp; ":" &amp; ADDRESS(30+3,BS$2+1))),"max", MAX(INDIRECT(ADDRESS(30+3,BS$2+1,,,"Instances") &amp; ":" &amp; ADDRESS(30+3,BS$2+1))),"diff", MAX(INDIRECT(ADDRESS(30+3,BS$2+1,,,"Instances") &amp; ":" &amp; ADDRESS(30+3,BS$2+1)))-MIN(INDIRECT(ADDRESS(30+3,BS$2+1,,,"Instances") &amp; ":" &amp; ADDRESS(30+3,BS$2+1))))</f>
        <v>0</v>
      </c>
      <c r="BT35">
        <f>IFERROR(SMALL(BS5:BS36,ROW()-ROW($BT$5)+1),"")</f>
        <v>0</v>
      </c>
      <c r="BV35">
        <f>IFERROR(SUM(BT5:BT35),"")</f>
        <v>0</v>
      </c>
      <c r="BW35" cm="1">
        <f t="array" ref="BW35">_xlfn.SWITCH(Charts!$B$3,"average", AVERAGE(INDIRECT(ADDRESS(30+3,BW$2+1,,,"Instances") &amp; ":" &amp; ADDRESS(30+3,BW$2+1))),"median", MEDIAN(INDIRECT(ADDRESS(30+3,BW$2+1,,,"Instances") &amp; ":" &amp; ADDRESS(30+3,BW$2+1))),"min", MIN(INDIRECT(ADDRESS(30+3,BW$2+1,,,"Instances") &amp; ":" &amp; ADDRESS(30+3,BW$2+1))),"max", MAX(INDIRECT(ADDRESS(30+3,BW$2+1,,,"Instances") &amp; ":" &amp; ADDRESS(30+3,BW$2+1))),"diff", MAX(INDIRECT(ADDRESS(30+3,BW$2+1,,,"Instances") &amp; ":" &amp; ADDRESS(30+3,BW$2+1)))-MIN(INDIRECT(ADDRESS(30+3,BW$2+1,,,"Instances") &amp; ":" &amp; ADDRESS(30+3,BW$2+1))))</f>
        <v>0</v>
      </c>
      <c r="BX35">
        <f>IFERROR(SMALL(BW5:BW36,ROW()-ROW($BX$5)+1),"")</f>
        <v>0</v>
      </c>
      <c r="BZ35">
        <f>IFERROR(SUM(BX5:BX35),"")</f>
        <v>0</v>
      </c>
      <c r="CA35" cm="1">
        <f t="array" ref="CA35">_xlfn.SWITCH(Charts!$B$3,"average", AVERAGE(INDIRECT(ADDRESS(30+3,CA$2+1,,,"Instances") &amp; ":" &amp; ADDRESS(30+3,CA$2+1))),"median", MEDIAN(INDIRECT(ADDRESS(30+3,CA$2+1,,,"Instances") &amp; ":" &amp; ADDRESS(30+3,CA$2+1))),"min", MIN(INDIRECT(ADDRESS(30+3,CA$2+1,,,"Instances") &amp; ":" &amp; ADDRESS(30+3,CA$2+1))),"max", MAX(INDIRECT(ADDRESS(30+3,CA$2+1,,,"Instances") &amp; ":" &amp; ADDRESS(30+3,CA$2+1))),"diff", MAX(INDIRECT(ADDRESS(30+3,CA$2+1,,,"Instances") &amp; ":" &amp; ADDRESS(30+3,CA$2+1)))-MIN(INDIRECT(ADDRESS(30+3,CA$2+1,,,"Instances") &amp; ":" &amp; ADDRESS(30+3,CA$2+1))))</f>
        <v>0</v>
      </c>
      <c r="CB35">
        <f>IFERROR(SMALL(CA5:CA36,ROW()-ROW($CB$5)+1),"")</f>
        <v>0</v>
      </c>
      <c r="CD35">
        <f>IFERROR(SUM(CB5:CB35),"")</f>
        <v>0</v>
      </c>
      <c r="CE35" cm="1">
        <f t="array" ref="CE35">_xlfn.SWITCH(Charts!$B$3,"average", AVERAGE(INDIRECT(ADDRESS(30+3,CE$2+1,,,"Instances") &amp; ":" &amp; ADDRESS(30+3,CE$2+1))),"median", MEDIAN(INDIRECT(ADDRESS(30+3,CE$2+1,,,"Instances") &amp; ":" &amp; ADDRESS(30+3,CE$2+1))),"min", MIN(INDIRECT(ADDRESS(30+3,CE$2+1,,,"Instances") &amp; ":" &amp; ADDRESS(30+3,CE$2+1))),"max", MAX(INDIRECT(ADDRESS(30+3,CE$2+1,,,"Instances") &amp; ":" &amp; ADDRESS(30+3,CE$2+1))),"diff", MAX(INDIRECT(ADDRESS(30+3,CE$2+1,,,"Instances") &amp; ":" &amp; ADDRESS(30+3,CE$2+1)))-MIN(INDIRECT(ADDRESS(30+3,CE$2+1,,,"Instances") &amp; ":" &amp; ADDRESS(30+3,CE$2+1))))</f>
        <v>0</v>
      </c>
      <c r="CF35">
        <f>IFERROR(SMALL(CE5:CE36,ROW()-ROW($CF$5)+1),"")</f>
        <v>0</v>
      </c>
      <c r="CH35">
        <f>IFERROR(SUM(CF5:CF35),"")</f>
        <v>0</v>
      </c>
      <c r="CI35" cm="1">
        <f t="array" ref="CI35">_xlfn.SWITCH(Charts!$B$3,"average", AVERAGE(INDIRECT(ADDRESS(30+3,CI$2+1,,,"Instances") &amp; ":" &amp; ADDRESS(30+3,CI$2+1))),"median", MEDIAN(INDIRECT(ADDRESS(30+3,CI$2+1,,,"Instances") &amp; ":" &amp; ADDRESS(30+3,CI$2+1))),"min", MIN(INDIRECT(ADDRESS(30+3,CI$2+1,,,"Instances") &amp; ":" &amp; ADDRESS(30+3,CI$2+1))),"max", MAX(INDIRECT(ADDRESS(30+3,CI$2+1,,,"Instances") &amp; ":" &amp; ADDRESS(30+3,CI$2+1))),"diff", MAX(INDIRECT(ADDRESS(30+3,CI$2+1,,,"Instances") &amp; ":" &amp; ADDRESS(30+3,CI$2+1)))-MIN(INDIRECT(ADDRESS(30+3,CI$2+1,,,"Instances") &amp; ":" &amp; ADDRESS(30+3,CI$2+1))))</f>
        <v>0</v>
      </c>
      <c r="CJ35">
        <f>IFERROR(SMALL(CI5:CI36,ROW()-ROW($CJ$5)+1),"")</f>
        <v>0</v>
      </c>
      <c r="CL35">
        <f>IFERROR(SUM(CJ5:CJ35),"")</f>
        <v>0</v>
      </c>
      <c r="CM35" cm="1">
        <f t="array" ref="CM35">_xlfn.SWITCH(Charts!$B$3,"average", AVERAGE(INDIRECT(ADDRESS(30+3,CM$2+1,,,"Instances") &amp; ":" &amp; ADDRESS(30+3,CM$2+1))),"median", MEDIAN(INDIRECT(ADDRESS(30+3,CM$2+1,,,"Instances") &amp; ":" &amp; ADDRESS(30+3,CM$2+1))),"min", MIN(INDIRECT(ADDRESS(30+3,CM$2+1,,,"Instances") &amp; ":" &amp; ADDRESS(30+3,CM$2+1))),"max", MAX(INDIRECT(ADDRESS(30+3,CM$2+1,,,"Instances") &amp; ":" &amp; ADDRESS(30+3,CM$2+1))),"diff", MAX(INDIRECT(ADDRESS(30+3,CM$2+1,,,"Instances") &amp; ":" &amp; ADDRESS(30+3,CM$2+1)))-MIN(INDIRECT(ADDRESS(30+3,CM$2+1,,,"Instances") &amp; ":" &amp; ADDRESS(30+3,CM$2+1))))</f>
        <v>0</v>
      </c>
      <c r="CN35">
        <f>IFERROR(SMALL(CM5:CM36,ROW()-ROW($CN$5)+1),"")</f>
        <v>0</v>
      </c>
      <c r="CP35">
        <f>IFERROR(SUM(CN5:CN35),"")</f>
        <v>0</v>
      </c>
      <c r="CQ35" cm="1">
        <f t="array" ref="CQ35">_xlfn.SWITCH(Charts!$B$3,"average", AVERAGE(INDIRECT(ADDRESS(30+3,CQ$2+1,,,"Instances") &amp; ":" &amp; ADDRESS(30+3,CQ$2+1))),"median", MEDIAN(INDIRECT(ADDRESS(30+3,CQ$2+1,,,"Instances") &amp; ":" &amp; ADDRESS(30+3,CQ$2+1))),"min", MIN(INDIRECT(ADDRESS(30+3,CQ$2+1,,,"Instances") &amp; ":" &amp; ADDRESS(30+3,CQ$2+1))),"max", MAX(INDIRECT(ADDRESS(30+3,CQ$2+1,,,"Instances") &amp; ":" &amp; ADDRESS(30+3,CQ$2+1))),"diff", MAX(INDIRECT(ADDRESS(30+3,CQ$2+1,,,"Instances") &amp; ":" &amp; ADDRESS(30+3,CQ$2+1)))-MIN(INDIRECT(ADDRESS(30+3,CQ$2+1,,,"Instances") &amp; ":" &amp; ADDRESS(30+3,CQ$2+1))))</f>
        <v>0</v>
      </c>
      <c r="CR35">
        <f>IFERROR(SMALL(CQ5:CQ36,ROW()-ROW($CR$5)+1),"")</f>
        <v>0</v>
      </c>
      <c r="CT35">
        <f>IFERROR(SUM(CR5:CR35),"")</f>
        <v>0</v>
      </c>
      <c r="CU35" cm="1">
        <f t="array" ref="CU35">_xlfn.SWITCH(Charts!$B$3,"average", AVERAGE(INDIRECT(ADDRESS(30+3,CU$2+1,,,"Instances") &amp; ":" &amp; ADDRESS(30+3,CU$2+1))),"median", MEDIAN(INDIRECT(ADDRESS(30+3,CU$2+1,,,"Instances") &amp; ":" &amp; ADDRESS(30+3,CU$2+1))),"min", MIN(INDIRECT(ADDRESS(30+3,CU$2+1,,,"Instances") &amp; ":" &amp; ADDRESS(30+3,CU$2+1))),"max", MAX(INDIRECT(ADDRESS(30+3,CU$2+1,,,"Instances") &amp; ":" &amp; ADDRESS(30+3,CU$2+1))),"diff", MAX(INDIRECT(ADDRESS(30+3,CU$2+1,,,"Instances") &amp; ":" &amp; ADDRESS(30+3,CU$2+1)))-MIN(INDIRECT(ADDRESS(30+3,CU$2+1,,,"Instances") &amp; ":" &amp; ADDRESS(30+3,CU$2+1))))</f>
        <v>0</v>
      </c>
      <c r="CV35">
        <f>IFERROR(SMALL(CU5:CU36,ROW()-ROW($CV$5)+1),"")</f>
        <v>0</v>
      </c>
      <c r="CX35">
        <f>IFERROR(SUM(CV5:CV35),"")</f>
        <v>0</v>
      </c>
      <c r="CY35" cm="1">
        <f t="array" ref="CY35">_xlfn.SWITCH(Charts!$B$3,"average", AVERAGE(INDIRECT(ADDRESS(30+3,CY$2+1,,,"Instances") &amp; ":" &amp; ADDRESS(30+3,CY$2+1))),"median", MEDIAN(INDIRECT(ADDRESS(30+3,CY$2+1,,,"Instances") &amp; ":" &amp; ADDRESS(30+3,CY$2+1))),"min", MIN(INDIRECT(ADDRESS(30+3,CY$2+1,,,"Instances") &amp; ":" &amp; ADDRESS(30+3,CY$2+1))),"max", MAX(INDIRECT(ADDRESS(30+3,CY$2+1,,,"Instances") &amp; ":" &amp; ADDRESS(30+3,CY$2+1))),"diff", MAX(INDIRECT(ADDRESS(30+3,CY$2+1,,,"Instances") &amp; ":" &amp; ADDRESS(30+3,CY$2+1)))-MIN(INDIRECT(ADDRESS(30+3,CY$2+1,,,"Instances") &amp; ":" &amp; ADDRESS(30+3,CY$2+1))))</f>
        <v>0</v>
      </c>
      <c r="CZ35">
        <f>IFERROR(SMALL(CY5:CY36,ROW()-ROW($CZ$5)+1),"")</f>
        <v>0</v>
      </c>
      <c r="DB35">
        <f>IFERROR(SUM(CZ5:CZ35),"")</f>
        <v>0</v>
      </c>
      <c r="DC35" cm="1">
        <f t="array" ref="DC35">_xlfn.SWITCH(Charts!$B$3,"average", AVERAGE(INDIRECT(ADDRESS(30+3,DC$2+1,,,"Instances") &amp; ":" &amp; ADDRESS(30+3,DC$2+1))),"median", MEDIAN(INDIRECT(ADDRESS(30+3,DC$2+1,,,"Instances") &amp; ":" &amp; ADDRESS(30+3,DC$2+1))),"min", MIN(INDIRECT(ADDRESS(30+3,DC$2+1,,,"Instances") &amp; ":" &amp; ADDRESS(30+3,DC$2+1))),"max", MAX(INDIRECT(ADDRESS(30+3,DC$2+1,,,"Instances") &amp; ":" &amp; ADDRESS(30+3,DC$2+1))),"diff", MAX(INDIRECT(ADDRESS(30+3,DC$2+1,,,"Instances") &amp; ":" &amp; ADDRESS(30+3,DC$2+1)))-MIN(INDIRECT(ADDRESS(30+3,DC$2+1,,,"Instances") &amp; ":" &amp; ADDRESS(30+3,DC$2+1))))</f>
        <v>0</v>
      </c>
      <c r="DD35">
        <f>IFERROR(SMALL(DC5:DC36,ROW()-ROW($DD$5)+1),"")</f>
        <v>0</v>
      </c>
      <c r="DF35">
        <f>IFERROR(SUM(DD5:DD35),"")</f>
        <v>0</v>
      </c>
      <c r="DG35" cm="1">
        <f t="array" ref="DG35">_xlfn.SWITCH(Charts!$B$3,"average", AVERAGE(INDIRECT(ADDRESS(30+3,DG$2+1,,,"Instances") &amp; ":" &amp; ADDRESS(30+3,DG$2+1))),"median", MEDIAN(INDIRECT(ADDRESS(30+3,DG$2+1,,,"Instances") &amp; ":" &amp; ADDRESS(30+3,DG$2+1))),"min", MIN(INDIRECT(ADDRESS(30+3,DG$2+1,,,"Instances") &amp; ":" &amp; ADDRESS(30+3,DG$2+1))),"max", MAX(INDIRECT(ADDRESS(30+3,DG$2+1,,,"Instances") &amp; ":" &amp; ADDRESS(30+3,DG$2+1))),"diff", MAX(INDIRECT(ADDRESS(30+3,DG$2+1,,,"Instances") &amp; ":" &amp; ADDRESS(30+3,DG$2+1)))-MIN(INDIRECT(ADDRESS(30+3,DG$2+1,,,"Instances") &amp; ":" &amp; ADDRESS(30+3,DG$2+1))))</f>
        <v>0</v>
      </c>
      <c r="DH35">
        <f>IFERROR(SMALL(DG5:DG36,ROW()-ROW($DH$5)+1),"")</f>
        <v>0</v>
      </c>
      <c r="DJ35">
        <f>IFERROR(SUM(DH5:DH35),"")</f>
        <v>0</v>
      </c>
      <c r="DK35" cm="1">
        <f t="array" ref="DK35">_xlfn.SWITCH(Charts!$B$3,"average", AVERAGE(INDIRECT(ADDRESS(30+3,DK$2+1,,,"Instances") &amp; ":" &amp; ADDRESS(30+3,DK$2+1))),"median", MEDIAN(INDIRECT(ADDRESS(30+3,DK$2+1,,,"Instances") &amp; ":" &amp; ADDRESS(30+3,DK$2+1))),"min", MIN(INDIRECT(ADDRESS(30+3,DK$2+1,,,"Instances") &amp; ":" &amp; ADDRESS(30+3,DK$2+1))),"max", MAX(INDIRECT(ADDRESS(30+3,DK$2+1,,,"Instances") &amp; ":" &amp; ADDRESS(30+3,DK$2+1))),"diff", MAX(INDIRECT(ADDRESS(30+3,DK$2+1,,,"Instances") &amp; ":" &amp; ADDRESS(30+3,DK$2+1)))-MIN(INDIRECT(ADDRESS(30+3,DK$2+1,,,"Instances") &amp; ":" &amp; ADDRESS(30+3,DK$2+1))))</f>
        <v>0</v>
      </c>
      <c r="DL35">
        <f>IFERROR(SMALL(DK5:DK36,ROW()-ROW($DL$5)+1),"")</f>
        <v>0</v>
      </c>
      <c r="DN35">
        <f>IFERROR(SUM(DL5:DL35),"")</f>
        <v>0</v>
      </c>
      <c r="DO35" cm="1">
        <f t="array" ref="DO35">_xlfn.SWITCH(Charts!$B$3,"average", AVERAGE(INDIRECT(ADDRESS(30+3,DO$2+1,,,"Instances") &amp; ":" &amp; ADDRESS(30+3,DO$2+1))),"median", MEDIAN(INDIRECT(ADDRESS(30+3,DO$2+1,,,"Instances") &amp; ":" &amp; ADDRESS(30+3,DO$2+1))),"min", MIN(INDIRECT(ADDRESS(30+3,DO$2+1,,,"Instances") &amp; ":" &amp; ADDRESS(30+3,DO$2+1))),"max", MAX(INDIRECT(ADDRESS(30+3,DO$2+1,,,"Instances") &amp; ":" &amp; ADDRESS(30+3,DO$2+1))),"diff", MAX(INDIRECT(ADDRESS(30+3,DO$2+1,,,"Instances") &amp; ":" &amp; ADDRESS(30+3,DO$2+1)))-MIN(INDIRECT(ADDRESS(30+3,DO$2+1,,,"Instances") &amp; ":" &amp; ADDRESS(30+3,DO$2+1))))</f>
        <v>0</v>
      </c>
      <c r="DP35">
        <f>IFERROR(SMALL(DO5:DO36,ROW()-ROW($DP$5)+1),"")</f>
        <v>0</v>
      </c>
      <c r="DR35">
        <f>IFERROR(SUM(DP5:DP35),"")</f>
        <v>0</v>
      </c>
      <c r="DS35" cm="1">
        <f t="array" ref="DS35">_xlfn.SWITCH(Charts!$B$3,"average", AVERAGE(INDIRECT(ADDRESS(30+3,DS$2+1,,,"Instances") &amp; ":" &amp; ADDRESS(30+3,DS$2+1))),"median", MEDIAN(INDIRECT(ADDRESS(30+3,DS$2+1,,,"Instances") &amp; ":" &amp; ADDRESS(30+3,DS$2+1))),"min", MIN(INDIRECT(ADDRESS(30+3,DS$2+1,,,"Instances") &amp; ":" &amp; ADDRESS(30+3,DS$2+1))),"max", MAX(INDIRECT(ADDRESS(30+3,DS$2+1,,,"Instances") &amp; ":" &amp; ADDRESS(30+3,DS$2+1))),"diff", MAX(INDIRECT(ADDRESS(30+3,DS$2+1,,,"Instances") &amp; ":" &amp; ADDRESS(30+3,DS$2+1)))-MIN(INDIRECT(ADDRESS(30+3,DS$2+1,,,"Instances") &amp; ":" &amp; ADDRESS(30+3,DS$2+1))))</f>
        <v>0</v>
      </c>
      <c r="DT35">
        <f>IFERROR(SMALL(DS5:DS36,ROW()-ROW($DT$5)+1),"")</f>
        <v>0</v>
      </c>
      <c r="DV35">
        <f>IFERROR(SUM(DT5:DT35),"")</f>
        <v>0</v>
      </c>
      <c r="DW35" cm="1">
        <f t="array" ref="DW35">_xlfn.SWITCH(Charts!$B$3,"average", AVERAGE(INDIRECT(ADDRESS(30+3,DW$2+1,,,"Instances") &amp; ":" &amp; ADDRESS(30+3,DW$2+1))),"median", MEDIAN(INDIRECT(ADDRESS(30+3,DW$2+1,,,"Instances") &amp; ":" &amp; ADDRESS(30+3,DW$2+1))),"min", MIN(INDIRECT(ADDRESS(30+3,DW$2+1,,,"Instances") &amp; ":" &amp; ADDRESS(30+3,DW$2+1))),"max", MAX(INDIRECT(ADDRESS(30+3,DW$2+1,,,"Instances") &amp; ":" &amp; ADDRESS(30+3,DW$2+1))),"diff", MAX(INDIRECT(ADDRESS(30+3,DW$2+1,,,"Instances") &amp; ":" &amp; ADDRESS(30+3,DW$2+1)))-MIN(INDIRECT(ADDRESS(30+3,DW$2+1,,,"Instances") &amp; ":" &amp; ADDRESS(30+3,DW$2+1))))</f>
        <v>0</v>
      </c>
      <c r="DX35">
        <f>IFERROR(SMALL(DW5:DW36,ROW()-ROW($DX$5)+1),"")</f>
        <v>0</v>
      </c>
      <c r="DZ35">
        <f>IFERROR(SUM(DX5:DX35),"")</f>
        <v>0</v>
      </c>
      <c r="EA35" cm="1">
        <f t="array" ref="EA35">_xlfn.SWITCH(Charts!$B$3,"average", AVERAGE(INDIRECT(ADDRESS(30+3,EA$2+1,,,"Instances") &amp; ":" &amp; ADDRESS(30+3,EA$2+1))),"median", MEDIAN(INDIRECT(ADDRESS(30+3,EA$2+1,,,"Instances") &amp; ":" &amp; ADDRESS(30+3,EA$2+1))),"min", MIN(INDIRECT(ADDRESS(30+3,EA$2+1,,,"Instances") &amp; ":" &amp; ADDRESS(30+3,EA$2+1))),"max", MAX(INDIRECT(ADDRESS(30+3,EA$2+1,,,"Instances") &amp; ":" &amp; ADDRESS(30+3,EA$2+1))),"diff", MAX(INDIRECT(ADDRESS(30+3,EA$2+1,,,"Instances") &amp; ":" &amp; ADDRESS(30+3,EA$2+1)))-MIN(INDIRECT(ADDRESS(30+3,EA$2+1,,,"Instances") &amp; ":" &amp; ADDRESS(30+3,EA$2+1))))</f>
        <v>0</v>
      </c>
      <c r="EB35">
        <f>IFERROR(SMALL(EA5:EA36,ROW()-ROW($EB$5)+1),"")</f>
        <v>0</v>
      </c>
      <c r="ED35">
        <f>IFERROR(SUM(EB5:EB35),"")</f>
        <v>0</v>
      </c>
      <c r="EG35">
        <f>IF(Charts!$B$3="none",E202,IF(BS202="",NA(),BS202))</f>
        <v>0</v>
      </c>
      <c r="EH35">
        <f>IF(Charts!$B$3="none",F202,IF(BT202="",NA(),BT202))</f>
        <v>0</v>
      </c>
      <c r="EI35">
        <f>IF(Charts!$B$3="none",G202,IF(BU202="",NA(),BU202))</f>
        <v>0</v>
      </c>
      <c r="EJ35">
        <f>IF(Charts!$B$3="none",H202,IF(BV202="",NA(),BV202))</f>
        <v>0</v>
      </c>
      <c r="EK35">
        <f>IF(Charts!$B$3="none",I202,IF(BW202="",NA(),BW202))</f>
        <v>0</v>
      </c>
      <c r="EL35">
        <f>IF(Charts!$B$3="none",J202,IF(BX202="",NA(),BX202))</f>
        <v>0</v>
      </c>
      <c r="EM35">
        <f>IF(Charts!$B$3="none",K202,IF(BY202="",NA(),BY202))</f>
        <v>0</v>
      </c>
      <c r="EN35">
        <f>IF(Charts!$B$3="none",L202,IF(BZ202="",NA(),BZ202))</f>
        <v>0</v>
      </c>
      <c r="EO35">
        <f>IF(Charts!$B$3="none",M202,IF(CA202="",NA(),CA202))</f>
        <v>0</v>
      </c>
      <c r="EP35">
        <f>IF(Charts!$B$3="none",N202,IF(CB202="",NA(),CB202))</f>
        <v>0</v>
      </c>
      <c r="EQ35">
        <f>IF(Charts!$B$3="none",O202,IF(CC202="",NA(),CC202))</f>
        <v>0</v>
      </c>
      <c r="ER35">
        <f>IF(Charts!$B$3="none",P202,IF(CD202="",NA(),CD202))</f>
        <v>0</v>
      </c>
      <c r="ES35">
        <f>IF(Charts!$B$3="none",Q202,IF(CE202="",NA(),CE202))</f>
        <v>0</v>
      </c>
      <c r="ET35">
        <f>IF(Charts!$B$3="none",R202,IF(CF202="",NA(),CF202))</f>
        <v>0</v>
      </c>
      <c r="EU35">
        <f>IF(Charts!$B$3="none",S202,IF(CG202="",NA(),CG202))</f>
        <v>0</v>
      </c>
      <c r="EV35">
        <f>IF(Charts!$B$3="none",T202,IF(CH202="",NA(),CH202))</f>
        <v>0</v>
      </c>
      <c r="EW35">
        <f>IF(Charts!$B$3="none",U202,IF(CI202="",NA(),CI202))</f>
        <v>0</v>
      </c>
      <c r="EX35">
        <f>IF(Charts!$B$3="none",V202,IF(CJ202="",NA(),CJ202))</f>
        <v>0</v>
      </c>
      <c r="EY35">
        <f>IF(Charts!$B$3="none",W202,IF(CK202="",NA(),CK202))</f>
        <v>0</v>
      </c>
      <c r="EZ35">
        <f>IF(Charts!$B$3="none",X202,IF(CL202="",NA(),CL202))</f>
        <v>0</v>
      </c>
      <c r="FA35">
        <f>IF(Charts!$B$3="none",Y202,IF(CM202="",NA(),CM202))</f>
        <v>0</v>
      </c>
      <c r="FB35">
        <f>IF(Charts!$B$3="none",Z202,IF(CN202="",NA(),CN202))</f>
        <v>0</v>
      </c>
      <c r="FC35">
        <f>IF(Charts!$B$3="none",AA202,IF(CO202="",NA(),CO202))</f>
        <v>0</v>
      </c>
      <c r="FD35">
        <f>IF(Charts!$B$3="none",AB202,IF(CP202="",NA(),CP202))</f>
        <v>0</v>
      </c>
      <c r="FE35">
        <f>IF(Charts!$B$3="none",AC202,IF(CQ202="",NA(),CQ202))</f>
        <v>0</v>
      </c>
      <c r="FF35">
        <f>IF(Charts!$B$3="none",AD202,IF(CR202="",NA(),CR202))</f>
        <v>0</v>
      </c>
      <c r="FG35">
        <f>IF(Charts!$B$3="none",AE202,IF(CS202="",NA(),CS202))</f>
        <v>0</v>
      </c>
      <c r="FH35">
        <f>IF(Charts!$B$3="none",AF202,IF(CT202="",NA(),CT202))</f>
        <v>0</v>
      </c>
      <c r="FI35">
        <f>IF(Charts!$B$3="none",AG202,IF(CU202="",NA(),CU202))</f>
        <v>0</v>
      </c>
      <c r="FJ35">
        <f>IF(Charts!$B$3="none",AH202,IF(CV202="",NA(),CV202))</f>
        <v>0</v>
      </c>
      <c r="FK35">
        <f>IF(Charts!$B$3="none",AI202,IF(CW202="",NA(),CW202))</f>
        <v>0</v>
      </c>
      <c r="FL35">
        <f>IF(Charts!$B$3="none",AJ202,IF(CX202="",NA(),CX202))</f>
        <v>0</v>
      </c>
      <c r="FM35">
        <f>IF(Charts!$B$3="none",AK202,IF(CY202="",NA(),CY202))</f>
        <v>0</v>
      </c>
      <c r="FN35">
        <f>IF(Charts!$B$3="none",AL202,IF(CZ202="",NA(),CZ202))</f>
        <v>0</v>
      </c>
      <c r="FO35">
        <f>IF(Charts!$B$3="none",AM202,IF(DA202="",NA(),DA202))</f>
        <v>0</v>
      </c>
      <c r="FP35">
        <f>IF(Charts!$B$3="none",AN202,IF(DB202="",NA(),DB202))</f>
        <v>0</v>
      </c>
      <c r="FQ35">
        <f>IF(Charts!$B$3="none",AO202,IF(DC202="",NA(),DC202))</f>
        <v>0</v>
      </c>
      <c r="FR35">
        <f>IF(Charts!$B$3="none",AP202,IF(DD202="",NA(),DD202))</f>
        <v>0</v>
      </c>
      <c r="FS35">
        <f>IF(Charts!$B$3="none",AQ202,IF(DE202="",NA(),DE202))</f>
        <v>0</v>
      </c>
      <c r="FT35">
        <f>IF(Charts!$B$3="none",AR202,IF(DF202="",NA(),DF202))</f>
        <v>0</v>
      </c>
      <c r="FU35">
        <f>IF(Charts!$B$3="none",AS202,IF(DG202="",NA(),DG202))</f>
        <v>0</v>
      </c>
      <c r="FV35">
        <f>IF(Charts!$B$3="none",AT202,IF(DH202="",NA(),DH202))</f>
        <v>0</v>
      </c>
      <c r="FW35">
        <f>IF(Charts!$B$3="none",AU202,IF(DI202="",NA(),DI202))</f>
        <v>0</v>
      </c>
      <c r="FX35">
        <f>IF(Charts!$B$3="none",AV202,IF(DJ202="",NA(),DJ202))</f>
        <v>0</v>
      </c>
      <c r="FY35">
        <f>IF(Charts!$B$3="none",AW202,IF(DK202="",NA(),DK202))</f>
        <v>0</v>
      </c>
      <c r="FZ35">
        <f>IF(Charts!$B$3="none",AX202,IF(DL202="",NA(),DL202))</f>
        <v>0</v>
      </c>
      <c r="GA35">
        <f>IF(Charts!$B$3="none",AY202,IF(DM202="",NA(),DM202))</f>
        <v>0</v>
      </c>
      <c r="GB35">
        <f>IF(Charts!$B$3="none",AZ202,IF(DN202="",NA(),DN202))</f>
        <v>0</v>
      </c>
      <c r="GC35">
        <f>IF(Charts!$B$3="none",BA202,IF(DO202="",NA(),DO202))</f>
        <v>0</v>
      </c>
      <c r="GD35">
        <f>IF(Charts!$B$3="none",BB202,IF(DP202="",NA(),DP202))</f>
        <v>0</v>
      </c>
      <c r="GE35">
        <f>IF(Charts!$B$3="none",BC202,IF(DQ202="",NA(),DQ202))</f>
        <v>0</v>
      </c>
      <c r="GF35">
        <f>IF(Charts!$B$3="none",BD202,IF(DR202="",NA(),DR202))</f>
        <v>0</v>
      </c>
      <c r="GG35">
        <f>IF(Charts!$B$3="none",BE202,IF(DS202="",NA(),DS202))</f>
        <v>0</v>
      </c>
      <c r="GH35">
        <f>IF(Charts!$B$3="none",BF202,IF(DT202="",NA(),DT202))</f>
        <v>0</v>
      </c>
      <c r="GI35">
        <f>IF(Charts!$B$3="none",BG202,IF(DU202="",NA(),DU202))</f>
        <v>0</v>
      </c>
      <c r="GJ35">
        <f>IF(Charts!$B$3="none",BH202,IF(DV202="",NA(),DV202))</f>
        <v>0</v>
      </c>
      <c r="GK35">
        <f>IF(Charts!$B$3="none",BI202,IF(DW202="",NA(),DW202))</f>
        <v>0</v>
      </c>
      <c r="GL35">
        <f>IF(Charts!$B$3="none",BJ202,IF(DX202="",NA(),DX202))</f>
        <v>0</v>
      </c>
      <c r="GM35">
        <f>IF(Charts!$B$3="none",BK202,IF(DY202="",NA(),DY202))</f>
        <v>0</v>
      </c>
      <c r="GN35">
        <f>IF(Charts!$B$3="none",BL202,IF(DZ202="",NA(),DZ202))</f>
        <v>0</v>
      </c>
      <c r="GO35">
        <f>IF(Charts!$B$3="none",BM202,IF(EA202="",NA(),EA202))</f>
        <v>0</v>
      </c>
      <c r="GP35">
        <f>IF(Charts!$B$3="none",BN202,IF(EB202="",NA(),EB202))</f>
        <v>0</v>
      </c>
      <c r="GQ35">
        <f>IF(Charts!$B$3="none",BO202,IF(EC202="",NA(),EC202))</f>
        <v>0</v>
      </c>
      <c r="GR35">
        <f>IF(Charts!$B$3="none",BP202,IF(ED202="",NA(),ED202))</f>
        <v>0</v>
      </c>
    </row>
    <row r="36" spans="4:200">
      <c r="D36">
        <v>32</v>
      </c>
      <c r="E36">
        <f>IF(INDIRECT(ADDRESS($D36+2,E$2+1,,,"Instances"))="","",INDIRECT(ADDRESS($D36+2,E$2+1,,,"Instances")))</f>
        <v>0</v>
      </c>
      <c r="F36">
        <f>IFERROR(SMALL(E5:E36,ROW()-ROW($F$5)+1),"")</f>
        <v>0</v>
      </c>
      <c r="H36">
        <f>IFERROR(SUM(F5:F36),"")</f>
        <v>0</v>
      </c>
      <c r="I36">
        <f>IF(INDIRECT(ADDRESS($D36+2,I$2+1,,,"Instances"))="","",INDIRECT(ADDRESS($D36+2,I$2+1,,,"Instances")))</f>
        <v>0</v>
      </c>
      <c r="J36">
        <f>IFERROR(SMALL(I5:I36,ROW()-ROW($J$5)+1),"")</f>
        <v>0</v>
      </c>
      <c r="L36">
        <f>IFERROR(SUM(J5:J36),"")</f>
        <v>0</v>
      </c>
      <c r="M36">
        <f>IF(INDIRECT(ADDRESS($D36+2,M$2+1,,,"Instances"))="","",INDIRECT(ADDRESS($D36+2,M$2+1,,,"Instances")))</f>
        <v>0</v>
      </c>
      <c r="N36">
        <f>IFERROR(SMALL(M5:M36,ROW()-ROW($N$5)+1),"")</f>
        <v>0</v>
      </c>
      <c r="P36">
        <f>IFERROR(SUM(N5:N36),"")</f>
        <v>0</v>
      </c>
      <c r="Q36">
        <f>IF(INDIRECT(ADDRESS($D36+2,Q$2+1,,,"Instances"))="","",INDIRECT(ADDRESS($D36+2,Q$2+1,,,"Instances")))</f>
        <v>0</v>
      </c>
      <c r="R36">
        <f>IFERROR(SMALL(Q5:Q36,ROW()-ROW($R$5)+1),"")</f>
        <v>0</v>
      </c>
      <c r="T36">
        <f>IFERROR(SUM(R5:R36),"")</f>
        <v>0</v>
      </c>
      <c r="U36">
        <f>IF(INDIRECT(ADDRESS($D36+2,U$2+1,,,"Instances"))="","",INDIRECT(ADDRESS($D36+2,U$2+1,,,"Instances")))</f>
        <v>0</v>
      </c>
      <c r="V36">
        <f>IFERROR(SMALL(U5:U36,ROW()-ROW($V$5)+1),"")</f>
        <v>0</v>
      </c>
      <c r="X36">
        <f>IFERROR(SUM(V5:V36),"")</f>
        <v>0</v>
      </c>
      <c r="Y36">
        <f>IF(INDIRECT(ADDRESS($D36+2,Y$2+1,,,"Instances"))="","",INDIRECT(ADDRESS($D36+2,Y$2+1,,,"Instances")))</f>
        <v>0</v>
      </c>
      <c r="Z36">
        <f>IFERROR(SMALL(Y5:Y36,ROW()-ROW($Z$5)+1),"")</f>
        <v>0</v>
      </c>
      <c r="AB36">
        <f>IFERROR(SUM(Z5:Z36),"")</f>
        <v>0</v>
      </c>
      <c r="AC36">
        <f>IF(INDIRECT(ADDRESS($D36+2,AC$2+1,,,"Instances"))="","",INDIRECT(ADDRESS($D36+2,AC$2+1,,,"Instances")))</f>
        <v>0</v>
      </c>
      <c r="AD36">
        <f>IFERROR(SMALL(AC5:AC36,ROW()-ROW($AD$5)+1),"")</f>
        <v>0</v>
      </c>
      <c r="AF36">
        <f>IFERROR(SUM(AD5:AD36),"")</f>
        <v>0</v>
      </c>
      <c r="AG36">
        <f>IF(INDIRECT(ADDRESS($D36+2,AG$2+1,,,"Instances"))="","",INDIRECT(ADDRESS($D36+2,AG$2+1,,,"Instances")))</f>
        <v>0</v>
      </c>
      <c r="AH36">
        <f>IFERROR(SMALL(AG5:AG36,ROW()-ROW($AH$5)+1),"")</f>
        <v>0</v>
      </c>
      <c r="AJ36">
        <f>IFERROR(SUM(AH5:AH36),"")</f>
        <v>0</v>
      </c>
      <c r="AK36">
        <f>IF(INDIRECT(ADDRESS($D36+2,AK$2+1,,,"Instances"))="","",INDIRECT(ADDRESS($D36+2,AK$2+1,,,"Instances")))</f>
        <v>0</v>
      </c>
      <c r="AL36">
        <f>IFERROR(SMALL(AK5:AK36,ROW()-ROW($AL$5)+1),"")</f>
        <v>0</v>
      </c>
      <c r="AN36">
        <f>IFERROR(SUM(AL5:AL36),"")</f>
        <v>0</v>
      </c>
      <c r="AO36">
        <f>IF(INDIRECT(ADDRESS($D36+2,AO$2+1,,,"Instances"))="","",INDIRECT(ADDRESS($D36+2,AO$2+1,,,"Instances")))</f>
        <v>0</v>
      </c>
      <c r="AP36">
        <f>IFERROR(SMALL(AO5:AO36,ROW()-ROW($AP$5)+1),"")</f>
        <v>0</v>
      </c>
      <c r="AR36">
        <f>IFERROR(SUM(AP5:AP36),"")</f>
        <v>0</v>
      </c>
      <c r="AS36">
        <f>IF(INDIRECT(ADDRESS($D36+2,AS$2+1,,,"Instances"))="","",INDIRECT(ADDRESS($D36+2,AS$2+1,,,"Instances")))</f>
        <v>0</v>
      </c>
      <c r="AT36">
        <f>IFERROR(SMALL(AS5:AS36,ROW()-ROW($AT$5)+1),"")</f>
        <v>0</v>
      </c>
      <c r="AV36">
        <f>IFERROR(SUM(AT5:AT36),"")</f>
        <v>0</v>
      </c>
      <c r="AW36">
        <f>IF(INDIRECT(ADDRESS($D36+2,AW$2+1,,,"Instances"))="","",INDIRECT(ADDRESS($D36+2,AW$2+1,,,"Instances")))</f>
        <v>0</v>
      </c>
      <c r="AX36">
        <f>IFERROR(SMALL(AW5:AW36,ROW()-ROW($AX$5)+1),"")</f>
        <v>0</v>
      </c>
      <c r="AZ36">
        <f>IFERROR(SUM(AX5:AX36),"")</f>
        <v>0</v>
      </c>
      <c r="BA36">
        <f>IF(INDIRECT(ADDRESS($D36+2,BA$2+1,,,"Instances"))="","",INDIRECT(ADDRESS($D36+2,BA$2+1,,,"Instances")))</f>
        <v>0</v>
      </c>
      <c r="BB36">
        <f>IFERROR(SMALL(BA5:BA36,ROW()-ROW($BB$5)+1),"")</f>
        <v>0</v>
      </c>
      <c r="BD36">
        <f>IFERROR(SUM(BB5:BB36),"")</f>
        <v>0</v>
      </c>
      <c r="BE36">
        <f>IF(INDIRECT(ADDRESS($D36+2,BE$2+1,,,"Instances"))="","",INDIRECT(ADDRESS($D36+2,BE$2+1,,,"Instances")))</f>
        <v>0</v>
      </c>
      <c r="BF36">
        <f>IFERROR(SMALL(BE5:BE36,ROW()-ROW($BF$5)+1),"")</f>
        <v>0</v>
      </c>
      <c r="BH36">
        <f>IFERROR(SUM(BF5:BF36),"")</f>
        <v>0</v>
      </c>
      <c r="BI36">
        <f>IF(INDIRECT(ADDRESS($D36+2,BI$2+1,,,"Instances"))="","",INDIRECT(ADDRESS($D36+2,BI$2+1,,,"Instances")))</f>
        <v>0</v>
      </c>
      <c r="BJ36">
        <f>IFERROR(SMALL(BI5:BI36,ROW()-ROW($BJ$5)+1),"")</f>
        <v>0</v>
      </c>
      <c r="BL36">
        <f>IFERROR(SUM(BJ5:BJ36),"")</f>
        <v>0</v>
      </c>
      <c r="BM36">
        <f>IF(INDIRECT(ADDRESS($D36+2,BM$2+1,,,"Instances"))="","",INDIRECT(ADDRESS($D36+2,BM$2+1,,,"Instances")))</f>
        <v>0</v>
      </c>
      <c r="BN36">
        <f>IFERROR(SMALL(BM5:BM36,ROW()-ROW($BN$5)+1),"")</f>
        <v>0</v>
      </c>
      <c r="BP36">
        <f>IFERROR(SUM(BN5:BN36),"")</f>
        <v>0</v>
      </c>
      <c r="BR36">
        <v>32</v>
      </c>
      <c r="BS36" cm="1">
        <f t="array" ref="BS36">_xlfn.SWITCH(Charts!$B$3,"average", AVERAGE(INDIRECT(ADDRESS(31+3,BS$2+1,,,"Instances") &amp; ":" &amp; ADDRESS(31+3,BS$2+1))),"median", MEDIAN(INDIRECT(ADDRESS(31+3,BS$2+1,,,"Instances") &amp; ":" &amp; ADDRESS(31+3,BS$2+1))),"min", MIN(INDIRECT(ADDRESS(31+3,BS$2+1,,,"Instances") &amp; ":" &amp; ADDRESS(31+3,BS$2+1))),"max", MAX(INDIRECT(ADDRESS(31+3,BS$2+1,,,"Instances") &amp; ":" &amp; ADDRESS(31+3,BS$2+1))),"diff", MAX(INDIRECT(ADDRESS(31+3,BS$2+1,,,"Instances") &amp; ":" &amp; ADDRESS(31+3,BS$2+1)))-MIN(INDIRECT(ADDRESS(31+3,BS$2+1,,,"Instances") &amp; ":" &amp; ADDRESS(31+3,BS$2+1))))</f>
        <v>0</v>
      </c>
      <c r="BT36">
        <f>IFERROR(SMALL(BS5:BS36,ROW()-ROW($BT$5)+1),"")</f>
        <v>0</v>
      </c>
      <c r="BV36">
        <f>IFERROR(SUM(BT5:BT36),"")</f>
        <v>0</v>
      </c>
      <c r="BW36" cm="1">
        <f t="array" ref="BW36">_xlfn.SWITCH(Charts!$B$3,"average", AVERAGE(INDIRECT(ADDRESS(31+3,BW$2+1,,,"Instances") &amp; ":" &amp; ADDRESS(31+3,BW$2+1))),"median", MEDIAN(INDIRECT(ADDRESS(31+3,BW$2+1,,,"Instances") &amp; ":" &amp; ADDRESS(31+3,BW$2+1))),"min", MIN(INDIRECT(ADDRESS(31+3,BW$2+1,,,"Instances") &amp; ":" &amp; ADDRESS(31+3,BW$2+1))),"max", MAX(INDIRECT(ADDRESS(31+3,BW$2+1,,,"Instances") &amp; ":" &amp; ADDRESS(31+3,BW$2+1))),"diff", MAX(INDIRECT(ADDRESS(31+3,BW$2+1,,,"Instances") &amp; ":" &amp; ADDRESS(31+3,BW$2+1)))-MIN(INDIRECT(ADDRESS(31+3,BW$2+1,,,"Instances") &amp; ":" &amp; ADDRESS(31+3,BW$2+1))))</f>
        <v>0</v>
      </c>
      <c r="BX36">
        <f>IFERROR(SMALL(BW5:BW36,ROW()-ROW($BX$5)+1),"")</f>
        <v>0</v>
      </c>
      <c r="BZ36">
        <f>IFERROR(SUM(BX5:BX36),"")</f>
        <v>0</v>
      </c>
      <c r="CA36" cm="1">
        <f t="array" ref="CA36">_xlfn.SWITCH(Charts!$B$3,"average", AVERAGE(INDIRECT(ADDRESS(31+3,CA$2+1,,,"Instances") &amp; ":" &amp; ADDRESS(31+3,CA$2+1))),"median", MEDIAN(INDIRECT(ADDRESS(31+3,CA$2+1,,,"Instances") &amp; ":" &amp; ADDRESS(31+3,CA$2+1))),"min", MIN(INDIRECT(ADDRESS(31+3,CA$2+1,,,"Instances") &amp; ":" &amp; ADDRESS(31+3,CA$2+1))),"max", MAX(INDIRECT(ADDRESS(31+3,CA$2+1,,,"Instances") &amp; ":" &amp; ADDRESS(31+3,CA$2+1))),"diff", MAX(INDIRECT(ADDRESS(31+3,CA$2+1,,,"Instances") &amp; ":" &amp; ADDRESS(31+3,CA$2+1)))-MIN(INDIRECT(ADDRESS(31+3,CA$2+1,,,"Instances") &amp; ":" &amp; ADDRESS(31+3,CA$2+1))))</f>
        <v>0</v>
      </c>
      <c r="CB36">
        <f>IFERROR(SMALL(CA5:CA36,ROW()-ROW($CB$5)+1),"")</f>
        <v>0</v>
      </c>
      <c r="CD36">
        <f>IFERROR(SUM(CB5:CB36),"")</f>
        <v>0</v>
      </c>
      <c r="CE36" cm="1">
        <f t="array" ref="CE36">_xlfn.SWITCH(Charts!$B$3,"average", AVERAGE(INDIRECT(ADDRESS(31+3,CE$2+1,,,"Instances") &amp; ":" &amp; ADDRESS(31+3,CE$2+1))),"median", MEDIAN(INDIRECT(ADDRESS(31+3,CE$2+1,,,"Instances") &amp; ":" &amp; ADDRESS(31+3,CE$2+1))),"min", MIN(INDIRECT(ADDRESS(31+3,CE$2+1,,,"Instances") &amp; ":" &amp; ADDRESS(31+3,CE$2+1))),"max", MAX(INDIRECT(ADDRESS(31+3,CE$2+1,,,"Instances") &amp; ":" &amp; ADDRESS(31+3,CE$2+1))),"diff", MAX(INDIRECT(ADDRESS(31+3,CE$2+1,,,"Instances") &amp; ":" &amp; ADDRESS(31+3,CE$2+1)))-MIN(INDIRECT(ADDRESS(31+3,CE$2+1,,,"Instances") &amp; ":" &amp; ADDRESS(31+3,CE$2+1))))</f>
        <v>0</v>
      </c>
      <c r="CF36">
        <f>IFERROR(SMALL(CE5:CE36,ROW()-ROW($CF$5)+1),"")</f>
        <v>0</v>
      </c>
      <c r="CH36">
        <f>IFERROR(SUM(CF5:CF36),"")</f>
        <v>0</v>
      </c>
      <c r="CI36" cm="1">
        <f t="array" ref="CI36">_xlfn.SWITCH(Charts!$B$3,"average", AVERAGE(INDIRECT(ADDRESS(31+3,CI$2+1,,,"Instances") &amp; ":" &amp; ADDRESS(31+3,CI$2+1))),"median", MEDIAN(INDIRECT(ADDRESS(31+3,CI$2+1,,,"Instances") &amp; ":" &amp; ADDRESS(31+3,CI$2+1))),"min", MIN(INDIRECT(ADDRESS(31+3,CI$2+1,,,"Instances") &amp; ":" &amp; ADDRESS(31+3,CI$2+1))),"max", MAX(INDIRECT(ADDRESS(31+3,CI$2+1,,,"Instances") &amp; ":" &amp; ADDRESS(31+3,CI$2+1))),"diff", MAX(INDIRECT(ADDRESS(31+3,CI$2+1,,,"Instances") &amp; ":" &amp; ADDRESS(31+3,CI$2+1)))-MIN(INDIRECT(ADDRESS(31+3,CI$2+1,,,"Instances") &amp; ":" &amp; ADDRESS(31+3,CI$2+1))))</f>
        <v>0</v>
      </c>
      <c r="CJ36">
        <f>IFERROR(SMALL(CI5:CI36,ROW()-ROW($CJ$5)+1),"")</f>
        <v>0</v>
      </c>
      <c r="CL36">
        <f>IFERROR(SUM(CJ5:CJ36),"")</f>
        <v>0</v>
      </c>
      <c r="CM36" cm="1">
        <f t="array" ref="CM36">_xlfn.SWITCH(Charts!$B$3,"average", AVERAGE(INDIRECT(ADDRESS(31+3,CM$2+1,,,"Instances") &amp; ":" &amp; ADDRESS(31+3,CM$2+1))),"median", MEDIAN(INDIRECT(ADDRESS(31+3,CM$2+1,,,"Instances") &amp; ":" &amp; ADDRESS(31+3,CM$2+1))),"min", MIN(INDIRECT(ADDRESS(31+3,CM$2+1,,,"Instances") &amp; ":" &amp; ADDRESS(31+3,CM$2+1))),"max", MAX(INDIRECT(ADDRESS(31+3,CM$2+1,,,"Instances") &amp; ":" &amp; ADDRESS(31+3,CM$2+1))),"diff", MAX(INDIRECT(ADDRESS(31+3,CM$2+1,,,"Instances") &amp; ":" &amp; ADDRESS(31+3,CM$2+1)))-MIN(INDIRECT(ADDRESS(31+3,CM$2+1,,,"Instances") &amp; ":" &amp; ADDRESS(31+3,CM$2+1))))</f>
        <v>0</v>
      </c>
      <c r="CN36">
        <f>IFERROR(SMALL(CM5:CM36,ROW()-ROW($CN$5)+1),"")</f>
        <v>0</v>
      </c>
      <c r="CP36">
        <f>IFERROR(SUM(CN5:CN36),"")</f>
        <v>0</v>
      </c>
      <c r="CQ36" cm="1">
        <f t="array" ref="CQ36">_xlfn.SWITCH(Charts!$B$3,"average", AVERAGE(INDIRECT(ADDRESS(31+3,CQ$2+1,,,"Instances") &amp; ":" &amp; ADDRESS(31+3,CQ$2+1))),"median", MEDIAN(INDIRECT(ADDRESS(31+3,CQ$2+1,,,"Instances") &amp; ":" &amp; ADDRESS(31+3,CQ$2+1))),"min", MIN(INDIRECT(ADDRESS(31+3,CQ$2+1,,,"Instances") &amp; ":" &amp; ADDRESS(31+3,CQ$2+1))),"max", MAX(INDIRECT(ADDRESS(31+3,CQ$2+1,,,"Instances") &amp; ":" &amp; ADDRESS(31+3,CQ$2+1))),"diff", MAX(INDIRECT(ADDRESS(31+3,CQ$2+1,,,"Instances") &amp; ":" &amp; ADDRESS(31+3,CQ$2+1)))-MIN(INDIRECT(ADDRESS(31+3,CQ$2+1,,,"Instances") &amp; ":" &amp; ADDRESS(31+3,CQ$2+1))))</f>
        <v>0</v>
      </c>
      <c r="CR36">
        <f>IFERROR(SMALL(CQ5:CQ36,ROW()-ROW($CR$5)+1),"")</f>
        <v>0</v>
      </c>
      <c r="CT36">
        <f>IFERROR(SUM(CR5:CR36),"")</f>
        <v>0</v>
      </c>
      <c r="CU36" cm="1">
        <f t="array" ref="CU36">_xlfn.SWITCH(Charts!$B$3,"average", AVERAGE(INDIRECT(ADDRESS(31+3,CU$2+1,,,"Instances") &amp; ":" &amp; ADDRESS(31+3,CU$2+1))),"median", MEDIAN(INDIRECT(ADDRESS(31+3,CU$2+1,,,"Instances") &amp; ":" &amp; ADDRESS(31+3,CU$2+1))),"min", MIN(INDIRECT(ADDRESS(31+3,CU$2+1,,,"Instances") &amp; ":" &amp; ADDRESS(31+3,CU$2+1))),"max", MAX(INDIRECT(ADDRESS(31+3,CU$2+1,,,"Instances") &amp; ":" &amp; ADDRESS(31+3,CU$2+1))),"diff", MAX(INDIRECT(ADDRESS(31+3,CU$2+1,,,"Instances") &amp; ":" &amp; ADDRESS(31+3,CU$2+1)))-MIN(INDIRECT(ADDRESS(31+3,CU$2+1,,,"Instances") &amp; ":" &amp; ADDRESS(31+3,CU$2+1))))</f>
        <v>0</v>
      </c>
      <c r="CV36">
        <f>IFERROR(SMALL(CU5:CU36,ROW()-ROW($CV$5)+1),"")</f>
        <v>0</v>
      </c>
      <c r="CX36">
        <f>IFERROR(SUM(CV5:CV36),"")</f>
        <v>0</v>
      </c>
      <c r="CY36" cm="1">
        <f t="array" ref="CY36">_xlfn.SWITCH(Charts!$B$3,"average", AVERAGE(INDIRECT(ADDRESS(31+3,CY$2+1,,,"Instances") &amp; ":" &amp; ADDRESS(31+3,CY$2+1))),"median", MEDIAN(INDIRECT(ADDRESS(31+3,CY$2+1,,,"Instances") &amp; ":" &amp; ADDRESS(31+3,CY$2+1))),"min", MIN(INDIRECT(ADDRESS(31+3,CY$2+1,,,"Instances") &amp; ":" &amp; ADDRESS(31+3,CY$2+1))),"max", MAX(INDIRECT(ADDRESS(31+3,CY$2+1,,,"Instances") &amp; ":" &amp; ADDRESS(31+3,CY$2+1))),"diff", MAX(INDIRECT(ADDRESS(31+3,CY$2+1,,,"Instances") &amp; ":" &amp; ADDRESS(31+3,CY$2+1)))-MIN(INDIRECT(ADDRESS(31+3,CY$2+1,,,"Instances") &amp; ":" &amp; ADDRESS(31+3,CY$2+1))))</f>
        <v>0</v>
      </c>
      <c r="CZ36">
        <f>IFERROR(SMALL(CY5:CY36,ROW()-ROW($CZ$5)+1),"")</f>
        <v>0</v>
      </c>
      <c r="DB36">
        <f>IFERROR(SUM(CZ5:CZ36),"")</f>
        <v>0</v>
      </c>
      <c r="DC36" cm="1">
        <f t="array" ref="DC36">_xlfn.SWITCH(Charts!$B$3,"average", AVERAGE(INDIRECT(ADDRESS(31+3,DC$2+1,,,"Instances") &amp; ":" &amp; ADDRESS(31+3,DC$2+1))),"median", MEDIAN(INDIRECT(ADDRESS(31+3,DC$2+1,,,"Instances") &amp; ":" &amp; ADDRESS(31+3,DC$2+1))),"min", MIN(INDIRECT(ADDRESS(31+3,DC$2+1,,,"Instances") &amp; ":" &amp; ADDRESS(31+3,DC$2+1))),"max", MAX(INDIRECT(ADDRESS(31+3,DC$2+1,,,"Instances") &amp; ":" &amp; ADDRESS(31+3,DC$2+1))),"diff", MAX(INDIRECT(ADDRESS(31+3,DC$2+1,,,"Instances") &amp; ":" &amp; ADDRESS(31+3,DC$2+1)))-MIN(INDIRECT(ADDRESS(31+3,DC$2+1,,,"Instances") &amp; ":" &amp; ADDRESS(31+3,DC$2+1))))</f>
        <v>0</v>
      </c>
      <c r="DD36">
        <f>IFERROR(SMALL(DC5:DC36,ROW()-ROW($DD$5)+1),"")</f>
        <v>0</v>
      </c>
      <c r="DF36">
        <f>IFERROR(SUM(DD5:DD36),"")</f>
        <v>0</v>
      </c>
      <c r="DG36" cm="1">
        <f t="array" ref="DG36">_xlfn.SWITCH(Charts!$B$3,"average", AVERAGE(INDIRECT(ADDRESS(31+3,DG$2+1,,,"Instances") &amp; ":" &amp; ADDRESS(31+3,DG$2+1))),"median", MEDIAN(INDIRECT(ADDRESS(31+3,DG$2+1,,,"Instances") &amp; ":" &amp; ADDRESS(31+3,DG$2+1))),"min", MIN(INDIRECT(ADDRESS(31+3,DG$2+1,,,"Instances") &amp; ":" &amp; ADDRESS(31+3,DG$2+1))),"max", MAX(INDIRECT(ADDRESS(31+3,DG$2+1,,,"Instances") &amp; ":" &amp; ADDRESS(31+3,DG$2+1))),"diff", MAX(INDIRECT(ADDRESS(31+3,DG$2+1,,,"Instances") &amp; ":" &amp; ADDRESS(31+3,DG$2+1)))-MIN(INDIRECT(ADDRESS(31+3,DG$2+1,,,"Instances") &amp; ":" &amp; ADDRESS(31+3,DG$2+1))))</f>
        <v>0</v>
      </c>
      <c r="DH36">
        <f>IFERROR(SMALL(DG5:DG36,ROW()-ROW($DH$5)+1),"")</f>
        <v>0</v>
      </c>
      <c r="DJ36">
        <f>IFERROR(SUM(DH5:DH36),"")</f>
        <v>0</v>
      </c>
      <c r="DK36" cm="1">
        <f t="array" ref="DK36">_xlfn.SWITCH(Charts!$B$3,"average", AVERAGE(INDIRECT(ADDRESS(31+3,DK$2+1,,,"Instances") &amp; ":" &amp; ADDRESS(31+3,DK$2+1))),"median", MEDIAN(INDIRECT(ADDRESS(31+3,DK$2+1,,,"Instances") &amp; ":" &amp; ADDRESS(31+3,DK$2+1))),"min", MIN(INDIRECT(ADDRESS(31+3,DK$2+1,,,"Instances") &amp; ":" &amp; ADDRESS(31+3,DK$2+1))),"max", MAX(INDIRECT(ADDRESS(31+3,DK$2+1,,,"Instances") &amp; ":" &amp; ADDRESS(31+3,DK$2+1))),"diff", MAX(INDIRECT(ADDRESS(31+3,DK$2+1,,,"Instances") &amp; ":" &amp; ADDRESS(31+3,DK$2+1)))-MIN(INDIRECT(ADDRESS(31+3,DK$2+1,,,"Instances") &amp; ":" &amp; ADDRESS(31+3,DK$2+1))))</f>
        <v>0</v>
      </c>
      <c r="DL36">
        <f>IFERROR(SMALL(DK5:DK36,ROW()-ROW($DL$5)+1),"")</f>
        <v>0</v>
      </c>
      <c r="DN36">
        <f>IFERROR(SUM(DL5:DL36),"")</f>
        <v>0</v>
      </c>
      <c r="DO36" cm="1">
        <f t="array" ref="DO36">_xlfn.SWITCH(Charts!$B$3,"average", AVERAGE(INDIRECT(ADDRESS(31+3,DO$2+1,,,"Instances") &amp; ":" &amp; ADDRESS(31+3,DO$2+1))),"median", MEDIAN(INDIRECT(ADDRESS(31+3,DO$2+1,,,"Instances") &amp; ":" &amp; ADDRESS(31+3,DO$2+1))),"min", MIN(INDIRECT(ADDRESS(31+3,DO$2+1,,,"Instances") &amp; ":" &amp; ADDRESS(31+3,DO$2+1))),"max", MAX(INDIRECT(ADDRESS(31+3,DO$2+1,,,"Instances") &amp; ":" &amp; ADDRESS(31+3,DO$2+1))),"diff", MAX(INDIRECT(ADDRESS(31+3,DO$2+1,,,"Instances") &amp; ":" &amp; ADDRESS(31+3,DO$2+1)))-MIN(INDIRECT(ADDRESS(31+3,DO$2+1,,,"Instances") &amp; ":" &amp; ADDRESS(31+3,DO$2+1))))</f>
        <v>0</v>
      </c>
      <c r="DP36">
        <f>IFERROR(SMALL(DO5:DO36,ROW()-ROW($DP$5)+1),"")</f>
        <v>0</v>
      </c>
      <c r="DR36">
        <f>IFERROR(SUM(DP5:DP36),"")</f>
        <v>0</v>
      </c>
      <c r="DS36" cm="1">
        <f t="array" ref="DS36">_xlfn.SWITCH(Charts!$B$3,"average", AVERAGE(INDIRECT(ADDRESS(31+3,DS$2+1,,,"Instances") &amp; ":" &amp; ADDRESS(31+3,DS$2+1))),"median", MEDIAN(INDIRECT(ADDRESS(31+3,DS$2+1,,,"Instances") &amp; ":" &amp; ADDRESS(31+3,DS$2+1))),"min", MIN(INDIRECT(ADDRESS(31+3,DS$2+1,,,"Instances") &amp; ":" &amp; ADDRESS(31+3,DS$2+1))),"max", MAX(INDIRECT(ADDRESS(31+3,DS$2+1,,,"Instances") &amp; ":" &amp; ADDRESS(31+3,DS$2+1))),"diff", MAX(INDIRECT(ADDRESS(31+3,DS$2+1,,,"Instances") &amp; ":" &amp; ADDRESS(31+3,DS$2+1)))-MIN(INDIRECT(ADDRESS(31+3,DS$2+1,,,"Instances") &amp; ":" &amp; ADDRESS(31+3,DS$2+1))))</f>
        <v>0</v>
      </c>
      <c r="DT36">
        <f>IFERROR(SMALL(DS5:DS36,ROW()-ROW($DT$5)+1),"")</f>
        <v>0</v>
      </c>
      <c r="DV36">
        <f>IFERROR(SUM(DT5:DT36),"")</f>
        <v>0</v>
      </c>
      <c r="DW36" cm="1">
        <f t="array" ref="DW36">_xlfn.SWITCH(Charts!$B$3,"average", AVERAGE(INDIRECT(ADDRESS(31+3,DW$2+1,,,"Instances") &amp; ":" &amp; ADDRESS(31+3,DW$2+1))),"median", MEDIAN(INDIRECT(ADDRESS(31+3,DW$2+1,,,"Instances") &amp; ":" &amp; ADDRESS(31+3,DW$2+1))),"min", MIN(INDIRECT(ADDRESS(31+3,DW$2+1,,,"Instances") &amp; ":" &amp; ADDRESS(31+3,DW$2+1))),"max", MAX(INDIRECT(ADDRESS(31+3,DW$2+1,,,"Instances") &amp; ":" &amp; ADDRESS(31+3,DW$2+1))),"diff", MAX(INDIRECT(ADDRESS(31+3,DW$2+1,,,"Instances") &amp; ":" &amp; ADDRESS(31+3,DW$2+1)))-MIN(INDIRECT(ADDRESS(31+3,DW$2+1,,,"Instances") &amp; ":" &amp; ADDRESS(31+3,DW$2+1))))</f>
        <v>0</v>
      </c>
      <c r="DX36">
        <f>IFERROR(SMALL(DW5:DW36,ROW()-ROW($DX$5)+1),"")</f>
        <v>0</v>
      </c>
      <c r="DZ36">
        <f>IFERROR(SUM(DX5:DX36),"")</f>
        <v>0</v>
      </c>
      <c r="EA36" cm="1">
        <f t="array" ref="EA36">_xlfn.SWITCH(Charts!$B$3,"average", AVERAGE(INDIRECT(ADDRESS(31+3,EA$2+1,,,"Instances") &amp; ":" &amp; ADDRESS(31+3,EA$2+1))),"median", MEDIAN(INDIRECT(ADDRESS(31+3,EA$2+1,,,"Instances") &amp; ":" &amp; ADDRESS(31+3,EA$2+1))),"min", MIN(INDIRECT(ADDRESS(31+3,EA$2+1,,,"Instances") &amp; ":" &amp; ADDRESS(31+3,EA$2+1))),"max", MAX(INDIRECT(ADDRESS(31+3,EA$2+1,,,"Instances") &amp; ":" &amp; ADDRESS(31+3,EA$2+1))),"diff", MAX(INDIRECT(ADDRESS(31+3,EA$2+1,,,"Instances") &amp; ":" &amp; ADDRESS(31+3,EA$2+1)))-MIN(INDIRECT(ADDRESS(31+3,EA$2+1,,,"Instances") &amp; ":" &amp; ADDRESS(31+3,EA$2+1))))</f>
        <v>0</v>
      </c>
      <c r="EB36">
        <f>IFERROR(SMALL(EA5:EA36,ROW()-ROW($EB$5)+1),"")</f>
        <v>0</v>
      </c>
      <c r="ED36">
        <f>IFERROR(SUM(EB5:EB36),"")</f>
        <v>0</v>
      </c>
      <c r="EG36">
        <f>IF(Charts!$B$3="none",E203,IF(BS203="",NA(),BS203))</f>
        <v>0</v>
      </c>
      <c r="EH36">
        <f>IF(Charts!$B$3="none",F203,IF(BT203="",NA(),BT203))</f>
        <v>0</v>
      </c>
      <c r="EI36">
        <f>IF(Charts!$B$3="none",G203,IF(BU203="",NA(),BU203))</f>
        <v>0</v>
      </c>
      <c r="EJ36">
        <f>IF(Charts!$B$3="none",H203,IF(BV203="",NA(),BV203))</f>
        <v>0</v>
      </c>
      <c r="EK36">
        <f>IF(Charts!$B$3="none",I203,IF(BW203="",NA(),BW203))</f>
        <v>0</v>
      </c>
      <c r="EL36">
        <f>IF(Charts!$B$3="none",J203,IF(BX203="",NA(),BX203))</f>
        <v>0</v>
      </c>
      <c r="EM36">
        <f>IF(Charts!$B$3="none",K203,IF(BY203="",NA(),BY203))</f>
        <v>0</v>
      </c>
      <c r="EN36">
        <f>IF(Charts!$B$3="none",L203,IF(BZ203="",NA(),BZ203))</f>
        <v>0</v>
      </c>
      <c r="EO36">
        <f>IF(Charts!$B$3="none",M203,IF(CA203="",NA(),CA203))</f>
        <v>0</v>
      </c>
      <c r="EP36">
        <f>IF(Charts!$B$3="none",N203,IF(CB203="",NA(),CB203))</f>
        <v>0</v>
      </c>
      <c r="EQ36">
        <f>IF(Charts!$B$3="none",O203,IF(CC203="",NA(),CC203))</f>
        <v>0</v>
      </c>
      <c r="ER36">
        <f>IF(Charts!$B$3="none",P203,IF(CD203="",NA(),CD203))</f>
        <v>0</v>
      </c>
      <c r="ES36">
        <f>IF(Charts!$B$3="none",Q203,IF(CE203="",NA(),CE203))</f>
        <v>0</v>
      </c>
      <c r="ET36">
        <f>IF(Charts!$B$3="none",R203,IF(CF203="",NA(),CF203))</f>
        <v>0</v>
      </c>
      <c r="EU36">
        <f>IF(Charts!$B$3="none",S203,IF(CG203="",NA(),CG203))</f>
        <v>0</v>
      </c>
      <c r="EV36">
        <f>IF(Charts!$B$3="none",T203,IF(CH203="",NA(),CH203))</f>
        <v>0</v>
      </c>
      <c r="EW36">
        <f>IF(Charts!$B$3="none",U203,IF(CI203="",NA(),CI203))</f>
        <v>0</v>
      </c>
      <c r="EX36">
        <f>IF(Charts!$B$3="none",V203,IF(CJ203="",NA(),CJ203))</f>
        <v>0</v>
      </c>
      <c r="EY36">
        <f>IF(Charts!$B$3="none",W203,IF(CK203="",NA(),CK203))</f>
        <v>0</v>
      </c>
      <c r="EZ36">
        <f>IF(Charts!$B$3="none",X203,IF(CL203="",NA(),CL203))</f>
        <v>0</v>
      </c>
      <c r="FA36">
        <f>IF(Charts!$B$3="none",Y203,IF(CM203="",NA(),CM203))</f>
        <v>0</v>
      </c>
      <c r="FB36">
        <f>IF(Charts!$B$3="none",Z203,IF(CN203="",NA(),CN203))</f>
        <v>0</v>
      </c>
      <c r="FC36">
        <f>IF(Charts!$B$3="none",AA203,IF(CO203="",NA(),CO203))</f>
        <v>0</v>
      </c>
      <c r="FD36">
        <f>IF(Charts!$B$3="none",AB203,IF(CP203="",NA(),CP203))</f>
        <v>0</v>
      </c>
      <c r="FE36">
        <f>IF(Charts!$B$3="none",AC203,IF(CQ203="",NA(),CQ203))</f>
        <v>0</v>
      </c>
      <c r="FF36">
        <f>IF(Charts!$B$3="none",AD203,IF(CR203="",NA(),CR203))</f>
        <v>0</v>
      </c>
      <c r="FG36">
        <f>IF(Charts!$B$3="none",AE203,IF(CS203="",NA(),CS203))</f>
        <v>0</v>
      </c>
      <c r="FH36">
        <f>IF(Charts!$B$3="none",AF203,IF(CT203="",NA(),CT203))</f>
        <v>0</v>
      </c>
      <c r="FI36">
        <f>IF(Charts!$B$3="none",AG203,IF(CU203="",NA(),CU203))</f>
        <v>0</v>
      </c>
      <c r="FJ36">
        <f>IF(Charts!$B$3="none",AH203,IF(CV203="",NA(),CV203))</f>
        <v>0</v>
      </c>
      <c r="FK36">
        <f>IF(Charts!$B$3="none",AI203,IF(CW203="",NA(),CW203))</f>
        <v>0</v>
      </c>
      <c r="FL36">
        <f>IF(Charts!$B$3="none",AJ203,IF(CX203="",NA(),CX203))</f>
        <v>0</v>
      </c>
      <c r="FM36">
        <f>IF(Charts!$B$3="none",AK203,IF(CY203="",NA(),CY203))</f>
        <v>0</v>
      </c>
      <c r="FN36">
        <f>IF(Charts!$B$3="none",AL203,IF(CZ203="",NA(),CZ203))</f>
        <v>0</v>
      </c>
      <c r="FO36">
        <f>IF(Charts!$B$3="none",AM203,IF(DA203="",NA(),DA203))</f>
        <v>0</v>
      </c>
      <c r="FP36">
        <f>IF(Charts!$B$3="none",AN203,IF(DB203="",NA(),DB203))</f>
        <v>0</v>
      </c>
      <c r="FQ36">
        <f>IF(Charts!$B$3="none",AO203,IF(DC203="",NA(),DC203))</f>
        <v>0</v>
      </c>
      <c r="FR36">
        <f>IF(Charts!$B$3="none",AP203,IF(DD203="",NA(),DD203))</f>
        <v>0</v>
      </c>
      <c r="FS36">
        <f>IF(Charts!$B$3="none",AQ203,IF(DE203="",NA(),DE203))</f>
        <v>0</v>
      </c>
      <c r="FT36">
        <f>IF(Charts!$B$3="none",AR203,IF(DF203="",NA(),DF203))</f>
        <v>0</v>
      </c>
      <c r="FU36">
        <f>IF(Charts!$B$3="none",AS203,IF(DG203="",NA(),DG203))</f>
        <v>0</v>
      </c>
      <c r="FV36">
        <f>IF(Charts!$B$3="none",AT203,IF(DH203="",NA(),DH203))</f>
        <v>0</v>
      </c>
      <c r="FW36">
        <f>IF(Charts!$B$3="none",AU203,IF(DI203="",NA(),DI203))</f>
        <v>0</v>
      </c>
      <c r="FX36">
        <f>IF(Charts!$B$3="none",AV203,IF(DJ203="",NA(),DJ203))</f>
        <v>0</v>
      </c>
      <c r="FY36">
        <f>IF(Charts!$B$3="none",AW203,IF(DK203="",NA(),DK203))</f>
        <v>0</v>
      </c>
      <c r="FZ36">
        <f>IF(Charts!$B$3="none",AX203,IF(DL203="",NA(),DL203))</f>
        <v>0</v>
      </c>
      <c r="GA36">
        <f>IF(Charts!$B$3="none",AY203,IF(DM203="",NA(),DM203))</f>
        <v>0</v>
      </c>
      <c r="GB36">
        <f>IF(Charts!$B$3="none",AZ203,IF(DN203="",NA(),DN203))</f>
        <v>0</v>
      </c>
      <c r="GC36">
        <f>IF(Charts!$B$3="none",BA203,IF(DO203="",NA(),DO203))</f>
        <v>0</v>
      </c>
      <c r="GD36">
        <f>IF(Charts!$B$3="none",BB203,IF(DP203="",NA(),DP203))</f>
        <v>0</v>
      </c>
      <c r="GE36">
        <f>IF(Charts!$B$3="none",BC203,IF(DQ203="",NA(),DQ203))</f>
        <v>0</v>
      </c>
      <c r="GF36">
        <f>IF(Charts!$B$3="none",BD203,IF(DR203="",NA(),DR203))</f>
        <v>0</v>
      </c>
      <c r="GG36">
        <f>IF(Charts!$B$3="none",BE203,IF(DS203="",NA(),DS203))</f>
        <v>0</v>
      </c>
      <c r="GH36">
        <f>IF(Charts!$B$3="none",BF203,IF(DT203="",NA(),DT203))</f>
        <v>0</v>
      </c>
      <c r="GI36">
        <f>IF(Charts!$B$3="none",BG203,IF(DU203="",NA(),DU203))</f>
        <v>0</v>
      </c>
      <c r="GJ36">
        <f>IF(Charts!$B$3="none",BH203,IF(DV203="",NA(),DV203))</f>
        <v>0</v>
      </c>
      <c r="GK36">
        <f>IF(Charts!$B$3="none",BI203,IF(DW203="",NA(),DW203))</f>
        <v>0</v>
      </c>
      <c r="GL36">
        <f>IF(Charts!$B$3="none",BJ203,IF(DX203="",NA(),DX203))</f>
        <v>0</v>
      </c>
      <c r="GM36">
        <f>IF(Charts!$B$3="none",BK203,IF(DY203="",NA(),DY203))</f>
        <v>0</v>
      </c>
      <c r="GN36">
        <f>IF(Charts!$B$3="none",BL203,IF(DZ203="",NA(),DZ203))</f>
        <v>0</v>
      </c>
      <c r="GO36">
        <f>IF(Charts!$B$3="none",BM203,IF(EA203="",NA(),EA203))</f>
        <v>0</v>
      </c>
      <c r="GP36">
        <f>IF(Charts!$B$3="none",BN203,IF(EB203="",NA(),EB203))</f>
        <v>0</v>
      </c>
      <c r="GQ36">
        <f>IF(Charts!$B$3="none",BO203,IF(EC203="",NA(),EC203))</f>
        <v>0</v>
      </c>
      <c r="GR36">
        <f>IF(Charts!$B$3="none",BP203,IF(ED203="",NA(),ED203))</f>
        <v>0</v>
      </c>
    </row>
    <row r="37" spans="4:200">
      <c r="EG37">
        <f>IF(Charts!$B$3="none",E204,IF(BS204="",NA(),BS204))</f>
        <v>0</v>
      </c>
      <c r="EH37">
        <f>IF(Charts!$B$3="none",F204,IF(BT204="",NA(),BT204))</f>
        <v>0</v>
      </c>
      <c r="EI37">
        <f>IF(Charts!$B$3="none",G204,IF(BU204="",NA(),BU204))</f>
        <v>0</v>
      </c>
      <c r="EJ37">
        <f>IF(Charts!$B$3="none",H204,IF(BV204="",NA(),BV204))</f>
        <v>0</v>
      </c>
      <c r="EK37">
        <f>IF(Charts!$B$3="none",I204,IF(BW204="",NA(),BW204))</f>
        <v>0</v>
      </c>
      <c r="EL37">
        <f>IF(Charts!$B$3="none",J204,IF(BX204="",NA(),BX204))</f>
        <v>0</v>
      </c>
      <c r="EM37">
        <f>IF(Charts!$B$3="none",K204,IF(BY204="",NA(),BY204))</f>
        <v>0</v>
      </c>
      <c r="EN37">
        <f>IF(Charts!$B$3="none",L204,IF(BZ204="",NA(),BZ204))</f>
        <v>0</v>
      </c>
      <c r="EO37">
        <f>IF(Charts!$B$3="none",M204,IF(CA204="",NA(),CA204))</f>
        <v>0</v>
      </c>
      <c r="EP37">
        <f>IF(Charts!$B$3="none",N204,IF(CB204="",NA(),CB204))</f>
        <v>0</v>
      </c>
      <c r="EQ37">
        <f>IF(Charts!$B$3="none",O204,IF(CC204="",NA(),CC204))</f>
        <v>0</v>
      </c>
      <c r="ER37">
        <f>IF(Charts!$B$3="none",P204,IF(CD204="",NA(),CD204))</f>
        <v>0</v>
      </c>
      <c r="ES37">
        <f>IF(Charts!$B$3="none",Q204,IF(CE204="",NA(),CE204))</f>
        <v>0</v>
      </c>
      <c r="ET37">
        <f>IF(Charts!$B$3="none",R204,IF(CF204="",NA(),CF204))</f>
        <v>0</v>
      </c>
      <c r="EU37">
        <f>IF(Charts!$B$3="none",S204,IF(CG204="",NA(),CG204))</f>
        <v>0</v>
      </c>
      <c r="EV37">
        <f>IF(Charts!$B$3="none",T204,IF(CH204="",NA(),CH204))</f>
        <v>0</v>
      </c>
      <c r="EW37">
        <f>IF(Charts!$B$3="none",U204,IF(CI204="",NA(),CI204))</f>
        <v>0</v>
      </c>
      <c r="EX37">
        <f>IF(Charts!$B$3="none",V204,IF(CJ204="",NA(),CJ204))</f>
        <v>0</v>
      </c>
      <c r="EY37">
        <f>IF(Charts!$B$3="none",W204,IF(CK204="",NA(),CK204))</f>
        <v>0</v>
      </c>
      <c r="EZ37">
        <f>IF(Charts!$B$3="none",X204,IF(CL204="",NA(),CL204))</f>
        <v>0</v>
      </c>
      <c r="FA37">
        <f>IF(Charts!$B$3="none",Y204,IF(CM204="",NA(),CM204))</f>
        <v>0</v>
      </c>
      <c r="FB37">
        <f>IF(Charts!$B$3="none",Z204,IF(CN204="",NA(),CN204))</f>
        <v>0</v>
      </c>
      <c r="FC37">
        <f>IF(Charts!$B$3="none",AA204,IF(CO204="",NA(),CO204))</f>
        <v>0</v>
      </c>
      <c r="FD37">
        <f>IF(Charts!$B$3="none",AB204,IF(CP204="",NA(),CP204))</f>
        <v>0</v>
      </c>
      <c r="FE37">
        <f>IF(Charts!$B$3="none",AC204,IF(CQ204="",NA(),CQ204))</f>
        <v>0</v>
      </c>
      <c r="FF37">
        <f>IF(Charts!$B$3="none",AD204,IF(CR204="",NA(),CR204))</f>
        <v>0</v>
      </c>
      <c r="FG37">
        <f>IF(Charts!$B$3="none",AE204,IF(CS204="",NA(),CS204))</f>
        <v>0</v>
      </c>
      <c r="FH37">
        <f>IF(Charts!$B$3="none",AF204,IF(CT204="",NA(),CT204))</f>
        <v>0</v>
      </c>
      <c r="FI37">
        <f>IF(Charts!$B$3="none",AG204,IF(CU204="",NA(),CU204))</f>
        <v>0</v>
      </c>
      <c r="FJ37">
        <f>IF(Charts!$B$3="none",AH204,IF(CV204="",NA(),CV204))</f>
        <v>0</v>
      </c>
      <c r="FK37">
        <f>IF(Charts!$B$3="none",AI204,IF(CW204="",NA(),CW204))</f>
        <v>0</v>
      </c>
      <c r="FL37">
        <f>IF(Charts!$B$3="none",AJ204,IF(CX204="",NA(),CX204))</f>
        <v>0</v>
      </c>
      <c r="FM37">
        <f>IF(Charts!$B$3="none",AK204,IF(CY204="",NA(),CY204))</f>
        <v>0</v>
      </c>
      <c r="FN37">
        <f>IF(Charts!$B$3="none",AL204,IF(CZ204="",NA(),CZ204))</f>
        <v>0</v>
      </c>
      <c r="FO37">
        <f>IF(Charts!$B$3="none",AM204,IF(DA204="",NA(),DA204))</f>
        <v>0</v>
      </c>
      <c r="FP37">
        <f>IF(Charts!$B$3="none",AN204,IF(DB204="",NA(),DB204))</f>
        <v>0</v>
      </c>
      <c r="FQ37">
        <f>IF(Charts!$B$3="none",AO204,IF(DC204="",NA(),DC204))</f>
        <v>0</v>
      </c>
      <c r="FR37">
        <f>IF(Charts!$B$3="none",AP204,IF(DD204="",NA(),DD204))</f>
        <v>0</v>
      </c>
      <c r="FS37">
        <f>IF(Charts!$B$3="none",AQ204,IF(DE204="",NA(),DE204))</f>
        <v>0</v>
      </c>
      <c r="FT37">
        <f>IF(Charts!$B$3="none",AR204,IF(DF204="",NA(),DF204))</f>
        <v>0</v>
      </c>
      <c r="FU37">
        <f>IF(Charts!$B$3="none",AS204,IF(DG204="",NA(),DG204))</f>
        <v>0</v>
      </c>
      <c r="FV37">
        <f>IF(Charts!$B$3="none",AT204,IF(DH204="",NA(),DH204))</f>
        <v>0</v>
      </c>
      <c r="FW37">
        <f>IF(Charts!$B$3="none",AU204,IF(DI204="",NA(),DI204))</f>
        <v>0</v>
      </c>
      <c r="FX37">
        <f>IF(Charts!$B$3="none",AV204,IF(DJ204="",NA(),DJ204))</f>
        <v>0</v>
      </c>
      <c r="FY37">
        <f>IF(Charts!$B$3="none",AW204,IF(DK204="",NA(),DK204))</f>
        <v>0</v>
      </c>
      <c r="FZ37">
        <f>IF(Charts!$B$3="none",AX204,IF(DL204="",NA(),DL204))</f>
        <v>0</v>
      </c>
      <c r="GA37">
        <f>IF(Charts!$B$3="none",AY204,IF(DM204="",NA(),DM204))</f>
        <v>0</v>
      </c>
      <c r="GB37">
        <f>IF(Charts!$B$3="none",AZ204,IF(DN204="",NA(),DN204))</f>
        <v>0</v>
      </c>
      <c r="GC37">
        <f>IF(Charts!$B$3="none",BA204,IF(DO204="",NA(),DO204))</f>
        <v>0</v>
      </c>
      <c r="GD37">
        <f>IF(Charts!$B$3="none",BB204,IF(DP204="",NA(),DP204))</f>
        <v>0</v>
      </c>
      <c r="GE37">
        <f>IF(Charts!$B$3="none",BC204,IF(DQ204="",NA(),DQ204))</f>
        <v>0</v>
      </c>
      <c r="GF37">
        <f>IF(Charts!$B$3="none",BD204,IF(DR204="",NA(),DR204))</f>
        <v>0</v>
      </c>
      <c r="GG37">
        <f>IF(Charts!$B$3="none",BE204,IF(DS204="",NA(),DS204))</f>
        <v>0</v>
      </c>
      <c r="GH37">
        <f>IF(Charts!$B$3="none",BF204,IF(DT204="",NA(),DT204))</f>
        <v>0</v>
      </c>
      <c r="GI37">
        <f>IF(Charts!$B$3="none",BG204,IF(DU204="",NA(),DU204))</f>
        <v>0</v>
      </c>
      <c r="GJ37">
        <f>IF(Charts!$B$3="none",BH204,IF(DV204="",NA(),DV204))</f>
        <v>0</v>
      </c>
      <c r="GK37">
        <f>IF(Charts!$B$3="none",BI204,IF(DW204="",NA(),DW204))</f>
        <v>0</v>
      </c>
      <c r="GL37">
        <f>IF(Charts!$B$3="none",BJ204,IF(DX204="",NA(),DX204))</f>
        <v>0</v>
      </c>
      <c r="GM37">
        <f>IF(Charts!$B$3="none",BK204,IF(DY204="",NA(),DY204))</f>
        <v>0</v>
      </c>
      <c r="GN37">
        <f>IF(Charts!$B$3="none",BL204,IF(DZ204="",NA(),DZ204))</f>
        <v>0</v>
      </c>
      <c r="GO37">
        <f>IF(Charts!$B$3="none",BM204,IF(EA204="",NA(),EA204))</f>
        <v>0</v>
      </c>
      <c r="GP37">
        <f>IF(Charts!$B$3="none",BN204,IF(EB204="",NA(),EB204))</f>
        <v>0</v>
      </c>
      <c r="GQ37">
        <f>IF(Charts!$B$3="none",BO204,IF(EC204="",NA(),EC204))</f>
        <v>0</v>
      </c>
      <c r="GR37">
        <f>IF(Charts!$B$3="none",BP204,IF(ED204="",NA(),ED204))</f>
        <v>0</v>
      </c>
    </row>
    <row r="38" spans="4:200">
      <c r="D38" t="s">
        <v>83</v>
      </c>
      <c r="E38" t="s">
        <v>82</v>
      </c>
      <c r="F38" t="s">
        <v>87</v>
      </c>
      <c r="G38" t="s">
        <v>82</v>
      </c>
      <c r="H38" t="s">
        <v>88</v>
      </c>
      <c r="I38" t="s">
        <v>82</v>
      </c>
      <c r="J38" t="s">
        <v>87</v>
      </c>
      <c r="K38" t="s">
        <v>82</v>
      </c>
      <c r="L38" t="s">
        <v>88</v>
      </c>
      <c r="M38" t="s">
        <v>82</v>
      </c>
      <c r="N38" t="s">
        <v>87</v>
      </c>
      <c r="O38" t="s">
        <v>82</v>
      </c>
      <c r="P38" t="s">
        <v>88</v>
      </c>
      <c r="Q38" t="s">
        <v>82</v>
      </c>
      <c r="R38" t="s">
        <v>87</v>
      </c>
      <c r="S38" t="s">
        <v>82</v>
      </c>
      <c r="T38" t="s">
        <v>88</v>
      </c>
      <c r="U38" t="s">
        <v>82</v>
      </c>
      <c r="V38" t="s">
        <v>87</v>
      </c>
      <c r="W38" t="s">
        <v>82</v>
      </c>
      <c r="X38" t="s">
        <v>88</v>
      </c>
      <c r="Y38" t="s">
        <v>82</v>
      </c>
      <c r="Z38" t="s">
        <v>87</v>
      </c>
      <c r="AA38" t="s">
        <v>82</v>
      </c>
      <c r="AB38" t="s">
        <v>88</v>
      </c>
      <c r="AC38" t="s">
        <v>82</v>
      </c>
      <c r="AD38" t="s">
        <v>87</v>
      </c>
      <c r="AE38" t="s">
        <v>82</v>
      </c>
      <c r="AF38" t="s">
        <v>88</v>
      </c>
      <c r="AG38" t="s">
        <v>82</v>
      </c>
      <c r="AH38" t="s">
        <v>87</v>
      </c>
      <c r="AI38" t="s">
        <v>82</v>
      </c>
      <c r="AJ38" t="s">
        <v>88</v>
      </c>
      <c r="AK38" t="s">
        <v>82</v>
      </c>
      <c r="AL38" t="s">
        <v>87</v>
      </c>
      <c r="AM38" t="s">
        <v>82</v>
      </c>
      <c r="AN38" t="s">
        <v>88</v>
      </c>
      <c r="AO38" t="s">
        <v>82</v>
      </c>
      <c r="AP38" t="s">
        <v>87</v>
      </c>
      <c r="AQ38" t="s">
        <v>82</v>
      </c>
      <c r="AR38" t="s">
        <v>88</v>
      </c>
      <c r="AS38" t="s">
        <v>82</v>
      </c>
      <c r="AT38" t="s">
        <v>87</v>
      </c>
      <c r="AU38" t="s">
        <v>82</v>
      </c>
      <c r="AV38" t="s">
        <v>88</v>
      </c>
      <c r="AW38" t="s">
        <v>82</v>
      </c>
      <c r="AX38" t="s">
        <v>87</v>
      </c>
      <c r="AY38" t="s">
        <v>82</v>
      </c>
      <c r="AZ38" t="s">
        <v>88</v>
      </c>
      <c r="BA38" t="s">
        <v>82</v>
      </c>
      <c r="BB38" t="s">
        <v>87</v>
      </c>
      <c r="BC38" t="s">
        <v>82</v>
      </c>
      <c r="BD38" t="s">
        <v>88</v>
      </c>
      <c r="BE38" t="s">
        <v>82</v>
      </c>
      <c r="BF38" t="s">
        <v>87</v>
      </c>
      <c r="BG38" t="s">
        <v>82</v>
      </c>
      <c r="BH38" t="s">
        <v>88</v>
      </c>
      <c r="BI38" t="s">
        <v>82</v>
      </c>
      <c r="BJ38" t="s">
        <v>87</v>
      </c>
      <c r="BK38" t="s">
        <v>82</v>
      </c>
      <c r="BL38" t="s">
        <v>88</v>
      </c>
      <c r="BM38" t="s">
        <v>82</v>
      </c>
      <c r="BN38" t="s">
        <v>87</v>
      </c>
      <c r="BO38" t="s">
        <v>82</v>
      </c>
      <c r="BP38" t="s">
        <v>88</v>
      </c>
      <c r="BR38" t="s">
        <v>83</v>
      </c>
      <c r="BS38" t="s">
        <v>82</v>
      </c>
      <c r="BT38" t="s">
        <v>87</v>
      </c>
      <c r="BU38" t="s">
        <v>82</v>
      </c>
      <c r="BV38" t="s">
        <v>88</v>
      </c>
      <c r="BW38" t="s">
        <v>82</v>
      </c>
      <c r="BX38" t="s">
        <v>87</v>
      </c>
      <c r="BY38" t="s">
        <v>82</v>
      </c>
      <c r="BZ38" t="s">
        <v>88</v>
      </c>
      <c r="CA38" t="s">
        <v>82</v>
      </c>
      <c r="CB38" t="s">
        <v>87</v>
      </c>
      <c r="CC38" t="s">
        <v>82</v>
      </c>
      <c r="CD38" t="s">
        <v>88</v>
      </c>
      <c r="CE38" t="s">
        <v>82</v>
      </c>
      <c r="CF38" t="s">
        <v>87</v>
      </c>
      <c r="CG38" t="s">
        <v>82</v>
      </c>
      <c r="CH38" t="s">
        <v>88</v>
      </c>
      <c r="CI38" t="s">
        <v>82</v>
      </c>
      <c r="CJ38" t="s">
        <v>87</v>
      </c>
      <c r="CK38" t="s">
        <v>82</v>
      </c>
      <c r="CL38" t="s">
        <v>88</v>
      </c>
      <c r="CM38" t="s">
        <v>82</v>
      </c>
      <c r="CN38" t="s">
        <v>87</v>
      </c>
      <c r="CO38" t="s">
        <v>82</v>
      </c>
      <c r="CP38" t="s">
        <v>88</v>
      </c>
      <c r="CQ38" t="s">
        <v>82</v>
      </c>
      <c r="CR38" t="s">
        <v>87</v>
      </c>
      <c r="CS38" t="s">
        <v>82</v>
      </c>
      <c r="CT38" t="s">
        <v>88</v>
      </c>
      <c r="CU38" t="s">
        <v>82</v>
      </c>
      <c r="CV38" t="s">
        <v>87</v>
      </c>
      <c r="CW38" t="s">
        <v>82</v>
      </c>
      <c r="CX38" t="s">
        <v>88</v>
      </c>
      <c r="CY38" t="s">
        <v>82</v>
      </c>
      <c r="CZ38" t="s">
        <v>87</v>
      </c>
      <c r="DA38" t="s">
        <v>82</v>
      </c>
      <c r="DB38" t="s">
        <v>88</v>
      </c>
      <c r="DC38" t="s">
        <v>82</v>
      </c>
      <c r="DD38" t="s">
        <v>87</v>
      </c>
      <c r="DE38" t="s">
        <v>82</v>
      </c>
      <c r="DF38" t="s">
        <v>88</v>
      </c>
      <c r="DG38" t="s">
        <v>82</v>
      </c>
      <c r="DH38" t="s">
        <v>87</v>
      </c>
      <c r="DI38" t="s">
        <v>82</v>
      </c>
      <c r="DJ38" t="s">
        <v>88</v>
      </c>
      <c r="DK38" t="s">
        <v>82</v>
      </c>
      <c r="DL38" t="s">
        <v>87</v>
      </c>
      <c r="DM38" t="s">
        <v>82</v>
      </c>
      <c r="DN38" t="s">
        <v>88</v>
      </c>
      <c r="DO38" t="s">
        <v>82</v>
      </c>
      <c r="DP38" t="s">
        <v>87</v>
      </c>
      <c r="DQ38" t="s">
        <v>82</v>
      </c>
      <c r="DR38" t="s">
        <v>88</v>
      </c>
      <c r="DS38" t="s">
        <v>82</v>
      </c>
      <c r="DT38" t="s">
        <v>87</v>
      </c>
      <c r="DU38" t="s">
        <v>82</v>
      </c>
      <c r="DV38" t="s">
        <v>88</v>
      </c>
      <c r="DW38" t="s">
        <v>82</v>
      </c>
      <c r="DX38" t="s">
        <v>87</v>
      </c>
      <c r="DY38" t="s">
        <v>82</v>
      </c>
      <c r="DZ38" t="s">
        <v>88</v>
      </c>
      <c r="EA38" t="s">
        <v>82</v>
      </c>
      <c r="EB38" t="s">
        <v>87</v>
      </c>
      <c r="EC38" t="s">
        <v>82</v>
      </c>
      <c r="ED38" t="s">
        <v>88</v>
      </c>
      <c r="EG38">
        <f>IF(Charts!$B$3="none",E205,IF(BS205="",NA(),BS205))</f>
        <v>0</v>
      </c>
      <c r="EH38">
        <f>IF(Charts!$B$3="none",F205,IF(BT205="",NA(),BT205))</f>
        <v>0</v>
      </c>
      <c r="EI38">
        <f>IF(Charts!$B$3="none",G205,IF(BU205="",NA(),BU205))</f>
        <v>0</v>
      </c>
      <c r="EJ38">
        <f>IF(Charts!$B$3="none",H205,IF(BV205="",NA(),BV205))</f>
        <v>0</v>
      </c>
      <c r="EK38">
        <f>IF(Charts!$B$3="none",I205,IF(BW205="",NA(),BW205))</f>
        <v>0</v>
      </c>
      <c r="EL38">
        <f>IF(Charts!$B$3="none",J205,IF(BX205="",NA(),BX205))</f>
        <v>0</v>
      </c>
      <c r="EM38">
        <f>IF(Charts!$B$3="none",K205,IF(BY205="",NA(),BY205))</f>
        <v>0</v>
      </c>
      <c r="EN38">
        <f>IF(Charts!$B$3="none",L205,IF(BZ205="",NA(),BZ205))</f>
        <v>0</v>
      </c>
      <c r="EO38">
        <f>IF(Charts!$B$3="none",M205,IF(CA205="",NA(),CA205))</f>
        <v>0</v>
      </c>
      <c r="EP38">
        <f>IF(Charts!$B$3="none",N205,IF(CB205="",NA(),CB205))</f>
        <v>0</v>
      </c>
      <c r="EQ38">
        <f>IF(Charts!$B$3="none",O205,IF(CC205="",NA(),CC205))</f>
        <v>0</v>
      </c>
      <c r="ER38">
        <f>IF(Charts!$B$3="none",P205,IF(CD205="",NA(),CD205))</f>
        <v>0</v>
      </c>
      <c r="ES38">
        <f>IF(Charts!$B$3="none",Q205,IF(CE205="",NA(),CE205))</f>
        <v>0</v>
      </c>
      <c r="ET38">
        <f>IF(Charts!$B$3="none",R205,IF(CF205="",NA(),CF205))</f>
        <v>0</v>
      </c>
      <c r="EU38">
        <f>IF(Charts!$B$3="none",S205,IF(CG205="",NA(),CG205))</f>
        <v>0</v>
      </c>
      <c r="EV38">
        <f>IF(Charts!$B$3="none",T205,IF(CH205="",NA(),CH205))</f>
        <v>0</v>
      </c>
      <c r="EW38">
        <f>IF(Charts!$B$3="none",U205,IF(CI205="",NA(),CI205))</f>
        <v>0</v>
      </c>
      <c r="EX38">
        <f>IF(Charts!$B$3="none",V205,IF(CJ205="",NA(),CJ205))</f>
        <v>0</v>
      </c>
      <c r="EY38">
        <f>IF(Charts!$B$3="none",W205,IF(CK205="",NA(),CK205))</f>
        <v>0</v>
      </c>
      <c r="EZ38">
        <f>IF(Charts!$B$3="none",X205,IF(CL205="",NA(),CL205))</f>
        <v>0</v>
      </c>
      <c r="FA38">
        <f>IF(Charts!$B$3="none",Y205,IF(CM205="",NA(),CM205))</f>
        <v>0</v>
      </c>
      <c r="FB38">
        <f>IF(Charts!$B$3="none",Z205,IF(CN205="",NA(),CN205))</f>
        <v>0</v>
      </c>
      <c r="FC38">
        <f>IF(Charts!$B$3="none",AA205,IF(CO205="",NA(),CO205))</f>
        <v>0</v>
      </c>
      <c r="FD38">
        <f>IF(Charts!$B$3="none",AB205,IF(CP205="",NA(),CP205))</f>
        <v>0</v>
      </c>
      <c r="FE38">
        <f>IF(Charts!$B$3="none",AC205,IF(CQ205="",NA(),CQ205))</f>
        <v>0</v>
      </c>
      <c r="FF38">
        <f>IF(Charts!$B$3="none",AD205,IF(CR205="",NA(),CR205))</f>
        <v>0</v>
      </c>
      <c r="FG38">
        <f>IF(Charts!$B$3="none",AE205,IF(CS205="",NA(),CS205))</f>
        <v>0</v>
      </c>
      <c r="FH38">
        <f>IF(Charts!$B$3="none",AF205,IF(CT205="",NA(),CT205))</f>
        <v>0</v>
      </c>
      <c r="FI38">
        <f>IF(Charts!$B$3="none",AG205,IF(CU205="",NA(),CU205))</f>
        <v>0</v>
      </c>
      <c r="FJ38">
        <f>IF(Charts!$B$3="none",AH205,IF(CV205="",NA(),CV205))</f>
        <v>0</v>
      </c>
      <c r="FK38">
        <f>IF(Charts!$B$3="none",AI205,IF(CW205="",NA(),CW205))</f>
        <v>0</v>
      </c>
      <c r="FL38">
        <f>IF(Charts!$B$3="none",AJ205,IF(CX205="",NA(),CX205))</f>
        <v>0</v>
      </c>
      <c r="FM38">
        <f>IF(Charts!$B$3="none",AK205,IF(CY205="",NA(),CY205))</f>
        <v>0</v>
      </c>
      <c r="FN38">
        <f>IF(Charts!$B$3="none",AL205,IF(CZ205="",NA(),CZ205))</f>
        <v>0</v>
      </c>
      <c r="FO38">
        <f>IF(Charts!$B$3="none",AM205,IF(DA205="",NA(),DA205))</f>
        <v>0</v>
      </c>
      <c r="FP38">
        <f>IF(Charts!$B$3="none",AN205,IF(DB205="",NA(),DB205))</f>
        <v>0</v>
      </c>
      <c r="FQ38">
        <f>IF(Charts!$B$3="none",AO205,IF(DC205="",NA(),DC205))</f>
        <v>0</v>
      </c>
      <c r="FR38">
        <f>IF(Charts!$B$3="none",AP205,IF(DD205="",NA(),DD205))</f>
        <v>0</v>
      </c>
      <c r="FS38">
        <f>IF(Charts!$B$3="none",AQ205,IF(DE205="",NA(),DE205))</f>
        <v>0</v>
      </c>
      <c r="FT38">
        <f>IF(Charts!$B$3="none",AR205,IF(DF205="",NA(),DF205))</f>
        <v>0</v>
      </c>
      <c r="FU38">
        <f>IF(Charts!$B$3="none",AS205,IF(DG205="",NA(),DG205))</f>
        <v>0</v>
      </c>
      <c r="FV38">
        <f>IF(Charts!$B$3="none",AT205,IF(DH205="",NA(),DH205))</f>
        <v>0</v>
      </c>
      <c r="FW38">
        <f>IF(Charts!$B$3="none",AU205,IF(DI205="",NA(),DI205))</f>
        <v>0</v>
      </c>
      <c r="FX38">
        <f>IF(Charts!$B$3="none",AV205,IF(DJ205="",NA(),DJ205))</f>
        <v>0</v>
      </c>
      <c r="FY38">
        <f>IF(Charts!$B$3="none",AW205,IF(DK205="",NA(),DK205))</f>
        <v>0</v>
      </c>
      <c r="FZ38">
        <f>IF(Charts!$B$3="none",AX205,IF(DL205="",NA(),DL205))</f>
        <v>0</v>
      </c>
      <c r="GA38">
        <f>IF(Charts!$B$3="none",AY205,IF(DM205="",NA(),DM205))</f>
        <v>0</v>
      </c>
      <c r="GB38">
        <f>IF(Charts!$B$3="none",AZ205,IF(DN205="",NA(),DN205))</f>
        <v>0</v>
      </c>
      <c r="GC38">
        <f>IF(Charts!$B$3="none",BA205,IF(DO205="",NA(),DO205))</f>
        <v>0</v>
      </c>
      <c r="GD38">
        <f>IF(Charts!$B$3="none",BB205,IF(DP205="",NA(),DP205))</f>
        <v>0</v>
      </c>
      <c r="GE38">
        <f>IF(Charts!$B$3="none",BC205,IF(DQ205="",NA(),DQ205))</f>
        <v>0</v>
      </c>
      <c r="GF38">
        <f>IF(Charts!$B$3="none",BD205,IF(DR205="",NA(),DR205))</f>
        <v>0</v>
      </c>
      <c r="GG38">
        <f>IF(Charts!$B$3="none",BE205,IF(DS205="",NA(),DS205))</f>
        <v>0</v>
      </c>
      <c r="GH38">
        <f>IF(Charts!$B$3="none",BF205,IF(DT205="",NA(),DT205))</f>
        <v>0</v>
      </c>
      <c r="GI38">
        <f>IF(Charts!$B$3="none",BG205,IF(DU205="",NA(),DU205))</f>
        <v>0</v>
      </c>
      <c r="GJ38">
        <f>IF(Charts!$B$3="none",BH205,IF(DV205="",NA(),DV205))</f>
        <v>0</v>
      </c>
      <c r="GK38">
        <f>IF(Charts!$B$3="none",BI205,IF(DW205="",NA(),DW205))</f>
        <v>0</v>
      </c>
      <c r="GL38">
        <f>IF(Charts!$B$3="none",BJ205,IF(DX205="",NA(),DX205))</f>
        <v>0</v>
      </c>
      <c r="GM38">
        <f>IF(Charts!$B$3="none",BK205,IF(DY205="",NA(),DY205))</f>
        <v>0</v>
      </c>
      <c r="GN38">
        <f>IF(Charts!$B$3="none",BL205,IF(DZ205="",NA(),DZ205))</f>
        <v>0</v>
      </c>
      <c r="GO38">
        <f>IF(Charts!$B$3="none",BM205,IF(EA205="",NA(),EA205))</f>
        <v>0</v>
      </c>
      <c r="GP38">
        <f>IF(Charts!$B$3="none",BN205,IF(EB205="",NA(),EB205))</f>
        <v>0</v>
      </c>
      <c r="GQ38">
        <f>IF(Charts!$B$3="none",BO205,IF(EC205="",NA(),EC205))</f>
        <v>0</v>
      </c>
      <c r="GR38">
        <f>IF(Charts!$B$3="none",BP205,IF(ED205="",NA(),ED205))</f>
        <v>0</v>
      </c>
    </row>
    <row r="39" spans="4:200">
      <c r="E39">
        <v>1</v>
      </c>
      <c r="F39">
        <f>F5</f>
        <v>0</v>
      </c>
      <c r="G39">
        <v>1</v>
      </c>
      <c r="H39">
        <f>H5</f>
        <v>0</v>
      </c>
      <c r="I39">
        <v>1</v>
      </c>
      <c r="J39">
        <f>J5</f>
        <v>0</v>
      </c>
      <c r="K39">
        <v>1</v>
      </c>
      <c r="L39">
        <f>L5</f>
        <v>0</v>
      </c>
      <c r="M39">
        <v>1</v>
      </c>
      <c r="N39">
        <f>N5</f>
        <v>0</v>
      </c>
      <c r="O39">
        <v>1</v>
      </c>
      <c r="P39">
        <f>P5</f>
        <v>0</v>
      </c>
      <c r="Q39">
        <v>1</v>
      </c>
      <c r="R39">
        <f>R5</f>
        <v>0</v>
      </c>
      <c r="S39">
        <v>1</v>
      </c>
      <c r="T39">
        <f>T5</f>
        <v>0</v>
      </c>
      <c r="U39">
        <v>1</v>
      </c>
      <c r="V39">
        <f>V5</f>
        <v>0</v>
      </c>
      <c r="W39">
        <v>1</v>
      </c>
      <c r="X39">
        <f>X5</f>
        <v>0</v>
      </c>
      <c r="Y39">
        <v>1</v>
      </c>
      <c r="Z39">
        <f>Z5</f>
        <v>0</v>
      </c>
      <c r="AA39">
        <v>1</v>
      </c>
      <c r="AB39">
        <f>AB5</f>
        <v>0</v>
      </c>
      <c r="AC39">
        <v>1</v>
      </c>
      <c r="AD39">
        <f>AD5</f>
        <v>0</v>
      </c>
      <c r="AE39">
        <v>1</v>
      </c>
      <c r="AF39">
        <f>AF5</f>
        <v>0</v>
      </c>
      <c r="AG39">
        <v>1</v>
      </c>
      <c r="AH39">
        <f>AH5</f>
        <v>0</v>
      </c>
      <c r="AI39">
        <v>1</v>
      </c>
      <c r="AJ39">
        <f>AJ5</f>
        <v>0</v>
      </c>
      <c r="AK39">
        <v>1</v>
      </c>
      <c r="AL39">
        <f>AL5</f>
        <v>0</v>
      </c>
      <c r="AM39">
        <v>1</v>
      </c>
      <c r="AN39">
        <f>AN5</f>
        <v>0</v>
      </c>
      <c r="AO39">
        <v>1</v>
      </c>
      <c r="AP39">
        <f>AP5</f>
        <v>0</v>
      </c>
      <c r="AQ39">
        <v>1</v>
      </c>
      <c r="AR39">
        <f>AR5</f>
        <v>0</v>
      </c>
      <c r="AS39">
        <v>1</v>
      </c>
      <c r="AT39">
        <f>AT5</f>
        <v>0</v>
      </c>
      <c r="AU39">
        <v>1</v>
      </c>
      <c r="AV39">
        <f>AV5</f>
        <v>0</v>
      </c>
      <c r="AW39">
        <v>1</v>
      </c>
      <c r="AX39">
        <f>AX5</f>
        <v>0</v>
      </c>
      <c r="AY39">
        <v>1</v>
      </c>
      <c r="AZ39">
        <f>AZ5</f>
        <v>0</v>
      </c>
      <c r="BA39">
        <v>1</v>
      </c>
      <c r="BB39">
        <f>BB5</f>
        <v>0</v>
      </c>
      <c r="BC39">
        <v>1</v>
      </c>
      <c r="BD39">
        <f>BD5</f>
        <v>0</v>
      </c>
      <c r="BE39">
        <v>1</v>
      </c>
      <c r="BF39">
        <f>BF5</f>
        <v>0</v>
      </c>
      <c r="BG39">
        <v>1</v>
      </c>
      <c r="BH39">
        <f>BH5</f>
        <v>0</v>
      </c>
      <c r="BI39">
        <v>1</v>
      </c>
      <c r="BJ39">
        <f>BJ5</f>
        <v>0</v>
      </c>
      <c r="BK39">
        <v>1</v>
      </c>
      <c r="BL39">
        <f>BL5</f>
        <v>0</v>
      </c>
      <c r="BM39">
        <v>1</v>
      </c>
      <c r="BN39">
        <f>BN5</f>
        <v>0</v>
      </c>
      <c r="BO39">
        <v>1</v>
      </c>
      <c r="BP39">
        <f>BP5</f>
        <v>0</v>
      </c>
      <c r="BS39">
        <v>1</v>
      </c>
      <c r="BT39">
        <f>BT5</f>
        <v>0</v>
      </c>
      <c r="BU39">
        <v>1</v>
      </c>
      <c r="BV39">
        <f>BV5</f>
        <v>0</v>
      </c>
      <c r="BW39">
        <v>1</v>
      </c>
      <c r="BX39">
        <f>BX5</f>
        <v>0</v>
      </c>
      <c r="BY39">
        <v>1</v>
      </c>
      <c r="BZ39">
        <f>BZ5</f>
        <v>0</v>
      </c>
      <c r="CA39">
        <v>1</v>
      </c>
      <c r="CB39">
        <f>CB5</f>
        <v>0</v>
      </c>
      <c r="CC39">
        <v>1</v>
      </c>
      <c r="CD39">
        <f>CD5</f>
        <v>0</v>
      </c>
      <c r="CE39">
        <v>1</v>
      </c>
      <c r="CF39">
        <f>CF5</f>
        <v>0</v>
      </c>
      <c r="CG39">
        <v>1</v>
      </c>
      <c r="CH39">
        <f>CH5</f>
        <v>0</v>
      </c>
      <c r="CI39">
        <v>1</v>
      </c>
      <c r="CJ39">
        <f>CJ5</f>
        <v>0</v>
      </c>
      <c r="CK39">
        <v>1</v>
      </c>
      <c r="CL39">
        <f>CL5</f>
        <v>0</v>
      </c>
      <c r="CM39">
        <v>1</v>
      </c>
      <c r="CN39">
        <f>CN5</f>
        <v>0</v>
      </c>
      <c r="CO39">
        <v>1</v>
      </c>
      <c r="CP39">
        <f>CP5</f>
        <v>0</v>
      </c>
      <c r="CQ39">
        <v>1</v>
      </c>
      <c r="CR39">
        <f>CR5</f>
        <v>0</v>
      </c>
      <c r="CS39">
        <v>1</v>
      </c>
      <c r="CT39">
        <f>CT5</f>
        <v>0</v>
      </c>
      <c r="CU39">
        <v>1</v>
      </c>
      <c r="CV39">
        <f>CV5</f>
        <v>0</v>
      </c>
      <c r="CW39">
        <v>1</v>
      </c>
      <c r="CX39">
        <f>CX5</f>
        <v>0</v>
      </c>
      <c r="CY39">
        <v>1</v>
      </c>
      <c r="CZ39">
        <f>CZ5</f>
        <v>0</v>
      </c>
      <c r="DA39">
        <v>1</v>
      </c>
      <c r="DB39">
        <f>DB5</f>
        <v>0</v>
      </c>
      <c r="DC39">
        <v>1</v>
      </c>
      <c r="DD39">
        <f>DD5</f>
        <v>0</v>
      </c>
      <c r="DE39">
        <v>1</v>
      </c>
      <c r="DF39">
        <f>DF5</f>
        <v>0</v>
      </c>
      <c r="DG39">
        <v>1</v>
      </c>
      <c r="DH39">
        <f>DH5</f>
        <v>0</v>
      </c>
      <c r="DI39">
        <v>1</v>
      </c>
      <c r="DJ39">
        <f>DJ5</f>
        <v>0</v>
      </c>
      <c r="DK39">
        <v>1</v>
      </c>
      <c r="DL39">
        <f>DL5</f>
        <v>0</v>
      </c>
      <c r="DM39">
        <v>1</v>
      </c>
      <c r="DN39">
        <f>DN5</f>
        <v>0</v>
      </c>
      <c r="DO39">
        <v>1</v>
      </c>
      <c r="DP39">
        <f>DP5</f>
        <v>0</v>
      </c>
      <c r="DQ39">
        <v>1</v>
      </c>
      <c r="DR39">
        <f>DR5</f>
        <v>0</v>
      </c>
      <c r="DS39">
        <v>1</v>
      </c>
      <c r="DT39">
        <f>DT5</f>
        <v>0</v>
      </c>
      <c r="DU39">
        <v>1</v>
      </c>
      <c r="DV39">
        <f>DV5</f>
        <v>0</v>
      </c>
      <c r="DW39">
        <v>1</v>
      </c>
      <c r="DX39">
        <f>DX5</f>
        <v>0</v>
      </c>
      <c r="DY39">
        <v>1</v>
      </c>
      <c r="DZ39">
        <f>DZ5</f>
        <v>0</v>
      </c>
      <c r="EA39">
        <v>1</v>
      </c>
      <c r="EB39">
        <f>EB5</f>
        <v>0</v>
      </c>
      <c r="EC39">
        <v>1</v>
      </c>
      <c r="ED39">
        <f>ED5</f>
        <v>0</v>
      </c>
      <c r="EG39">
        <f>IF(Charts!$B$3="none",E206,IF(BS206="",NA(),BS206))</f>
        <v>0</v>
      </c>
      <c r="EH39">
        <f>IF(Charts!$B$3="none",F206,IF(BT206="",NA(),BT206))</f>
        <v>0</v>
      </c>
      <c r="EI39">
        <f>IF(Charts!$B$3="none",G206,IF(BU206="",NA(),BU206))</f>
        <v>0</v>
      </c>
      <c r="EJ39">
        <f>IF(Charts!$B$3="none",H206,IF(BV206="",NA(),BV206))</f>
        <v>0</v>
      </c>
      <c r="EK39">
        <f>IF(Charts!$B$3="none",I206,IF(BW206="",NA(),BW206))</f>
        <v>0</v>
      </c>
      <c r="EL39">
        <f>IF(Charts!$B$3="none",J206,IF(BX206="",NA(),BX206))</f>
        <v>0</v>
      </c>
      <c r="EM39">
        <f>IF(Charts!$B$3="none",K206,IF(BY206="",NA(),BY206))</f>
        <v>0</v>
      </c>
      <c r="EN39">
        <f>IF(Charts!$B$3="none",L206,IF(BZ206="",NA(),BZ206))</f>
        <v>0</v>
      </c>
      <c r="EO39">
        <f>IF(Charts!$B$3="none",M206,IF(CA206="",NA(),CA206))</f>
        <v>0</v>
      </c>
      <c r="EP39">
        <f>IF(Charts!$B$3="none",N206,IF(CB206="",NA(),CB206))</f>
        <v>0</v>
      </c>
      <c r="EQ39">
        <f>IF(Charts!$B$3="none",O206,IF(CC206="",NA(),CC206))</f>
        <v>0</v>
      </c>
      <c r="ER39">
        <f>IF(Charts!$B$3="none",P206,IF(CD206="",NA(),CD206))</f>
        <v>0</v>
      </c>
      <c r="ES39">
        <f>IF(Charts!$B$3="none",Q206,IF(CE206="",NA(),CE206))</f>
        <v>0</v>
      </c>
      <c r="ET39">
        <f>IF(Charts!$B$3="none",R206,IF(CF206="",NA(),CF206))</f>
        <v>0</v>
      </c>
      <c r="EU39">
        <f>IF(Charts!$B$3="none",S206,IF(CG206="",NA(),CG206))</f>
        <v>0</v>
      </c>
      <c r="EV39">
        <f>IF(Charts!$B$3="none",T206,IF(CH206="",NA(),CH206))</f>
        <v>0</v>
      </c>
      <c r="EW39">
        <f>IF(Charts!$B$3="none",U206,IF(CI206="",NA(),CI206))</f>
        <v>0</v>
      </c>
      <c r="EX39">
        <f>IF(Charts!$B$3="none",V206,IF(CJ206="",NA(),CJ206))</f>
        <v>0</v>
      </c>
      <c r="EY39">
        <f>IF(Charts!$B$3="none",W206,IF(CK206="",NA(),CK206))</f>
        <v>0</v>
      </c>
      <c r="EZ39">
        <f>IF(Charts!$B$3="none",X206,IF(CL206="",NA(),CL206))</f>
        <v>0</v>
      </c>
      <c r="FA39">
        <f>IF(Charts!$B$3="none",Y206,IF(CM206="",NA(),CM206))</f>
        <v>0</v>
      </c>
      <c r="FB39">
        <f>IF(Charts!$B$3="none",Z206,IF(CN206="",NA(),CN206))</f>
        <v>0</v>
      </c>
      <c r="FC39">
        <f>IF(Charts!$B$3="none",AA206,IF(CO206="",NA(),CO206))</f>
        <v>0</v>
      </c>
      <c r="FD39">
        <f>IF(Charts!$B$3="none",AB206,IF(CP206="",NA(),CP206))</f>
        <v>0</v>
      </c>
      <c r="FE39">
        <f>IF(Charts!$B$3="none",AC206,IF(CQ206="",NA(),CQ206))</f>
        <v>0</v>
      </c>
      <c r="FF39">
        <f>IF(Charts!$B$3="none",AD206,IF(CR206="",NA(),CR206))</f>
        <v>0</v>
      </c>
      <c r="FG39">
        <f>IF(Charts!$B$3="none",AE206,IF(CS206="",NA(),CS206))</f>
        <v>0</v>
      </c>
      <c r="FH39">
        <f>IF(Charts!$B$3="none",AF206,IF(CT206="",NA(),CT206))</f>
        <v>0</v>
      </c>
      <c r="FI39">
        <f>IF(Charts!$B$3="none",AG206,IF(CU206="",NA(),CU206))</f>
        <v>0</v>
      </c>
      <c r="FJ39">
        <f>IF(Charts!$B$3="none",AH206,IF(CV206="",NA(),CV206))</f>
        <v>0</v>
      </c>
      <c r="FK39">
        <f>IF(Charts!$B$3="none",AI206,IF(CW206="",NA(),CW206))</f>
        <v>0</v>
      </c>
      <c r="FL39">
        <f>IF(Charts!$B$3="none",AJ206,IF(CX206="",NA(),CX206))</f>
        <v>0</v>
      </c>
      <c r="FM39">
        <f>IF(Charts!$B$3="none",AK206,IF(CY206="",NA(),CY206))</f>
        <v>0</v>
      </c>
      <c r="FN39">
        <f>IF(Charts!$B$3="none",AL206,IF(CZ206="",NA(),CZ206))</f>
        <v>0</v>
      </c>
      <c r="FO39">
        <f>IF(Charts!$B$3="none",AM206,IF(DA206="",NA(),DA206))</f>
        <v>0</v>
      </c>
      <c r="FP39">
        <f>IF(Charts!$B$3="none",AN206,IF(DB206="",NA(),DB206))</f>
        <v>0</v>
      </c>
      <c r="FQ39">
        <f>IF(Charts!$B$3="none",AO206,IF(DC206="",NA(),DC206))</f>
        <v>0</v>
      </c>
      <c r="FR39">
        <f>IF(Charts!$B$3="none",AP206,IF(DD206="",NA(),DD206))</f>
        <v>0</v>
      </c>
      <c r="FS39">
        <f>IF(Charts!$B$3="none",AQ206,IF(DE206="",NA(),DE206))</f>
        <v>0</v>
      </c>
      <c r="FT39">
        <f>IF(Charts!$B$3="none",AR206,IF(DF206="",NA(),DF206))</f>
        <v>0</v>
      </c>
      <c r="FU39">
        <f>IF(Charts!$B$3="none",AS206,IF(DG206="",NA(),DG206))</f>
        <v>0</v>
      </c>
      <c r="FV39">
        <f>IF(Charts!$B$3="none",AT206,IF(DH206="",NA(),DH206))</f>
        <v>0</v>
      </c>
      <c r="FW39">
        <f>IF(Charts!$B$3="none",AU206,IF(DI206="",NA(),DI206))</f>
        <v>0</v>
      </c>
      <c r="FX39">
        <f>IF(Charts!$B$3="none",AV206,IF(DJ206="",NA(),DJ206))</f>
        <v>0</v>
      </c>
      <c r="FY39">
        <f>IF(Charts!$B$3="none",AW206,IF(DK206="",NA(),DK206))</f>
        <v>0</v>
      </c>
      <c r="FZ39">
        <f>IF(Charts!$B$3="none",AX206,IF(DL206="",NA(),DL206))</f>
        <v>0</v>
      </c>
      <c r="GA39">
        <f>IF(Charts!$B$3="none",AY206,IF(DM206="",NA(),DM206))</f>
        <v>0</v>
      </c>
      <c r="GB39">
        <f>IF(Charts!$B$3="none",AZ206,IF(DN206="",NA(),DN206))</f>
        <v>0</v>
      </c>
      <c r="GC39">
        <f>IF(Charts!$B$3="none",BA206,IF(DO206="",NA(),DO206))</f>
        <v>0</v>
      </c>
      <c r="GD39">
        <f>IF(Charts!$B$3="none",BB206,IF(DP206="",NA(),DP206))</f>
        <v>0</v>
      </c>
      <c r="GE39">
        <f>IF(Charts!$B$3="none",BC206,IF(DQ206="",NA(),DQ206))</f>
        <v>0</v>
      </c>
      <c r="GF39">
        <f>IF(Charts!$B$3="none",BD206,IF(DR206="",NA(),DR206))</f>
        <v>0</v>
      </c>
      <c r="GG39">
        <f>IF(Charts!$B$3="none",BE206,IF(DS206="",NA(),DS206))</f>
        <v>0</v>
      </c>
      <c r="GH39">
        <f>IF(Charts!$B$3="none",BF206,IF(DT206="",NA(),DT206))</f>
        <v>0</v>
      </c>
      <c r="GI39">
        <f>IF(Charts!$B$3="none",BG206,IF(DU206="",NA(),DU206))</f>
        <v>0</v>
      </c>
      <c r="GJ39">
        <f>IF(Charts!$B$3="none",BH206,IF(DV206="",NA(),DV206))</f>
        <v>0</v>
      </c>
      <c r="GK39">
        <f>IF(Charts!$B$3="none",BI206,IF(DW206="",NA(),DW206))</f>
        <v>0</v>
      </c>
      <c r="GL39">
        <f>IF(Charts!$B$3="none",BJ206,IF(DX206="",NA(),DX206))</f>
        <v>0</v>
      </c>
      <c r="GM39">
        <f>IF(Charts!$B$3="none",BK206,IF(DY206="",NA(),DY206))</f>
        <v>0</v>
      </c>
      <c r="GN39">
        <f>IF(Charts!$B$3="none",BL206,IF(DZ206="",NA(),DZ206))</f>
        <v>0</v>
      </c>
      <c r="GO39">
        <f>IF(Charts!$B$3="none",BM206,IF(EA206="",NA(),EA206))</f>
        <v>0</v>
      </c>
      <c r="GP39">
        <f>IF(Charts!$B$3="none",BN206,IF(EB206="",NA(),EB206))</f>
        <v>0</v>
      </c>
      <c r="GQ39">
        <f>IF(Charts!$B$3="none",BO206,IF(EC206="",NA(),EC206))</f>
        <v>0</v>
      </c>
      <c r="GR39">
        <f>IF(Charts!$B$3="none",BP206,IF(ED206="",NA(),ED206))</f>
        <v>0</v>
      </c>
    </row>
    <row r="40" spans="4:200">
      <c r="E40">
        <v>2</v>
      </c>
      <c r="F40">
        <f>F6</f>
        <v>0</v>
      </c>
      <c r="G40">
        <v>2</v>
      </c>
      <c r="H40">
        <f>H6</f>
        <v>0</v>
      </c>
      <c r="I40">
        <v>2</v>
      </c>
      <c r="J40">
        <f>J6</f>
        <v>0</v>
      </c>
      <c r="K40">
        <v>2</v>
      </c>
      <c r="L40">
        <f>L6</f>
        <v>0</v>
      </c>
      <c r="M40">
        <v>2</v>
      </c>
      <c r="N40">
        <f>N6</f>
        <v>0</v>
      </c>
      <c r="O40">
        <v>2</v>
      </c>
      <c r="P40">
        <f>P6</f>
        <v>0</v>
      </c>
      <c r="Q40">
        <v>2</v>
      </c>
      <c r="R40">
        <f>R6</f>
        <v>0</v>
      </c>
      <c r="S40">
        <v>2</v>
      </c>
      <c r="T40">
        <f>T6</f>
        <v>0</v>
      </c>
      <c r="U40">
        <v>2</v>
      </c>
      <c r="V40">
        <f>V6</f>
        <v>0</v>
      </c>
      <c r="W40">
        <v>2</v>
      </c>
      <c r="X40">
        <f>X6</f>
        <v>0</v>
      </c>
      <c r="Y40">
        <v>2</v>
      </c>
      <c r="Z40">
        <f>Z6</f>
        <v>0</v>
      </c>
      <c r="AA40">
        <v>2</v>
      </c>
      <c r="AB40">
        <f>AB6</f>
        <v>0</v>
      </c>
      <c r="AC40">
        <v>2</v>
      </c>
      <c r="AD40">
        <f>AD6</f>
        <v>0</v>
      </c>
      <c r="AE40">
        <v>2</v>
      </c>
      <c r="AF40">
        <f>AF6</f>
        <v>0</v>
      </c>
      <c r="AG40">
        <v>2</v>
      </c>
      <c r="AH40">
        <f>AH6</f>
        <v>0</v>
      </c>
      <c r="AI40">
        <v>2</v>
      </c>
      <c r="AJ40">
        <f>AJ6</f>
        <v>0</v>
      </c>
      <c r="AK40">
        <v>2</v>
      </c>
      <c r="AL40">
        <f>AL6</f>
        <v>0</v>
      </c>
      <c r="AM40">
        <v>2</v>
      </c>
      <c r="AN40">
        <f>AN6</f>
        <v>0</v>
      </c>
      <c r="AO40">
        <v>2</v>
      </c>
      <c r="AP40">
        <f>AP6</f>
        <v>0</v>
      </c>
      <c r="AQ40">
        <v>2</v>
      </c>
      <c r="AR40">
        <f>AR6</f>
        <v>0</v>
      </c>
      <c r="AS40">
        <v>2</v>
      </c>
      <c r="AT40">
        <f>AT6</f>
        <v>0</v>
      </c>
      <c r="AU40">
        <v>2</v>
      </c>
      <c r="AV40">
        <f>AV6</f>
        <v>0</v>
      </c>
      <c r="AW40">
        <v>2</v>
      </c>
      <c r="AX40">
        <f>AX6</f>
        <v>0</v>
      </c>
      <c r="AY40">
        <v>2</v>
      </c>
      <c r="AZ40">
        <f>AZ6</f>
        <v>0</v>
      </c>
      <c r="BA40">
        <v>2</v>
      </c>
      <c r="BB40">
        <f>BB6</f>
        <v>0</v>
      </c>
      <c r="BC40">
        <v>2</v>
      </c>
      <c r="BD40">
        <f>BD6</f>
        <v>0</v>
      </c>
      <c r="BE40">
        <v>2</v>
      </c>
      <c r="BF40">
        <f>BF6</f>
        <v>0</v>
      </c>
      <c r="BG40">
        <v>2</v>
      </c>
      <c r="BH40">
        <f>BH6</f>
        <v>0</v>
      </c>
      <c r="BI40">
        <v>2</v>
      </c>
      <c r="BJ40">
        <f>BJ6</f>
        <v>0</v>
      </c>
      <c r="BK40">
        <v>2</v>
      </c>
      <c r="BL40">
        <f>BL6</f>
        <v>0</v>
      </c>
      <c r="BM40">
        <v>2</v>
      </c>
      <c r="BN40">
        <f>BN6</f>
        <v>0</v>
      </c>
      <c r="BO40">
        <v>2</v>
      </c>
      <c r="BP40">
        <f>BP6</f>
        <v>0</v>
      </c>
      <c r="BS40">
        <v>2</v>
      </c>
      <c r="BT40">
        <f>BT6</f>
        <v>0</v>
      </c>
      <c r="BU40">
        <v>2</v>
      </c>
      <c r="BV40">
        <f>BV6</f>
        <v>0</v>
      </c>
      <c r="BW40">
        <v>2</v>
      </c>
      <c r="BX40">
        <f>BX6</f>
        <v>0</v>
      </c>
      <c r="BY40">
        <v>2</v>
      </c>
      <c r="BZ40">
        <f>BZ6</f>
        <v>0</v>
      </c>
      <c r="CA40">
        <v>2</v>
      </c>
      <c r="CB40">
        <f>CB6</f>
        <v>0</v>
      </c>
      <c r="CC40">
        <v>2</v>
      </c>
      <c r="CD40">
        <f>CD6</f>
        <v>0</v>
      </c>
      <c r="CE40">
        <v>2</v>
      </c>
      <c r="CF40">
        <f>CF6</f>
        <v>0</v>
      </c>
      <c r="CG40">
        <v>2</v>
      </c>
      <c r="CH40">
        <f>CH6</f>
        <v>0</v>
      </c>
      <c r="CI40">
        <v>2</v>
      </c>
      <c r="CJ40">
        <f>CJ6</f>
        <v>0</v>
      </c>
      <c r="CK40">
        <v>2</v>
      </c>
      <c r="CL40">
        <f>CL6</f>
        <v>0</v>
      </c>
      <c r="CM40">
        <v>2</v>
      </c>
      <c r="CN40">
        <f>CN6</f>
        <v>0</v>
      </c>
      <c r="CO40">
        <v>2</v>
      </c>
      <c r="CP40">
        <f>CP6</f>
        <v>0</v>
      </c>
      <c r="CQ40">
        <v>2</v>
      </c>
      <c r="CR40">
        <f>CR6</f>
        <v>0</v>
      </c>
      <c r="CS40">
        <v>2</v>
      </c>
      <c r="CT40">
        <f>CT6</f>
        <v>0</v>
      </c>
      <c r="CU40">
        <v>2</v>
      </c>
      <c r="CV40">
        <f>CV6</f>
        <v>0</v>
      </c>
      <c r="CW40">
        <v>2</v>
      </c>
      <c r="CX40">
        <f>CX6</f>
        <v>0</v>
      </c>
      <c r="CY40">
        <v>2</v>
      </c>
      <c r="CZ40">
        <f>CZ6</f>
        <v>0</v>
      </c>
      <c r="DA40">
        <v>2</v>
      </c>
      <c r="DB40">
        <f>DB6</f>
        <v>0</v>
      </c>
      <c r="DC40">
        <v>2</v>
      </c>
      <c r="DD40">
        <f>DD6</f>
        <v>0</v>
      </c>
      <c r="DE40">
        <v>2</v>
      </c>
      <c r="DF40">
        <f>DF6</f>
        <v>0</v>
      </c>
      <c r="DG40">
        <v>2</v>
      </c>
      <c r="DH40">
        <f>DH6</f>
        <v>0</v>
      </c>
      <c r="DI40">
        <v>2</v>
      </c>
      <c r="DJ40">
        <f>DJ6</f>
        <v>0</v>
      </c>
      <c r="DK40">
        <v>2</v>
      </c>
      <c r="DL40">
        <f>DL6</f>
        <v>0</v>
      </c>
      <c r="DM40">
        <v>2</v>
      </c>
      <c r="DN40">
        <f>DN6</f>
        <v>0</v>
      </c>
      <c r="DO40">
        <v>2</v>
      </c>
      <c r="DP40">
        <f>DP6</f>
        <v>0</v>
      </c>
      <c r="DQ40">
        <v>2</v>
      </c>
      <c r="DR40">
        <f>DR6</f>
        <v>0</v>
      </c>
      <c r="DS40">
        <v>2</v>
      </c>
      <c r="DT40">
        <f>DT6</f>
        <v>0</v>
      </c>
      <c r="DU40">
        <v>2</v>
      </c>
      <c r="DV40">
        <f>DV6</f>
        <v>0</v>
      </c>
      <c r="DW40">
        <v>2</v>
      </c>
      <c r="DX40">
        <f>DX6</f>
        <v>0</v>
      </c>
      <c r="DY40">
        <v>2</v>
      </c>
      <c r="DZ40">
        <f>DZ6</f>
        <v>0</v>
      </c>
      <c r="EA40">
        <v>2</v>
      </c>
      <c r="EB40">
        <f>EB6</f>
        <v>0</v>
      </c>
      <c r="EC40">
        <v>2</v>
      </c>
      <c r="ED40">
        <f>ED6</f>
        <v>0</v>
      </c>
      <c r="EG40">
        <f>IF(Charts!$B$3="none",E207,IF(BS207="",NA(),BS207))</f>
        <v>0</v>
      </c>
      <c r="EH40">
        <f>IF(Charts!$B$3="none",F207,IF(BT207="",NA(),BT207))</f>
        <v>0</v>
      </c>
      <c r="EI40">
        <f>IF(Charts!$B$3="none",G207,IF(BU207="",NA(),BU207))</f>
        <v>0</v>
      </c>
      <c r="EJ40">
        <f>IF(Charts!$B$3="none",H207,IF(BV207="",NA(),BV207))</f>
        <v>0</v>
      </c>
      <c r="EK40">
        <f>IF(Charts!$B$3="none",I207,IF(BW207="",NA(),BW207))</f>
        <v>0</v>
      </c>
      <c r="EL40">
        <f>IF(Charts!$B$3="none",J207,IF(BX207="",NA(),BX207))</f>
        <v>0</v>
      </c>
      <c r="EM40">
        <f>IF(Charts!$B$3="none",K207,IF(BY207="",NA(),BY207))</f>
        <v>0</v>
      </c>
      <c r="EN40">
        <f>IF(Charts!$B$3="none",L207,IF(BZ207="",NA(),BZ207))</f>
        <v>0</v>
      </c>
      <c r="EO40">
        <f>IF(Charts!$B$3="none",M207,IF(CA207="",NA(),CA207))</f>
        <v>0</v>
      </c>
      <c r="EP40">
        <f>IF(Charts!$B$3="none",N207,IF(CB207="",NA(),CB207))</f>
        <v>0</v>
      </c>
      <c r="EQ40">
        <f>IF(Charts!$B$3="none",O207,IF(CC207="",NA(),CC207))</f>
        <v>0</v>
      </c>
      <c r="ER40">
        <f>IF(Charts!$B$3="none",P207,IF(CD207="",NA(),CD207))</f>
        <v>0</v>
      </c>
      <c r="ES40">
        <f>IF(Charts!$B$3="none",Q207,IF(CE207="",NA(),CE207))</f>
        <v>0</v>
      </c>
      <c r="ET40">
        <f>IF(Charts!$B$3="none",R207,IF(CF207="",NA(),CF207))</f>
        <v>0</v>
      </c>
      <c r="EU40">
        <f>IF(Charts!$B$3="none",S207,IF(CG207="",NA(),CG207))</f>
        <v>0</v>
      </c>
      <c r="EV40">
        <f>IF(Charts!$B$3="none",T207,IF(CH207="",NA(),CH207))</f>
        <v>0</v>
      </c>
      <c r="EW40">
        <f>IF(Charts!$B$3="none",U207,IF(CI207="",NA(),CI207))</f>
        <v>0</v>
      </c>
      <c r="EX40">
        <f>IF(Charts!$B$3="none",V207,IF(CJ207="",NA(),CJ207))</f>
        <v>0</v>
      </c>
      <c r="EY40">
        <f>IF(Charts!$B$3="none",W207,IF(CK207="",NA(),CK207))</f>
        <v>0</v>
      </c>
      <c r="EZ40">
        <f>IF(Charts!$B$3="none",X207,IF(CL207="",NA(),CL207))</f>
        <v>0</v>
      </c>
      <c r="FA40">
        <f>IF(Charts!$B$3="none",Y207,IF(CM207="",NA(),CM207))</f>
        <v>0</v>
      </c>
      <c r="FB40">
        <f>IF(Charts!$B$3="none",Z207,IF(CN207="",NA(),CN207))</f>
        <v>0</v>
      </c>
      <c r="FC40">
        <f>IF(Charts!$B$3="none",AA207,IF(CO207="",NA(),CO207))</f>
        <v>0</v>
      </c>
      <c r="FD40">
        <f>IF(Charts!$B$3="none",AB207,IF(CP207="",NA(),CP207))</f>
        <v>0</v>
      </c>
      <c r="FE40">
        <f>IF(Charts!$B$3="none",AC207,IF(CQ207="",NA(),CQ207))</f>
        <v>0</v>
      </c>
      <c r="FF40">
        <f>IF(Charts!$B$3="none",AD207,IF(CR207="",NA(),CR207))</f>
        <v>0</v>
      </c>
      <c r="FG40">
        <f>IF(Charts!$B$3="none",AE207,IF(CS207="",NA(),CS207))</f>
        <v>0</v>
      </c>
      <c r="FH40">
        <f>IF(Charts!$B$3="none",AF207,IF(CT207="",NA(),CT207))</f>
        <v>0</v>
      </c>
      <c r="FI40">
        <f>IF(Charts!$B$3="none",AG207,IF(CU207="",NA(),CU207))</f>
        <v>0</v>
      </c>
      <c r="FJ40">
        <f>IF(Charts!$B$3="none",AH207,IF(CV207="",NA(),CV207))</f>
        <v>0</v>
      </c>
      <c r="FK40">
        <f>IF(Charts!$B$3="none",AI207,IF(CW207="",NA(),CW207))</f>
        <v>0</v>
      </c>
      <c r="FL40">
        <f>IF(Charts!$B$3="none",AJ207,IF(CX207="",NA(),CX207))</f>
        <v>0</v>
      </c>
      <c r="FM40">
        <f>IF(Charts!$B$3="none",AK207,IF(CY207="",NA(),CY207))</f>
        <v>0</v>
      </c>
      <c r="FN40">
        <f>IF(Charts!$B$3="none",AL207,IF(CZ207="",NA(),CZ207))</f>
        <v>0</v>
      </c>
      <c r="FO40">
        <f>IF(Charts!$B$3="none",AM207,IF(DA207="",NA(),DA207))</f>
        <v>0</v>
      </c>
      <c r="FP40">
        <f>IF(Charts!$B$3="none",AN207,IF(DB207="",NA(),DB207))</f>
        <v>0</v>
      </c>
      <c r="FQ40">
        <f>IF(Charts!$B$3="none",AO207,IF(DC207="",NA(),DC207))</f>
        <v>0</v>
      </c>
      <c r="FR40">
        <f>IF(Charts!$B$3="none",AP207,IF(DD207="",NA(),DD207))</f>
        <v>0</v>
      </c>
      <c r="FS40">
        <f>IF(Charts!$B$3="none",AQ207,IF(DE207="",NA(),DE207))</f>
        <v>0</v>
      </c>
      <c r="FT40">
        <f>IF(Charts!$B$3="none",AR207,IF(DF207="",NA(),DF207))</f>
        <v>0</v>
      </c>
      <c r="FU40">
        <f>IF(Charts!$B$3="none",AS207,IF(DG207="",NA(),DG207))</f>
        <v>0</v>
      </c>
      <c r="FV40">
        <f>IF(Charts!$B$3="none",AT207,IF(DH207="",NA(),DH207))</f>
        <v>0</v>
      </c>
      <c r="FW40">
        <f>IF(Charts!$B$3="none",AU207,IF(DI207="",NA(),DI207))</f>
        <v>0</v>
      </c>
      <c r="FX40">
        <f>IF(Charts!$B$3="none",AV207,IF(DJ207="",NA(),DJ207))</f>
        <v>0</v>
      </c>
      <c r="FY40">
        <f>IF(Charts!$B$3="none",AW207,IF(DK207="",NA(),DK207))</f>
        <v>0</v>
      </c>
      <c r="FZ40">
        <f>IF(Charts!$B$3="none",AX207,IF(DL207="",NA(),DL207))</f>
        <v>0</v>
      </c>
      <c r="GA40">
        <f>IF(Charts!$B$3="none",AY207,IF(DM207="",NA(),DM207))</f>
        <v>0</v>
      </c>
      <c r="GB40">
        <f>IF(Charts!$B$3="none",AZ207,IF(DN207="",NA(),DN207))</f>
        <v>0</v>
      </c>
      <c r="GC40">
        <f>IF(Charts!$B$3="none",BA207,IF(DO207="",NA(),DO207))</f>
        <v>0</v>
      </c>
      <c r="GD40">
        <f>IF(Charts!$B$3="none",BB207,IF(DP207="",NA(),DP207))</f>
        <v>0</v>
      </c>
      <c r="GE40">
        <f>IF(Charts!$B$3="none",BC207,IF(DQ207="",NA(),DQ207))</f>
        <v>0</v>
      </c>
      <c r="GF40">
        <f>IF(Charts!$B$3="none",BD207,IF(DR207="",NA(),DR207))</f>
        <v>0</v>
      </c>
      <c r="GG40">
        <f>IF(Charts!$B$3="none",BE207,IF(DS207="",NA(),DS207))</f>
        <v>0</v>
      </c>
      <c r="GH40">
        <f>IF(Charts!$B$3="none",BF207,IF(DT207="",NA(),DT207))</f>
        <v>0</v>
      </c>
      <c r="GI40">
        <f>IF(Charts!$B$3="none",BG207,IF(DU207="",NA(),DU207))</f>
        <v>0</v>
      </c>
      <c r="GJ40">
        <f>IF(Charts!$B$3="none",BH207,IF(DV207="",NA(),DV207))</f>
        <v>0</v>
      </c>
      <c r="GK40">
        <f>IF(Charts!$B$3="none",BI207,IF(DW207="",NA(),DW207))</f>
        <v>0</v>
      </c>
      <c r="GL40">
        <f>IF(Charts!$B$3="none",BJ207,IF(DX207="",NA(),DX207))</f>
        <v>0</v>
      </c>
      <c r="GM40">
        <f>IF(Charts!$B$3="none",BK207,IF(DY207="",NA(),DY207))</f>
        <v>0</v>
      </c>
      <c r="GN40">
        <f>IF(Charts!$B$3="none",BL207,IF(DZ207="",NA(),DZ207))</f>
        <v>0</v>
      </c>
      <c r="GO40">
        <f>IF(Charts!$B$3="none",BM207,IF(EA207="",NA(),EA207))</f>
        <v>0</v>
      </c>
      <c r="GP40">
        <f>IF(Charts!$B$3="none",BN207,IF(EB207="",NA(),EB207))</f>
        <v>0</v>
      </c>
      <c r="GQ40">
        <f>IF(Charts!$B$3="none",BO207,IF(EC207="",NA(),EC207))</f>
        <v>0</v>
      </c>
      <c r="GR40">
        <f>IF(Charts!$B$3="none",BP207,IF(ED207="",NA(),ED207))</f>
        <v>0</v>
      </c>
    </row>
    <row r="41" spans="4:200">
      <c r="E41">
        <v>3</v>
      </c>
      <c r="F41">
        <f>F7</f>
        <v>0</v>
      </c>
      <c r="G41">
        <v>3</v>
      </c>
      <c r="H41">
        <f>H7</f>
        <v>0</v>
      </c>
      <c r="I41">
        <v>3</v>
      </c>
      <c r="J41">
        <f>J7</f>
        <v>0</v>
      </c>
      <c r="K41">
        <v>3</v>
      </c>
      <c r="L41">
        <f>L7</f>
        <v>0</v>
      </c>
      <c r="M41">
        <v>3</v>
      </c>
      <c r="N41">
        <f>N7</f>
        <v>0</v>
      </c>
      <c r="O41">
        <v>3</v>
      </c>
      <c r="P41">
        <f>P7</f>
        <v>0</v>
      </c>
      <c r="Q41">
        <v>3</v>
      </c>
      <c r="R41">
        <f>R7</f>
        <v>0</v>
      </c>
      <c r="S41">
        <v>3</v>
      </c>
      <c r="T41">
        <f>T7</f>
        <v>0</v>
      </c>
      <c r="U41">
        <v>3</v>
      </c>
      <c r="V41">
        <f>V7</f>
        <v>0</v>
      </c>
      <c r="W41">
        <v>3</v>
      </c>
      <c r="X41">
        <f>X7</f>
        <v>0</v>
      </c>
      <c r="Y41">
        <v>3</v>
      </c>
      <c r="Z41">
        <f>Z7</f>
        <v>0</v>
      </c>
      <c r="AA41">
        <v>3</v>
      </c>
      <c r="AB41">
        <f>AB7</f>
        <v>0</v>
      </c>
      <c r="AC41">
        <v>3</v>
      </c>
      <c r="AD41">
        <f>AD7</f>
        <v>0</v>
      </c>
      <c r="AE41">
        <v>3</v>
      </c>
      <c r="AF41">
        <f>AF7</f>
        <v>0</v>
      </c>
      <c r="AG41">
        <v>3</v>
      </c>
      <c r="AH41">
        <f>AH7</f>
        <v>0</v>
      </c>
      <c r="AI41">
        <v>3</v>
      </c>
      <c r="AJ41">
        <f>AJ7</f>
        <v>0</v>
      </c>
      <c r="AK41">
        <v>3</v>
      </c>
      <c r="AL41">
        <f>AL7</f>
        <v>0</v>
      </c>
      <c r="AM41">
        <v>3</v>
      </c>
      <c r="AN41">
        <f>AN7</f>
        <v>0</v>
      </c>
      <c r="AO41">
        <v>3</v>
      </c>
      <c r="AP41">
        <f>AP7</f>
        <v>0</v>
      </c>
      <c r="AQ41">
        <v>3</v>
      </c>
      <c r="AR41">
        <f>AR7</f>
        <v>0</v>
      </c>
      <c r="AS41">
        <v>3</v>
      </c>
      <c r="AT41">
        <f>AT7</f>
        <v>0</v>
      </c>
      <c r="AU41">
        <v>3</v>
      </c>
      <c r="AV41">
        <f>AV7</f>
        <v>0</v>
      </c>
      <c r="AW41">
        <v>3</v>
      </c>
      <c r="AX41">
        <f>AX7</f>
        <v>0</v>
      </c>
      <c r="AY41">
        <v>3</v>
      </c>
      <c r="AZ41">
        <f>AZ7</f>
        <v>0</v>
      </c>
      <c r="BA41">
        <v>3</v>
      </c>
      <c r="BB41">
        <f>BB7</f>
        <v>0</v>
      </c>
      <c r="BC41">
        <v>3</v>
      </c>
      <c r="BD41">
        <f>BD7</f>
        <v>0</v>
      </c>
      <c r="BE41">
        <v>3</v>
      </c>
      <c r="BF41">
        <f>BF7</f>
        <v>0</v>
      </c>
      <c r="BG41">
        <v>3</v>
      </c>
      <c r="BH41">
        <f>BH7</f>
        <v>0</v>
      </c>
      <c r="BI41">
        <v>3</v>
      </c>
      <c r="BJ41">
        <f>BJ7</f>
        <v>0</v>
      </c>
      <c r="BK41">
        <v>3</v>
      </c>
      <c r="BL41">
        <f>BL7</f>
        <v>0</v>
      </c>
      <c r="BM41">
        <v>3</v>
      </c>
      <c r="BN41">
        <f>BN7</f>
        <v>0</v>
      </c>
      <c r="BO41">
        <v>3</v>
      </c>
      <c r="BP41">
        <f>BP7</f>
        <v>0</v>
      </c>
      <c r="BS41">
        <v>3</v>
      </c>
      <c r="BT41">
        <f>BT7</f>
        <v>0</v>
      </c>
      <c r="BU41">
        <v>3</v>
      </c>
      <c r="BV41">
        <f>BV7</f>
        <v>0</v>
      </c>
      <c r="BW41">
        <v>3</v>
      </c>
      <c r="BX41">
        <f>BX7</f>
        <v>0</v>
      </c>
      <c r="BY41">
        <v>3</v>
      </c>
      <c r="BZ41">
        <f>BZ7</f>
        <v>0</v>
      </c>
      <c r="CA41">
        <v>3</v>
      </c>
      <c r="CB41">
        <f>CB7</f>
        <v>0</v>
      </c>
      <c r="CC41">
        <v>3</v>
      </c>
      <c r="CD41">
        <f>CD7</f>
        <v>0</v>
      </c>
      <c r="CE41">
        <v>3</v>
      </c>
      <c r="CF41">
        <f>CF7</f>
        <v>0</v>
      </c>
      <c r="CG41">
        <v>3</v>
      </c>
      <c r="CH41">
        <f>CH7</f>
        <v>0</v>
      </c>
      <c r="CI41">
        <v>3</v>
      </c>
      <c r="CJ41">
        <f>CJ7</f>
        <v>0</v>
      </c>
      <c r="CK41">
        <v>3</v>
      </c>
      <c r="CL41">
        <f>CL7</f>
        <v>0</v>
      </c>
      <c r="CM41">
        <v>3</v>
      </c>
      <c r="CN41">
        <f>CN7</f>
        <v>0</v>
      </c>
      <c r="CO41">
        <v>3</v>
      </c>
      <c r="CP41">
        <f>CP7</f>
        <v>0</v>
      </c>
      <c r="CQ41">
        <v>3</v>
      </c>
      <c r="CR41">
        <f>CR7</f>
        <v>0</v>
      </c>
      <c r="CS41">
        <v>3</v>
      </c>
      <c r="CT41">
        <f>CT7</f>
        <v>0</v>
      </c>
      <c r="CU41">
        <v>3</v>
      </c>
      <c r="CV41">
        <f>CV7</f>
        <v>0</v>
      </c>
      <c r="CW41">
        <v>3</v>
      </c>
      <c r="CX41">
        <f>CX7</f>
        <v>0</v>
      </c>
      <c r="CY41">
        <v>3</v>
      </c>
      <c r="CZ41">
        <f>CZ7</f>
        <v>0</v>
      </c>
      <c r="DA41">
        <v>3</v>
      </c>
      <c r="DB41">
        <f>DB7</f>
        <v>0</v>
      </c>
      <c r="DC41">
        <v>3</v>
      </c>
      <c r="DD41">
        <f>DD7</f>
        <v>0</v>
      </c>
      <c r="DE41">
        <v>3</v>
      </c>
      <c r="DF41">
        <f>DF7</f>
        <v>0</v>
      </c>
      <c r="DG41">
        <v>3</v>
      </c>
      <c r="DH41">
        <f>DH7</f>
        <v>0</v>
      </c>
      <c r="DI41">
        <v>3</v>
      </c>
      <c r="DJ41">
        <f>DJ7</f>
        <v>0</v>
      </c>
      <c r="DK41">
        <v>3</v>
      </c>
      <c r="DL41">
        <f>DL7</f>
        <v>0</v>
      </c>
      <c r="DM41">
        <v>3</v>
      </c>
      <c r="DN41">
        <f>DN7</f>
        <v>0</v>
      </c>
      <c r="DO41">
        <v>3</v>
      </c>
      <c r="DP41">
        <f>DP7</f>
        <v>0</v>
      </c>
      <c r="DQ41">
        <v>3</v>
      </c>
      <c r="DR41">
        <f>DR7</f>
        <v>0</v>
      </c>
      <c r="DS41">
        <v>3</v>
      </c>
      <c r="DT41">
        <f>DT7</f>
        <v>0</v>
      </c>
      <c r="DU41">
        <v>3</v>
      </c>
      <c r="DV41">
        <f>DV7</f>
        <v>0</v>
      </c>
      <c r="DW41">
        <v>3</v>
      </c>
      <c r="DX41">
        <f>DX7</f>
        <v>0</v>
      </c>
      <c r="DY41">
        <v>3</v>
      </c>
      <c r="DZ41">
        <f>DZ7</f>
        <v>0</v>
      </c>
      <c r="EA41">
        <v>3</v>
      </c>
      <c r="EB41">
        <f>EB7</f>
        <v>0</v>
      </c>
      <c r="EC41">
        <v>3</v>
      </c>
      <c r="ED41">
        <f>ED7</f>
        <v>0</v>
      </c>
      <c r="EG41">
        <f>IF(Charts!$B$3="none",E208,IF(BS208="",NA(),BS208))</f>
        <v>0</v>
      </c>
      <c r="EH41">
        <f>IF(Charts!$B$3="none",F208,IF(BT208="",NA(),BT208))</f>
        <v>0</v>
      </c>
      <c r="EI41">
        <f>IF(Charts!$B$3="none",G208,IF(BU208="",NA(),BU208))</f>
        <v>0</v>
      </c>
      <c r="EJ41">
        <f>IF(Charts!$B$3="none",H208,IF(BV208="",NA(),BV208))</f>
        <v>0</v>
      </c>
      <c r="EK41">
        <f>IF(Charts!$B$3="none",I208,IF(BW208="",NA(),BW208))</f>
        <v>0</v>
      </c>
      <c r="EL41">
        <f>IF(Charts!$B$3="none",J208,IF(BX208="",NA(),BX208))</f>
        <v>0</v>
      </c>
      <c r="EM41">
        <f>IF(Charts!$B$3="none",K208,IF(BY208="",NA(),BY208))</f>
        <v>0</v>
      </c>
      <c r="EN41">
        <f>IF(Charts!$B$3="none",L208,IF(BZ208="",NA(),BZ208))</f>
        <v>0</v>
      </c>
      <c r="EO41">
        <f>IF(Charts!$B$3="none",M208,IF(CA208="",NA(),CA208))</f>
        <v>0</v>
      </c>
      <c r="EP41">
        <f>IF(Charts!$B$3="none",N208,IF(CB208="",NA(),CB208))</f>
        <v>0</v>
      </c>
      <c r="EQ41">
        <f>IF(Charts!$B$3="none",O208,IF(CC208="",NA(),CC208))</f>
        <v>0</v>
      </c>
      <c r="ER41">
        <f>IF(Charts!$B$3="none",P208,IF(CD208="",NA(),CD208))</f>
        <v>0</v>
      </c>
      <c r="ES41">
        <f>IF(Charts!$B$3="none",Q208,IF(CE208="",NA(),CE208))</f>
        <v>0</v>
      </c>
      <c r="ET41">
        <f>IF(Charts!$B$3="none",R208,IF(CF208="",NA(),CF208))</f>
        <v>0</v>
      </c>
      <c r="EU41">
        <f>IF(Charts!$B$3="none",S208,IF(CG208="",NA(),CG208))</f>
        <v>0</v>
      </c>
      <c r="EV41">
        <f>IF(Charts!$B$3="none",T208,IF(CH208="",NA(),CH208))</f>
        <v>0</v>
      </c>
      <c r="EW41">
        <f>IF(Charts!$B$3="none",U208,IF(CI208="",NA(),CI208))</f>
        <v>0</v>
      </c>
      <c r="EX41">
        <f>IF(Charts!$B$3="none",V208,IF(CJ208="",NA(),CJ208))</f>
        <v>0</v>
      </c>
      <c r="EY41">
        <f>IF(Charts!$B$3="none",W208,IF(CK208="",NA(),CK208))</f>
        <v>0</v>
      </c>
      <c r="EZ41">
        <f>IF(Charts!$B$3="none",X208,IF(CL208="",NA(),CL208))</f>
        <v>0</v>
      </c>
      <c r="FA41">
        <f>IF(Charts!$B$3="none",Y208,IF(CM208="",NA(),CM208))</f>
        <v>0</v>
      </c>
      <c r="FB41">
        <f>IF(Charts!$B$3="none",Z208,IF(CN208="",NA(),CN208))</f>
        <v>0</v>
      </c>
      <c r="FC41">
        <f>IF(Charts!$B$3="none",AA208,IF(CO208="",NA(),CO208))</f>
        <v>0</v>
      </c>
      <c r="FD41">
        <f>IF(Charts!$B$3="none",AB208,IF(CP208="",NA(),CP208))</f>
        <v>0</v>
      </c>
      <c r="FE41">
        <f>IF(Charts!$B$3="none",AC208,IF(CQ208="",NA(),CQ208))</f>
        <v>0</v>
      </c>
      <c r="FF41">
        <f>IF(Charts!$B$3="none",AD208,IF(CR208="",NA(),CR208))</f>
        <v>0</v>
      </c>
      <c r="FG41">
        <f>IF(Charts!$B$3="none",AE208,IF(CS208="",NA(),CS208))</f>
        <v>0</v>
      </c>
      <c r="FH41">
        <f>IF(Charts!$B$3="none",AF208,IF(CT208="",NA(),CT208))</f>
        <v>0</v>
      </c>
      <c r="FI41">
        <f>IF(Charts!$B$3="none",AG208,IF(CU208="",NA(),CU208))</f>
        <v>0</v>
      </c>
      <c r="FJ41">
        <f>IF(Charts!$B$3="none",AH208,IF(CV208="",NA(),CV208))</f>
        <v>0</v>
      </c>
      <c r="FK41">
        <f>IF(Charts!$B$3="none",AI208,IF(CW208="",NA(),CW208))</f>
        <v>0</v>
      </c>
      <c r="FL41">
        <f>IF(Charts!$B$3="none",AJ208,IF(CX208="",NA(),CX208))</f>
        <v>0</v>
      </c>
      <c r="FM41">
        <f>IF(Charts!$B$3="none",AK208,IF(CY208="",NA(),CY208))</f>
        <v>0</v>
      </c>
      <c r="FN41">
        <f>IF(Charts!$B$3="none",AL208,IF(CZ208="",NA(),CZ208))</f>
        <v>0</v>
      </c>
      <c r="FO41">
        <f>IF(Charts!$B$3="none",AM208,IF(DA208="",NA(),DA208))</f>
        <v>0</v>
      </c>
      <c r="FP41">
        <f>IF(Charts!$B$3="none",AN208,IF(DB208="",NA(),DB208))</f>
        <v>0</v>
      </c>
      <c r="FQ41">
        <f>IF(Charts!$B$3="none",AO208,IF(DC208="",NA(),DC208))</f>
        <v>0</v>
      </c>
      <c r="FR41">
        <f>IF(Charts!$B$3="none",AP208,IF(DD208="",NA(),DD208))</f>
        <v>0</v>
      </c>
      <c r="FS41">
        <f>IF(Charts!$B$3="none",AQ208,IF(DE208="",NA(),DE208))</f>
        <v>0</v>
      </c>
      <c r="FT41">
        <f>IF(Charts!$B$3="none",AR208,IF(DF208="",NA(),DF208))</f>
        <v>0</v>
      </c>
      <c r="FU41">
        <f>IF(Charts!$B$3="none",AS208,IF(DG208="",NA(),DG208))</f>
        <v>0</v>
      </c>
      <c r="FV41">
        <f>IF(Charts!$B$3="none",AT208,IF(DH208="",NA(),DH208))</f>
        <v>0</v>
      </c>
      <c r="FW41">
        <f>IF(Charts!$B$3="none",AU208,IF(DI208="",NA(),DI208))</f>
        <v>0</v>
      </c>
      <c r="FX41">
        <f>IF(Charts!$B$3="none",AV208,IF(DJ208="",NA(),DJ208))</f>
        <v>0</v>
      </c>
      <c r="FY41">
        <f>IF(Charts!$B$3="none",AW208,IF(DK208="",NA(),DK208))</f>
        <v>0</v>
      </c>
      <c r="FZ41">
        <f>IF(Charts!$B$3="none",AX208,IF(DL208="",NA(),DL208))</f>
        <v>0</v>
      </c>
      <c r="GA41">
        <f>IF(Charts!$B$3="none",AY208,IF(DM208="",NA(),DM208))</f>
        <v>0</v>
      </c>
      <c r="GB41">
        <f>IF(Charts!$B$3="none",AZ208,IF(DN208="",NA(),DN208))</f>
        <v>0</v>
      </c>
      <c r="GC41">
        <f>IF(Charts!$B$3="none",BA208,IF(DO208="",NA(),DO208))</f>
        <v>0</v>
      </c>
      <c r="GD41">
        <f>IF(Charts!$B$3="none",BB208,IF(DP208="",NA(),DP208))</f>
        <v>0</v>
      </c>
      <c r="GE41">
        <f>IF(Charts!$B$3="none",BC208,IF(DQ208="",NA(),DQ208))</f>
        <v>0</v>
      </c>
      <c r="GF41">
        <f>IF(Charts!$B$3="none",BD208,IF(DR208="",NA(),DR208))</f>
        <v>0</v>
      </c>
      <c r="GG41">
        <f>IF(Charts!$B$3="none",BE208,IF(DS208="",NA(),DS208))</f>
        <v>0</v>
      </c>
      <c r="GH41">
        <f>IF(Charts!$B$3="none",BF208,IF(DT208="",NA(),DT208))</f>
        <v>0</v>
      </c>
      <c r="GI41">
        <f>IF(Charts!$B$3="none",BG208,IF(DU208="",NA(),DU208))</f>
        <v>0</v>
      </c>
      <c r="GJ41">
        <f>IF(Charts!$B$3="none",BH208,IF(DV208="",NA(),DV208))</f>
        <v>0</v>
      </c>
      <c r="GK41">
        <f>IF(Charts!$B$3="none",BI208,IF(DW208="",NA(),DW208))</f>
        <v>0</v>
      </c>
      <c r="GL41">
        <f>IF(Charts!$B$3="none",BJ208,IF(DX208="",NA(),DX208))</f>
        <v>0</v>
      </c>
      <c r="GM41">
        <f>IF(Charts!$B$3="none",BK208,IF(DY208="",NA(),DY208))</f>
        <v>0</v>
      </c>
      <c r="GN41">
        <f>IF(Charts!$B$3="none",BL208,IF(DZ208="",NA(),DZ208))</f>
        <v>0</v>
      </c>
      <c r="GO41">
        <f>IF(Charts!$B$3="none",BM208,IF(EA208="",NA(),EA208))</f>
        <v>0</v>
      </c>
      <c r="GP41">
        <f>IF(Charts!$B$3="none",BN208,IF(EB208="",NA(),EB208))</f>
        <v>0</v>
      </c>
      <c r="GQ41">
        <f>IF(Charts!$B$3="none",BO208,IF(EC208="",NA(),EC208))</f>
        <v>0</v>
      </c>
      <c r="GR41">
        <f>IF(Charts!$B$3="none",BP208,IF(ED208="",NA(),ED208))</f>
        <v>0</v>
      </c>
    </row>
    <row r="42" spans="4:200">
      <c r="E42">
        <v>4</v>
      </c>
      <c r="F42">
        <f>F8</f>
        <v>0</v>
      </c>
      <c r="G42">
        <v>4</v>
      </c>
      <c r="H42">
        <f>H8</f>
        <v>0</v>
      </c>
      <c r="I42">
        <v>4</v>
      </c>
      <c r="J42">
        <f>J8</f>
        <v>0</v>
      </c>
      <c r="K42">
        <v>4</v>
      </c>
      <c r="L42">
        <f>L8</f>
        <v>0</v>
      </c>
      <c r="M42">
        <v>4</v>
      </c>
      <c r="N42">
        <f>N8</f>
        <v>0</v>
      </c>
      <c r="O42">
        <v>4</v>
      </c>
      <c r="P42">
        <f>P8</f>
        <v>0</v>
      </c>
      <c r="Q42">
        <v>4</v>
      </c>
      <c r="R42">
        <f>R8</f>
        <v>0</v>
      </c>
      <c r="S42">
        <v>4</v>
      </c>
      <c r="T42">
        <f>T8</f>
        <v>0</v>
      </c>
      <c r="U42">
        <v>4</v>
      </c>
      <c r="V42">
        <f>V8</f>
        <v>0</v>
      </c>
      <c r="W42">
        <v>4</v>
      </c>
      <c r="X42">
        <f>X8</f>
        <v>0</v>
      </c>
      <c r="Y42">
        <v>4</v>
      </c>
      <c r="Z42">
        <f>Z8</f>
        <v>0</v>
      </c>
      <c r="AA42">
        <v>4</v>
      </c>
      <c r="AB42">
        <f>AB8</f>
        <v>0</v>
      </c>
      <c r="AC42">
        <v>4</v>
      </c>
      <c r="AD42">
        <f>AD8</f>
        <v>0</v>
      </c>
      <c r="AE42">
        <v>4</v>
      </c>
      <c r="AF42">
        <f>AF8</f>
        <v>0</v>
      </c>
      <c r="AG42">
        <v>4</v>
      </c>
      <c r="AH42">
        <f>AH8</f>
        <v>0</v>
      </c>
      <c r="AI42">
        <v>4</v>
      </c>
      <c r="AJ42">
        <f>AJ8</f>
        <v>0</v>
      </c>
      <c r="AK42">
        <v>4</v>
      </c>
      <c r="AL42">
        <f>AL8</f>
        <v>0</v>
      </c>
      <c r="AM42">
        <v>4</v>
      </c>
      <c r="AN42">
        <f>AN8</f>
        <v>0</v>
      </c>
      <c r="AO42">
        <v>4</v>
      </c>
      <c r="AP42">
        <f>AP8</f>
        <v>0</v>
      </c>
      <c r="AQ42">
        <v>4</v>
      </c>
      <c r="AR42">
        <f>AR8</f>
        <v>0</v>
      </c>
      <c r="AS42">
        <v>4</v>
      </c>
      <c r="AT42">
        <f>AT8</f>
        <v>0</v>
      </c>
      <c r="AU42">
        <v>4</v>
      </c>
      <c r="AV42">
        <f>AV8</f>
        <v>0</v>
      </c>
      <c r="AW42">
        <v>4</v>
      </c>
      <c r="AX42">
        <f>AX8</f>
        <v>0</v>
      </c>
      <c r="AY42">
        <v>4</v>
      </c>
      <c r="AZ42">
        <f>AZ8</f>
        <v>0</v>
      </c>
      <c r="BA42">
        <v>4</v>
      </c>
      <c r="BB42">
        <f>BB8</f>
        <v>0</v>
      </c>
      <c r="BC42">
        <v>4</v>
      </c>
      <c r="BD42">
        <f>BD8</f>
        <v>0</v>
      </c>
      <c r="BE42">
        <v>4</v>
      </c>
      <c r="BF42">
        <f>BF8</f>
        <v>0</v>
      </c>
      <c r="BG42">
        <v>4</v>
      </c>
      <c r="BH42">
        <f>BH8</f>
        <v>0</v>
      </c>
      <c r="BI42">
        <v>4</v>
      </c>
      <c r="BJ42">
        <f>BJ8</f>
        <v>0</v>
      </c>
      <c r="BK42">
        <v>4</v>
      </c>
      <c r="BL42">
        <f>BL8</f>
        <v>0</v>
      </c>
      <c r="BM42">
        <v>4</v>
      </c>
      <c r="BN42">
        <f>BN8</f>
        <v>0</v>
      </c>
      <c r="BO42">
        <v>4</v>
      </c>
      <c r="BP42">
        <f>BP8</f>
        <v>0</v>
      </c>
      <c r="BS42">
        <v>4</v>
      </c>
      <c r="BT42">
        <f>BT8</f>
        <v>0</v>
      </c>
      <c r="BU42">
        <v>4</v>
      </c>
      <c r="BV42">
        <f>BV8</f>
        <v>0</v>
      </c>
      <c r="BW42">
        <v>4</v>
      </c>
      <c r="BX42">
        <f>BX8</f>
        <v>0</v>
      </c>
      <c r="BY42">
        <v>4</v>
      </c>
      <c r="BZ42">
        <f>BZ8</f>
        <v>0</v>
      </c>
      <c r="CA42">
        <v>4</v>
      </c>
      <c r="CB42">
        <f>CB8</f>
        <v>0</v>
      </c>
      <c r="CC42">
        <v>4</v>
      </c>
      <c r="CD42">
        <f>CD8</f>
        <v>0</v>
      </c>
      <c r="CE42">
        <v>4</v>
      </c>
      <c r="CF42">
        <f>CF8</f>
        <v>0</v>
      </c>
      <c r="CG42">
        <v>4</v>
      </c>
      <c r="CH42">
        <f>CH8</f>
        <v>0</v>
      </c>
      <c r="CI42">
        <v>4</v>
      </c>
      <c r="CJ42">
        <f>CJ8</f>
        <v>0</v>
      </c>
      <c r="CK42">
        <v>4</v>
      </c>
      <c r="CL42">
        <f>CL8</f>
        <v>0</v>
      </c>
      <c r="CM42">
        <v>4</v>
      </c>
      <c r="CN42">
        <f>CN8</f>
        <v>0</v>
      </c>
      <c r="CO42">
        <v>4</v>
      </c>
      <c r="CP42">
        <f>CP8</f>
        <v>0</v>
      </c>
      <c r="CQ42">
        <v>4</v>
      </c>
      <c r="CR42">
        <f>CR8</f>
        <v>0</v>
      </c>
      <c r="CS42">
        <v>4</v>
      </c>
      <c r="CT42">
        <f>CT8</f>
        <v>0</v>
      </c>
      <c r="CU42">
        <v>4</v>
      </c>
      <c r="CV42">
        <f>CV8</f>
        <v>0</v>
      </c>
      <c r="CW42">
        <v>4</v>
      </c>
      <c r="CX42">
        <f>CX8</f>
        <v>0</v>
      </c>
      <c r="CY42">
        <v>4</v>
      </c>
      <c r="CZ42">
        <f>CZ8</f>
        <v>0</v>
      </c>
      <c r="DA42">
        <v>4</v>
      </c>
      <c r="DB42">
        <f>DB8</f>
        <v>0</v>
      </c>
      <c r="DC42">
        <v>4</v>
      </c>
      <c r="DD42">
        <f>DD8</f>
        <v>0</v>
      </c>
      <c r="DE42">
        <v>4</v>
      </c>
      <c r="DF42">
        <f>DF8</f>
        <v>0</v>
      </c>
      <c r="DG42">
        <v>4</v>
      </c>
      <c r="DH42">
        <f>DH8</f>
        <v>0</v>
      </c>
      <c r="DI42">
        <v>4</v>
      </c>
      <c r="DJ42">
        <f>DJ8</f>
        <v>0</v>
      </c>
      <c r="DK42">
        <v>4</v>
      </c>
      <c r="DL42">
        <f>DL8</f>
        <v>0</v>
      </c>
      <c r="DM42">
        <v>4</v>
      </c>
      <c r="DN42">
        <f>DN8</f>
        <v>0</v>
      </c>
      <c r="DO42">
        <v>4</v>
      </c>
      <c r="DP42">
        <f>DP8</f>
        <v>0</v>
      </c>
      <c r="DQ42">
        <v>4</v>
      </c>
      <c r="DR42">
        <f>DR8</f>
        <v>0</v>
      </c>
      <c r="DS42">
        <v>4</v>
      </c>
      <c r="DT42">
        <f>DT8</f>
        <v>0</v>
      </c>
      <c r="DU42">
        <v>4</v>
      </c>
      <c r="DV42">
        <f>DV8</f>
        <v>0</v>
      </c>
      <c r="DW42">
        <v>4</v>
      </c>
      <c r="DX42">
        <f>DX8</f>
        <v>0</v>
      </c>
      <c r="DY42">
        <v>4</v>
      </c>
      <c r="DZ42">
        <f>DZ8</f>
        <v>0</v>
      </c>
      <c r="EA42">
        <v>4</v>
      </c>
      <c r="EB42">
        <f>EB8</f>
        <v>0</v>
      </c>
      <c r="EC42">
        <v>4</v>
      </c>
      <c r="ED42">
        <f>ED8</f>
        <v>0</v>
      </c>
      <c r="EG42">
        <f>IF(Charts!$B$3="none",E209,IF(BS209="",NA(),BS209))</f>
        <v>0</v>
      </c>
      <c r="EH42">
        <f>IF(Charts!$B$3="none",F209,IF(BT209="",NA(),BT209))</f>
        <v>0</v>
      </c>
      <c r="EI42">
        <f>IF(Charts!$B$3="none",G209,IF(BU209="",NA(),BU209))</f>
        <v>0</v>
      </c>
      <c r="EJ42">
        <f>IF(Charts!$B$3="none",H209,IF(BV209="",NA(),BV209))</f>
        <v>0</v>
      </c>
      <c r="EK42">
        <f>IF(Charts!$B$3="none",I209,IF(BW209="",NA(),BW209))</f>
        <v>0</v>
      </c>
      <c r="EL42">
        <f>IF(Charts!$B$3="none",J209,IF(BX209="",NA(),BX209))</f>
        <v>0</v>
      </c>
      <c r="EM42">
        <f>IF(Charts!$B$3="none",K209,IF(BY209="",NA(),BY209))</f>
        <v>0</v>
      </c>
      <c r="EN42">
        <f>IF(Charts!$B$3="none",L209,IF(BZ209="",NA(),BZ209))</f>
        <v>0</v>
      </c>
      <c r="EO42">
        <f>IF(Charts!$B$3="none",M209,IF(CA209="",NA(),CA209))</f>
        <v>0</v>
      </c>
      <c r="EP42">
        <f>IF(Charts!$B$3="none",N209,IF(CB209="",NA(),CB209))</f>
        <v>0</v>
      </c>
      <c r="EQ42">
        <f>IF(Charts!$B$3="none",O209,IF(CC209="",NA(),CC209))</f>
        <v>0</v>
      </c>
      <c r="ER42">
        <f>IF(Charts!$B$3="none",P209,IF(CD209="",NA(),CD209))</f>
        <v>0</v>
      </c>
      <c r="ES42">
        <f>IF(Charts!$B$3="none",Q209,IF(CE209="",NA(),CE209))</f>
        <v>0</v>
      </c>
      <c r="ET42">
        <f>IF(Charts!$B$3="none",R209,IF(CF209="",NA(),CF209))</f>
        <v>0</v>
      </c>
      <c r="EU42">
        <f>IF(Charts!$B$3="none",S209,IF(CG209="",NA(),CG209))</f>
        <v>0</v>
      </c>
      <c r="EV42">
        <f>IF(Charts!$B$3="none",T209,IF(CH209="",NA(),CH209))</f>
        <v>0</v>
      </c>
      <c r="EW42">
        <f>IF(Charts!$B$3="none",U209,IF(CI209="",NA(),CI209))</f>
        <v>0</v>
      </c>
      <c r="EX42">
        <f>IF(Charts!$B$3="none",V209,IF(CJ209="",NA(),CJ209))</f>
        <v>0</v>
      </c>
      <c r="EY42">
        <f>IF(Charts!$B$3="none",W209,IF(CK209="",NA(),CK209))</f>
        <v>0</v>
      </c>
      <c r="EZ42">
        <f>IF(Charts!$B$3="none",X209,IF(CL209="",NA(),CL209))</f>
        <v>0</v>
      </c>
      <c r="FA42">
        <f>IF(Charts!$B$3="none",Y209,IF(CM209="",NA(),CM209))</f>
        <v>0</v>
      </c>
      <c r="FB42">
        <f>IF(Charts!$B$3="none",Z209,IF(CN209="",NA(),CN209))</f>
        <v>0</v>
      </c>
      <c r="FC42">
        <f>IF(Charts!$B$3="none",AA209,IF(CO209="",NA(),CO209))</f>
        <v>0</v>
      </c>
      <c r="FD42">
        <f>IF(Charts!$B$3="none",AB209,IF(CP209="",NA(),CP209))</f>
        <v>0</v>
      </c>
      <c r="FE42">
        <f>IF(Charts!$B$3="none",AC209,IF(CQ209="",NA(),CQ209))</f>
        <v>0</v>
      </c>
      <c r="FF42">
        <f>IF(Charts!$B$3="none",AD209,IF(CR209="",NA(),CR209))</f>
        <v>0</v>
      </c>
      <c r="FG42">
        <f>IF(Charts!$B$3="none",AE209,IF(CS209="",NA(),CS209))</f>
        <v>0</v>
      </c>
      <c r="FH42">
        <f>IF(Charts!$B$3="none",AF209,IF(CT209="",NA(),CT209))</f>
        <v>0</v>
      </c>
      <c r="FI42">
        <f>IF(Charts!$B$3="none",AG209,IF(CU209="",NA(),CU209))</f>
        <v>0</v>
      </c>
      <c r="FJ42">
        <f>IF(Charts!$B$3="none",AH209,IF(CV209="",NA(),CV209))</f>
        <v>0</v>
      </c>
      <c r="FK42">
        <f>IF(Charts!$B$3="none",AI209,IF(CW209="",NA(),CW209))</f>
        <v>0</v>
      </c>
      <c r="FL42">
        <f>IF(Charts!$B$3="none",AJ209,IF(CX209="",NA(),CX209))</f>
        <v>0</v>
      </c>
      <c r="FM42">
        <f>IF(Charts!$B$3="none",AK209,IF(CY209="",NA(),CY209))</f>
        <v>0</v>
      </c>
      <c r="FN42">
        <f>IF(Charts!$B$3="none",AL209,IF(CZ209="",NA(),CZ209))</f>
        <v>0</v>
      </c>
      <c r="FO42">
        <f>IF(Charts!$B$3="none",AM209,IF(DA209="",NA(),DA209))</f>
        <v>0</v>
      </c>
      <c r="FP42">
        <f>IF(Charts!$B$3="none",AN209,IF(DB209="",NA(),DB209))</f>
        <v>0</v>
      </c>
      <c r="FQ42">
        <f>IF(Charts!$B$3="none",AO209,IF(DC209="",NA(),DC209))</f>
        <v>0</v>
      </c>
      <c r="FR42">
        <f>IF(Charts!$B$3="none",AP209,IF(DD209="",NA(),DD209))</f>
        <v>0</v>
      </c>
      <c r="FS42">
        <f>IF(Charts!$B$3="none",AQ209,IF(DE209="",NA(),DE209))</f>
        <v>0</v>
      </c>
      <c r="FT42">
        <f>IF(Charts!$B$3="none",AR209,IF(DF209="",NA(),DF209))</f>
        <v>0</v>
      </c>
      <c r="FU42">
        <f>IF(Charts!$B$3="none",AS209,IF(DG209="",NA(),DG209))</f>
        <v>0</v>
      </c>
      <c r="FV42">
        <f>IF(Charts!$B$3="none",AT209,IF(DH209="",NA(),DH209))</f>
        <v>0</v>
      </c>
      <c r="FW42">
        <f>IF(Charts!$B$3="none",AU209,IF(DI209="",NA(),DI209))</f>
        <v>0</v>
      </c>
      <c r="FX42">
        <f>IF(Charts!$B$3="none",AV209,IF(DJ209="",NA(),DJ209))</f>
        <v>0</v>
      </c>
      <c r="FY42">
        <f>IF(Charts!$B$3="none",AW209,IF(DK209="",NA(),DK209))</f>
        <v>0</v>
      </c>
      <c r="FZ42">
        <f>IF(Charts!$B$3="none",AX209,IF(DL209="",NA(),DL209))</f>
        <v>0</v>
      </c>
      <c r="GA42">
        <f>IF(Charts!$B$3="none",AY209,IF(DM209="",NA(),DM209))</f>
        <v>0</v>
      </c>
      <c r="GB42">
        <f>IF(Charts!$B$3="none",AZ209,IF(DN209="",NA(),DN209))</f>
        <v>0</v>
      </c>
      <c r="GC42">
        <f>IF(Charts!$B$3="none",BA209,IF(DO209="",NA(),DO209))</f>
        <v>0</v>
      </c>
      <c r="GD42">
        <f>IF(Charts!$B$3="none",BB209,IF(DP209="",NA(),DP209))</f>
        <v>0</v>
      </c>
      <c r="GE42">
        <f>IF(Charts!$B$3="none",BC209,IF(DQ209="",NA(),DQ209))</f>
        <v>0</v>
      </c>
      <c r="GF42">
        <f>IF(Charts!$B$3="none",BD209,IF(DR209="",NA(),DR209))</f>
        <v>0</v>
      </c>
      <c r="GG42">
        <f>IF(Charts!$B$3="none",BE209,IF(DS209="",NA(),DS209))</f>
        <v>0</v>
      </c>
      <c r="GH42">
        <f>IF(Charts!$B$3="none",BF209,IF(DT209="",NA(),DT209))</f>
        <v>0</v>
      </c>
      <c r="GI42">
        <f>IF(Charts!$B$3="none",BG209,IF(DU209="",NA(),DU209))</f>
        <v>0</v>
      </c>
      <c r="GJ42">
        <f>IF(Charts!$B$3="none",BH209,IF(DV209="",NA(),DV209))</f>
        <v>0</v>
      </c>
      <c r="GK42">
        <f>IF(Charts!$B$3="none",BI209,IF(DW209="",NA(),DW209))</f>
        <v>0</v>
      </c>
      <c r="GL42">
        <f>IF(Charts!$B$3="none",BJ209,IF(DX209="",NA(),DX209))</f>
        <v>0</v>
      </c>
      <c r="GM42">
        <f>IF(Charts!$B$3="none",BK209,IF(DY209="",NA(),DY209))</f>
        <v>0</v>
      </c>
      <c r="GN42">
        <f>IF(Charts!$B$3="none",BL209,IF(DZ209="",NA(),DZ209))</f>
        <v>0</v>
      </c>
      <c r="GO42">
        <f>IF(Charts!$B$3="none",BM209,IF(EA209="",NA(),EA209))</f>
        <v>0</v>
      </c>
      <c r="GP42">
        <f>IF(Charts!$B$3="none",BN209,IF(EB209="",NA(),EB209))</f>
        <v>0</v>
      </c>
      <c r="GQ42">
        <f>IF(Charts!$B$3="none",BO209,IF(EC209="",NA(),EC209))</f>
        <v>0</v>
      </c>
      <c r="GR42">
        <f>IF(Charts!$B$3="none",BP209,IF(ED209="",NA(),ED209))</f>
        <v>0</v>
      </c>
    </row>
    <row r="43" spans="4:200">
      <c r="E43">
        <v>5</v>
      </c>
      <c r="F43">
        <f>F9</f>
        <v>0</v>
      </c>
      <c r="G43">
        <v>5</v>
      </c>
      <c r="H43">
        <f>H9</f>
        <v>0</v>
      </c>
      <c r="I43">
        <v>5</v>
      </c>
      <c r="J43">
        <f>J9</f>
        <v>0</v>
      </c>
      <c r="K43">
        <v>5</v>
      </c>
      <c r="L43">
        <f>L9</f>
        <v>0</v>
      </c>
      <c r="M43">
        <v>5</v>
      </c>
      <c r="N43">
        <f>N9</f>
        <v>0</v>
      </c>
      <c r="O43">
        <v>5</v>
      </c>
      <c r="P43">
        <f>P9</f>
        <v>0</v>
      </c>
      <c r="Q43">
        <v>5</v>
      </c>
      <c r="R43">
        <f>R9</f>
        <v>0</v>
      </c>
      <c r="S43">
        <v>5</v>
      </c>
      <c r="T43">
        <f>T9</f>
        <v>0</v>
      </c>
      <c r="U43">
        <v>5</v>
      </c>
      <c r="V43">
        <f>V9</f>
        <v>0</v>
      </c>
      <c r="W43">
        <v>5</v>
      </c>
      <c r="X43">
        <f>X9</f>
        <v>0</v>
      </c>
      <c r="Y43">
        <v>5</v>
      </c>
      <c r="Z43">
        <f>Z9</f>
        <v>0</v>
      </c>
      <c r="AA43">
        <v>5</v>
      </c>
      <c r="AB43">
        <f>AB9</f>
        <v>0</v>
      </c>
      <c r="AC43">
        <v>5</v>
      </c>
      <c r="AD43">
        <f>AD9</f>
        <v>0</v>
      </c>
      <c r="AE43">
        <v>5</v>
      </c>
      <c r="AF43">
        <f>AF9</f>
        <v>0</v>
      </c>
      <c r="AG43">
        <v>5</v>
      </c>
      <c r="AH43">
        <f>AH9</f>
        <v>0</v>
      </c>
      <c r="AI43">
        <v>5</v>
      </c>
      <c r="AJ43">
        <f>AJ9</f>
        <v>0</v>
      </c>
      <c r="AK43">
        <v>5</v>
      </c>
      <c r="AL43">
        <f>AL9</f>
        <v>0</v>
      </c>
      <c r="AM43">
        <v>5</v>
      </c>
      <c r="AN43">
        <f>AN9</f>
        <v>0</v>
      </c>
      <c r="AO43">
        <v>5</v>
      </c>
      <c r="AP43">
        <f>AP9</f>
        <v>0</v>
      </c>
      <c r="AQ43">
        <v>5</v>
      </c>
      <c r="AR43">
        <f>AR9</f>
        <v>0</v>
      </c>
      <c r="AS43">
        <v>5</v>
      </c>
      <c r="AT43">
        <f>AT9</f>
        <v>0</v>
      </c>
      <c r="AU43">
        <v>5</v>
      </c>
      <c r="AV43">
        <f>AV9</f>
        <v>0</v>
      </c>
      <c r="AW43">
        <v>5</v>
      </c>
      <c r="AX43">
        <f>AX9</f>
        <v>0</v>
      </c>
      <c r="AY43">
        <v>5</v>
      </c>
      <c r="AZ43">
        <f>AZ9</f>
        <v>0</v>
      </c>
      <c r="BA43">
        <v>5</v>
      </c>
      <c r="BB43">
        <f>BB9</f>
        <v>0</v>
      </c>
      <c r="BC43">
        <v>5</v>
      </c>
      <c r="BD43">
        <f>BD9</f>
        <v>0</v>
      </c>
      <c r="BE43">
        <v>5</v>
      </c>
      <c r="BF43">
        <f>BF9</f>
        <v>0</v>
      </c>
      <c r="BG43">
        <v>5</v>
      </c>
      <c r="BH43">
        <f>BH9</f>
        <v>0</v>
      </c>
      <c r="BI43">
        <v>5</v>
      </c>
      <c r="BJ43">
        <f>BJ9</f>
        <v>0</v>
      </c>
      <c r="BK43">
        <v>5</v>
      </c>
      <c r="BL43">
        <f>BL9</f>
        <v>0</v>
      </c>
      <c r="BM43">
        <v>5</v>
      </c>
      <c r="BN43">
        <f>BN9</f>
        <v>0</v>
      </c>
      <c r="BO43">
        <v>5</v>
      </c>
      <c r="BP43">
        <f>BP9</f>
        <v>0</v>
      </c>
      <c r="BS43">
        <v>5</v>
      </c>
      <c r="BT43">
        <f>BT9</f>
        <v>0</v>
      </c>
      <c r="BU43">
        <v>5</v>
      </c>
      <c r="BV43">
        <f>BV9</f>
        <v>0</v>
      </c>
      <c r="BW43">
        <v>5</v>
      </c>
      <c r="BX43">
        <f>BX9</f>
        <v>0</v>
      </c>
      <c r="BY43">
        <v>5</v>
      </c>
      <c r="BZ43">
        <f>BZ9</f>
        <v>0</v>
      </c>
      <c r="CA43">
        <v>5</v>
      </c>
      <c r="CB43">
        <f>CB9</f>
        <v>0</v>
      </c>
      <c r="CC43">
        <v>5</v>
      </c>
      <c r="CD43">
        <f>CD9</f>
        <v>0</v>
      </c>
      <c r="CE43">
        <v>5</v>
      </c>
      <c r="CF43">
        <f>CF9</f>
        <v>0</v>
      </c>
      <c r="CG43">
        <v>5</v>
      </c>
      <c r="CH43">
        <f>CH9</f>
        <v>0</v>
      </c>
      <c r="CI43">
        <v>5</v>
      </c>
      <c r="CJ43">
        <f>CJ9</f>
        <v>0</v>
      </c>
      <c r="CK43">
        <v>5</v>
      </c>
      <c r="CL43">
        <f>CL9</f>
        <v>0</v>
      </c>
      <c r="CM43">
        <v>5</v>
      </c>
      <c r="CN43">
        <f>CN9</f>
        <v>0</v>
      </c>
      <c r="CO43">
        <v>5</v>
      </c>
      <c r="CP43">
        <f>CP9</f>
        <v>0</v>
      </c>
      <c r="CQ43">
        <v>5</v>
      </c>
      <c r="CR43">
        <f>CR9</f>
        <v>0</v>
      </c>
      <c r="CS43">
        <v>5</v>
      </c>
      <c r="CT43">
        <f>CT9</f>
        <v>0</v>
      </c>
      <c r="CU43">
        <v>5</v>
      </c>
      <c r="CV43">
        <f>CV9</f>
        <v>0</v>
      </c>
      <c r="CW43">
        <v>5</v>
      </c>
      <c r="CX43">
        <f>CX9</f>
        <v>0</v>
      </c>
      <c r="CY43">
        <v>5</v>
      </c>
      <c r="CZ43">
        <f>CZ9</f>
        <v>0</v>
      </c>
      <c r="DA43">
        <v>5</v>
      </c>
      <c r="DB43">
        <f>DB9</f>
        <v>0</v>
      </c>
      <c r="DC43">
        <v>5</v>
      </c>
      <c r="DD43">
        <f>DD9</f>
        <v>0</v>
      </c>
      <c r="DE43">
        <v>5</v>
      </c>
      <c r="DF43">
        <f>DF9</f>
        <v>0</v>
      </c>
      <c r="DG43">
        <v>5</v>
      </c>
      <c r="DH43">
        <f>DH9</f>
        <v>0</v>
      </c>
      <c r="DI43">
        <v>5</v>
      </c>
      <c r="DJ43">
        <f>DJ9</f>
        <v>0</v>
      </c>
      <c r="DK43">
        <v>5</v>
      </c>
      <c r="DL43">
        <f>DL9</f>
        <v>0</v>
      </c>
      <c r="DM43">
        <v>5</v>
      </c>
      <c r="DN43">
        <f>DN9</f>
        <v>0</v>
      </c>
      <c r="DO43">
        <v>5</v>
      </c>
      <c r="DP43">
        <f>DP9</f>
        <v>0</v>
      </c>
      <c r="DQ43">
        <v>5</v>
      </c>
      <c r="DR43">
        <f>DR9</f>
        <v>0</v>
      </c>
      <c r="DS43">
        <v>5</v>
      </c>
      <c r="DT43">
        <f>DT9</f>
        <v>0</v>
      </c>
      <c r="DU43">
        <v>5</v>
      </c>
      <c r="DV43">
        <f>DV9</f>
        <v>0</v>
      </c>
      <c r="DW43">
        <v>5</v>
      </c>
      <c r="DX43">
        <f>DX9</f>
        <v>0</v>
      </c>
      <c r="DY43">
        <v>5</v>
      </c>
      <c r="DZ43">
        <f>DZ9</f>
        <v>0</v>
      </c>
      <c r="EA43">
        <v>5</v>
      </c>
      <c r="EB43">
        <f>EB9</f>
        <v>0</v>
      </c>
      <c r="EC43">
        <v>5</v>
      </c>
      <c r="ED43">
        <f>ED9</f>
        <v>0</v>
      </c>
      <c r="EG43">
        <f>IF(Charts!$B$3="none",E210,IF(BS210="",NA(),BS210))</f>
        <v>0</v>
      </c>
      <c r="EH43">
        <f>IF(Charts!$B$3="none",F210,IF(BT210="",NA(),BT210))</f>
        <v>0</v>
      </c>
      <c r="EI43">
        <f>IF(Charts!$B$3="none",G210,IF(BU210="",NA(),BU210))</f>
        <v>0</v>
      </c>
      <c r="EJ43">
        <f>IF(Charts!$B$3="none",H210,IF(BV210="",NA(),BV210))</f>
        <v>0</v>
      </c>
      <c r="EK43">
        <f>IF(Charts!$B$3="none",I210,IF(BW210="",NA(),BW210))</f>
        <v>0</v>
      </c>
      <c r="EL43">
        <f>IF(Charts!$B$3="none",J210,IF(BX210="",NA(),BX210))</f>
        <v>0</v>
      </c>
      <c r="EM43">
        <f>IF(Charts!$B$3="none",K210,IF(BY210="",NA(),BY210))</f>
        <v>0</v>
      </c>
      <c r="EN43">
        <f>IF(Charts!$B$3="none",L210,IF(BZ210="",NA(),BZ210))</f>
        <v>0</v>
      </c>
      <c r="EO43">
        <f>IF(Charts!$B$3="none",M210,IF(CA210="",NA(),CA210))</f>
        <v>0</v>
      </c>
      <c r="EP43">
        <f>IF(Charts!$B$3="none",N210,IF(CB210="",NA(),CB210))</f>
        <v>0</v>
      </c>
      <c r="EQ43">
        <f>IF(Charts!$B$3="none",O210,IF(CC210="",NA(),CC210))</f>
        <v>0</v>
      </c>
      <c r="ER43">
        <f>IF(Charts!$B$3="none",P210,IF(CD210="",NA(),CD210))</f>
        <v>0</v>
      </c>
      <c r="ES43">
        <f>IF(Charts!$B$3="none",Q210,IF(CE210="",NA(),CE210))</f>
        <v>0</v>
      </c>
      <c r="ET43">
        <f>IF(Charts!$B$3="none",R210,IF(CF210="",NA(),CF210))</f>
        <v>0</v>
      </c>
      <c r="EU43">
        <f>IF(Charts!$B$3="none",S210,IF(CG210="",NA(),CG210))</f>
        <v>0</v>
      </c>
      <c r="EV43">
        <f>IF(Charts!$B$3="none",T210,IF(CH210="",NA(),CH210))</f>
        <v>0</v>
      </c>
      <c r="EW43">
        <f>IF(Charts!$B$3="none",U210,IF(CI210="",NA(),CI210))</f>
        <v>0</v>
      </c>
      <c r="EX43">
        <f>IF(Charts!$B$3="none",V210,IF(CJ210="",NA(),CJ210))</f>
        <v>0</v>
      </c>
      <c r="EY43">
        <f>IF(Charts!$B$3="none",W210,IF(CK210="",NA(),CK210))</f>
        <v>0</v>
      </c>
      <c r="EZ43">
        <f>IF(Charts!$B$3="none",X210,IF(CL210="",NA(),CL210))</f>
        <v>0</v>
      </c>
      <c r="FA43">
        <f>IF(Charts!$B$3="none",Y210,IF(CM210="",NA(),CM210))</f>
        <v>0</v>
      </c>
      <c r="FB43">
        <f>IF(Charts!$B$3="none",Z210,IF(CN210="",NA(),CN210))</f>
        <v>0</v>
      </c>
      <c r="FC43">
        <f>IF(Charts!$B$3="none",AA210,IF(CO210="",NA(),CO210))</f>
        <v>0</v>
      </c>
      <c r="FD43">
        <f>IF(Charts!$B$3="none",AB210,IF(CP210="",NA(),CP210))</f>
        <v>0</v>
      </c>
      <c r="FE43">
        <f>IF(Charts!$B$3="none",AC210,IF(CQ210="",NA(),CQ210))</f>
        <v>0</v>
      </c>
      <c r="FF43">
        <f>IF(Charts!$B$3="none",AD210,IF(CR210="",NA(),CR210))</f>
        <v>0</v>
      </c>
      <c r="FG43">
        <f>IF(Charts!$B$3="none",AE210,IF(CS210="",NA(),CS210))</f>
        <v>0</v>
      </c>
      <c r="FH43">
        <f>IF(Charts!$B$3="none",AF210,IF(CT210="",NA(),CT210))</f>
        <v>0</v>
      </c>
      <c r="FI43">
        <f>IF(Charts!$B$3="none",AG210,IF(CU210="",NA(),CU210))</f>
        <v>0</v>
      </c>
      <c r="FJ43">
        <f>IF(Charts!$B$3="none",AH210,IF(CV210="",NA(),CV210))</f>
        <v>0</v>
      </c>
      <c r="FK43">
        <f>IF(Charts!$B$3="none",AI210,IF(CW210="",NA(),CW210))</f>
        <v>0</v>
      </c>
      <c r="FL43">
        <f>IF(Charts!$B$3="none",AJ210,IF(CX210="",NA(),CX210))</f>
        <v>0</v>
      </c>
      <c r="FM43">
        <f>IF(Charts!$B$3="none",AK210,IF(CY210="",NA(),CY210))</f>
        <v>0</v>
      </c>
      <c r="FN43">
        <f>IF(Charts!$B$3="none",AL210,IF(CZ210="",NA(),CZ210))</f>
        <v>0</v>
      </c>
      <c r="FO43">
        <f>IF(Charts!$B$3="none",AM210,IF(DA210="",NA(),DA210))</f>
        <v>0</v>
      </c>
      <c r="FP43">
        <f>IF(Charts!$B$3="none",AN210,IF(DB210="",NA(),DB210))</f>
        <v>0</v>
      </c>
      <c r="FQ43">
        <f>IF(Charts!$B$3="none",AO210,IF(DC210="",NA(),DC210))</f>
        <v>0</v>
      </c>
      <c r="FR43">
        <f>IF(Charts!$B$3="none",AP210,IF(DD210="",NA(),DD210))</f>
        <v>0</v>
      </c>
      <c r="FS43">
        <f>IF(Charts!$B$3="none",AQ210,IF(DE210="",NA(),DE210))</f>
        <v>0</v>
      </c>
      <c r="FT43">
        <f>IF(Charts!$B$3="none",AR210,IF(DF210="",NA(),DF210))</f>
        <v>0</v>
      </c>
      <c r="FU43">
        <f>IF(Charts!$B$3="none",AS210,IF(DG210="",NA(),DG210))</f>
        <v>0</v>
      </c>
      <c r="FV43">
        <f>IF(Charts!$B$3="none",AT210,IF(DH210="",NA(),DH210))</f>
        <v>0</v>
      </c>
      <c r="FW43">
        <f>IF(Charts!$B$3="none",AU210,IF(DI210="",NA(),DI210))</f>
        <v>0</v>
      </c>
      <c r="FX43">
        <f>IF(Charts!$B$3="none",AV210,IF(DJ210="",NA(),DJ210))</f>
        <v>0</v>
      </c>
      <c r="FY43">
        <f>IF(Charts!$B$3="none",AW210,IF(DK210="",NA(),DK210))</f>
        <v>0</v>
      </c>
      <c r="FZ43">
        <f>IF(Charts!$B$3="none",AX210,IF(DL210="",NA(),DL210))</f>
        <v>0</v>
      </c>
      <c r="GA43">
        <f>IF(Charts!$B$3="none",AY210,IF(DM210="",NA(),DM210))</f>
        <v>0</v>
      </c>
      <c r="GB43">
        <f>IF(Charts!$B$3="none",AZ210,IF(DN210="",NA(),DN210))</f>
        <v>0</v>
      </c>
      <c r="GC43">
        <f>IF(Charts!$B$3="none",BA210,IF(DO210="",NA(),DO210))</f>
        <v>0</v>
      </c>
      <c r="GD43">
        <f>IF(Charts!$B$3="none",BB210,IF(DP210="",NA(),DP210))</f>
        <v>0</v>
      </c>
      <c r="GE43">
        <f>IF(Charts!$B$3="none",BC210,IF(DQ210="",NA(),DQ210))</f>
        <v>0</v>
      </c>
      <c r="GF43">
        <f>IF(Charts!$B$3="none",BD210,IF(DR210="",NA(),DR210))</f>
        <v>0</v>
      </c>
      <c r="GG43">
        <f>IF(Charts!$B$3="none",BE210,IF(DS210="",NA(),DS210))</f>
        <v>0</v>
      </c>
      <c r="GH43">
        <f>IF(Charts!$B$3="none",BF210,IF(DT210="",NA(),DT210))</f>
        <v>0</v>
      </c>
      <c r="GI43">
        <f>IF(Charts!$B$3="none",BG210,IF(DU210="",NA(),DU210))</f>
        <v>0</v>
      </c>
      <c r="GJ43">
        <f>IF(Charts!$B$3="none",BH210,IF(DV210="",NA(),DV210))</f>
        <v>0</v>
      </c>
      <c r="GK43">
        <f>IF(Charts!$B$3="none",BI210,IF(DW210="",NA(),DW210))</f>
        <v>0</v>
      </c>
      <c r="GL43">
        <f>IF(Charts!$B$3="none",BJ210,IF(DX210="",NA(),DX210))</f>
        <v>0</v>
      </c>
      <c r="GM43">
        <f>IF(Charts!$B$3="none",BK210,IF(DY210="",NA(),DY210))</f>
        <v>0</v>
      </c>
      <c r="GN43">
        <f>IF(Charts!$B$3="none",BL210,IF(DZ210="",NA(),DZ210))</f>
        <v>0</v>
      </c>
      <c r="GO43">
        <f>IF(Charts!$B$3="none",BM210,IF(EA210="",NA(),EA210))</f>
        <v>0</v>
      </c>
      <c r="GP43">
        <f>IF(Charts!$B$3="none",BN210,IF(EB210="",NA(),EB210))</f>
        <v>0</v>
      </c>
      <c r="GQ43">
        <f>IF(Charts!$B$3="none",BO210,IF(EC210="",NA(),EC210))</f>
        <v>0</v>
      </c>
      <c r="GR43">
        <f>IF(Charts!$B$3="none",BP210,IF(ED210="",NA(),ED210))</f>
        <v>0</v>
      </c>
    </row>
    <row r="44" spans="4:200">
      <c r="E44">
        <v>6</v>
      </c>
      <c r="F44">
        <f>F10</f>
        <v>0</v>
      </c>
      <c r="G44">
        <v>6</v>
      </c>
      <c r="H44">
        <f>H10</f>
        <v>0</v>
      </c>
      <c r="I44">
        <v>6</v>
      </c>
      <c r="J44">
        <f>J10</f>
        <v>0</v>
      </c>
      <c r="K44">
        <v>6</v>
      </c>
      <c r="L44">
        <f>L10</f>
        <v>0</v>
      </c>
      <c r="M44">
        <v>6</v>
      </c>
      <c r="N44">
        <f>N10</f>
        <v>0</v>
      </c>
      <c r="O44">
        <v>6</v>
      </c>
      <c r="P44">
        <f>P10</f>
        <v>0</v>
      </c>
      <c r="Q44">
        <v>6</v>
      </c>
      <c r="R44">
        <f>R10</f>
        <v>0</v>
      </c>
      <c r="S44">
        <v>6</v>
      </c>
      <c r="T44">
        <f>T10</f>
        <v>0</v>
      </c>
      <c r="U44">
        <v>6</v>
      </c>
      <c r="V44">
        <f>V10</f>
        <v>0</v>
      </c>
      <c r="W44">
        <v>6</v>
      </c>
      <c r="X44">
        <f>X10</f>
        <v>0</v>
      </c>
      <c r="Y44">
        <v>6</v>
      </c>
      <c r="Z44">
        <f>Z10</f>
        <v>0</v>
      </c>
      <c r="AA44">
        <v>6</v>
      </c>
      <c r="AB44">
        <f>AB10</f>
        <v>0</v>
      </c>
      <c r="AC44">
        <v>6</v>
      </c>
      <c r="AD44">
        <f>AD10</f>
        <v>0</v>
      </c>
      <c r="AE44">
        <v>6</v>
      </c>
      <c r="AF44">
        <f>AF10</f>
        <v>0</v>
      </c>
      <c r="AG44">
        <v>6</v>
      </c>
      <c r="AH44">
        <f>AH10</f>
        <v>0</v>
      </c>
      <c r="AI44">
        <v>6</v>
      </c>
      <c r="AJ44">
        <f>AJ10</f>
        <v>0</v>
      </c>
      <c r="AK44">
        <v>6</v>
      </c>
      <c r="AL44">
        <f>AL10</f>
        <v>0</v>
      </c>
      <c r="AM44">
        <v>6</v>
      </c>
      <c r="AN44">
        <f>AN10</f>
        <v>0</v>
      </c>
      <c r="AO44">
        <v>6</v>
      </c>
      <c r="AP44">
        <f>AP10</f>
        <v>0</v>
      </c>
      <c r="AQ44">
        <v>6</v>
      </c>
      <c r="AR44">
        <f>AR10</f>
        <v>0</v>
      </c>
      <c r="AS44">
        <v>6</v>
      </c>
      <c r="AT44">
        <f>AT10</f>
        <v>0</v>
      </c>
      <c r="AU44">
        <v>6</v>
      </c>
      <c r="AV44">
        <f>AV10</f>
        <v>0</v>
      </c>
      <c r="AW44">
        <v>6</v>
      </c>
      <c r="AX44">
        <f>AX10</f>
        <v>0</v>
      </c>
      <c r="AY44">
        <v>6</v>
      </c>
      <c r="AZ44">
        <f>AZ10</f>
        <v>0</v>
      </c>
      <c r="BA44">
        <v>6</v>
      </c>
      <c r="BB44">
        <f>BB10</f>
        <v>0</v>
      </c>
      <c r="BC44">
        <v>6</v>
      </c>
      <c r="BD44">
        <f>BD10</f>
        <v>0</v>
      </c>
      <c r="BE44">
        <v>6</v>
      </c>
      <c r="BF44">
        <f>BF10</f>
        <v>0</v>
      </c>
      <c r="BG44">
        <v>6</v>
      </c>
      <c r="BH44">
        <f>BH10</f>
        <v>0</v>
      </c>
      <c r="BI44">
        <v>6</v>
      </c>
      <c r="BJ44">
        <f>BJ10</f>
        <v>0</v>
      </c>
      <c r="BK44">
        <v>6</v>
      </c>
      <c r="BL44">
        <f>BL10</f>
        <v>0</v>
      </c>
      <c r="BM44">
        <v>6</v>
      </c>
      <c r="BN44">
        <f>BN10</f>
        <v>0</v>
      </c>
      <c r="BO44">
        <v>6</v>
      </c>
      <c r="BP44">
        <f>BP10</f>
        <v>0</v>
      </c>
      <c r="BS44">
        <v>6</v>
      </c>
      <c r="BT44">
        <f>BT10</f>
        <v>0</v>
      </c>
      <c r="BU44">
        <v>6</v>
      </c>
      <c r="BV44">
        <f>BV10</f>
        <v>0</v>
      </c>
      <c r="BW44">
        <v>6</v>
      </c>
      <c r="BX44">
        <f>BX10</f>
        <v>0</v>
      </c>
      <c r="BY44">
        <v>6</v>
      </c>
      <c r="BZ44">
        <f>BZ10</f>
        <v>0</v>
      </c>
      <c r="CA44">
        <v>6</v>
      </c>
      <c r="CB44">
        <f>CB10</f>
        <v>0</v>
      </c>
      <c r="CC44">
        <v>6</v>
      </c>
      <c r="CD44">
        <f>CD10</f>
        <v>0</v>
      </c>
      <c r="CE44">
        <v>6</v>
      </c>
      <c r="CF44">
        <f>CF10</f>
        <v>0</v>
      </c>
      <c r="CG44">
        <v>6</v>
      </c>
      <c r="CH44">
        <f>CH10</f>
        <v>0</v>
      </c>
      <c r="CI44">
        <v>6</v>
      </c>
      <c r="CJ44">
        <f>CJ10</f>
        <v>0</v>
      </c>
      <c r="CK44">
        <v>6</v>
      </c>
      <c r="CL44">
        <f>CL10</f>
        <v>0</v>
      </c>
      <c r="CM44">
        <v>6</v>
      </c>
      <c r="CN44">
        <f>CN10</f>
        <v>0</v>
      </c>
      <c r="CO44">
        <v>6</v>
      </c>
      <c r="CP44">
        <f>CP10</f>
        <v>0</v>
      </c>
      <c r="CQ44">
        <v>6</v>
      </c>
      <c r="CR44">
        <f>CR10</f>
        <v>0</v>
      </c>
      <c r="CS44">
        <v>6</v>
      </c>
      <c r="CT44">
        <f>CT10</f>
        <v>0</v>
      </c>
      <c r="CU44">
        <v>6</v>
      </c>
      <c r="CV44">
        <f>CV10</f>
        <v>0</v>
      </c>
      <c r="CW44">
        <v>6</v>
      </c>
      <c r="CX44">
        <f>CX10</f>
        <v>0</v>
      </c>
      <c r="CY44">
        <v>6</v>
      </c>
      <c r="CZ44">
        <f>CZ10</f>
        <v>0</v>
      </c>
      <c r="DA44">
        <v>6</v>
      </c>
      <c r="DB44">
        <f>DB10</f>
        <v>0</v>
      </c>
      <c r="DC44">
        <v>6</v>
      </c>
      <c r="DD44">
        <f>DD10</f>
        <v>0</v>
      </c>
      <c r="DE44">
        <v>6</v>
      </c>
      <c r="DF44">
        <f>DF10</f>
        <v>0</v>
      </c>
      <c r="DG44">
        <v>6</v>
      </c>
      <c r="DH44">
        <f>DH10</f>
        <v>0</v>
      </c>
      <c r="DI44">
        <v>6</v>
      </c>
      <c r="DJ44">
        <f>DJ10</f>
        <v>0</v>
      </c>
      <c r="DK44">
        <v>6</v>
      </c>
      <c r="DL44">
        <f>DL10</f>
        <v>0</v>
      </c>
      <c r="DM44">
        <v>6</v>
      </c>
      <c r="DN44">
        <f>DN10</f>
        <v>0</v>
      </c>
      <c r="DO44">
        <v>6</v>
      </c>
      <c r="DP44">
        <f>DP10</f>
        <v>0</v>
      </c>
      <c r="DQ44">
        <v>6</v>
      </c>
      <c r="DR44">
        <f>DR10</f>
        <v>0</v>
      </c>
      <c r="DS44">
        <v>6</v>
      </c>
      <c r="DT44">
        <f>DT10</f>
        <v>0</v>
      </c>
      <c r="DU44">
        <v>6</v>
      </c>
      <c r="DV44">
        <f>DV10</f>
        <v>0</v>
      </c>
      <c r="DW44">
        <v>6</v>
      </c>
      <c r="DX44">
        <f>DX10</f>
        <v>0</v>
      </c>
      <c r="DY44">
        <v>6</v>
      </c>
      <c r="DZ44">
        <f>DZ10</f>
        <v>0</v>
      </c>
      <c r="EA44">
        <v>6</v>
      </c>
      <c r="EB44">
        <f>EB10</f>
        <v>0</v>
      </c>
      <c r="EC44">
        <v>6</v>
      </c>
      <c r="ED44">
        <f>ED10</f>
        <v>0</v>
      </c>
      <c r="EG44">
        <f>IF(Charts!$B$3="none",E211,IF(BS211="",NA(),BS211))</f>
        <v>0</v>
      </c>
      <c r="EH44">
        <f>IF(Charts!$B$3="none",F211,IF(BT211="",NA(),BT211))</f>
        <v>0</v>
      </c>
      <c r="EI44">
        <f>IF(Charts!$B$3="none",G211,IF(BU211="",NA(),BU211))</f>
        <v>0</v>
      </c>
      <c r="EJ44">
        <f>IF(Charts!$B$3="none",H211,IF(BV211="",NA(),BV211))</f>
        <v>0</v>
      </c>
      <c r="EK44">
        <f>IF(Charts!$B$3="none",I211,IF(BW211="",NA(),BW211))</f>
        <v>0</v>
      </c>
      <c r="EL44">
        <f>IF(Charts!$B$3="none",J211,IF(BX211="",NA(),BX211))</f>
        <v>0</v>
      </c>
      <c r="EM44">
        <f>IF(Charts!$B$3="none",K211,IF(BY211="",NA(),BY211))</f>
        <v>0</v>
      </c>
      <c r="EN44">
        <f>IF(Charts!$B$3="none",L211,IF(BZ211="",NA(),BZ211))</f>
        <v>0</v>
      </c>
      <c r="EO44">
        <f>IF(Charts!$B$3="none",M211,IF(CA211="",NA(),CA211))</f>
        <v>0</v>
      </c>
      <c r="EP44">
        <f>IF(Charts!$B$3="none",N211,IF(CB211="",NA(),CB211))</f>
        <v>0</v>
      </c>
      <c r="EQ44">
        <f>IF(Charts!$B$3="none",O211,IF(CC211="",NA(),CC211))</f>
        <v>0</v>
      </c>
      <c r="ER44">
        <f>IF(Charts!$B$3="none",P211,IF(CD211="",NA(),CD211))</f>
        <v>0</v>
      </c>
      <c r="ES44">
        <f>IF(Charts!$B$3="none",Q211,IF(CE211="",NA(),CE211))</f>
        <v>0</v>
      </c>
      <c r="ET44">
        <f>IF(Charts!$B$3="none",R211,IF(CF211="",NA(),CF211))</f>
        <v>0</v>
      </c>
      <c r="EU44">
        <f>IF(Charts!$B$3="none",S211,IF(CG211="",NA(),CG211))</f>
        <v>0</v>
      </c>
      <c r="EV44">
        <f>IF(Charts!$B$3="none",T211,IF(CH211="",NA(),CH211))</f>
        <v>0</v>
      </c>
      <c r="EW44">
        <f>IF(Charts!$B$3="none",U211,IF(CI211="",NA(),CI211))</f>
        <v>0</v>
      </c>
      <c r="EX44">
        <f>IF(Charts!$B$3="none",V211,IF(CJ211="",NA(),CJ211))</f>
        <v>0</v>
      </c>
      <c r="EY44">
        <f>IF(Charts!$B$3="none",W211,IF(CK211="",NA(),CK211))</f>
        <v>0</v>
      </c>
      <c r="EZ44">
        <f>IF(Charts!$B$3="none",X211,IF(CL211="",NA(),CL211))</f>
        <v>0</v>
      </c>
      <c r="FA44">
        <f>IF(Charts!$B$3="none",Y211,IF(CM211="",NA(),CM211))</f>
        <v>0</v>
      </c>
      <c r="FB44">
        <f>IF(Charts!$B$3="none",Z211,IF(CN211="",NA(),CN211))</f>
        <v>0</v>
      </c>
      <c r="FC44">
        <f>IF(Charts!$B$3="none",AA211,IF(CO211="",NA(),CO211))</f>
        <v>0</v>
      </c>
      <c r="FD44">
        <f>IF(Charts!$B$3="none",AB211,IF(CP211="",NA(),CP211))</f>
        <v>0</v>
      </c>
      <c r="FE44">
        <f>IF(Charts!$B$3="none",AC211,IF(CQ211="",NA(),CQ211))</f>
        <v>0</v>
      </c>
      <c r="FF44">
        <f>IF(Charts!$B$3="none",AD211,IF(CR211="",NA(),CR211))</f>
        <v>0</v>
      </c>
      <c r="FG44">
        <f>IF(Charts!$B$3="none",AE211,IF(CS211="",NA(),CS211))</f>
        <v>0</v>
      </c>
      <c r="FH44">
        <f>IF(Charts!$B$3="none",AF211,IF(CT211="",NA(),CT211))</f>
        <v>0</v>
      </c>
      <c r="FI44">
        <f>IF(Charts!$B$3="none",AG211,IF(CU211="",NA(),CU211))</f>
        <v>0</v>
      </c>
      <c r="FJ44">
        <f>IF(Charts!$B$3="none",AH211,IF(CV211="",NA(),CV211))</f>
        <v>0</v>
      </c>
      <c r="FK44">
        <f>IF(Charts!$B$3="none",AI211,IF(CW211="",NA(),CW211))</f>
        <v>0</v>
      </c>
      <c r="FL44">
        <f>IF(Charts!$B$3="none",AJ211,IF(CX211="",NA(),CX211))</f>
        <v>0</v>
      </c>
      <c r="FM44">
        <f>IF(Charts!$B$3="none",AK211,IF(CY211="",NA(),CY211))</f>
        <v>0</v>
      </c>
      <c r="FN44">
        <f>IF(Charts!$B$3="none",AL211,IF(CZ211="",NA(),CZ211))</f>
        <v>0</v>
      </c>
      <c r="FO44">
        <f>IF(Charts!$B$3="none",AM211,IF(DA211="",NA(),DA211))</f>
        <v>0</v>
      </c>
      <c r="FP44">
        <f>IF(Charts!$B$3="none",AN211,IF(DB211="",NA(),DB211))</f>
        <v>0</v>
      </c>
      <c r="FQ44">
        <f>IF(Charts!$B$3="none",AO211,IF(DC211="",NA(),DC211))</f>
        <v>0</v>
      </c>
      <c r="FR44">
        <f>IF(Charts!$B$3="none",AP211,IF(DD211="",NA(),DD211))</f>
        <v>0</v>
      </c>
      <c r="FS44">
        <f>IF(Charts!$B$3="none",AQ211,IF(DE211="",NA(),DE211))</f>
        <v>0</v>
      </c>
      <c r="FT44">
        <f>IF(Charts!$B$3="none",AR211,IF(DF211="",NA(),DF211))</f>
        <v>0</v>
      </c>
      <c r="FU44">
        <f>IF(Charts!$B$3="none",AS211,IF(DG211="",NA(),DG211))</f>
        <v>0</v>
      </c>
      <c r="FV44">
        <f>IF(Charts!$B$3="none",AT211,IF(DH211="",NA(),DH211))</f>
        <v>0</v>
      </c>
      <c r="FW44">
        <f>IF(Charts!$B$3="none",AU211,IF(DI211="",NA(),DI211))</f>
        <v>0</v>
      </c>
      <c r="FX44">
        <f>IF(Charts!$B$3="none",AV211,IF(DJ211="",NA(),DJ211))</f>
        <v>0</v>
      </c>
      <c r="FY44">
        <f>IF(Charts!$B$3="none",AW211,IF(DK211="",NA(),DK211))</f>
        <v>0</v>
      </c>
      <c r="FZ44">
        <f>IF(Charts!$B$3="none",AX211,IF(DL211="",NA(),DL211))</f>
        <v>0</v>
      </c>
      <c r="GA44">
        <f>IF(Charts!$B$3="none",AY211,IF(DM211="",NA(),DM211))</f>
        <v>0</v>
      </c>
      <c r="GB44">
        <f>IF(Charts!$B$3="none",AZ211,IF(DN211="",NA(),DN211))</f>
        <v>0</v>
      </c>
      <c r="GC44">
        <f>IF(Charts!$B$3="none",BA211,IF(DO211="",NA(),DO211))</f>
        <v>0</v>
      </c>
      <c r="GD44">
        <f>IF(Charts!$B$3="none",BB211,IF(DP211="",NA(),DP211))</f>
        <v>0</v>
      </c>
      <c r="GE44">
        <f>IF(Charts!$B$3="none",BC211,IF(DQ211="",NA(),DQ211))</f>
        <v>0</v>
      </c>
      <c r="GF44">
        <f>IF(Charts!$B$3="none",BD211,IF(DR211="",NA(),DR211))</f>
        <v>0</v>
      </c>
      <c r="GG44">
        <f>IF(Charts!$B$3="none",BE211,IF(DS211="",NA(),DS211))</f>
        <v>0</v>
      </c>
      <c r="GH44">
        <f>IF(Charts!$B$3="none",BF211,IF(DT211="",NA(),DT211))</f>
        <v>0</v>
      </c>
      <c r="GI44">
        <f>IF(Charts!$B$3="none",BG211,IF(DU211="",NA(),DU211))</f>
        <v>0</v>
      </c>
      <c r="GJ44">
        <f>IF(Charts!$B$3="none",BH211,IF(DV211="",NA(),DV211))</f>
        <v>0</v>
      </c>
      <c r="GK44">
        <f>IF(Charts!$B$3="none",BI211,IF(DW211="",NA(),DW211))</f>
        <v>0</v>
      </c>
      <c r="GL44">
        <f>IF(Charts!$B$3="none",BJ211,IF(DX211="",NA(),DX211))</f>
        <v>0</v>
      </c>
      <c r="GM44">
        <f>IF(Charts!$B$3="none",BK211,IF(DY211="",NA(),DY211))</f>
        <v>0</v>
      </c>
      <c r="GN44">
        <f>IF(Charts!$B$3="none",BL211,IF(DZ211="",NA(),DZ211))</f>
        <v>0</v>
      </c>
      <c r="GO44">
        <f>IF(Charts!$B$3="none",BM211,IF(EA211="",NA(),EA211))</f>
        <v>0</v>
      </c>
      <c r="GP44">
        <f>IF(Charts!$B$3="none",BN211,IF(EB211="",NA(),EB211))</f>
        <v>0</v>
      </c>
      <c r="GQ44">
        <f>IF(Charts!$B$3="none",BO211,IF(EC211="",NA(),EC211))</f>
        <v>0</v>
      </c>
      <c r="GR44">
        <f>IF(Charts!$B$3="none",BP211,IF(ED211="",NA(),ED211))</f>
        <v>0</v>
      </c>
    </row>
    <row r="45" spans="4:200">
      <c r="E45">
        <v>7</v>
      </c>
      <c r="F45">
        <f>F11</f>
        <v>0</v>
      </c>
      <c r="G45">
        <v>7</v>
      </c>
      <c r="H45">
        <f>H11</f>
        <v>0</v>
      </c>
      <c r="I45">
        <v>7</v>
      </c>
      <c r="J45">
        <f>J11</f>
        <v>0</v>
      </c>
      <c r="K45">
        <v>7</v>
      </c>
      <c r="L45">
        <f>L11</f>
        <v>0</v>
      </c>
      <c r="M45">
        <v>7</v>
      </c>
      <c r="N45">
        <f>N11</f>
        <v>0</v>
      </c>
      <c r="O45">
        <v>7</v>
      </c>
      <c r="P45">
        <f>P11</f>
        <v>0</v>
      </c>
      <c r="Q45">
        <v>7</v>
      </c>
      <c r="R45">
        <f>R11</f>
        <v>0</v>
      </c>
      <c r="S45">
        <v>7</v>
      </c>
      <c r="T45">
        <f>T11</f>
        <v>0</v>
      </c>
      <c r="U45">
        <v>7</v>
      </c>
      <c r="V45">
        <f>V11</f>
        <v>0</v>
      </c>
      <c r="W45">
        <v>7</v>
      </c>
      <c r="X45">
        <f>X11</f>
        <v>0</v>
      </c>
      <c r="Y45">
        <v>7</v>
      </c>
      <c r="Z45">
        <f>Z11</f>
        <v>0</v>
      </c>
      <c r="AA45">
        <v>7</v>
      </c>
      <c r="AB45">
        <f>AB11</f>
        <v>0</v>
      </c>
      <c r="AC45">
        <v>7</v>
      </c>
      <c r="AD45">
        <f>AD11</f>
        <v>0</v>
      </c>
      <c r="AE45">
        <v>7</v>
      </c>
      <c r="AF45">
        <f>AF11</f>
        <v>0</v>
      </c>
      <c r="AG45">
        <v>7</v>
      </c>
      <c r="AH45">
        <f>AH11</f>
        <v>0</v>
      </c>
      <c r="AI45">
        <v>7</v>
      </c>
      <c r="AJ45">
        <f>AJ11</f>
        <v>0</v>
      </c>
      <c r="AK45">
        <v>7</v>
      </c>
      <c r="AL45">
        <f>AL11</f>
        <v>0</v>
      </c>
      <c r="AM45">
        <v>7</v>
      </c>
      <c r="AN45">
        <f>AN11</f>
        <v>0</v>
      </c>
      <c r="AO45">
        <v>7</v>
      </c>
      <c r="AP45">
        <f>AP11</f>
        <v>0</v>
      </c>
      <c r="AQ45">
        <v>7</v>
      </c>
      <c r="AR45">
        <f>AR11</f>
        <v>0</v>
      </c>
      <c r="AS45">
        <v>7</v>
      </c>
      <c r="AT45">
        <f>AT11</f>
        <v>0</v>
      </c>
      <c r="AU45">
        <v>7</v>
      </c>
      <c r="AV45">
        <f>AV11</f>
        <v>0</v>
      </c>
      <c r="AW45">
        <v>7</v>
      </c>
      <c r="AX45">
        <f>AX11</f>
        <v>0</v>
      </c>
      <c r="AY45">
        <v>7</v>
      </c>
      <c r="AZ45">
        <f>AZ11</f>
        <v>0</v>
      </c>
      <c r="BA45">
        <v>7</v>
      </c>
      <c r="BB45">
        <f>BB11</f>
        <v>0</v>
      </c>
      <c r="BC45">
        <v>7</v>
      </c>
      <c r="BD45">
        <f>BD11</f>
        <v>0</v>
      </c>
      <c r="BE45">
        <v>7</v>
      </c>
      <c r="BF45">
        <f>BF11</f>
        <v>0</v>
      </c>
      <c r="BG45">
        <v>7</v>
      </c>
      <c r="BH45">
        <f>BH11</f>
        <v>0</v>
      </c>
      <c r="BI45">
        <v>7</v>
      </c>
      <c r="BJ45">
        <f>BJ11</f>
        <v>0</v>
      </c>
      <c r="BK45">
        <v>7</v>
      </c>
      <c r="BL45">
        <f>BL11</f>
        <v>0</v>
      </c>
      <c r="BM45">
        <v>7</v>
      </c>
      <c r="BN45">
        <f>BN11</f>
        <v>0</v>
      </c>
      <c r="BO45">
        <v>7</v>
      </c>
      <c r="BP45">
        <f>BP11</f>
        <v>0</v>
      </c>
      <c r="BS45">
        <v>7</v>
      </c>
      <c r="BT45">
        <f>BT11</f>
        <v>0</v>
      </c>
      <c r="BU45">
        <v>7</v>
      </c>
      <c r="BV45">
        <f>BV11</f>
        <v>0</v>
      </c>
      <c r="BW45">
        <v>7</v>
      </c>
      <c r="BX45">
        <f>BX11</f>
        <v>0</v>
      </c>
      <c r="BY45">
        <v>7</v>
      </c>
      <c r="BZ45">
        <f>BZ11</f>
        <v>0</v>
      </c>
      <c r="CA45">
        <v>7</v>
      </c>
      <c r="CB45">
        <f>CB11</f>
        <v>0</v>
      </c>
      <c r="CC45">
        <v>7</v>
      </c>
      <c r="CD45">
        <f>CD11</f>
        <v>0</v>
      </c>
      <c r="CE45">
        <v>7</v>
      </c>
      <c r="CF45">
        <f>CF11</f>
        <v>0</v>
      </c>
      <c r="CG45">
        <v>7</v>
      </c>
      <c r="CH45">
        <f>CH11</f>
        <v>0</v>
      </c>
      <c r="CI45">
        <v>7</v>
      </c>
      <c r="CJ45">
        <f>CJ11</f>
        <v>0</v>
      </c>
      <c r="CK45">
        <v>7</v>
      </c>
      <c r="CL45">
        <f>CL11</f>
        <v>0</v>
      </c>
      <c r="CM45">
        <v>7</v>
      </c>
      <c r="CN45">
        <f>CN11</f>
        <v>0</v>
      </c>
      <c r="CO45">
        <v>7</v>
      </c>
      <c r="CP45">
        <f>CP11</f>
        <v>0</v>
      </c>
      <c r="CQ45">
        <v>7</v>
      </c>
      <c r="CR45">
        <f>CR11</f>
        <v>0</v>
      </c>
      <c r="CS45">
        <v>7</v>
      </c>
      <c r="CT45">
        <f>CT11</f>
        <v>0</v>
      </c>
      <c r="CU45">
        <v>7</v>
      </c>
      <c r="CV45">
        <f>CV11</f>
        <v>0</v>
      </c>
      <c r="CW45">
        <v>7</v>
      </c>
      <c r="CX45">
        <f>CX11</f>
        <v>0</v>
      </c>
      <c r="CY45">
        <v>7</v>
      </c>
      <c r="CZ45">
        <f>CZ11</f>
        <v>0</v>
      </c>
      <c r="DA45">
        <v>7</v>
      </c>
      <c r="DB45">
        <f>DB11</f>
        <v>0</v>
      </c>
      <c r="DC45">
        <v>7</v>
      </c>
      <c r="DD45">
        <f>DD11</f>
        <v>0</v>
      </c>
      <c r="DE45">
        <v>7</v>
      </c>
      <c r="DF45">
        <f>DF11</f>
        <v>0</v>
      </c>
      <c r="DG45">
        <v>7</v>
      </c>
      <c r="DH45">
        <f>DH11</f>
        <v>0</v>
      </c>
      <c r="DI45">
        <v>7</v>
      </c>
      <c r="DJ45">
        <f>DJ11</f>
        <v>0</v>
      </c>
      <c r="DK45">
        <v>7</v>
      </c>
      <c r="DL45">
        <f>DL11</f>
        <v>0</v>
      </c>
      <c r="DM45">
        <v>7</v>
      </c>
      <c r="DN45">
        <f>DN11</f>
        <v>0</v>
      </c>
      <c r="DO45">
        <v>7</v>
      </c>
      <c r="DP45">
        <f>DP11</f>
        <v>0</v>
      </c>
      <c r="DQ45">
        <v>7</v>
      </c>
      <c r="DR45">
        <f>DR11</f>
        <v>0</v>
      </c>
      <c r="DS45">
        <v>7</v>
      </c>
      <c r="DT45">
        <f>DT11</f>
        <v>0</v>
      </c>
      <c r="DU45">
        <v>7</v>
      </c>
      <c r="DV45">
        <f>DV11</f>
        <v>0</v>
      </c>
      <c r="DW45">
        <v>7</v>
      </c>
      <c r="DX45">
        <f>DX11</f>
        <v>0</v>
      </c>
      <c r="DY45">
        <v>7</v>
      </c>
      <c r="DZ45">
        <f>DZ11</f>
        <v>0</v>
      </c>
      <c r="EA45">
        <v>7</v>
      </c>
      <c r="EB45">
        <f>EB11</f>
        <v>0</v>
      </c>
      <c r="EC45">
        <v>7</v>
      </c>
      <c r="ED45">
        <f>ED11</f>
        <v>0</v>
      </c>
      <c r="EG45">
        <f>IF(Charts!$B$3="none",E212,IF(BS212="",NA(),BS212))</f>
        <v>0</v>
      </c>
      <c r="EH45">
        <f>IF(Charts!$B$3="none",F212,IF(BT212="",NA(),BT212))</f>
        <v>0</v>
      </c>
      <c r="EI45">
        <f>IF(Charts!$B$3="none",G212,IF(BU212="",NA(),BU212))</f>
        <v>0</v>
      </c>
      <c r="EJ45">
        <f>IF(Charts!$B$3="none",H212,IF(BV212="",NA(),BV212))</f>
        <v>0</v>
      </c>
      <c r="EK45">
        <f>IF(Charts!$B$3="none",I212,IF(BW212="",NA(),BW212))</f>
        <v>0</v>
      </c>
      <c r="EL45">
        <f>IF(Charts!$B$3="none",J212,IF(BX212="",NA(),BX212))</f>
        <v>0</v>
      </c>
      <c r="EM45">
        <f>IF(Charts!$B$3="none",K212,IF(BY212="",NA(),BY212))</f>
        <v>0</v>
      </c>
      <c r="EN45">
        <f>IF(Charts!$B$3="none",L212,IF(BZ212="",NA(),BZ212))</f>
        <v>0</v>
      </c>
      <c r="EO45">
        <f>IF(Charts!$B$3="none",M212,IF(CA212="",NA(),CA212))</f>
        <v>0</v>
      </c>
      <c r="EP45">
        <f>IF(Charts!$B$3="none",N212,IF(CB212="",NA(),CB212))</f>
        <v>0</v>
      </c>
      <c r="EQ45">
        <f>IF(Charts!$B$3="none",O212,IF(CC212="",NA(),CC212))</f>
        <v>0</v>
      </c>
      <c r="ER45">
        <f>IF(Charts!$B$3="none",P212,IF(CD212="",NA(),CD212))</f>
        <v>0</v>
      </c>
      <c r="ES45">
        <f>IF(Charts!$B$3="none",Q212,IF(CE212="",NA(),CE212))</f>
        <v>0</v>
      </c>
      <c r="ET45">
        <f>IF(Charts!$B$3="none",R212,IF(CF212="",NA(),CF212))</f>
        <v>0</v>
      </c>
      <c r="EU45">
        <f>IF(Charts!$B$3="none",S212,IF(CG212="",NA(),CG212))</f>
        <v>0</v>
      </c>
      <c r="EV45">
        <f>IF(Charts!$B$3="none",T212,IF(CH212="",NA(),CH212))</f>
        <v>0</v>
      </c>
      <c r="EW45">
        <f>IF(Charts!$B$3="none",U212,IF(CI212="",NA(),CI212))</f>
        <v>0</v>
      </c>
      <c r="EX45">
        <f>IF(Charts!$B$3="none",V212,IF(CJ212="",NA(),CJ212))</f>
        <v>0</v>
      </c>
      <c r="EY45">
        <f>IF(Charts!$B$3="none",W212,IF(CK212="",NA(),CK212))</f>
        <v>0</v>
      </c>
      <c r="EZ45">
        <f>IF(Charts!$B$3="none",X212,IF(CL212="",NA(),CL212))</f>
        <v>0</v>
      </c>
      <c r="FA45">
        <f>IF(Charts!$B$3="none",Y212,IF(CM212="",NA(),CM212))</f>
        <v>0</v>
      </c>
      <c r="FB45">
        <f>IF(Charts!$B$3="none",Z212,IF(CN212="",NA(),CN212))</f>
        <v>0</v>
      </c>
      <c r="FC45">
        <f>IF(Charts!$B$3="none",AA212,IF(CO212="",NA(),CO212))</f>
        <v>0</v>
      </c>
      <c r="FD45">
        <f>IF(Charts!$B$3="none",AB212,IF(CP212="",NA(),CP212))</f>
        <v>0</v>
      </c>
      <c r="FE45">
        <f>IF(Charts!$B$3="none",AC212,IF(CQ212="",NA(),CQ212))</f>
        <v>0</v>
      </c>
      <c r="FF45">
        <f>IF(Charts!$B$3="none",AD212,IF(CR212="",NA(),CR212))</f>
        <v>0</v>
      </c>
      <c r="FG45">
        <f>IF(Charts!$B$3="none",AE212,IF(CS212="",NA(),CS212))</f>
        <v>0</v>
      </c>
      <c r="FH45">
        <f>IF(Charts!$B$3="none",AF212,IF(CT212="",NA(),CT212))</f>
        <v>0</v>
      </c>
      <c r="FI45">
        <f>IF(Charts!$B$3="none",AG212,IF(CU212="",NA(),CU212))</f>
        <v>0</v>
      </c>
      <c r="FJ45">
        <f>IF(Charts!$B$3="none",AH212,IF(CV212="",NA(),CV212))</f>
        <v>0</v>
      </c>
      <c r="FK45">
        <f>IF(Charts!$B$3="none",AI212,IF(CW212="",NA(),CW212))</f>
        <v>0</v>
      </c>
      <c r="FL45">
        <f>IF(Charts!$B$3="none",AJ212,IF(CX212="",NA(),CX212))</f>
        <v>0</v>
      </c>
      <c r="FM45">
        <f>IF(Charts!$B$3="none",AK212,IF(CY212="",NA(),CY212))</f>
        <v>0</v>
      </c>
      <c r="FN45">
        <f>IF(Charts!$B$3="none",AL212,IF(CZ212="",NA(),CZ212))</f>
        <v>0</v>
      </c>
      <c r="FO45">
        <f>IF(Charts!$B$3="none",AM212,IF(DA212="",NA(),DA212))</f>
        <v>0</v>
      </c>
      <c r="FP45">
        <f>IF(Charts!$B$3="none",AN212,IF(DB212="",NA(),DB212))</f>
        <v>0</v>
      </c>
      <c r="FQ45">
        <f>IF(Charts!$B$3="none",AO212,IF(DC212="",NA(),DC212))</f>
        <v>0</v>
      </c>
      <c r="FR45">
        <f>IF(Charts!$B$3="none",AP212,IF(DD212="",NA(),DD212))</f>
        <v>0</v>
      </c>
      <c r="FS45">
        <f>IF(Charts!$B$3="none",AQ212,IF(DE212="",NA(),DE212))</f>
        <v>0</v>
      </c>
      <c r="FT45">
        <f>IF(Charts!$B$3="none",AR212,IF(DF212="",NA(),DF212))</f>
        <v>0</v>
      </c>
      <c r="FU45">
        <f>IF(Charts!$B$3="none",AS212,IF(DG212="",NA(),DG212))</f>
        <v>0</v>
      </c>
      <c r="FV45">
        <f>IF(Charts!$B$3="none",AT212,IF(DH212="",NA(),DH212))</f>
        <v>0</v>
      </c>
      <c r="FW45">
        <f>IF(Charts!$B$3="none",AU212,IF(DI212="",NA(),DI212))</f>
        <v>0</v>
      </c>
      <c r="FX45">
        <f>IF(Charts!$B$3="none",AV212,IF(DJ212="",NA(),DJ212))</f>
        <v>0</v>
      </c>
      <c r="FY45">
        <f>IF(Charts!$B$3="none",AW212,IF(DK212="",NA(),DK212))</f>
        <v>0</v>
      </c>
      <c r="FZ45">
        <f>IF(Charts!$B$3="none",AX212,IF(DL212="",NA(),DL212))</f>
        <v>0</v>
      </c>
      <c r="GA45">
        <f>IF(Charts!$B$3="none",AY212,IF(DM212="",NA(),DM212))</f>
        <v>0</v>
      </c>
      <c r="GB45">
        <f>IF(Charts!$B$3="none",AZ212,IF(DN212="",NA(),DN212))</f>
        <v>0</v>
      </c>
      <c r="GC45">
        <f>IF(Charts!$B$3="none",BA212,IF(DO212="",NA(),DO212))</f>
        <v>0</v>
      </c>
      <c r="GD45">
        <f>IF(Charts!$B$3="none",BB212,IF(DP212="",NA(),DP212))</f>
        <v>0</v>
      </c>
      <c r="GE45">
        <f>IF(Charts!$B$3="none",BC212,IF(DQ212="",NA(),DQ212))</f>
        <v>0</v>
      </c>
      <c r="GF45">
        <f>IF(Charts!$B$3="none",BD212,IF(DR212="",NA(),DR212))</f>
        <v>0</v>
      </c>
      <c r="GG45">
        <f>IF(Charts!$B$3="none",BE212,IF(DS212="",NA(),DS212))</f>
        <v>0</v>
      </c>
      <c r="GH45">
        <f>IF(Charts!$B$3="none",BF212,IF(DT212="",NA(),DT212))</f>
        <v>0</v>
      </c>
      <c r="GI45">
        <f>IF(Charts!$B$3="none",BG212,IF(DU212="",NA(),DU212))</f>
        <v>0</v>
      </c>
      <c r="GJ45">
        <f>IF(Charts!$B$3="none",BH212,IF(DV212="",NA(),DV212))</f>
        <v>0</v>
      </c>
      <c r="GK45">
        <f>IF(Charts!$B$3="none",BI212,IF(DW212="",NA(),DW212))</f>
        <v>0</v>
      </c>
      <c r="GL45">
        <f>IF(Charts!$B$3="none",BJ212,IF(DX212="",NA(),DX212))</f>
        <v>0</v>
      </c>
      <c r="GM45">
        <f>IF(Charts!$B$3="none",BK212,IF(DY212="",NA(),DY212))</f>
        <v>0</v>
      </c>
      <c r="GN45">
        <f>IF(Charts!$B$3="none",BL212,IF(DZ212="",NA(),DZ212))</f>
        <v>0</v>
      </c>
      <c r="GO45">
        <f>IF(Charts!$B$3="none",BM212,IF(EA212="",NA(),EA212))</f>
        <v>0</v>
      </c>
      <c r="GP45">
        <f>IF(Charts!$B$3="none",BN212,IF(EB212="",NA(),EB212))</f>
        <v>0</v>
      </c>
      <c r="GQ45">
        <f>IF(Charts!$B$3="none",BO212,IF(EC212="",NA(),EC212))</f>
        <v>0</v>
      </c>
      <c r="GR45">
        <f>IF(Charts!$B$3="none",BP212,IF(ED212="",NA(),ED212))</f>
        <v>0</v>
      </c>
    </row>
    <row r="46" spans="4:200">
      <c r="E46">
        <v>8</v>
      </c>
      <c r="F46">
        <f>F12</f>
        <v>0</v>
      </c>
      <c r="G46">
        <v>8</v>
      </c>
      <c r="H46">
        <f>H12</f>
        <v>0</v>
      </c>
      <c r="I46">
        <v>8</v>
      </c>
      <c r="J46">
        <f>J12</f>
        <v>0</v>
      </c>
      <c r="K46">
        <v>8</v>
      </c>
      <c r="L46">
        <f>L12</f>
        <v>0</v>
      </c>
      <c r="M46">
        <v>8</v>
      </c>
      <c r="N46">
        <f>N12</f>
        <v>0</v>
      </c>
      <c r="O46">
        <v>8</v>
      </c>
      <c r="P46">
        <f>P12</f>
        <v>0</v>
      </c>
      <c r="Q46">
        <v>8</v>
      </c>
      <c r="R46">
        <f>R12</f>
        <v>0</v>
      </c>
      <c r="S46">
        <v>8</v>
      </c>
      <c r="T46">
        <f>T12</f>
        <v>0</v>
      </c>
      <c r="U46">
        <v>8</v>
      </c>
      <c r="V46">
        <f>V12</f>
        <v>0</v>
      </c>
      <c r="W46">
        <v>8</v>
      </c>
      <c r="X46">
        <f>X12</f>
        <v>0</v>
      </c>
      <c r="Y46">
        <v>8</v>
      </c>
      <c r="Z46">
        <f>Z12</f>
        <v>0</v>
      </c>
      <c r="AA46">
        <v>8</v>
      </c>
      <c r="AB46">
        <f>AB12</f>
        <v>0</v>
      </c>
      <c r="AC46">
        <v>8</v>
      </c>
      <c r="AD46">
        <f>AD12</f>
        <v>0</v>
      </c>
      <c r="AE46">
        <v>8</v>
      </c>
      <c r="AF46">
        <f>AF12</f>
        <v>0</v>
      </c>
      <c r="AG46">
        <v>8</v>
      </c>
      <c r="AH46">
        <f>AH12</f>
        <v>0</v>
      </c>
      <c r="AI46">
        <v>8</v>
      </c>
      <c r="AJ46">
        <f>AJ12</f>
        <v>0</v>
      </c>
      <c r="AK46">
        <v>8</v>
      </c>
      <c r="AL46">
        <f>AL12</f>
        <v>0</v>
      </c>
      <c r="AM46">
        <v>8</v>
      </c>
      <c r="AN46">
        <f>AN12</f>
        <v>0</v>
      </c>
      <c r="AO46">
        <v>8</v>
      </c>
      <c r="AP46">
        <f>AP12</f>
        <v>0</v>
      </c>
      <c r="AQ46">
        <v>8</v>
      </c>
      <c r="AR46">
        <f>AR12</f>
        <v>0</v>
      </c>
      <c r="AS46">
        <v>8</v>
      </c>
      <c r="AT46">
        <f>AT12</f>
        <v>0</v>
      </c>
      <c r="AU46">
        <v>8</v>
      </c>
      <c r="AV46">
        <f>AV12</f>
        <v>0</v>
      </c>
      <c r="AW46">
        <v>8</v>
      </c>
      <c r="AX46">
        <f>AX12</f>
        <v>0</v>
      </c>
      <c r="AY46">
        <v>8</v>
      </c>
      <c r="AZ46">
        <f>AZ12</f>
        <v>0</v>
      </c>
      <c r="BA46">
        <v>8</v>
      </c>
      <c r="BB46">
        <f>BB12</f>
        <v>0</v>
      </c>
      <c r="BC46">
        <v>8</v>
      </c>
      <c r="BD46">
        <f>BD12</f>
        <v>0</v>
      </c>
      <c r="BE46">
        <v>8</v>
      </c>
      <c r="BF46">
        <f>BF12</f>
        <v>0</v>
      </c>
      <c r="BG46">
        <v>8</v>
      </c>
      <c r="BH46">
        <f>BH12</f>
        <v>0</v>
      </c>
      <c r="BI46">
        <v>8</v>
      </c>
      <c r="BJ46">
        <f>BJ12</f>
        <v>0</v>
      </c>
      <c r="BK46">
        <v>8</v>
      </c>
      <c r="BL46">
        <f>BL12</f>
        <v>0</v>
      </c>
      <c r="BM46">
        <v>8</v>
      </c>
      <c r="BN46">
        <f>BN12</f>
        <v>0</v>
      </c>
      <c r="BO46">
        <v>8</v>
      </c>
      <c r="BP46">
        <f>BP12</f>
        <v>0</v>
      </c>
      <c r="BS46">
        <v>8</v>
      </c>
      <c r="BT46">
        <f>BT12</f>
        <v>0</v>
      </c>
      <c r="BU46">
        <v>8</v>
      </c>
      <c r="BV46">
        <f>BV12</f>
        <v>0</v>
      </c>
      <c r="BW46">
        <v>8</v>
      </c>
      <c r="BX46">
        <f>BX12</f>
        <v>0</v>
      </c>
      <c r="BY46">
        <v>8</v>
      </c>
      <c r="BZ46">
        <f>BZ12</f>
        <v>0</v>
      </c>
      <c r="CA46">
        <v>8</v>
      </c>
      <c r="CB46">
        <f>CB12</f>
        <v>0</v>
      </c>
      <c r="CC46">
        <v>8</v>
      </c>
      <c r="CD46">
        <f>CD12</f>
        <v>0</v>
      </c>
      <c r="CE46">
        <v>8</v>
      </c>
      <c r="CF46">
        <f>CF12</f>
        <v>0</v>
      </c>
      <c r="CG46">
        <v>8</v>
      </c>
      <c r="CH46">
        <f>CH12</f>
        <v>0</v>
      </c>
      <c r="CI46">
        <v>8</v>
      </c>
      <c r="CJ46">
        <f>CJ12</f>
        <v>0</v>
      </c>
      <c r="CK46">
        <v>8</v>
      </c>
      <c r="CL46">
        <f>CL12</f>
        <v>0</v>
      </c>
      <c r="CM46">
        <v>8</v>
      </c>
      <c r="CN46">
        <f>CN12</f>
        <v>0</v>
      </c>
      <c r="CO46">
        <v>8</v>
      </c>
      <c r="CP46">
        <f>CP12</f>
        <v>0</v>
      </c>
      <c r="CQ46">
        <v>8</v>
      </c>
      <c r="CR46">
        <f>CR12</f>
        <v>0</v>
      </c>
      <c r="CS46">
        <v>8</v>
      </c>
      <c r="CT46">
        <f>CT12</f>
        <v>0</v>
      </c>
      <c r="CU46">
        <v>8</v>
      </c>
      <c r="CV46">
        <f>CV12</f>
        <v>0</v>
      </c>
      <c r="CW46">
        <v>8</v>
      </c>
      <c r="CX46">
        <f>CX12</f>
        <v>0</v>
      </c>
      <c r="CY46">
        <v>8</v>
      </c>
      <c r="CZ46">
        <f>CZ12</f>
        <v>0</v>
      </c>
      <c r="DA46">
        <v>8</v>
      </c>
      <c r="DB46">
        <f>DB12</f>
        <v>0</v>
      </c>
      <c r="DC46">
        <v>8</v>
      </c>
      <c r="DD46">
        <f>DD12</f>
        <v>0</v>
      </c>
      <c r="DE46">
        <v>8</v>
      </c>
      <c r="DF46">
        <f>DF12</f>
        <v>0</v>
      </c>
      <c r="DG46">
        <v>8</v>
      </c>
      <c r="DH46">
        <f>DH12</f>
        <v>0</v>
      </c>
      <c r="DI46">
        <v>8</v>
      </c>
      <c r="DJ46">
        <f>DJ12</f>
        <v>0</v>
      </c>
      <c r="DK46">
        <v>8</v>
      </c>
      <c r="DL46">
        <f>DL12</f>
        <v>0</v>
      </c>
      <c r="DM46">
        <v>8</v>
      </c>
      <c r="DN46">
        <f>DN12</f>
        <v>0</v>
      </c>
      <c r="DO46">
        <v>8</v>
      </c>
      <c r="DP46">
        <f>DP12</f>
        <v>0</v>
      </c>
      <c r="DQ46">
        <v>8</v>
      </c>
      <c r="DR46">
        <f>DR12</f>
        <v>0</v>
      </c>
      <c r="DS46">
        <v>8</v>
      </c>
      <c r="DT46">
        <f>DT12</f>
        <v>0</v>
      </c>
      <c r="DU46">
        <v>8</v>
      </c>
      <c r="DV46">
        <f>DV12</f>
        <v>0</v>
      </c>
      <c r="DW46">
        <v>8</v>
      </c>
      <c r="DX46">
        <f>DX12</f>
        <v>0</v>
      </c>
      <c r="DY46">
        <v>8</v>
      </c>
      <c r="DZ46">
        <f>DZ12</f>
        <v>0</v>
      </c>
      <c r="EA46">
        <v>8</v>
      </c>
      <c r="EB46">
        <f>EB12</f>
        <v>0</v>
      </c>
      <c r="EC46">
        <v>8</v>
      </c>
      <c r="ED46">
        <f>ED12</f>
        <v>0</v>
      </c>
      <c r="EG46">
        <f>IF(Charts!$B$3="none",E213,IF(BS213="",NA(),BS213))</f>
        <v>0</v>
      </c>
      <c r="EH46">
        <f>IF(Charts!$B$3="none",F213,IF(BT213="",NA(),BT213))</f>
        <v>0</v>
      </c>
      <c r="EI46">
        <f>IF(Charts!$B$3="none",G213,IF(BU213="",NA(),BU213))</f>
        <v>0</v>
      </c>
      <c r="EJ46">
        <f>IF(Charts!$B$3="none",H213,IF(BV213="",NA(),BV213))</f>
        <v>0</v>
      </c>
      <c r="EK46">
        <f>IF(Charts!$B$3="none",I213,IF(BW213="",NA(),BW213))</f>
        <v>0</v>
      </c>
      <c r="EL46">
        <f>IF(Charts!$B$3="none",J213,IF(BX213="",NA(),BX213))</f>
        <v>0</v>
      </c>
      <c r="EM46">
        <f>IF(Charts!$B$3="none",K213,IF(BY213="",NA(),BY213))</f>
        <v>0</v>
      </c>
      <c r="EN46">
        <f>IF(Charts!$B$3="none",L213,IF(BZ213="",NA(),BZ213))</f>
        <v>0</v>
      </c>
      <c r="EO46">
        <f>IF(Charts!$B$3="none",M213,IF(CA213="",NA(),CA213))</f>
        <v>0</v>
      </c>
      <c r="EP46">
        <f>IF(Charts!$B$3="none",N213,IF(CB213="",NA(),CB213))</f>
        <v>0</v>
      </c>
      <c r="EQ46">
        <f>IF(Charts!$B$3="none",O213,IF(CC213="",NA(),CC213))</f>
        <v>0</v>
      </c>
      <c r="ER46">
        <f>IF(Charts!$B$3="none",P213,IF(CD213="",NA(),CD213))</f>
        <v>0</v>
      </c>
      <c r="ES46">
        <f>IF(Charts!$B$3="none",Q213,IF(CE213="",NA(),CE213))</f>
        <v>0</v>
      </c>
      <c r="ET46">
        <f>IF(Charts!$B$3="none",R213,IF(CF213="",NA(),CF213))</f>
        <v>0</v>
      </c>
      <c r="EU46">
        <f>IF(Charts!$B$3="none",S213,IF(CG213="",NA(),CG213))</f>
        <v>0</v>
      </c>
      <c r="EV46">
        <f>IF(Charts!$B$3="none",T213,IF(CH213="",NA(),CH213))</f>
        <v>0</v>
      </c>
      <c r="EW46">
        <f>IF(Charts!$B$3="none",U213,IF(CI213="",NA(),CI213))</f>
        <v>0</v>
      </c>
      <c r="EX46">
        <f>IF(Charts!$B$3="none",V213,IF(CJ213="",NA(),CJ213))</f>
        <v>0</v>
      </c>
      <c r="EY46">
        <f>IF(Charts!$B$3="none",W213,IF(CK213="",NA(),CK213))</f>
        <v>0</v>
      </c>
      <c r="EZ46">
        <f>IF(Charts!$B$3="none",X213,IF(CL213="",NA(),CL213))</f>
        <v>0</v>
      </c>
      <c r="FA46">
        <f>IF(Charts!$B$3="none",Y213,IF(CM213="",NA(),CM213))</f>
        <v>0</v>
      </c>
      <c r="FB46">
        <f>IF(Charts!$B$3="none",Z213,IF(CN213="",NA(),CN213))</f>
        <v>0</v>
      </c>
      <c r="FC46">
        <f>IF(Charts!$B$3="none",AA213,IF(CO213="",NA(),CO213))</f>
        <v>0</v>
      </c>
      <c r="FD46">
        <f>IF(Charts!$B$3="none",AB213,IF(CP213="",NA(),CP213))</f>
        <v>0</v>
      </c>
      <c r="FE46">
        <f>IF(Charts!$B$3="none",AC213,IF(CQ213="",NA(),CQ213))</f>
        <v>0</v>
      </c>
      <c r="FF46">
        <f>IF(Charts!$B$3="none",AD213,IF(CR213="",NA(),CR213))</f>
        <v>0</v>
      </c>
      <c r="FG46">
        <f>IF(Charts!$B$3="none",AE213,IF(CS213="",NA(),CS213))</f>
        <v>0</v>
      </c>
      <c r="FH46">
        <f>IF(Charts!$B$3="none",AF213,IF(CT213="",NA(),CT213))</f>
        <v>0</v>
      </c>
      <c r="FI46">
        <f>IF(Charts!$B$3="none",AG213,IF(CU213="",NA(),CU213))</f>
        <v>0</v>
      </c>
      <c r="FJ46">
        <f>IF(Charts!$B$3="none",AH213,IF(CV213="",NA(),CV213))</f>
        <v>0</v>
      </c>
      <c r="FK46">
        <f>IF(Charts!$B$3="none",AI213,IF(CW213="",NA(),CW213))</f>
        <v>0</v>
      </c>
      <c r="FL46">
        <f>IF(Charts!$B$3="none",AJ213,IF(CX213="",NA(),CX213))</f>
        <v>0</v>
      </c>
      <c r="FM46">
        <f>IF(Charts!$B$3="none",AK213,IF(CY213="",NA(),CY213))</f>
        <v>0</v>
      </c>
      <c r="FN46">
        <f>IF(Charts!$B$3="none",AL213,IF(CZ213="",NA(),CZ213))</f>
        <v>0</v>
      </c>
      <c r="FO46">
        <f>IF(Charts!$B$3="none",AM213,IF(DA213="",NA(),DA213))</f>
        <v>0</v>
      </c>
      <c r="FP46">
        <f>IF(Charts!$B$3="none",AN213,IF(DB213="",NA(),DB213))</f>
        <v>0</v>
      </c>
      <c r="FQ46">
        <f>IF(Charts!$B$3="none",AO213,IF(DC213="",NA(),DC213))</f>
        <v>0</v>
      </c>
      <c r="FR46">
        <f>IF(Charts!$B$3="none",AP213,IF(DD213="",NA(),DD213))</f>
        <v>0</v>
      </c>
      <c r="FS46">
        <f>IF(Charts!$B$3="none",AQ213,IF(DE213="",NA(),DE213))</f>
        <v>0</v>
      </c>
      <c r="FT46">
        <f>IF(Charts!$B$3="none",AR213,IF(DF213="",NA(),DF213))</f>
        <v>0</v>
      </c>
      <c r="FU46">
        <f>IF(Charts!$B$3="none",AS213,IF(DG213="",NA(),DG213))</f>
        <v>0</v>
      </c>
      <c r="FV46">
        <f>IF(Charts!$B$3="none",AT213,IF(DH213="",NA(),DH213))</f>
        <v>0</v>
      </c>
      <c r="FW46">
        <f>IF(Charts!$B$3="none",AU213,IF(DI213="",NA(),DI213))</f>
        <v>0</v>
      </c>
      <c r="FX46">
        <f>IF(Charts!$B$3="none",AV213,IF(DJ213="",NA(),DJ213))</f>
        <v>0</v>
      </c>
      <c r="FY46">
        <f>IF(Charts!$B$3="none",AW213,IF(DK213="",NA(),DK213))</f>
        <v>0</v>
      </c>
      <c r="FZ46">
        <f>IF(Charts!$B$3="none",AX213,IF(DL213="",NA(),DL213))</f>
        <v>0</v>
      </c>
      <c r="GA46">
        <f>IF(Charts!$B$3="none",AY213,IF(DM213="",NA(),DM213))</f>
        <v>0</v>
      </c>
      <c r="GB46">
        <f>IF(Charts!$B$3="none",AZ213,IF(DN213="",NA(),DN213))</f>
        <v>0</v>
      </c>
      <c r="GC46">
        <f>IF(Charts!$B$3="none",BA213,IF(DO213="",NA(),DO213))</f>
        <v>0</v>
      </c>
      <c r="GD46">
        <f>IF(Charts!$B$3="none",BB213,IF(DP213="",NA(),DP213))</f>
        <v>0</v>
      </c>
      <c r="GE46">
        <f>IF(Charts!$B$3="none",BC213,IF(DQ213="",NA(),DQ213))</f>
        <v>0</v>
      </c>
      <c r="GF46">
        <f>IF(Charts!$B$3="none",BD213,IF(DR213="",NA(),DR213))</f>
        <v>0</v>
      </c>
      <c r="GG46">
        <f>IF(Charts!$B$3="none",BE213,IF(DS213="",NA(),DS213))</f>
        <v>0</v>
      </c>
      <c r="GH46">
        <f>IF(Charts!$B$3="none",BF213,IF(DT213="",NA(),DT213))</f>
        <v>0</v>
      </c>
      <c r="GI46">
        <f>IF(Charts!$B$3="none",BG213,IF(DU213="",NA(),DU213))</f>
        <v>0</v>
      </c>
      <c r="GJ46">
        <f>IF(Charts!$B$3="none",BH213,IF(DV213="",NA(),DV213))</f>
        <v>0</v>
      </c>
      <c r="GK46">
        <f>IF(Charts!$B$3="none",BI213,IF(DW213="",NA(),DW213))</f>
        <v>0</v>
      </c>
      <c r="GL46">
        <f>IF(Charts!$B$3="none",BJ213,IF(DX213="",NA(),DX213))</f>
        <v>0</v>
      </c>
      <c r="GM46">
        <f>IF(Charts!$B$3="none",BK213,IF(DY213="",NA(),DY213))</f>
        <v>0</v>
      </c>
      <c r="GN46">
        <f>IF(Charts!$B$3="none",BL213,IF(DZ213="",NA(),DZ213))</f>
        <v>0</v>
      </c>
      <c r="GO46">
        <f>IF(Charts!$B$3="none",BM213,IF(EA213="",NA(),EA213))</f>
        <v>0</v>
      </c>
      <c r="GP46">
        <f>IF(Charts!$B$3="none",BN213,IF(EB213="",NA(),EB213))</f>
        <v>0</v>
      </c>
      <c r="GQ46">
        <f>IF(Charts!$B$3="none",BO213,IF(EC213="",NA(),EC213))</f>
        <v>0</v>
      </c>
      <c r="GR46">
        <f>IF(Charts!$B$3="none",BP213,IF(ED213="",NA(),ED213))</f>
        <v>0</v>
      </c>
    </row>
    <row r="47" spans="4:200">
      <c r="E47">
        <v>9</v>
      </c>
      <c r="F47">
        <f>F13</f>
        <v>0</v>
      </c>
      <c r="G47">
        <v>9</v>
      </c>
      <c r="H47">
        <f>H13</f>
        <v>0</v>
      </c>
      <c r="I47">
        <v>9</v>
      </c>
      <c r="J47">
        <f>J13</f>
        <v>0</v>
      </c>
      <c r="K47">
        <v>9</v>
      </c>
      <c r="L47">
        <f>L13</f>
        <v>0</v>
      </c>
      <c r="M47">
        <v>9</v>
      </c>
      <c r="N47">
        <f>N13</f>
        <v>0</v>
      </c>
      <c r="O47">
        <v>9</v>
      </c>
      <c r="P47">
        <f>P13</f>
        <v>0</v>
      </c>
      <c r="Q47">
        <v>9</v>
      </c>
      <c r="R47">
        <f>R13</f>
        <v>0</v>
      </c>
      <c r="S47">
        <v>9</v>
      </c>
      <c r="T47">
        <f>T13</f>
        <v>0</v>
      </c>
      <c r="U47">
        <v>9</v>
      </c>
      <c r="V47">
        <f>V13</f>
        <v>0</v>
      </c>
      <c r="W47">
        <v>9</v>
      </c>
      <c r="X47">
        <f>X13</f>
        <v>0</v>
      </c>
      <c r="Y47">
        <v>9</v>
      </c>
      <c r="Z47">
        <f>Z13</f>
        <v>0</v>
      </c>
      <c r="AA47">
        <v>9</v>
      </c>
      <c r="AB47">
        <f>AB13</f>
        <v>0</v>
      </c>
      <c r="AC47">
        <v>9</v>
      </c>
      <c r="AD47">
        <f>AD13</f>
        <v>0</v>
      </c>
      <c r="AE47">
        <v>9</v>
      </c>
      <c r="AF47">
        <f>AF13</f>
        <v>0</v>
      </c>
      <c r="AG47">
        <v>9</v>
      </c>
      <c r="AH47">
        <f>AH13</f>
        <v>0</v>
      </c>
      <c r="AI47">
        <v>9</v>
      </c>
      <c r="AJ47">
        <f>AJ13</f>
        <v>0</v>
      </c>
      <c r="AK47">
        <v>9</v>
      </c>
      <c r="AL47">
        <f>AL13</f>
        <v>0</v>
      </c>
      <c r="AM47">
        <v>9</v>
      </c>
      <c r="AN47">
        <f>AN13</f>
        <v>0</v>
      </c>
      <c r="AO47">
        <v>9</v>
      </c>
      <c r="AP47">
        <f>AP13</f>
        <v>0</v>
      </c>
      <c r="AQ47">
        <v>9</v>
      </c>
      <c r="AR47">
        <f>AR13</f>
        <v>0</v>
      </c>
      <c r="AS47">
        <v>9</v>
      </c>
      <c r="AT47">
        <f>AT13</f>
        <v>0</v>
      </c>
      <c r="AU47">
        <v>9</v>
      </c>
      <c r="AV47">
        <f>AV13</f>
        <v>0</v>
      </c>
      <c r="AW47">
        <v>9</v>
      </c>
      <c r="AX47">
        <f>AX13</f>
        <v>0</v>
      </c>
      <c r="AY47">
        <v>9</v>
      </c>
      <c r="AZ47">
        <f>AZ13</f>
        <v>0</v>
      </c>
      <c r="BA47">
        <v>9</v>
      </c>
      <c r="BB47">
        <f>BB13</f>
        <v>0</v>
      </c>
      <c r="BC47">
        <v>9</v>
      </c>
      <c r="BD47">
        <f>BD13</f>
        <v>0</v>
      </c>
      <c r="BE47">
        <v>9</v>
      </c>
      <c r="BF47">
        <f>BF13</f>
        <v>0</v>
      </c>
      <c r="BG47">
        <v>9</v>
      </c>
      <c r="BH47">
        <f>BH13</f>
        <v>0</v>
      </c>
      <c r="BI47">
        <v>9</v>
      </c>
      <c r="BJ47">
        <f>BJ13</f>
        <v>0</v>
      </c>
      <c r="BK47">
        <v>9</v>
      </c>
      <c r="BL47">
        <f>BL13</f>
        <v>0</v>
      </c>
      <c r="BM47">
        <v>9</v>
      </c>
      <c r="BN47">
        <f>BN13</f>
        <v>0</v>
      </c>
      <c r="BO47">
        <v>9</v>
      </c>
      <c r="BP47">
        <f>BP13</f>
        <v>0</v>
      </c>
      <c r="BS47">
        <v>9</v>
      </c>
      <c r="BT47">
        <f>BT13</f>
        <v>0</v>
      </c>
      <c r="BU47">
        <v>9</v>
      </c>
      <c r="BV47">
        <f>BV13</f>
        <v>0</v>
      </c>
      <c r="BW47">
        <v>9</v>
      </c>
      <c r="BX47">
        <f>BX13</f>
        <v>0</v>
      </c>
      <c r="BY47">
        <v>9</v>
      </c>
      <c r="BZ47">
        <f>BZ13</f>
        <v>0</v>
      </c>
      <c r="CA47">
        <v>9</v>
      </c>
      <c r="CB47">
        <f>CB13</f>
        <v>0</v>
      </c>
      <c r="CC47">
        <v>9</v>
      </c>
      <c r="CD47">
        <f>CD13</f>
        <v>0</v>
      </c>
      <c r="CE47">
        <v>9</v>
      </c>
      <c r="CF47">
        <f>CF13</f>
        <v>0</v>
      </c>
      <c r="CG47">
        <v>9</v>
      </c>
      <c r="CH47">
        <f>CH13</f>
        <v>0</v>
      </c>
      <c r="CI47">
        <v>9</v>
      </c>
      <c r="CJ47">
        <f>CJ13</f>
        <v>0</v>
      </c>
      <c r="CK47">
        <v>9</v>
      </c>
      <c r="CL47">
        <f>CL13</f>
        <v>0</v>
      </c>
      <c r="CM47">
        <v>9</v>
      </c>
      <c r="CN47">
        <f>CN13</f>
        <v>0</v>
      </c>
      <c r="CO47">
        <v>9</v>
      </c>
      <c r="CP47">
        <f>CP13</f>
        <v>0</v>
      </c>
      <c r="CQ47">
        <v>9</v>
      </c>
      <c r="CR47">
        <f>CR13</f>
        <v>0</v>
      </c>
      <c r="CS47">
        <v>9</v>
      </c>
      <c r="CT47">
        <f>CT13</f>
        <v>0</v>
      </c>
      <c r="CU47">
        <v>9</v>
      </c>
      <c r="CV47">
        <f>CV13</f>
        <v>0</v>
      </c>
      <c r="CW47">
        <v>9</v>
      </c>
      <c r="CX47">
        <f>CX13</f>
        <v>0</v>
      </c>
      <c r="CY47">
        <v>9</v>
      </c>
      <c r="CZ47">
        <f>CZ13</f>
        <v>0</v>
      </c>
      <c r="DA47">
        <v>9</v>
      </c>
      <c r="DB47">
        <f>DB13</f>
        <v>0</v>
      </c>
      <c r="DC47">
        <v>9</v>
      </c>
      <c r="DD47">
        <f>DD13</f>
        <v>0</v>
      </c>
      <c r="DE47">
        <v>9</v>
      </c>
      <c r="DF47">
        <f>DF13</f>
        <v>0</v>
      </c>
      <c r="DG47">
        <v>9</v>
      </c>
      <c r="DH47">
        <f>DH13</f>
        <v>0</v>
      </c>
      <c r="DI47">
        <v>9</v>
      </c>
      <c r="DJ47">
        <f>DJ13</f>
        <v>0</v>
      </c>
      <c r="DK47">
        <v>9</v>
      </c>
      <c r="DL47">
        <f>DL13</f>
        <v>0</v>
      </c>
      <c r="DM47">
        <v>9</v>
      </c>
      <c r="DN47">
        <f>DN13</f>
        <v>0</v>
      </c>
      <c r="DO47">
        <v>9</v>
      </c>
      <c r="DP47">
        <f>DP13</f>
        <v>0</v>
      </c>
      <c r="DQ47">
        <v>9</v>
      </c>
      <c r="DR47">
        <f>DR13</f>
        <v>0</v>
      </c>
      <c r="DS47">
        <v>9</v>
      </c>
      <c r="DT47">
        <f>DT13</f>
        <v>0</v>
      </c>
      <c r="DU47">
        <v>9</v>
      </c>
      <c r="DV47">
        <f>DV13</f>
        <v>0</v>
      </c>
      <c r="DW47">
        <v>9</v>
      </c>
      <c r="DX47">
        <f>DX13</f>
        <v>0</v>
      </c>
      <c r="DY47">
        <v>9</v>
      </c>
      <c r="DZ47">
        <f>DZ13</f>
        <v>0</v>
      </c>
      <c r="EA47">
        <v>9</v>
      </c>
      <c r="EB47">
        <f>EB13</f>
        <v>0</v>
      </c>
      <c r="EC47">
        <v>9</v>
      </c>
      <c r="ED47">
        <f>ED13</f>
        <v>0</v>
      </c>
      <c r="EG47">
        <f>IF(Charts!$B$3="none",E214,IF(BS214="",NA(),BS214))</f>
        <v>0</v>
      </c>
      <c r="EH47">
        <f>IF(Charts!$B$3="none",F214,IF(BT214="",NA(),BT214))</f>
        <v>0</v>
      </c>
      <c r="EI47">
        <f>IF(Charts!$B$3="none",G214,IF(BU214="",NA(),BU214))</f>
        <v>0</v>
      </c>
      <c r="EJ47">
        <f>IF(Charts!$B$3="none",H214,IF(BV214="",NA(),BV214))</f>
        <v>0</v>
      </c>
      <c r="EK47">
        <f>IF(Charts!$B$3="none",I214,IF(BW214="",NA(),BW214))</f>
        <v>0</v>
      </c>
      <c r="EL47">
        <f>IF(Charts!$B$3="none",J214,IF(BX214="",NA(),BX214))</f>
        <v>0</v>
      </c>
      <c r="EM47">
        <f>IF(Charts!$B$3="none",K214,IF(BY214="",NA(),BY214))</f>
        <v>0</v>
      </c>
      <c r="EN47">
        <f>IF(Charts!$B$3="none",L214,IF(BZ214="",NA(),BZ214))</f>
        <v>0</v>
      </c>
      <c r="EO47">
        <f>IF(Charts!$B$3="none",M214,IF(CA214="",NA(),CA214))</f>
        <v>0</v>
      </c>
      <c r="EP47">
        <f>IF(Charts!$B$3="none",N214,IF(CB214="",NA(),CB214))</f>
        <v>0</v>
      </c>
      <c r="EQ47">
        <f>IF(Charts!$B$3="none",O214,IF(CC214="",NA(),CC214))</f>
        <v>0</v>
      </c>
      <c r="ER47">
        <f>IF(Charts!$B$3="none",P214,IF(CD214="",NA(),CD214))</f>
        <v>0</v>
      </c>
      <c r="ES47">
        <f>IF(Charts!$B$3="none",Q214,IF(CE214="",NA(),CE214))</f>
        <v>0</v>
      </c>
      <c r="ET47">
        <f>IF(Charts!$B$3="none",R214,IF(CF214="",NA(),CF214))</f>
        <v>0</v>
      </c>
      <c r="EU47">
        <f>IF(Charts!$B$3="none",S214,IF(CG214="",NA(),CG214))</f>
        <v>0</v>
      </c>
      <c r="EV47">
        <f>IF(Charts!$B$3="none",T214,IF(CH214="",NA(),CH214))</f>
        <v>0</v>
      </c>
      <c r="EW47">
        <f>IF(Charts!$B$3="none",U214,IF(CI214="",NA(),CI214))</f>
        <v>0</v>
      </c>
      <c r="EX47">
        <f>IF(Charts!$B$3="none",V214,IF(CJ214="",NA(),CJ214))</f>
        <v>0</v>
      </c>
      <c r="EY47">
        <f>IF(Charts!$B$3="none",W214,IF(CK214="",NA(),CK214))</f>
        <v>0</v>
      </c>
      <c r="EZ47">
        <f>IF(Charts!$B$3="none",X214,IF(CL214="",NA(),CL214))</f>
        <v>0</v>
      </c>
      <c r="FA47">
        <f>IF(Charts!$B$3="none",Y214,IF(CM214="",NA(),CM214))</f>
        <v>0</v>
      </c>
      <c r="FB47">
        <f>IF(Charts!$B$3="none",Z214,IF(CN214="",NA(),CN214))</f>
        <v>0</v>
      </c>
      <c r="FC47">
        <f>IF(Charts!$B$3="none",AA214,IF(CO214="",NA(),CO214))</f>
        <v>0</v>
      </c>
      <c r="FD47">
        <f>IF(Charts!$B$3="none",AB214,IF(CP214="",NA(),CP214))</f>
        <v>0</v>
      </c>
      <c r="FE47">
        <f>IF(Charts!$B$3="none",AC214,IF(CQ214="",NA(),CQ214))</f>
        <v>0</v>
      </c>
      <c r="FF47">
        <f>IF(Charts!$B$3="none",AD214,IF(CR214="",NA(),CR214))</f>
        <v>0</v>
      </c>
      <c r="FG47">
        <f>IF(Charts!$B$3="none",AE214,IF(CS214="",NA(),CS214))</f>
        <v>0</v>
      </c>
      <c r="FH47">
        <f>IF(Charts!$B$3="none",AF214,IF(CT214="",NA(),CT214))</f>
        <v>0</v>
      </c>
      <c r="FI47">
        <f>IF(Charts!$B$3="none",AG214,IF(CU214="",NA(),CU214))</f>
        <v>0</v>
      </c>
      <c r="FJ47">
        <f>IF(Charts!$B$3="none",AH214,IF(CV214="",NA(),CV214))</f>
        <v>0</v>
      </c>
      <c r="FK47">
        <f>IF(Charts!$B$3="none",AI214,IF(CW214="",NA(),CW214))</f>
        <v>0</v>
      </c>
      <c r="FL47">
        <f>IF(Charts!$B$3="none",AJ214,IF(CX214="",NA(),CX214))</f>
        <v>0</v>
      </c>
      <c r="FM47">
        <f>IF(Charts!$B$3="none",AK214,IF(CY214="",NA(),CY214))</f>
        <v>0</v>
      </c>
      <c r="FN47">
        <f>IF(Charts!$B$3="none",AL214,IF(CZ214="",NA(),CZ214))</f>
        <v>0</v>
      </c>
      <c r="FO47">
        <f>IF(Charts!$B$3="none",AM214,IF(DA214="",NA(),DA214))</f>
        <v>0</v>
      </c>
      <c r="FP47">
        <f>IF(Charts!$B$3="none",AN214,IF(DB214="",NA(),DB214))</f>
        <v>0</v>
      </c>
      <c r="FQ47">
        <f>IF(Charts!$B$3="none",AO214,IF(DC214="",NA(),DC214))</f>
        <v>0</v>
      </c>
      <c r="FR47">
        <f>IF(Charts!$B$3="none",AP214,IF(DD214="",NA(),DD214))</f>
        <v>0</v>
      </c>
      <c r="FS47">
        <f>IF(Charts!$B$3="none",AQ214,IF(DE214="",NA(),DE214))</f>
        <v>0</v>
      </c>
      <c r="FT47">
        <f>IF(Charts!$B$3="none",AR214,IF(DF214="",NA(),DF214))</f>
        <v>0</v>
      </c>
      <c r="FU47">
        <f>IF(Charts!$B$3="none",AS214,IF(DG214="",NA(),DG214))</f>
        <v>0</v>
      </c>
      <c r="FV47">
        <f>IF(Charts!$B$3="none",AT214,IF(DH214="",NA(),DH214))</f>
        <v>0</v>
      </c>
      <c r="FW47">
        <f>IF(Charts!$B$3="none",AU214,IF(DI214="",NA(),DI214))</f>
        <v>0</v>
      </c>
      <c r="FX47">
        <f>IF(Charts!$B$3="none",AV214,IF(DJ214="",NA(),DJ214))</f>
        <v>0</v>
      </c>
      <c r="FY47">
        <f>IF(Charts!$B$3="none",AW214,IF(DK214="",NA(),DK214))</f>
        <v>0</v>
      </c>
      <c r="FZ47">
        <f>IF(Charts!$B$3="none",AX214,IF(DL214="",NA(),DL214))</f>
        <v>0</v>
      </c>
      <c r="GA47">
        <f>IF(Charts!$B$3="none",AY214,IF(DM214="",NA(),DM214))</f>
        <v>0</v>
      </c>
      <c r="GB47">
        <f>IF(Charts!$B$3="none",AZ214,IF(DN214="",NA(),DN214))</f>
        <v>0</v>
      </c>
      <c r="GC47">
        <f>IF(Charts!$B$3="none",BA214,IF(DO214="",NA(),DO214))</f>
        <v>0</v>
      </c>
      <c r="GD47">
        <f>IF(Charts!$B$3="none",BB214,IF(DP214="",NA(),DP214))</f>
        <v>0</v>
      </c>
      <c r="GE47">
        <f>IF(Charts!$B$3="none",BC214,IF(DQ214="",NA(),DQ214))</f>
        <v>0</v>
      </c>
      <c r="GF47">
        <f>IF(Charts!$B$3="none",BD214,IF(DR214="",NA(),DR214))</f>
        <v>0</v>
      </c>
      <c r="GG47">
        <f>IF(Charts!$B$3="none",BE214,IF(DS214="",NA(),DS214))</f>
        <v>0</v>
      </c>
      <c r="GH47">
        <f>IF(Charts!$B$3="none",BF214,IF(DT214="",NA(),DT214))</f>
        <v>0</v>
      </c>
      <c r="GI47">
        <f>IF(Charts!$B$3="none",BG214,IF(DU214="",NA(),DU214))</f>
        <v>0</v>
      </c>
      <c r="GJ47">
        <f>IF(Charts!$B$3="none",BH214,IF(DV214="",NA(),DV214))</f>
        <v>0</v>
      </c>
      <c r="GK47">
        <f>IF(Charts!$B$3="none",BI214,IF(DW214="",NA(),DW214))</f>
        <v>0</v>
      </c>
      <c r="GL47">
        <f>IF(Charts!$B$3="none",BJ214,IF(DX214="",NA(),DX214))</f>
        <v>0</v>
      </c>
      <c r="GM47">
        <f>IF(Charts!$B$3="none",BK214,IF(DY214="",NA(),DY214))</f>
        <v>0</v>
      </c>
      <c r="GN47">
        <f>IF(Charts!$B$3="none",BL214,IF(DZ214="",NA(),DZ214))</f>
        <v>0</v>
      </c>
      <c r="GO47">
        <f>IF(Charts!$B$3="none",BM214,IF(EA214="",NA(),EA214))</f>
        <v>0</v>
      </c>
      <c r="GP47">
        <f>IF(Charts!$B$3="none",BN214,IF(EB214="",NA(),EB214))</f>
        <v>0</v>
      </c>
      <c r="GQ47">
        <f>IF(Charts!$B$3="none",BO214,IF(EC214="",NA(),EC214))</f>
        <v>0</v>
      </c>
      <c r="GR47">
        <f>IF(Charts!$B$3="none",BP214,IF(ED214="",NA(),ED214))</f>
        <v>0</v>
      </c>
    </row>
    <row r="48" spans="4:200">
      <c r="E48">
        <v>10</v>
      </c>
      <c r="F48">
        <f>F14</f>
        <v>0</v>
      </c>
      <c r="G48">
        <v>10</v>
      </c>
      <c r="H48">
        <f>H14</f>
        <v>0</v>
      </c>
      <c r="I48">
        <v>10</v>
      </c>
      <c r="J48">
        <f>J14</f>
        <v>0</v>
      </c>
      <c r="K48">
        <v>10</v>
      </c>
      <c r="L48">
        <f>L14</f>
        <v>0</v>
      </c>
      <c r="M48">
        <v>10</v>
      </c>
      <c r="N48">
        <f>N14</f>
        <v>0</v>
      </c>
      <c r="O48">
        <v>10</v>
      </c>
      <c r="P48">
        <f>P14</f>
        <v>0</v>
      </c>
      <c r="Q48">
        <v>10</v>
      </c>
      <c r="R48">
        <f>R14</f>
        <v>0</v>
      </c>
      <c r="S48">
        <v>10</v>
      </c>
      <c r="T48">
        <f>T14</f>
        <v>0</v>
      </c>
      <c r="U48">
        <v>10</v>
      </c>
      <c r="V48">
        <f>V14</f>
        <v>0</v>
      </c>
      <c r="W48">
        <v>10</v>
      </c>
      <c r="X48">
        <f>X14</f>
        <v>0</v>
      </c>
      <c r="Y48">
        <v>10</v>
      </c>
      <c r="Z48">
        <f>Z14</f>
        <v>0</v>
      </c>
      <c r="AA48">
        <v>10</v>
      </c>
      <c r="AB48">
        <f>AB14</f>
        <v>0</v>
      </c>
      <c r="AC48">
        <v>10</v>
      </c>
      <c r="AD48">
        <f>AD14</f>
        <v>0</v>
      </c>
      <c r="AE48">
        <v>10</v>
      </c>
      <c r="AF48">
        <f>AF14</f>
        <v>0</v>
      </c>
      <c r="AG48">
        <v>10</v>
      </c>
      <c r="AH48">
        <f>AH14</f>
        <v>0</v>
      </c>
      <c r="AI48">
        <v>10</v>
      </c>
      <c r="AJ48">
        <f>AJ14</f>
        <v>0</v>
      </c>
      <c r="AK48">
        <v>10</v>
      </c>
      <c r="AL48">
        <f>AL14</f>
        <v>0</v>
      </c>
      <c r="AM48">
        <v>10</v>
      </c>
      <c r="AN48">
        <f>AN14</f>
        <v>0</v>
      </c>
      <c r="AO48">
        <v>10</v>
      </c>
      <c r="AP48">
        <f>AP14</f>
        <v>0</v>
      </c>
      <c r="AQ48">
        <v>10</v>
      </c>
      <c r="AR48">
        <f>AR14</f>
        <v>0</v>
      </c>
      <c r="AS48">
        <v>10</v>
      </c>
      <c r="AT48">
        <f>AT14</f>
        <v>0</v>
      </c>
      <c r="AU48">
        <v>10</v>
      </c>
      <c r="AV48">
        <f>AV14</f>
        <v>0</v>
      </c>
      <c r="AW48">
        <v>10</v>
      </c>
      <c r="AX48">
        <f>AX14</f>
        <v>0</v>
      </c>
      <c r="AY48">
        <v>10</v>
      </c>
      <c r="AZ48">
        <f>AZ14</f>
        <v>0</v>
      </c>
      <c r="BA48">
        <v>10</v>
      </c>
      <c r="BB48">
        <f>BB14</f>
        <v>0</v>
      </c>
      <c r="BC48">
        <v>10</v>
      </c>
      <c r="BD48">
        <f>BD14</f>
        <v>0</v>
      </c>
      <c r="BE48">
        <v>10</v>
      </c>
      <c r="BF48">
        <f>BF14</f>
        <v>0</v>
      </c>
      <c r="BG48">
        <v>10</v>
      </c>
      <c r="BH48">
        <f>BH14</f>
        <v>0</v>
      </c>
      <c r="BI48">
        <v>10</v>
      </c>
      <c r="BJ48">
        <f>BJ14</f>
        <v>0</v>
      </c>
      <c r="BK48">
        <v>10</v>
      </c>
      <c r="BL48">
        <f>BL14</f>
        <v>0</v>
      </c>
      <c r="BM48">
        <v>10</v>
      </c>
      <c r="BN48">
        <f>BN14</f>
        <v>0</v>
      </c>
      <c r="BO48">
        <v>10</v>
      </c>
      <c r="BP48">
        <f>BP14</f>
        <v>0</v>
      </c>
      <c r="BS48">
        <v>10</v>
      </c>
      <c r="BT48">
        <f>BT14</f>
        <v>0</v>
      </c>
      <c r="BU48">
        <v>10</v>
      </c>
      <c r="BV48">
        <f>BV14</f>
        <v>0</v>
      </c>
      <c r="BW48">
        <v>10</v>
      </c>
      <c r="BX48">
        <f>BX14</f>
        <v>0</v>
      </c>
      <c r="BY48">
        <v>10</v>
      </c>
      <c r="BZ48">
        <f>BZ14</f>
        <v>0</v>
      </c>
      <c r="CA48">
        <v>10</v>
      </c>
      <c r="CB48">
        <f>CB14</f>
        <v>0</v>
      </c>
      <c r="CC48">
        <v>10</v>
      </c>
      <c r="CD48">
        <f>CD14</f>
        <v>0</v>
      </c>
      <c r="CE48">
        <v>10</v>
      </c>
      <c r="CF48">
        <f>CF14</f>
        <v>0</v>
      </c>
      <c r="CG48">
        <v>10</v>
      </c>
      <c r="CH48">
        <f>CH14</f>
        <v>0</v>
      </c>
      <c r="CI48">
        <v>10</v>
      </c>
      <c r="CJ48">
        <f>CJ14</f>
        <v>0</v>
      </c>
      <c r="CK48">
        <v>10</v>
      </c>
      <c r="CL48">
        <f>CL14</f>
        <v>0</v>
      </c>
      <c r="CM48">
        <v>10</v>
      </c>
      <c r="CN48">
        <f>CN14</f>
        <v>0</v>
      </c>
      <c r="CO48">
        <v>10</v>
      </c>
      <c r="CP48">
        <f>CP14</f>
        <v>0</v>
      </c>
      <c r="CQ48">
        <v>10</v>
      </c>
      <c r="CR48">
        <f>CR14</f>
        <v>0</v>
      </c>
      <c r="CS48">
        <v>10</v>
      </c>
      <c r="CT48">
        <f>CT14</f>
        <v>0</v>
      </c>
      <c r="CU48">
        <v>10</v>
      </c>
      <c r="CV48">
        <f>CV14</f>
        <v>0</v>
      </c>
      <c r="CW48">
        <v>10</v>
      </c>
      <c r="CX48">
        <f>CX14</f>
        <v>0</v>
      </c>
      <c r="CY48">
        <v>10</v>
      </c>
      <c r="CZ48">
        <f>CZ14</f>
        <v>0</v>
      </c>
      <c r="DA48">
        <v>10</v>
      </c>
      <c r="DB48">
        <f>DB14</f>
        <v>0</v>
      </c>
      <c r="DC48">
        <v>10</v>
      </c>
      <c r="DD48">
        <f>DD14</f>
        <v>0</v>
      </c>
      <c r="DE48">
        <v>10</v>
      </c>
      <c r="DF48">
        <f>DF14</f>
        <v>0</v>
      </c>
      <c r="DG48">
        <v>10</v>
      </c>
      <c r="DH48">
        <f>DH14</f>
        <v>0</v>
      </c>
      <c r="DI48">
        <v>10</v>
      </c>
      <c r="DJ48">
        <f>DJ14</f>
        <v>0</v>
      </c>
      <c r="DK48">
        <v>10</v>
      </c>
      <c r="DL48">
        <f>DL14</f>
        <v>0</v>
      </c>
      <c r="DM48">
        <v>10</v>
      </c>
      <c r="DN48">
        <f>DN14</f>
        <v>0</v>
      </c>
      <c r="DO48">
        <v>10</v>
      </c>
      <c r="DP48">
        <f>DP14</f>
        <v>0</v>
      </c>
      <c r="DQ48">
        <v>10</v>
      </c>
      <c r="DR48">
        <f>DR14</f>
        <v>0</v>
      </c>
      <c r="DS48">
        <v>10</v>
      </c>
      <c r="DT48">
        <f>DT14</f>
        <v>0</v>
      </c>
      <c r="DU48">
        <v>10</v>
      </c>
      <c r="DV48">
        <f>DV14</f>
        <v>0</v>
      </c>
      <c r="DW48">
        <v>10</v>
      </c>
      <c r="DX48">
        <f>DX14</f>
        <v>0</v>
      </c>
      <c r="DY48">
        <v>10</v>
      </c>
      <c r="DZ48">
        <f>DZ14</f>
        <v>0</v>
      </c>
      <c r="EA48">
        <v>10</v>
      </c>
      <c r="EB48">
        <f>EB14</f>
        <v>0</v>
      </c>
      <c r="EC48">
        <v>10</v>
      </c>
      <c r="ED48">
        <f>ED14</f>
        <v>0</v>
      </c>
      <c r="EG48">
        <f>IF(Charts!$B$3="none",E215,IF(BS215="",NA(),BS215))</f>
        <v>0</v>
      </c>
      <c r="EH48">
        <f>IF(Charts!$B$3="none",F215,IF(BT215="",NA(),BT215))</f>
        <v>0</v>
      </c>
      <c r="EI48">
        <f>IF(Charts!$B$3="none",G215,IF(BU215="",NA(),BU215))</f>
        <v>0</v>
      </c>
      <c r="EJ48">
        <f>IF(Charts!$B$3="none",H215,IF(BV215="",NA(),BV215))</f>
        <v>0</v>
      </c>
      <c r="EK48">
        <f>IF(Charts!$B$3="none",I215,IF(BW215="",NA(),BW215))</f>
        <v>0</v>
      </c>
      <c r="EL48">
        <f>IF(Charts!$B$3="none",J215,IF(BX215="",NA(),BX215))</f>
        <v>0</v>
      </c>
      <c r="EM48">
        <f>IF(Charts!$B$3="none",K215,IF(BY215="",NA(),BY215))</f>
        <v>0</v>
      </c>
      <c r="EN48">
        <f>IF(Charts!$B$3="none",L215,IF(BZ215="",NA(),BZ215))</f>
        <v>0</v>
      </c>
      <c r="EO48">
        <f>IF(Charts!$B$3="none",M215,IF(CA215="",NA(),CA215))</f>
        <v>0</v>
      </c>
      <c r="EP48">
        <f>IF(Charts!$B$3="none",N215,IF(CB215="",NA(),CB215))</f>
        <v>0</v>
      </c>
      <c r="EQ48">
        <f>IF(Charts!$B$3="none",O215,IF(CC215="",NA(),CC215))</f>
        <v>0</v>
      </c>
      <c r="ER48">
        <f>IF(Charts!$B$3="none",P215,IF(CD215="",NA(),CD215))</f>
        <v>0</v>
      </c>
      <c r="ES48">
        <f>IF(Charts!$B$3="none",Q215,IF(CE215="",NA(),CE215))</f>
        <v>0</v>
      </c>
      <c r="ET48">
        <f>IF(Charts!$B$3="none",R215,IF(CF215="",NA(),CF215))</f>
        <v>0</v>
      </c>
      <c r="EU48">
        <f>IF(Charts!$B$3="none",S215,IF(CG215="",NA(),CG215))</f>
        <v>0</v>
      </c>
      <c r="EV48">
        <f>IF(Charts!$B$3="none",T215,IF(CH215="",NA(),CH215))</f>
        <v>0</v>
      </c>
      <c r="EW48">
        <f>IF(Charts!$B$3="none",U215,IF(CI215="",NA(),CI215))</f>
        <v>0</v>
      </c>
      <c r="EX48">
        <f>IF(Charts!$B$3="none",V215,IF(CJ215="",NA(),CJ215))</f>
        <v>0</v>
      </c>
      <c r="EY48">
        <f>IF(Charts!$B$3="none",W215,IF(CK215="",NA(),CK215))</f>
        <v>0</v>
      </c>
      <c r="EZ48">
        <f>IF(Charts!$B$3="none",X215,IF(CL215="",NA(),CL215))</f>
        <v>0</v>
      </c>
      <c r="FA48">
        <f>IF(Charts!$B$3="none",Y215,IF(CM215="",NA(),CM215))</f>
        <v>0</v>
      </c>
      <c r="FB48">
        <f>IF(Charts!$B$3="none",Z215,IF(CN215="",NA(),CN215))</f>
        <v>0</v>
      </c>
      <c r="FC48">
        <f>IF(Charts!$B$3="none",AA215,IF(CO215="",NA(),CO215))</f>
        <v>0</v>
      </c>
      <c r="FD48">
        <f>IF(Charts!$B$3="none",AB215,IF(CP215="",NA(),CP215))</f>
        <v>0</v>
      </c>
      <c r="FE48">
        <f>IF(Charts!$B$3="none",AC215,IF(CQ215="",NA(),CQ215))</f>
        <v>0</v>
      </c>
      <c r="FF48">
        <f>IF(Charts!$B$3="none",AD215,IF(CR215="",NA(),CR215))</f>
        <v>0</v>
      </c>
      <c r="FG48">
        <f>IF(Charts!$B$3="none",AE215,IF(CS215="",NA(),CS215))</f>
        <v>0</v>
      </c>
      <c r="FH48">
        <f>IF(Charts!$B$3="none",AF215,IF(CT215="",NA(),CT215))</f>
        <v>0</v>
      </c>
      <c r="FI48">
        <f>IF(Charts!$B$3="none",AG215,IF(CU215="",NA(),CU215))</f>
        <v>0</v>
      </c>
      <c r="FJ48">
        <f>IF(Charts!$B$3="none",AH215,IF(CV215="",NA(),CV215))</f>
        <v>0</v>
      </c>
      <c r="FK48">
        <f>IF(Charts!$B$3="none",AI215,IF(CW215="",NA(),CW215))</f>
        <v>0</v>
      </c>
      <c r="FL48">
        <f>IF(Charts!$B$3="none",AJ215,IF(CX215="",NA(),CX215))</f>
        <v>0</v>
      </c>
      <c r="FM48">
        <f>IF(Charts!$B$3="none",AK215,IF(CY215="",NA(),CY215))</f>
        <v>0</v>
      </c>
      <c r="FN48">
        <f>IF(Charts!$B$3="none",AL215,IF(CZ215="",NA(),CZ215))</f>
        <v>0</v>
      </c>
      <c r="FO48">
        <f>IF(Charts!$B$3="none",AM215,IF(DA215="",NA(),DA215))</f>
        <v>0</v>
      </c>
      <c r="FP48">
        <f>IF(Charts!$B$3="none",AN215,IF(DB215="",NA(),DB215))</f>
        <v>0</v>
      </c>
      <c r="FQ48">
        <f>IF(Charts!$B$3="none",AO215,IF(DC215="",NA(),DC215))</f>
        <v>0</v>
      </c>
      <c r="FR48">
        <f>IF(Charts!$B$3="none",AP215,IF(DD215="",NA(),DD215))</f>
        <v>0</v>
      </c>
      <c r="FS48">
        <f>IF(Charts!$B$3="none",AQ215,IF(DE215="",NA(),DE215))</f>
        <v>0</v>
      </c>
      <c r="FT48">
        <f>IF(Charts!$B$3="none",AR215,IF(DF215="",NA(),DF215))</f>
        <v>0</v>
      </c>
      <c r="FU48">
        <f>IF(Charts!$B$3="none",AS215,IF(DG215="",NA(),DG215))</f>
        <v>0</v>
      </c>
      <c r="FV48">
        <f>IF(Charts!$B$3="none",AT215,IF(DH215="",NA(),DH215))</f>
        <v>0</v>
      </c>
      <c r="FW48">
        <f>IF(Charts!$B$3="none",AU215,IF(DI215="",NA(),DI215))</f>
        <v>0</v>
      </c>
      <c r="FX48">
        <f>IF(Charts!$B$3="none",AV215,IF(DJ215="",NA(),DJ215))</f>
        <v>0</v>
      </c>
      <c r="FY48">
        <f>IF(Charts!$B$3="none",AW215,IF(DK215="",NA(),DK215))</f>
        <v>0</v>
      </c>
      <c r="FZ48">
        <f>IF(Charts!$B$3="none",AX215,IF(DL215="",NA(),DL215))</f>
        <v>0</v>
      </c>
      <c r="GA48">
        <f>IF(Charts!$B$3="none",AY215,IF(DM215="",NA(),DM215))</f>
        <v>0</v>
      </c>
      <c r="GB48">
        <f>IF(Charts!$B$3="none",AZ215,IF(DN215="",NA(),DN215))</f>
        <v>0</v>
      </c>
      <c r="GC48">
        <f>IF(Charts!$B$3="none",BA215,IF(DO215="",NA(),DO215))</f>
        <v>0</v>
      </c>
      <c r="GD48">
        <f>IF(Charts!$B$3="none",BB215,IF(DP215="",NA(),DP215))</f>
        <v>0</v>
      </c>
      <c r="GE48">
        <f>IF(Charts!$B$3="none",BC215,IF(DQ215="",NA(),DQ215))</f>
        <v>0</v>
      </c>
      <c r="GF48">
        <f>IF(Charts!$B$3="none",BD215,IF(DR215="",NA(),DR215))</f>
        <v>0</v>
      </c>
      <c r="GG48">
        <f>IF(Charts!$B$3="none",BE215,IF(DS215="",NA(),DS215))</f>
        <v>0</v>
      </c>
      <c r="GH48">
        <f>IF(Charts!$B$3="none",BF215,IF(DT215="",NA(),DT215))</f>
        <v>0</v>
      </c>
      <c r="GI48">
        <f>IF(Charts!$B$3="none",BG215,IF(DU215="",NA(),DU215))</f>
        <v>0</v>
      </c>
      <c r="GJ48">
        <f>IF(Charts!$B$3="none",BH215,IF(DV215="",NA(),DV215))</f>
        <v>0</v>
      </c>
      <c r="GK48">
        <f>IF(Charts!$B$3="none",BI215,IF(DW215="",NA(),DW215))</f>
        <v>0</v>
      </c>
      <c r="GL48">
        <f>IF(Charts!$B$3="none",BJ215,IF(DX215="",NA(),DX215))</f>
        <v>0</v>
      </c>
      <c r="GM48">
        <f>IF(Charts!$B$3="none",BK215,IF(DY215="",NA(),DY215))</f>
        <v>0</v>
      </c>
      <c r="GN48">
        <f>IF(Charts!$B$3="none",BL215,IF(DZ215="",NA(),DZ215))</f>
        <v>0</v>
      </c>
      <c r="GO48">
        <f>IF(Charts!$B$3="none",BM215,IF(EA215="",NA(),EA215))</f>
        <v>0</v>
      </c>
      <c r="GP48">
        <f>IF(Charts!$B$3="none",BN215,IF(EB215="",NA(),EB215))</f>
        <v>0</v>
      </c>
      <c r="GQ48">
        <f>IF(Charts!$B$3="none",BO215,IF(EC215="",NA(),EC215))</f>
        <v>0</v>
      </c>
      <c r="GR48">
        <f>IF(Charts!$B$3="none",BP215,IF(ED215="",NA(),ED215))</f>
        <v>0</v>
      </c>
    </row>
    <row r="49" spans="5:200">
      <c r="E49">
        <v>11</v>
      </c>
      <c r="F49">
        <f>F15</f>
        <v>0</v>
      </c>
      <c r="G49">
        <v>11</v>
      </c>
      <c r="H49">
        <f>H15</f>
        <v>0</v>
      </c>
      <c r="I49">
        <v>11</v>
      </c>
      <c r="J49">
        <f>J15</f>
        <v>0</v>
      </c>
      <c r="K49">
        <v>11</v>
      </c>
      <c r="L49">
        <f>L15</f>
        <v>0</v>
      </c>
      <c r="M49">
        <v>11</v>
      </c>
      <c r="N49">
        <f>N15</f>
        <v>0</v>
      </c>
      <c r="O49">
        <v>11</v>
      </c>
      <c r="P49">
        <f>P15</f>
        <v>0</v>
      </c>
      <c r="Q49">
        <v>11</v>
      </c>
      <c r="R49">
        <f>R15</f>
        <v>0</v>
      </c>
      <c r="S49">
        <v>11</v>
      </c>
      <c r="T49">
        <f>T15</f>
        <v>0</v>
      </c>
      <c r="U49">
        <v>11</v>
      </c>
      <c r="V49">
        <f>V15</f>
        <v>0</v>
      </c>
      <c r="W49">
        <v>11</v>
      </c>
      <c r="X49">
        <f>X15</f>
        <v>0</v>
      </c>
      <c r="Y49">
        <v>11</v>
      </c>
      <c r="Z49">
        <f>Z15</f>
        <v>0</v>
      </c>
      <c r="AA49">
        <v>11</v>
      </c>
      <c r="AB49">
        <f>AB15</f>
        <v>0</v>
      </c>
      <c r="AC49">
        <v>11</v>
      </c>
      <c r="AD49">
        <f>AD15</f>
        <v>0</v>
      </c>
      <c r="AE49">
        <v>11</v>
      </c>
      <c r="AF49">
        <f>AF15</f>
        <v>0</v>
      </c>
      <c r="AG49">
        <v>11</v>
      </c>
      <c r="AH49">
        <f>AH15</f>
        <v>0</v>
      </c>
      <c r="AI49">
        <v>11</v>
      </c>
      <c r="AJ49">
        <f>AJ15</f>
        <v>0</v>
      </c>
      <c r="AK49">
        <v>11</v>
      </c>
      <c r="AL49">
        <f>AL15</f>
        <v>0</v>
      </c>
      <c r="AM49">
        <v>11</v>
      </c>
      <c r="AN49">
        <f>AN15</f>
        <v>0</v>
      </c>
      <c r="AO49">
        <v>11</v>
      </c>
      <c r="AP49">
        <f>AP15</f>
        <v>0</v>
      </c>
      <c r="AQ49">
        <v>11</v>
      </c>
      <c r="AR49">
        <f>AR15</f>
        <v>0</v>
      </c>
      <c r="AS49">
        <v>11</v>
      </c>
      <c r="AT49">
        <f>AT15</f>
        <v>0</v>
      </c>
      <c r="AU49">
        <v>11</v>
      </c>
      <c r="AV49">
        <f>AV15</f>
        <v>0</v>
      </c>
      <c r="AW49">
        <v>11</v>
      </c>
      <c r="AX49">
        <f>AX15</f>
        <v>0</v>
      </c>
      <c r="AY49">
        <v>11</v>
      </c>
      <c r="AZ49">
        <f>AZ15</f>
        <v>0</v>
      </c>
      <c r="BA49">
        <v>11</v>
      </c>
      <c r="BB49">
        <f>BB15</f>
        <v>0</v>
      </c>
      <c r="BC49">
        <v>11</v>
      </c>
      <c r="BD49">
        <f>BD15</f>
        <v>0</v>
      </c>
      <c r="BE49">
        <v>11</v>
      </c>
      <c r="BF49">
        <f>BF15</f>
        <v>0</v>
      </c>
      <c r="BG49">
        <v>11</v>
      </c>
      <c r="BH49">
        <f>BH15</f>
        <v>0</v>
      </c>
      <c r="BI49">
        <v>11</v>
      </c>
      <c r="BJ49">
        <f>BJ15</f>
        <v>0</v>
      </c>
      <c r="BK49">
        <v>11</v>
      </c>
      <c r="BL49">
        <f>BL15</f>
        <v>0</v>
      </c>
      <c r="BM49">
        <v>11</v>
      </c>
      <c r="BN49">
        <f>BN15</f>
        <v>0</v>
      </c>
      <c r="BO49">
        <v>11</v>
      </c>
      <c r="BP49">
        <f>BP15</f>
        <v>0</v>
      </c>
      <c r="BS49">
        <v>11</v>
      </c>
      <c r="BT49">
        <f>BT15</f>
        <v>0</v>
      </c>
      <c r="BU49">
        <v>11</v>
      </c>
      <c r="BV49">
        <f>BV15</f>
        <v>0</v>
      </c>
      <c r="BW49">
        <v>11</v>
      </c>
      <c r="BX49">
        <f>BX15</f>
        <v>0</v>
      </c>
      <c r="BY49">
        <v>11</v>
      </c>
      <c r="BZ49">
        <f>BZ15</f>
        <v>0</v>
      </c>
      <c r="CA49">
        <v>11</v>
      </c>
      <c r="CB49">
        <f>CB15</f>
        <v>0</v>
      </c>
      <c r="CC49">
        <v>11</v>
      </c>
      <c r="CD49">
        <f>CD15</f>
        <v>0</v>
      </c>
      <c r="CE49">
        <v>11</v>
      </c>
      <c r="CF49">
        <f>CF15</f>
        <v>0</v>
      </c>
      <c r="CG49">
        <v>11</v>
      </c>
      <c r="CH49">
        <f>CH15</f>
        <v>0</v>
      </c>
      <c r="CI49">
        <v>11</v>
      </c>
      <c r="CJ49">
        <f>CJ15</f>
        <v>0</v>
      </c>
      <c r="CK49">
        <v>11</v>
      </c>
      <c r="CL49">
        <f>CL15</f>
        <v>0</v>
      </c>
      <c r="CM49">
        <v>11</v>
      </c>
      <c r="CN49">
        <f>CN15</f>
        <v>0</v>
      </c>
      <c r="CO49">
        <v>11</v>
      </c>
      <c r="CP49">
        <f>CP15</f>
        <v>0</v>
      </c>
      <c r="CQ49">
        <v>11</v>
      </c>
      <c r="CR49">
        <f>CR15</f>
        <v>0</v>
      </c>
      <c r="CS49">
        <v>11</v>
      </c>
      <c r="CT49">
        <f>CT15</f>
        <v>0</v>
      </c>
      <c r="CU49">
        <v>11</v>
      </c>
      <c r="CV49">
        <f>CV15</f>
        <v>0</v>
      </c>
      <c r="CW49">
        <v>11</v>
      </c>
      <c r="CX49">
        <f>CX15</f>
        <v>0</v>
      </c>
      <c r="CY49">
        <v>11</v>
      </c>
      <c r="CZ49">
        <f>CZ15</f>
        <v>0</v>
      </c>
      <c r="DA49">
        <v>11</v>
      </c>
      <c r="DB49">
        <f>DB15</f>
        <v>0</v>
      </c>
      <c r="DC49">
        <v>11</v>
      </c>
      <c r="DD49">
        <f>DD15</f>
        <v>0</v>
      </c>
      <c r="DE49">
        <v>11</v>
      </c>
      <c r="DF49">
        <f>DF15</f>
        <v>0</v>
      </c>
      <c r="DG49">
        <v>11</v>
      </c>
      <c r="DH49">
        <f>DH15</f>
        <v>0</v>
      </c>
      <c r="DI49">
        <v>11</v>
      </c>
      <c r="DJ49">
        <f>DJ15</f>
        <v>0</v>
      </c>
      <c r="DK49">
        <v>11</v>
      </c>
      <c r="DL49">
        <f>DL15</f>
        <v>0</v>
      </c>
      <c r="DM49">
        <v>11</v>
      </c>
      <c r="DN49">
        <f>DN15</f>
        <v>0</v>
      </c>
      <c r="DO49">
        <v>11</v>
      </c>
      <c r="DP49">
        <f>DP15</f>
        <v>0</v>
      </c>
      <c r="DQ49">
        <v>11</v>
      </c>
      <c r="DR49">
        <f>DR15</f>
        <v>0</v>
      </c>
      <c r="DS49">
        <v>11</v>
      </c>
      <c r="DT49">
        <f>DT15</f>
        <v>0</v>
      </c>
      <c r="DU49">
        <v>11</v>
      </c>
      <c r="DV49">
        <f>DV15</f>
        <v>0</v>
      </c>
      <c r="DW49">
        <v>11</v>
      </c>
      <c r="DX49">
        <f>DX15</f>
        <v>0</v>
      </c>
      <c r="DY49">
        <v>11</v>
      </c>
      <c r="DZ49">
        <f>DZ15</f>
        <v>0</v>
      </c>
      <c r="EA49">
        <v>11</v>
      </c>
      <c r="EB49">
        <f>EB15</f>
        <v>0</v>
      </c>
      <c r="EC49">
        <v>11</v>
      </c>
      <c r="ED49">
        <f>ED15</f>
        <v>0</v>
      </c>
      <c r="EG49">
        <f>IF(Charts!$B$3="none",E216,IF(BS216="",NA(),BS216))</f>
        <v>0</v>
      </c>
      <c r="EH49">
        <f>IF(Charts!$B$3="none",F216,IF(BT216="",NA(),BT216))</f>
        <v>0</v>
      </c>
      <c r="EI49">
        <f>IF(Charts!$B$3="none",G216,IF(BU216="",NA(),BU216))</f>
        <v>0</v>
      </c>
      <c r="EJ49">
        <f>IF(Charts!$B$3="none",H216,IF(BV216="",NA(),BV216))</f>
        <v>0</v>
      </c>
      <c r="EK49">
        <f>IF(Charts!$B$3="none",I216,IF(BW216="",NA(),BW216))</f>
        <v>0</v>
      </c>
      <c r="EL49">
        <f>IF(Charts!$B$3="none",J216,IF(BX216="",NA(),BX216))</f>
        <v>0</v>
      </c>
      <c r="EM49">
        <f>IF(Charts!$B$3="none",K216,IF(BY216="",NA(),BY216))</f>
        <v>0</v>
      </c>
      <c r="EN49">
        <f>IF(Charts!$B$3="none",L216,IF(BZ216="",NA(),BZ216))</f>
        <v>0</v>
      </c>
      <c r="EO49">
        <f>IF(Charts!$B$3="none",M216,IF(CA216="",NA(),CA216))</f>
        <v>0</v>
      </c>
      <c r="EP49">
        <f>IF(Charts!$B$3="none",N216,IF(CB216="",NA(),CB216))</f>
        <v>0</v>
      </c>
      <c r="EQ49">
        <f>IF(Charts!$B$3="none",O216,IF(CC216="",NA(),CC216))</f>
        <v>0</v>
      </c>
      <c r="ER49">
        <f>IF(Charts!$B$3="none",P216,IF(CD216="",NA(),CD216))</f>
        <v>0</v>
      </c>
      <c r="ES49">
        <f>IF(Charts!$B$3="none",Q216,IF(CE216="",NA(),CE216))</f>
        <v>0</v>
      </c>
      <c r="ET49">
        <f>IF(Charts!$B$3="none",R216,IF(CF216="",NA(),CF216))</f>
        <v>0</v>
      </c>
      <c r="EU49">
        <f>IF(Charts!$B$3="none",S216,IF(CG216="",NA(),CG216))</f>
        <v>0</v>
      </c>
      <c r="EV49">
        <f>IF(Charts!$B$3="none",T216,IF(CH216="",NA(),CH216))</f>
        <v>0</v>
      </c>
      <c r="EW49">
        <f>IF(Charts!$B$3="none",U216,IF(CI216="",NA(),CI216))</f>
        <v>0</v>
      </c>
      <c r="EX49">
        <f>IF(Charts!$B$3="none",V216,IF(CJ216="",NA(),CJ216))</f>
        <v>0</v>
      </c>
      <c r="EY49">
        <f>IF(Charts!$B$3="none",W216,IF(CK216="",NA(),CK216))</f>
        <v>0</v>
      </c>
      <c r="EZ49">
        <f>IF(Charts!$B$3="none",X216,IF(CL216="",NA(),CL216))</f>
        <v>0</v>
      </c>
      <c r="FA49">
        <f>IF(Charts!$B$3="none",Y216,IF(CM216="",NA(),CM216))</f>
        <v>0</v>
      </c>
      <c r="FB49">
        <f>IF(Charts!$B$3="none",Z216,IF(CN216="",NA(),CN216))</f>
        <v>0</v>
      </c>
      <c r="FC49">
        <f>IF(Charts!$B$3="none",AA216,IF(CO216="",NA(),CO216))</f>
        <v>0</v>
      </c>
      <c r="FD49">
        <f>IF(Charts!$B$3="none",AB216,IF(CP216="",NA(),CP216))</f>
        <v>0</v>
      </c>
      <c r="FE49">
        <f>IF(Charts!$B$3="none",AC216,IF(CQ216="",NA(),CQ216))</f>
        <v>0</v>
      </c>
      <c r="FF49">
        <f>IF(Charts!$B$3="none",AD216,IF(CR216="",NA(),CR216))</f>
        <v>0</v>
      </c>
      <c r="FG49">
        <f>IF(Charts!$B$3="none",AE216,IF(CS216="",NA(),CS216))</f>
        <v>0</v>
      </c>
      <c r="FH49">
        <f>IF(Charts!$B$3="none",AF216,IF(CT216="",NA(),CT216))</f>
        <v>0</v>
      </c>
      <c r="FI49">
        <f>IF(Charts!$B$3="none",AG216,IF(CU216="",NA(),CU216))</f>
        <v>0</v>
      </c>
      <c r="FJ49">
        <f>IF(Charts!$B$3="none",AH216,IF(CV216="",NA(),CV216))</f>
        <v>0</v>
      </c>
      <c r="FK49">
        <f>IF(Charts!$B$3="none",AI216,IF(CW216="",NA(),CW216))</f>
        <v>0</v>
      </c>
      <c r="FL49">
        <f>IF(Charts!$B$3="none",AJ216,IF(CX216="",NA(),CX216))</f>
        <v>0</v>
      </c>
      <c r="FM49">
        <f>IF(Charts!$B$3="none",AK216,IF(CY216="",NA(),CY216))</f>
        <v>0</v>
      </c>
      <c r="FN49">
        <f>IF(Charts!$B$3="none",AL216,IF(CZ216="",NA(),CZ216))</f>
        <v>0</v>
      </c>
      <c r="FO49">
        <f>IF(Charts!$B$3="none",AM216,IF(DA216="",NA(),DA216))</f>
        <v>0</v>
      </c>
      <c r="FP49">
        <f>IF(Charts!$B$3="none",AN216,IF(DB216="",NA(),DB216))</f>
        <v>0</v>
      </c>
      <c r="FQ49">
        <f>IF(Charts!$B$3="none",AO216,IF(DC216="",NA(),DC216))</f>
        <v>0</v>
      </c>
      <c r="FR49">
        <f>IF(Charts!$B$3="none",AP216,IF(DD216="",NA(),DD216))</f>
        <v>0</v>
      </c>
      <c r="FS49">
        <f>IF(Charts!$B$3="none",AQ216,IF(DE216="",NA(),DE216))</f>
        <v>0</v>
      </c>
      <c r="FT49">
        <f>IF(Charts!$B$3="none",AR216,IF(DF216="",NA(),DF216))</f>
        <v>0</v>
      </c>
      <c r="FU49">
        <f>IF(Charts!$B$3="none",AS216,IF(DG216="",NA(),DG216))</f>
        <v>0</v>
      </c>
      <c r="FV49">
        <f>IF(Charts!$B$3="none",AT216,IF(DH216="",NA(),DH216))</f>
        <v>0</v>
      </c>
      <c r="FW49">
        <f>IF(Charts!$B$3="none",AU216,IF(DI216="",NA(),DI216))</f>
        <v>0</v>
      </c>
      <c r="FX49">
        <f>IF(Charts!$B$3="none",AV216,IF(DJ216="",NA(),DJ216))</f>
        <v>0</v>
      </c>
      <c r="FY49">
        <f>IF(Charts!$B$3="none",AW216,IF(DK216="",NA(),DK216))</f>
        <v>0</v>
      </c>
      <c r="FZ49">
        <f>IF(Charts!$B$3="none",AX216,IF(DL216="",NA(),DL216))</f>
        <v>0</v>
      </c>
      <c r="GA49">
        <f>IF(Charts!$B$3="none",AY216,IF(DM216="",NA(),DM216))</f>
        <v>0</v>
      </c>
      <c r="GB49">
        <f>IF(Charts!$B$3="none",AZ216,IF(DN216="",NA(),DN216))</f>
        <v>0</v>
      </c>
      <c r="GC49">
        <f>IF(Charts!$B$3="none",BA216,IF(DO216="",NA(),DO216))</f>
        <v>0</v>
      </c>
      <c r="GD49">
        <f>IF(Charts!$B$3="none",BB216,IF(DP216="",NA(),DP216))</f>
        <v>0</v>
      </c>
      <c r="GE49">
        <f>IF(Charts!$B$3="none",BC216,IF(DQ216="",NA(),DQ216))</f>
        <v>0</v>
      </c>
      <c r="GF49">
        <f>IF(Charts!$B$3="none",BD216,IF(DR216="",NA(),DR216))</f>
        <v>0</v>
      </c>
      <c r="GG49">
        <f>IF(Charts!$B$3="none",BE216,IF(DS216="",NA(),DS216))</f>
        <v>0</v>
      </c>
      <c r="GH49">
        <f>IF(Charts!$B$3="none",BF216,IF(DT216="",NA(),DT216))</f>
        <v>0</v>
      </c>
      <c r="GI49">
        <f>IF(Charts!$B$3="none",BG216,IF(DU216="",NA(),DU216))</f>
        <v>0</v>
      </c>
      <c r="GJ49">
        <f>IF(Charts!$B$3="none",BH216,IF(DV216="",NA(),DV216))</f>
        <v>0</v>
      </c>
      <c r="GK49">
        <f>IF(Charts!$B$3="none",BI216,IF(DW216="",NA(),DW216))</f>
        <v>0</v>
      </c>
      <c r="GL49">
        <f>IF(Charts!$B$3="none",BJ216,IF(DX216="",NA(),DX216))</f>
        <v>0</v>
      </c>
      <c r="GM49">
        <f>IF(Charts!$B$3="none",BK216,IF(DY216="",NA(),DY216))</f>
        <v>0</v>
      </c>
      <c r="GN49">
        <f>IF(Charts!$B$3="none",BL216,IF(DZ216="",NA(),DZ216))</f>
        <v>0</v>
      </c>
      <c r="GO49">
        <f>IF(Charts!$B$3="none",BM216,IF(EA216="",NA(),EA216))</f>
        <v>0</v>
      </c>
      <c r="GP49">
        <f>IF(Charts!$B$3="none",BN216,IF(EB216="",NA(),EB216))</f>
        <v>0</v>
      </c>
      <c r="GQ49">
        <f>IF(Charts!$B$3="none",BO216,IF(EC216="",NA(),EC216))</f>
        <v>0</v>
      </c>
      <c r="GR49">
        <f>IF(Charts!$B$3="none",BP216,IF(ED216="",NA(),ED216))</f>
        <v>0</v>
      </c>
    </row>
    <row r="50" spans="5:200">
      <c r="E50">
        <v>12</v>
      </c>
      <c r="F50">
        <f>F16</f>
        <v>0</v>
      </c>
      <c r="G50">
        <v>12</v>
      </c>
      <c r="H50">
        <f>H16</f>
        <v>0</v>
      </c>
      <c r="I50">
        <v>12</v>
      </c>
      <c r="J50">
        <f>J16</f>
        <v>0</v>
      </c>
      <c r="K50">
        <v>12</v>
      </c>
      <c r="L50">
        <f>L16</f>
        <v>0</v>
      </c>
      <c r="M50">
        <v>12</v>
      </c>
      <c r="N50">
        <f>N16</f>
        <v>0</v>
      </c>
      <c r="O50">
        <v>12</v>
      </c>
      <c r="P50">
        <f>P16</f>
        <v>0</v>
      </c>
      <c r="Q50">
        <v>12</v>
      </c>
      <c r="R50">
        <f>R16</f>
        <v>0</v>
      </c>
      <c r="S50">
        <v>12</v>
      </c>
      <c r="T50">
        <f>T16</f>
        <v>0</v>
      </c>
      <c r="U50">
        <v>12</v>
      </c>
      <c r="V50">
        <f>V16</f>
        <v>0</v>
      </c>
      <c r="W50">
        <v>12</v>
      </c>
      <c r="X50">
        <f>X16</f>
        <v>0</v>
      </c>
      <c r="Y50">
        <v>12</v>
      </c>
      <c r="Z50">
        <f>Z16</f>
        <v>0</v>
      </c>
      <c r="AA50">
        <v>12</v>
      </c>
      <c r="AB50">
        <f>AB16</f>
        <v>0</v>
      </c>
      <c r="AC50">
        <v>12</v>
      </c>
      <c r="AD50">
        <f>AD16</f>
        <v>0</v>
      </c>
      <c r="AE50">
        <v>12</v>
      </c>
      <c r="AF50">
        <f>AF16</f>
        <v>0</v>
      </c>
      <c r="AG50">
        <v>12</v>
      </c>
      <c r="AH50">
        <f>AH16</f>
        <v>0</v>
      </c>
      <c r="AI50">
        <v>12</v>
      </c>
      <c r="AJ50">
        <f>AJ16</f>
        <v>0</v>
      </c>
      <c r="AK50">
        <v>12</v>
      </c>
      <c r="AL50">
        <f>AL16</f>
        <v>0</v>
      </c>
      <c r="AM50">
        <v>12</v>
      </c>
      <c r="AN50">
        <f>AN16</f>
        <v>0</v>
      </c>
      <c r="AO50">
        <v>12</v>
      </c>
      <c r="AP50">
        <f>AP16</f>
        <v>0</v>
      </c>
      <c r="AQ50">
        <v>12</v>
      </c>
      <c r="AR50">
        <f>AR16</f>
        <v>0</v>
      </c>
      <c r="AS50">
        <v>12</v>
      </c>
      <c r="AT50">
        <f>AT16</f>
        <v>0</v>
      </c>
      <c r="AU50">
        <v>12</v>
      </c>
      <c r="AV50">
        <f>AV16</f>
        <v>0</v>
      </c>
      <c r="AW50">
        <v>12</v>
      </c>
      <c r="AX50">
        <f>AX16</f>
        <v>0</v>
      </c>
      <c r="AY50">
        <v>12</v>
      </c>
      <c r="AZ50">
        <f>AZ16</f>
        <v>0</v>
      </c>
      <c r="BA50">
        <v>12</v>
      </c>
      <c r="BB50">
        <f>BB16</f>
        <v>0</v>
      </c>
      <c r="BC50">
        <v>12</v>
      </c>
      <c r="BD50">
        <f>BD16</f>
        <v>0</v>
      </c>
      <c r="BE50">
        <v>12</v>
      </c>
      <c r="BF50">
        <f>BF16</f>
        <v>0</v>
      </c>
      <c r="BG50">
        <v>12</v>
      </c>
      <c r="BH50">
        <f>BH16</f>
        <v>0</v>
      </c>
      <c r="BI50">
        <v>12</v>
      </c>
      <c r="BJ50">
        <f>BJ16</f>
        <v>0</v>
      </c>
      <c r="BK50">
        <v>12</v>
      </c>
      <c r="BL50">
        <f>BL16</f>
        <v>0</v>
      </c>
      <c r="BM50">
        <v>12</v>
      </c>
      <c r="BN50">
        <f>BN16</f>
        <v>0</v>
      </c>
      <c r="BO50">
        <v>12</v>
      </c>
      <c r="BP50">
        <f>BP16</f>
        <v>0</v>
      </c>
      <c r="BS50">
        <v>12</v>
      </c>
      <c r="BT50">
        <f>BT16</f>
        <v>0</v>
      </c>
      <c r="BU50">
        <v>12</v>
      </c>
      <c r="BV50">
        <f>BV16</f>
        <v>0</v>
      </c>
      <c r="BW50">
        <v>12</v>
      </c>
      <c r="BX50">
        <f>BX16</f>
        <v>0</v>
      </c>
      <c r="BY50">
        <v>12</v>
      </c>
      <c r="BZ50">
        <f>BZ16</f>
        <v>0</v>
      </c>
      <c r="CA50">
        <v>12</v>
      </c>
      <c r="CB50">
        <f>CB16</f>
        <v>0</v>
      </c>
      <c r="CC50">
        <v>12</v>
      </c>
      <c r="CD50">
        <f>CD16</f>
        <v>0</v>
      </c>
      <c r="CE50">
        <v>12</v>
      </c>
      <c r="CF50">
        <f>CF16</f>
        <v>0</v>
      </c>
      <c r="CG50">
        <v>12</v>
      </c>
      <c r="CH50">
        <f>CH16</f>
        <v>0</v>
      </c>
      <c r="CI50">
        <v>12</v>
      </c>
      <c r="CJ50">
        <f>CJ16</f>
        <v>0</v>
      </c>
      <c r="CK50">
        <v>12</v>
      </c>
      <c r="CL50">
        <f>CL16</f>
        <v>0</v>
      </c>
      <c r="CM50">
        <v>12</v>
      </c>
      <c r="CN50">
        <f>CN16</f>
        <v>0</v>
      </c>
      <c r="CO50">
        <v>12</v>
      </c>
      <c r="CP50">
        <f>CP16</f>
        <v>0</v>
      </c>
      <c r="CQ50">
        <v>12</v>
      </c>
      <c r="CR50">
        <f>CR16</f>
        <v>0</v>
      </c>
      <c r="CS50">
        <v>12</v>
      </c>
      <c r="CT50">
        <f>CT16</f>
        <v>0</v>
      </c>
      <c r="CU50">
        <v>12</v>
      </c>
      <c r="CV50">
        <f>CV16</f>
        <v>0</v>
      </c>
      <c r="CW50">
        <v>12</v>
      </c>
      <c r="CX50">
        <f>CX16</f>
        <v>0</v>
      </c>
      <c r="CY50">
        <v>12</v>
      </c>
      <c r="CZ50">
        <f>CZ16</f>
        <v>0</v>
      </c>
      <c r="DA50">
        <v>12</v>
      </c>
      <c r="DB50">
        <f>DB16</f>
        <v>0</v>
      </c>
      <c r="DC50">
        <v>12</v>
      </c>
      <c r="DD50">
        <f>DD16</f>
        <v>0</v>
      </c>
      <c r="DE50">
        <v>12</v>
      </c>
      <c r="DF50">
        <f>DF16</f>
        <v>0</v>
      </c>
      <c r="DG50">
        <v>12</v>
      </c>
      <c r="DH50">
        <f>DH16</f>
        <v>0</v>
      </c>
      <c r="DI50">
        <v>12</v>
      </c>
      <c r="DJ50">
        <f>DJ16</f>
        <v>0</v>
      </c>
      <c r="DK50">
        <v>12</v>
      </c>
      <c r="DL50">
        <f>DL16</f>
        <v>0</v>
      </c>
      <c r="DM50">
        <v>12</v>
      </c>
      <c r="DN50">
        <f>DN16</f>
        <v>0</v>
      </c>
      <c r="DO50">
        <v>12</v>
      </c>
      <c r="DP50">
        <f>DP16</f>
        <v>0</v>
      </c>
      <c r="DQ50">
        <v>12</v>
      </c>
      <c r="DR50">
        <f>DR16</f>
        <v>0</v>
      </c>
      <c r="DS50">
        <v>12</v>
      </c>
      <c r="DT50">
        <f>DT16</f>
        <v>0</v>
      </c>
      <c r="DU50">
        <v>12</v>
      </c>
      <c r="DV50">
        <f>DV16</f>
        <v>0</v>
      </c>
      <c r="DW50">
        <v>12</v>
      </c>
      <c r="DX50">
        <f>DX16</f>
        <v>0</v>
      </c>
      <c r="DY50">
        <v>12</v>
      </c>
      <c r="DZ50">
        <f>DZ16</f>
        <v>0</v>
      </c>
      <c r="EA50">
        <v>12</v>
      </c>
      <c r="EB50">
        <f>EB16</f>
        <v>0</v>
      </c>
      <c r="EC50">
        <v>12</v>
      </c>
      <c r="ED50">
        <f>ED16</f>
        <v>0</v>
      </c>
      <c r="EG50">
        <f>IF(Charts!$B$3="none",E217,IF(BS217="",NA(),BS217))</f>
        <v>0</v>
      </c>
      <c r="EH50">
        <f>IF(Charts!$B$3="none",F217,IF(BT217="",NA(),BT217))</f>
        <v>0</v>
      </c>
      <c r="EI50">
        <f>IF(Charts!$B$3="none",G217,IF(BU217="",NA(),BU217))</f>
        <v>0</v>
      </c>
      <c r="EJ50">
        <f>IF(Charts!$B$3="none",H217,IF(BV217="",NA(),BV217))</f>
        <v>0</v>
      </c>
      <c r="EK50">
        <f>IF(Charts!$B$3="none",I217,IF(BW217="",NA(),BW217))</f>
        <v>0</v>
      </c>
      <c r="EL50">
        <f>IF(Charts!$B$3="none",J217,IF(BX217="",NA(),BX217))</f>
        <v>0</v>
      </c>
      <c r="EM50">
        <f>IF(Charts!$B$3="none",K217,IF(BY217="",NA(),BY217))</f>
        <v>0</v>
      </c>
      <c r="EN50">
        <f>IF(Charts!$B$3="none",L217,IF(BZ217="",NA(),BZ217))</f>
        <v>0</v>
      </c>
      <c r="EO50">
        <f>IF(Charts!$B$3="none",M217,IF(CA217="",NA(),CA217))</f>
        <v>0</v>
      </c>
      <c r="EP50">
        <f>IF(Charts!$B$3="none",N217,IF(CB217="",NA(),CB217))</f>
        <v>0</v>
      </c>
      <c r="EQ50">
        <f>IF(Charts!$B$3="none",O217,IF(CC217="",NA(),CC217))</f>
        <v>0</v>
      </c>
      <c r="ER50">
        <f>IF(Charts!$B$3="none",P217,IF(CD217="",NA(),CD217))</f>
        <v>0</v>
      </c>
      <c r="ES50">
        <f>IF(Charts!$B$3="none",Q217,IF(CE217="",NA(),CE217))</f>
        <v>0</v>
      </c>
      <c r="ET50">
        <f>IF(Charts!$B$3="none",R217,IF(CF217="",NA(),CF217))</f>
        <v>0</v>
      </c>
      <c r="EU50">
        <f>IF(Charts!$B$3="none",S217,IF(CG217="",NA(),CG217))</f>
        <v>0</v>
      </c>
      <c r="EV50">
        <f>IF(Charts!$B$3="none",T217,IF(CH217="",NA(),CH217))</f>
        <v>0</v>
      </c>
      <c r="EW50">
        <f>IF(Charts!$B$3="none",U217,IF(CI217="",NA(),CI217))</f>
        <v>0</v>
      </c>
      <c r="EX50">
        <f>IF(Charts!$B$3="none",V217,IF(CJ217="",NA(),CJ217))</f>
        <v>0</v>
      </c>
      <c r="EY50">
        <f>IF(Charts!$B$3="none",W217,IF(CK217="",NA(),CK217))</f>
        <v>0</v>
      </c>
      <c r="EZ50">
        <f>IF(Charts!$B$3="none",X217,IF(CL217="",NA(),CL217))</f>
        <v>0</v>
      </c>
      <c r="FA50">
        <f>IF(Charts!$B$3="none",Y217,IF(CM217="",NA(),CM217))</f>
        <v>0</v>
      </c>
      <c r="FB50">
        <f>IF(Charts!$B$3="none",Z217,IF(CN217="",NA(),CN217))</f>
        <v>0</v>
      </c>
      <c r="FC50">
        <f>IF(Charts!$B$3="none",AA217,IF(CO217="",NA(),CO217))</f>
        <v>0</v>
      </c>
      <c r="FD50">
        <f>IF(Charts!$B$3="none",AB217,IF(CP217="",NA(),CP217))</f>
        <v>0</v>
      </c>
      <c r="FE50">
        <f>IF(Charts!$B$3="none",AC217,IF(CQ217="",NA(),CQ217))</f>
        <v>0</v>
      </c>
      <c r="FF50">
        <f>IF(Charts!$B$3="none",AD217,IF(CR217="",NA(),CR217))</f>
        <v>0</v>
      </c>
      <c r="FG50">
        <f>IF(Charts!$B$3="none",AE217,IF(CS217="",NA(),CS217))</f>
        <v>0</v>
      </c>
      <c r="FH50">
        <f>IF(Charts!$B$3="none",AF217,IF(CT217="",NA(),CT217))</f>
        <v>0</v>
      </c>
      <c r="FI50">
        <f>IF(Charts!$B$3="none",AG217,IF(CU217="",NA(),CU217))</f>
        <v>0</v>
      </c>
      <c r="FJ50">
        <f>IF(Charts!$B$3="none",AH217,IF(CV217="",NA(),CV217))</f>
        <v>0</v>
      </c>
      <c r="FK50">
        <f>IF(Charts!$B$3="none",AI217,IF(CW217="",NA(),CW217))</f>
        <v>0</v>
      </c>
      <c r="FL50">
        <f>IF(Charts!$B$3="none",AJ217,IF(CX217="",NA(),CX217))</f>
        <v>0</v>
      </c>
      <c r="FM50">
        <f>IF(Charts!$B$3="none",AK217,IF(CY217="",NA(),CY217))</f>
        <v>0</v>
      </c>
      <c r="FN50">
        <f>IF(Charts!$B$3="none",AL217,IF(CZ217="",NA(),CZ217))</f>
        <v>0</v>
      </c>
      <c r="FO50">
        <f>IF(Charts!$B$3="none",AM217,IF(DA217="",NA(),DA217))</f>
        <v>0</v>
      </c>
      <c r="FP50">
        <f>IF(Charts!$B$3="none",AN217,IF(DB217="",NA(),DB217))</f>
        <v>0</v>
      </c>
      <c r="FQ50">
        <f>IF(Charts!$B$3="none",AO217,IF(DC217="",NA(),DC217))</f>
        <v>0</v>
      </c>
      <c r="FR50">
        <f>IF(Charts!$B$3="none",AP217,IF(DD217="",NA(),DD217))</f>
        <v>0</v>
      </c>
      <c r="FS50">
        <f>IF(Charts!$B$3="none",AQ217,IF(DE217="",NA(),DE217))</f>
        <v>0</v>
      </c>
      <c r="FT50">
        <f>IF(Charts!$B$3="none",AR217,IF(DF217="",NA(),DF217))</f>
        <v>0</v>
      </c>
      <c r="FU50">
        <f>IF(Charts!$B$3="none",AS217,IF(DG217="",NA(),DG217))</f>
        <v>0</v>
      </c>
      <c r="FV50">
        <f>IF(Charts!$B$3="none",AT217,IF(DH217="",NA(),DH217))</f>
        <v>0</v>
      </c>
      <c r="FW50">
        <f>IF(Charts!$B$3="none",AU217,IF(DI217="",NA(),DI217))</f>
        <v>0</v>
      </c>
      <c r="FX50">
        <f>IF(Charts!$B$3="none",AV217,IF(DJ217="",NA(),DJ217))</f>
        <v>0</v>
      </c>
      <c r="FY50">
        <f>IF(Charts!$B$3="none",AW217,IF(DK217="",NA(),DK217))</f>
        <v>0</v>
      </c>
      <c r="FZ50">
        <f>IF(Charts!$B$3="none",AX217,IF(DL217="",NA(),DL217))</f>
        <v>0</v>
      </c>
      <c r="GA50">
        <f>IF(Charts!$B$3="none",AY217,IF(DM217="",NA(),DM217))</f>
        <v>0</v>
      </c>
      <c r="GB50">
        <f>IF(Charts!$B$3="none",AZ217,IF(DN217="",NA(),DN217))</f>
        <v>0</v>
      </c>
      <c r="GC50">
        <f>IF(Charts!$B$3="none",BA217,IF(DO217="",NA(),DO217))</f>
        <v>0</v>
      </c>
      <c r="GD50">
        <f>IF(Charts!$B$3="none",BB217,IF(DP217="",NA(),DP217))</f>
        <v>0</v>
      </c>
      <c r="GE50">
        <f>IF(Charts!$B$3="none",BC217,IF(DQ217="",NA(),DQ217))</f>
        <v>0</v>
      </c>
      <c r="GF50">
        <f>IF(Charts!$B$3="none",BD217,IF(DR217="",NA(),DR217))</f>
        <v>0</v>
      </c>
      <c r="GG50">
        <f>IF(Charts!$B$3="none",BE217,IF(DS217="",NA(),DS217))</f>
        <v>0</v>
      </c>
      <c r="GH50">
        <f>IF(Charts!$B$3="none",BF217,IF(DT217="",NA(),DT217))</f>
        <v>0</v>
      </c>
      <c r="GI50">
        <f>IF(Charts!$B$3="none",BG217,IF(DU217="",NA(),DU217))</f>
        <v>0</v>
      </c>
      <c r="GJ50">
        <f>IF(Charts!$B$3="none",BH217,IF(DV217="",NA(),DV217))</f>
        <v>0</v>
      </c>
      <c r="GK50">
        <f>IF(Charts!$B$3="none",BI217,IF(DW217="",NA(),DW217))</f>
        <v>0</v>
      </c>
      <c r="GL50">
        <f>IF(Charts!$B$3="none",BJ217,IF(DX217="",NA(),DX217))</f>
        <v>0</v>
      </c>
      <c r="GM50">
        <f>IF(Charts!$B$3="none",BK217,IF(DY217="",NA(),DY217))</f>
        <v>0</v>
      </c>
      <c r="GN50">
        <f>IF(Charts!$B$3="none",BL217,IF(DZ217="",NA(),DZ217))</f>
        <v>0</v>
      </c>
      <c r="GO50">
        <f>IF(Charts!$B$3="none",BM217,IF(EA217="",NA(),EA217))</f>
        <v>0</v>
      </c>
      <c r="GP50">
        <f>IF(Charts!$B$3="none",BN217,IF(EB217="",NA(),EB217))</f>
        <v>0</v>
      </c>
      <c r="GQ50">
        <f>IF(Charts!$B$3="none",BO217,IF(EC217="",NA(),EC217))</f>
        <v>0</v>
      </c>
      <c r="GR50">
        <f>IF(Charts!$B$3="none",BP217,IF(ED217="",NA(),ED217))</f>
        <v>0</v>
      </c>
    </row>
    <row r="51" spans="5:200">
      <c r="E51">
        <v>13</v>
      </c>
      <c r="F51">
        <f>F17</f>
        <v>0</v>
      </c>
      <c r="G51">
        <v>13</v>
      </c>
      <c r="H51">
        <f>H17</f>
        <v>0</v>
      </c>
      <c r="I51">
        <v>13</v>
      </c>
      <c r="J51">
        <f>J17</f>
        <v>0</v>
      </c>
      <c r="K51">
        <v>13</v>
      </c>
      <c r="L51">
        <f>L17</f>
        <v>0</v>
      </c>
      <c r="M51">
        <v>13</v>
      </c>
      <c r="N51">
        <f>N17</f>
        <v>0</v>
      </c>
      <c r="O51">
        <v>13</v>
      </c>
      <c r="P51">
        <f>P17</f>
        <v>0</v>
      </c>
      <c r="Q51">
        <v>13</v>
      </c>
      <c r="R51">
        <f>R17</f>
        <v>0</v>
      </c>
      <c r="S51">
        <v>13</v>
      </c>
      <c r="T51">
        <f>T17</f>
        <v>0</v>
      </c>
      <c r="U51">
        <v>13</v>
      </c>
      <c r="V51">
        <f>V17</f>
        <v>0</v>
      </c>
      <c r="W51">
        <v>13</v>
      </c>
      <c r="X51">
        <f>X17</f>
        <v>0</v>
      </c>
      <c r="Y51">
        <v>13</v>
      </c>
      <c r="Z51">
        <f>Z17</f>
        <v>0</v>
      </c>
      <c r="AA51">
        <v>13</v>
      </c>
      <c r="AB51">
        <f>AB17</f>
        <v>0</v>
      </c>
      <c r="AC51">
        <v>13</v>
      </c>
      <c r="AD51">
        <f>AD17</f>
        <v>0</v>
      </c>
      <c r="AE51">
        <v>13</v>
      </c>
      <c r="AF51">
        <f>AF17</f>
        <v>0</v>
      </c>
      <c r="AG51">
        <v>13</v>
      </c>
      <c r="AH51">
        <f>AH17</f>
        <v>0</v>
      </c>
      <c r="AI51">
        <v>13</v>
      </c>
      <c r="AJ51">
        <f>AJ17</f>
        <v>0</v>
      </c>
      <c r="AK51">
        <v>13</v>
      </c>
      <c r="AL51">
        <f>AL17</f>
        <v>0</v>
      </c>
      <c r="AM51">
        <v>13</v>
      </c>
      <c r="AN51">
        <f>AN17</f>
        <v>0</v>
      </c>
      <c r="AO51">
        <v>13</v>
      </c>
      <c r="AP51">
        <f>AP17</f>
        <v>0</v>
      </c>
      <c r="AQ51">
        <v>13</v>
      </c>
      <c r="AR51">
        <f>AR17</f>
        <v>0</v>
      </c>
      <c r="AS51">
        <v>13</v>
      </c>
      <c r="AT51">
        <f>AT17</f>
        <v>0</v>
      </c>
      <c r="AU51">
        <v>13</v>
      </c>
      <c r="AV51">
        <f>AV17</f>
        <v>0</v>
      </c>
      <c r="AW51">
        <v>13</v>
      </c>
      <c r="AX51">
        <f>AX17</f>
        <v>0</v>
      </c>
      <c r="AY51">
        <v>13</v>
      </c>
      <c r="AZ51">
        <f>AZ17</f>
        <v>0</v>
      </c>
      <c r="BA51">
        <v>13</v>
      </c>
      <c r="BB51">
        <f>BB17</f>
        <v>0</v>
      </c>
      <c r="BC51">
        <v>13</v>
      </c>
      <c r="BD51">
        <f>BD17</f>
        <v>0</v>
      </c>
      <c r="BE51">
        <v>13</v>
      </c>
      <c r="BF51">
        <f>BF17</f>
        <v>0</v>
      </c>
      <c r="BG51">
        <v>13</v>
      </c>
      <c r="BH51">
        <f>BH17</f>
        <v>0</v>
      </c>
      <c r="BI51">
        <v>13</v>
      </c>
      <c r="BJ51">
        <f>BJ17</f>
        <v>0</v>
      </c>
      <c r="BK51">
        <v>13</v>
      </c>
      <c r="BL51">
        <f>BL17</f>
        <v>0</v>
      </c>
      <c r="BM51">
        <v>13</v>
      </c>
      <c r="BN51">
        <f>BN17</f>
        <v>0</v>
      </c>
      <c r="BO51">
        <v>13</v>
      </c>
      <c r="BP51">
        <f>BP17</f>
        <v>0</v>
      </c>
      <c r="BS51">
        <v>13</v>
      </c>
      <c r="BT51">
        <f>BT17</f>
        <v>0</v>
      </c>
      <c r="BU51">
        <v>13</v>
      </c>
      <c r="BV51">
        <f>BV17</f>
        <v>0</v>
      </c>
      <c r="BW51">
        <v>13</v>
      </c>
      <c r="BX51">
        <f>BX17</f>
        <v>0</v>
      </c>
      <c r="BY51">
        <v>13</v>
      </c>
      <c r="BZ51">
        <f>BZ17</f>
        <v>0</v>
      </c>
      <c r="CA51">
        <v>13</v>
      </c>
      <c r="CB51">
        <f>CB17</f>
        <v>0</v>
      </c>
      <c r="CC51">
        <v>13</v>
      </c>
      <c r="CD51">
        <f>CD17</f>
        <v>0</v>
      </c>
      <c r="CE51">
        <v>13</v>
      </c>
      <c r="CF51">
        <f>CF17</f>
        <v>0</v>
      </c>
      <c r="CG51">
        <v>13</v>
      </c>
      <c r="CH51">
        <f>CH17</f>
        <v>0</v>
      </c>
      <c r="CI51">
        <v>13</v>
      </c>
      <c r="CJ51">
        <f>CJ17</f>
        <v>0</v>
      </c>
      <c r="CK51">
        <v>13</v>
      </c>
      <c r="CL51">
        <f>CL17</f>
        <v>0</v>
      </c>
      <c r="CM51">
        <v>13</v>
      </c>
      <c r="CN51">
        <f>CN17</f>
        <v>0</v>
      </c>
      <c r="CO51">
        <v>13</v>
      </c>
      <c r="CP51">
        <f>CP17</f>
        <v>0</v>
      </c>
      <c r="CQ51">
        <v>13</v>
      </c>
      <c r="CR51">
        <f>CR17</f>
        <v>0</v>
      </c>
      <c r="CS51">
        <v>13</v>
      </c>
      <c r="CT51">
        <f>CT17</f>
        <v>0</v>
      </c>
      <c r="CU51">
        <v>13</v>
      </c>
      <c r="CV51">
        <f>CV17</f>
        <v>0</v>
      </c>
      <c r="CW51">
        <v>13</v>
      </c>
      <c r="CX51">
        <f>CX17</f>
        <v>0</v>
      </c>
      <c r="CY51">
        <v>13</v>
      </c>
      <c r="CZ51">
        <f>CZ17</f>
        <v>0</v>
      </c>
      <c r="DA51">
        <v>13</v>
      </c>
      <c r="DB51">
        <f>DB17</f>
        <v>0</v>
      </c>
      <c r="DC51">
        <v>13</v>
      </c>
      <c r="DD51">
        <f>DD17</f>
        <v>0</v>
      </c>
      <c r="DE51">
        <v>13</v>
      </c>
      <c r="DF51">
        <f>DF17</f>
        <v>0</v>
      </c>
      <c r="DG51">
        <v>13</v>
      </c>
      <c r="DH51">
        <f>DH17</f>
        <v>0</v>
      </c>
      <c r="DI51">
        <v>13</v>
      </c>
      <c r="DJ51">
        <f>DJ17</f>
        <v>0</v>
      </c>
      <c r="DK51">
        <v>13</v>
      </c>
      <c r="DL51">
        <f>DL17</f>
        <v>0</v>
      </c>
      <c r="DM51">
        <v>13</v>
      </c>
      <c r="DN51">
        <f>DN17</f>
        <v>0</v>
      </c>
      <c r="DO51">
        <v>13</v>
      </c>
      <c r="DP51">
        <f>DP17</f>
        <v>0</v>
      </c>
      <c r="DQ51">
        <v>13</v>
      </c>
      <c r="DR51">
        <f>DR17</f>
        <v>0</v>
      </c>
      <c r="DS51">
        <v>13</v>
      </c>
      <c r="DT51">
        <f>DT17</f>
        <v>0</v>
      </c>
      <c r="DU51">
        <v>13</v>
      </c>
      <c r="DV51">
        <f>DV17</f>
        <v>0</v>
      </c>
      <c r="DW51">
        <v>13</v>
      </c>
      <c r="DX51">
        <f>DX17</f>
        <v>0</v>
      </c>
      <c r="DY51">
        <v>13</v>
      </c>
      <c r="DZ51">
        <f>DZ17</f>
        <v>0</v>
      </c>
      <c r="EA51">
        <v>13</v>
      </c>
      <c r="EB51">
        <f>EB17</f>
        <v>0</v>
      </c>
      <c r="EC51">
        <v>13</v>
      </c>
      <c r="ED51">
        <f>ED17</f>
        <v>0</v>
      </c>
      <c r="EG51">
        <f>IF(Charts!$B$3="none",E218,IF(BS218="",NA(),BS218))</f>
        <v>0</v>
      </c>
      <c r="EH51">
        <f>IF(Charts!$B$3="none",F218,IF(BT218="",NA(),BT218))</f>
        <v>0</v>
      </c>
      <c r="EI51">
        <f>IF(Charts!$B$3="none",G218,IF(BU218="",NA(),BU218))</f>
        <v>0</v>
      </c>
      <c r="EJ51">
        <f>IF(Charts!$B$3="none",H218,IF(BV218="",NA(),BV218))</f>
        <v>0</v>
      </c>
      <c r="EK51">
        <f>IF(Charts!$B$3="none",I218,IF(BW218="",NA(),BW218))</f>
        <v>0</v>
      </c>
      <c r="EL51">
        <f>IF(Charts!$B$3="none",J218,IF(BX218="",NA(),BX218))</f>
        <v>0</v>
      </c>
      <c r="EM51">
        <f>IF(Charts!$B$3="none",K218,IF(BY218="",NA(),BY218))</f>
        <v>0</v>
      </c>
      <c r="EN51">
        <f>IF(Charts!$B$3="none",L218,IF(BZ218="",NA(),BZ218))</f>
        <v>0</v>
      </c>
      <c r="EO51">
        <f>IF(Charts!$B$3="none",M218,IF(CA218="",NA(),CA218))</f>
        <v>0</v>
      </c>
      <c r="EP51">
        <f>IF(Charts!$B$3="none",N218,IF(CB218="",NA(),CB218))</f>
        <v>0</v>
      </c>
      <c r="EQ51">
        <f>IF(Charts!$B$3="none",O218,IF(CC218="",NA(),CC218))</f>
        <v>0</v>
      </c>
      <c r="ER51">
        <f>IF(Charts!$B$3="none",P218,IF(CD218="",NA(),CD218))</f>
        <v>0</v>
      </c>
      <c r="ES51">
        <f>IF(Charts!$B$3="none",Q218,IF(CE218="",NA(),CE218))</f>
        <v>0</v>
      </c>
      <c r="ET51">
        <f>IF(Charts!$B$3="none",R218,IF(CF218="",NA(),CF218))</f>
        <v>0</v>
      </c>
      <c r="EU51">
        <f>IF(Charts!$B$3="none",S218,IF(CG218="",NA(),CG218))</f>
        <v>0</v>
      </c>
      <c r="EV51">
        <f>IF(Charts!$B$3="none",T218,IF(CH218="",NA(),CH218))</f>
        <v>0</v>
      </c>
      <c r="EW51">
        <f>IF(Charts!$B$3="none",U218,IF(CI218="",NA(),CI218))</f>
        <v>0</v>
      </c>
      <c r="EX51">
        <f>IF(Charts!$B$3="none",V218,IF(CJ218="",NA(),CJ218))</f>
        <v>0</v>
      </c>
      <c r="EY51">
        <f>IF(Charts!$B$3="none",W218,IF(CK218="",NA(),CK218))</f>
        <v>0</v>
      </c>
      <c r="EZ51">
        <f>IF(Charts!$B$3="none",X218,IF(CL218="",NA(),CL218))</f>
        <v>0</v>
      </c>
      <c r="FA51">
        <f>IF(Charts!$B$3="none",Y218,IF(CM218="",NA(),CM218))</f>
        <v>0</v>
      </c>
      <c r="FB51">
        <f>IF(Charts!$B$3="none",Z218,IF(CN218="",NA(),CN218))</f>
        <v>0</v>
      </c>
      <c r="FC51">
        <f>IF(Charts!$B$3="none",AA218,IF(CO218="",NA(),CO218))</f>
        <v>0</v>
      </c>
      <c r="FD51">
        <f>IF(Charts!$B$3="none",AB218,IF(CP218="",NA(),CP218))</f>
        <v>0</v>
      </c>
      <c r="FE51">
        <f>IF(Charts!$B$3="none",AC218,IF(CQ218="",NA(),CQ218))</f>
        <v>0</v>
      </c>
      <c r="FF51">
        <f>IF(Charts!$B$3="none",AD218,IF(CR218="",NA(),CR218))</f>
        <v>0</v>
      </c>
      <c r="FG51">
        <f>IF(Charts!$B$3="none",AE218,IF(CS218="",NA(),CS218))</f>
        <v>0</v>
      </c>
      <c r="FH51">
        <f>IF(Charts!$B$3="none",AF218,IF(CT218="",NA(),CT218))</f>
        <v>0</v>
      </c>
      <c r="FI51">
        <f>IF(Charts!$B$3="none",AG218,IF(CU218="",NA(),CU218))</f>
        <v>0</v>
      </c>
      <c r="FJ51">
        <f>IF(Charts!$B$3="none",AH218,IF(CV218="",NA(),CV218))</f>
        <v>0</v>
      </c>
      <c r="FK51">
        <f>IF(Charts!$B$3="none",AI218,IF(CW218="",NA(),CW218))</f>
        <v>0</v>
      </c>
      <c r="FL51">
        <f>IF(Charts!$B$3="none",AJ218,IF(CX218="",NA(),CX218))</f>
        <v>0</v>
      </c>
      <c r="FM51">
        <f>IF(Charts!$B$3="none",AK218,IF(CY218="",NA(),CY218))</f>
        <v>0</v>
      </c>
      <c r="FN51">
        <f>IF(Charts!$B$3="none",AL218,IF(CZ218="",NA(),CZ218))</f>
        <v>0</v>
      </c>
      <c r="FO51">
        <f>IF(Charts!$B$3="none",AM218,IF(DA218="",NA(),DA218))</f>
        <v>0</v>
      </c>
      <c r="FP51">
        <f>IF(Charts!$B$3="none",AN218,IF(DB218="",NA(),DB218))</f>
        <v>0</v>
      </c>
      <c r="FQ51">
        <f>IF(Charts!$B$3="none",AO218,IF(DC218="",NA(),DC218))</f>
        <v>0</v>
      </c>
      <c r="FR51">
        <f>IF(Charts!$B$3="none",AP218,IF(DD218="",NA(),DD218))</f>
        <v>0</v>
      </c>
      <c r="FS51">
        <f>IF(Charts!$B$3="none",AQ218,IF(DE218="",NA(),DE218))</f>
        <v>0</v>
      </c>
      <c r="FT51">
        <f>IF(Charts!$B$3="none",AR218,IF(DF218="",NA(),DF218))</f>
        <v>0</v>
      </c>
      <c r="FU51">
        <f>IF(Charts!$B$3="none",AS218,IF(DG218="",NA(),DG218))</f>
        <v>0</v>
      </c>
      <c r="FV51">
        <f>IF(Charts!$B$3="none",AT218,IF(DH218="",NA(),DH218))</f>
        <v>0</v>
      </c>
      <c r="FW51">
        <f>IF(Charts!$B$3="none",AU218,IF(DI218="",NA(),DI218))</f>
        <v>0</v>
      </c>
      <c r="FX51">
        <f>IF(Charts!$B$3="none",AV218,IF(DJ218="",NA(),DJ218))</f>
        <v>0</v>
      </c>
      <c r="FY51">
        <f>IF(Charts!$B$3="none",AW218,IF(DK218="",NA(),DK218))</f>
        <v>0</v>
      </c>
      <c r="FZ51">
        <f>IF(Charts!$B$3="none",AX218,IF(DL218="",NA(),DL218))</f>
        <v>0</v>
      </c>
      <c r="GA51">
        <f>IF(Charts!$B$3="none",AY218,IF(DM218="",NA(),DM218))</f>
        <v>0</v>
      </c>
      <c r="GB51">
        <f>IF(Charts!$B$3="none",AZ218,IF(DN218="",NA(),DN218))</f>
        <v>0</v>
      </c>
      <c r="GC51">
        <f>IF(Charts!$B$3="none",BA218,IF(DO218="",NA(),DO218))</f>
        <v>0</v>
      </c>
      <c r="GD51">
        <f>IF(Charts!$B$3="none",BB218,IF(DP218="",NA(),DP218))</f>
        <v>0</v>
      </c>
      <c r="GE51">
        <f>IF(Charts!$B$3="none",BC218,IF(DQ218="",NA(),DQ218))</f>
        <v>0</v>
      </c>
      <c r="GF51">
        <f>IF(Charts!$B$3="none",BD218,IF(DR218="",NA(),DR218))</f>
        <v>0</v>
      </c>
      <c r="GG51">
        <f>IF(Charts!$B$3="none",BE218,IF(DS218="",NA(),DS218))</f>
        <v>0</v>
      </c>
      <c r="GH51">
        <f>IF(Charts!$B$3="none",BF218,IF(DT218="",NA(),DT218))</f>
        <v>0</v>
      </c>
      <c r="GI51">
        <f>IF(Charts!$B$3="none",BG218,IF(DU218="",NA(),DU218))</f>
        <v>0</v>
      </c>
      <c r="GJ51">
        <f>IF(Charts!$B$3="none",BH218,IF(DV218="",NA(),DV218))</f>
        <v>0</v>
      </c>
      <c r="GK51">
        <f>IF(Charts!$B$3="none",BI218,IF(DW218="",NA(),DW218))</f>
        <v>0</v>
      </c>
      <c r="GL51">
        <f>IF(Charts!$B$3="none",BJ218,IF(DX218="",NA(),DX218))</f>
        <v>0</v>
      </c>
      <c r="GM51">
        <f>IF(Charts!$B$3="none",BK218,IF(DY218="",NA(),DY218))</f>
        <v>0</v>
      </c>
      <c r="GN51">
        <f>IF(Charts!$B$3="none",BL218,IF(DZ218="",NA(),DZ218))</f>
        <v>0</v>
      </c>
      <c r="GO51">
        <f>IF(Charts!$B$3="none",BM218,IF(EA218="",NA(),EA218))</f>
        <v>0</v>
      </c>
      <c r="GP51">
        <f>IF(Charts!$B$3="none",BN218,IF(EB218="",NA(),EB218))</f>
        <v>0</v>
      </c>
      <c r="GQ51">
        <f>IF(Charts!$B$3="none",BO218,IF(EC218="",NA(),EC218))</f>
        <v>0</v>
      </c>
      <c r="GR51">
        <f>IF(Charts!$B$3="none",BP218,IF(ED218="",NA(),ED218))</f>
        <v>0</v>
      </c>
    </row>
    <row r="52" spans="5:200">
      <c r="E52">
        <v>14</v>
      </c>
      <c r="F52">
        <f>F18</f>
        <v>0</v>
      </c>
      <c r="G52">
        <v>14</v>
      </c>
      <c r="H52">
        <f>H18</f>
        <v>0</v>
      </c>
      <c r="I52">
        <v>14</v>
      </c>
      <c r="J52">
        <f>J18</f>
        <v>0</v>
      </c>
      <c r="K52">
        <v>14</v>
      </c>
      <c r="L52">
        <f>L18</f>
        <v>0</v>
      </c>
      <c r="M52">
        <v>14</v>
      </c>
      <c r="N52">
        <f>N18</f>
        <v>0</v>
      </c>
      <c r="O52">
        <v>14</v>
      </c>
      <c r="P52">
        <f>P18</f>
        <v>0</v>
      </c>
      <c r="Q52">
        <v>14</v>
      </c>
      <c r="R52">
        <f>R18</f>
        <v>0</v>
      </c>
      <c r="S52">
        <v>14</v>
      </c>
      <c r="T52">
        <f>T18</f>
        <v>0</v>
      </c>
      <c r="U52">
        <v>14</v>
      </c>
      <c r="V52">
        <f>V18</f>
        <v>0</v>
      </c>
      <c r="W52">
        <v>14</v>
      </c>
      <c r="X52">
        <f>X18</f>
        <v>0</v>
      </c>
      <c r="Y52">
        <v>14</v>
      </c>
      <c r="Z52">
        <f>Z18</f>
        <v>0</v>
      </c>
      <c r="AA52">
        <v>14</v>
      </c>
      <c r="AB52">
        <f>AB18</f>
        <v>0</v>
      </c>
      <c r="AC52">
        <v>14</v>
      </c>
      <c r="AD52">
        <f>AD18</f>
        <v>0</v>
      </c>
      <c r="AE52">
        <v>14</v>
      </c>
      <c r="AF52">
        <f>AF18</f>
        <v>0</v>
      </c>
      <c r="AG52">
        <v>14</v>
      </c>
      <c r="AH52">
        <f>AH18</f>
        <v>0</v>
      </c>
      <c r="AI52">
        <v>14</v>
      </c>
      <c r="AJ52">
        <f>AJ18</f>
        <v>0</v>
      </c>
      <c r="AK52">
        <v>14</v>
      </c>
      <c r="AL52">
        <f>AL18</f>
        <v>0</v>
      </c>
      <c r="AM52">
        <v>14</v>
      </c>
      <c r="AN52">
        <f>AN18</f>
        <v>0</v>
      </c>
      <c r="AO52">
        <v>14</v>
      </c>
      <c r="AP52">
        <f>AP18</f>
        <v>0</v>
      </c>
      <c r="AQ52">
        <v>14</v>
      </c>
      <c r="AR52">
        <f>AR18</f>
        <v>0</v>
      </c>
      <c r="AS52">
        <v>14</v>
      </c>
      <c r="AT52">
        <f>AT18</f>
        <v>0</v>
      </c>
      <c r="AU52">
        <v>14</v>
      </c>
      <c r="AV52">
        <f>AV18</f>
        <v>0</v>
      </c>
      <c r="AW52">
        <v>14</v>
      </c>
      <c r="AX52">
        <f>AX18</f>
        <v>0</v>
      </c>
      <c r="AY52">
        <v>14</v>
      </c>
      <c r="AZ52">
        <f>AZ18</f>
        <v>0</v>
      </c>
      <c r="BA52">
        <v>14</v>
      </c>
      <c r="BB52">
        <f>BB18</f>
        <v>0</v>
      </c>
      <c r="BC52">
        <v>14</v>
      </c>
      <c r="BD52">
        <f>BD18</f>
        <v>0</v>
      </c>
      <c r="BE52">
        <v>14</v>
      </c>
      <c r="BF52">
        <f>BF18</f>
        <v>0</v>
      </c>
      <c r="BG52">
        <v>14</v>
      </c>
      <c r="BH52">
        <f>BH18</f>
        <v>0</v>
      </c>
      <c r="BI52">
        <v>14</v>
      </c>
      <c r="BJ52">
        <f>BJ18</f>
        <v>0</v>
      </c>
      <c r="BK52">
        <v>14</v>
      </c>
      <c r="BL52">
        <f>BL18</f>
        <v>0</v>
      </c>
      <c r="BM52">
        <v>14</v>
      </c>
      <c r="BN52">
        <f>BN18</f>
        <v>0</v>
      </c>
      <c r="BO52">
        <v>14</v>
      </c>
      <c r="BP52">
        <f>BP18</f>
        <v>0</v>
      </c>
      <c r="BS52">
        <v>14</v>
      </c>
      <c r="BT52">
        <f>BT18</f>
        <v>0</v>
      </c>
      <c r="BU52">
        <v>14</v>
      </c>
      <c r="BV52">
        <f>BV18</f>
        <v>0</v>
      </c>
      <c r="BW52">
        <v>14</v>
      </c>
      <c r="BX52">
        <f>BX18</f>
        <v>0</v>
      </c>
      <c r="BY52">
        <v>14</v>
      </c>
      <c r="BZ52">
        <f>BZ18</f>
        <v>0</v>
      </c>
      <c r="CA52">
        <v>14</v>
      </c>
      <c r="CB52">
        <f>CB18</f>
        <v>0</v>
      </c>
      <c r="CC52">
        <v>14</v>
      </c>
      <c r="CD52">
        <f>CD18</f>
        <v>0</v>
      </c>
      <c r="CE52">
        <v>14</v>
      </c>
      <c r="CF52">
        <f>CF18</f>
        <v>0</v>
      </c>
      <c r="CG52">
        <v>14</v>
      </c>
      <c r="CH52">
        <f>CH18</f>
        <v>0</v>
      </c>
      <c r="CI52">
        <v>14</v>
      </c>
      <c r="CJ52">
        <f>CJ18</f>
        <v>0</v>
      </c>
      <c r="CK52">
        <v>14</v>
      </c>
      <c r="CL52">
        <f>CL18</f>
        <v>0</v>
      </c>
      <c r="CM52">
        <v>14</v>
      </c>
      <c r="CN52">
        <f>CN18</f>
        <v>0</v>
      </c>
      <c r="CO52">
        <v>14</v>
      </c>
      <c r="CP52">
        <f>CP18</f>
        <v>0</v>
      </c>
      <c r="CQ52">
        <v>14</v>
      </c>
      <c r="CR52">
        <f>CR18</f>
        <v>0</v>
      </c>
      <c r="CS52">
        <v>14</v>
      </c>
      <c r="CT52">
        <f>CT18</f>
        <v>0</v>
      </c>
      <c r="CU52">
        <v>14</v>
      </c>
      <c r="CV52">
        <f>CV18</f>
        <v>0</v>
      </c>
      <c r="CW52">
        <v>14</v>
      </c>
      <c r="CX52">
        <f>CX18</f>
        <v>0</v>
      </c>
      <c r="CY52">
        <v>14</v>
      </c>
      <c r="CZ52">
        <f>CZ18</f>
        <v>0</v>
      </c>
      <c r="DA52">
        <v>14</v>
      </c>
      <c r="DB52">
        <f>DB18</f>
        <v>0</v>
      </c>
      <c r="DC52">
        <v>14</v>
      </c>
      <c r="DD52">
        <f>DD18</f>
        <v>0</v>
      </c>
      <c r="DE52">
        <v>14</v>
      </c>
      <c r="DF52">
        <f>DF18</f>
        <v>0</v>
      </c>
      <c r="DG52">
        <v>14</v>
      </c>
      <c r="DH52">
        <f>DH18</f>
        <v>0</v>
      </c>
      <c r="DI52">
        <v>14</v>
      </c>
      <c r="DJ52">
        <f>DJ18</f>
        <v>0</v>
      </c>
      <c r="DK52">
        <v>14</v>
      </c>
      <c r="DL52">
        <f>DL18</f>
        <v>0</v>
      </c>
      <c r="DM52">
        <v>14</v>
      </c>
      <c r="DN52">
        <f>DN18</f>
        <v>0</v>
      </c>
      <c r="DO52">
        <v>14</v>
      </c>
      <c r="DP52">
        <f>DP18</f>
        <v>0</v>
      </c>
      <c r="DQ52">
        <v>14</v>
      </c>
      <c r="DR52">
        <f>DR18</f>
        <v>0</v>
      </c>
      <c r="DS52">
        <v>14</v>
      </c>
      <c r="DT52">
        <f>DT18</f>
        <v>0</v>
      </c>
      <c r="DU52">
        <v>14</v>
      </c>
      <c r="DV52">
        <f>DV18</f>
        <v>0</v>
      </c>
      <c r="DW52">
        <v>14</v>
      </c>
      <c r="DX52">
        <f>DX18</f>
        <v>0</v>
      </c>
      <c r="DY52">
        <v>14</v>
      </c>
      <c r="DZ52">
        <f>DZ18</f>
        <v>0</v>
      </c>
      <c r="EA52">
        <v>14</v>
      </c>
      <c r="EB52">
        <f>EB18</f>
        <v>0</v>
      </c>
      <c r="EC52">
        <v>14</v>
      </c>
      <c r="ED52">
        <f>ED18</f>
        <v>0</v>
      </c>
      <c r="EG52">
        <f>IF(Charts!$B$3="none",E219,IF(BS219="",NA(),BS219))</f>
        <v>0</v>
      </c>
      <c r="EH52">
        <f>IF(Charts!$B$3="none",F219,IF(BT219="",NA(),BT219))</f>
        <v>0</v>
      </c>
      <c r="EI52">
        <f>IF(Charts!$B$3="none",G219,IF(BU219="",NA(),BU219))</f>
        <v>0</v>
      </c>
      <c r="EJ52">
        <f>IF(Charts!$B$3="none",H219,IF(BV219="",NA(),BV219))</f>
        <v>0</v>
      </c>
      <c r="EK52">
        <f>IF(Charts!$B$3="none",I219,IF(BW219="",NA(),BW219))</f>
        <v>0</v>
      </c>
      <c r="EL52">
        <f>IF(Charts!$B$3="none",J219,IF(BX219="",NA(),BX219))</f>
        <v>0</v>
      </c>
      <c r="EM52">
        <f>IF(Charts!$B$3="none",K219,IF(BY219="",NA(),BY219))</f>
        <v>0</v>
      </c>
      <c r="EN52">
        <f>IF(Charts!$B$3="none",L219,IF(BZ219="",NA(),BZ219))</f>
        <v>0</v>
      </c>
      <c r="EO52">
        <f>IF(Charts!$B$3="none",M219,IF(CA219="",NA(),CA219))</f>
        <v>0</v>
      </c>
      <c r="EP52">
        <f>IF(Charts!$B$3="none",N219,IF(CB219="",NA(),CB219))</f>
        <v>0</v>
      </c>
      <c r="EQ52">
        <f>IF(Charts!$B$3="none",O219,IF(CC219="",NA(),CC219))</f>
        <v>0</v>
      </c>
      <c r="ER52">
        <f>IF(Charts!$B$3="none",P219,IF(CD219="",NA(),CD219))</f>
        <v>0</v>
      </c>
      <c r="ES52">
        <f>IF(Charts!$B$3="none",Q219,IF(CE219="",NA(),CE219))</f>
        <v>0</v>
      </c>
      <c r="ET52">
        <f>IF(Charts!$B$3="none",R219,IF(CF219="",NA(),CF219))</f>
        <v>0</v>
      </c>
      <c r="EU52">
        <f>IF(Charts!$B$3="none",S219,IF(CG219="",NA(),CG219))</f>
        <v>0</v>
      </c>
      <c r="EV52">
        <f>IF(Charts!$B$3="none",T219,IF(CH219="",NA(),CH219))</f>
        <v>0</v>
      </c>
      <c r="EW52">
        <f>IF(Charts!$B$3="none",U219,IF(CI219="",NA(),CI219))</f>
        <v>0</v>
      </c>
      <c r="EX52">
        <f>IF(Charts!$B$3="none",V219,IF(CJ219="",NA(),CJ219))</f>
        <v>0</v>
      </c>
      <c r="EY52">
        <f>IF(Charts!$B$3="none",W219,IF(CK219="",NA(),CK219))</f>
        <v>0</v>
      </c>
      <c r="EZ52">
        <f>IF(Charts!$B$3="none",X219,IF(CL219="",NA(),CL219))</f>
        <v>0</v>
      </c>
      <c r="FA52">
        <f>IF(Charts!$B$3="none",Y219,IF(CM219="",NA(),CM219))</f>
        <v>0</v>
      </c>
      <c r="FB52">
        <f>IF(Charts!$B$3="none",Z219,IF(CN219="",NA(),CN219))</f>
        <v>0</v>
      </c>
      <c r="FC52">
        <f>IF(Charts!$B$3="none",AA219,IF(CO219="",NA(),CO219))</f>
        <v>0</v>
      </c>
      <c r="FD52">
        <f>IF(Charts!$B$3="none",AB219,IF(CP219="",NA(),CP219))</f>
        <v>0</v>
      </c>
      <c r="FE52">
        <f>IF(Charts!$B$3="none",AC219,IF(CQ219="",NA(),CQ219))</f>
        <v>0</v>
      </c>
      <c r="FF52">
        <f>IF(Charts!$B$3="none",AD219,IF(CR219="",NA(),CR219))</f>
        <v>0</v>
      </c>
      <c r="FG52">
        <f>IF(Charts!$B$3="none",AE219,IF(CS219="",NA(),CS219))</f>
        <v>0</v>
      </c>
      <c r="FH52">
        <f>IF(Charts!$B$3="none",AF219,IF(CT219="",NA(),CT219))</f>
        <v>0</v>
      </c>
      <c r="FI52">
        <f>IF(Charts!$B$3="none",AG219,IF(CU219="",NA(),CU219))</f>
        <v>0</v>
      </c>
      <c r="FJ52">
        <f>IF(Charts!$B$3="none",AH219,IF(CV219="",NA(),CV219))</f>
        <v>0</v>
      </c>
      <c r="FK52">
        <f>IF(Charts!$B$3="none",AI219,IF(CW219="",NA(),CW219))</f>
        <v>0</v>
      </c>
      <c r="FL52">
        <f>IF(Charts!$B$3="none",AJ219,IF(CX219="",NA(),CX219))</f>
        <v>0</v>
      </c>
      <c r="FM52">
        <f>IF(Charts!$B$3="none",AK219,IF(CY219="",NA(),CY219))</f>
        <v>0</v>
      </c>
      <c r="FN52">
        <f>IF(Charts!$B$3="none",AL219,IF(CZ219="",NA(),CZ219))</f>
        <v>0</v>
      </c>
      <c r="FO52">
        <f>IF(Charts!$B$3="none",AM219,IF(DA219="",NA(),DA219))</f>
        <v>0</v>
      </c>
      <c r="FP52">
        <f>IF(Charts!$B$3="none",AN219,IF(DB219="",NA(),DB219))</f>
        <v>0</v>
      </c>
      <c r="FQ52">
        <f>IF(Charts!$B$3="none",AO219,IF(DC219="",NA(),DC219))</f>
        <v>0</v>
      </c>
      <c r="FR52">
        <f>IF(Charts!$B$3="none",AP219,IF(DD219="",NA(),DD219))</f>
        <v>0</v>
      </c>
      <c r="FS52">
        <f>IF(Charts!$B$3="none",AQ219,IF(DE219="",NA(),DE219))</f>
        <v>0</v>
      </c>
      <c r="FT52">
        <f>IF(Charts!$B$3="none",AR219,IF(DF219="",NA(),DF219))</f>
        <v>0</v>
      </c>
      <c r="FU52">
        <f>IF(Charts!$B$3="none",AS219,IF(DG219="",NA(),DG219))</f>
        <v>0</v>
      </c>
      <c r="FV52">
        <f>IF(Charts!$B$3="none",AT219,IF(DH219="",NA(),DH219))</f>
        <v>0</v>
      </c>
      <c r="FW52">
        <f>IF(Charts!$B$3="none",AU219,IF(DI219="",NA(),DI219))</f>
        <v>0</v>
      </c>
      <c r="FX52">
        <f>IF(Charts!$B$3="none",AV219,IF(DJ219="",NA(),DJ219))</f>
        <v>0</v>
      </c>
      <c r="FY52">
        <f>IF(Charts!$B$3="none",AW219,IF(DK219="",NA(),DK219))</f>
        <v>0</v>
      </c>
      <c r="FZ52">
        <f>IF(Charts!$B$3="none",AX219,IF(DL219="",NA(),DL219))</f>
        <v>0</v>
      </c>
      <c r="GA52">
        <f>IF(Charts!$B$3="none",AY219,IF(DM219="",NA(),DM219))</f>
        <v>0</v>
      </c>
      <c r="GB52">
        <f>IF(Charts!$B$3="none",AZ219,IF(DN219="",NA(),DN219))</f>
        <v>0</v>
      </c>
      <c r="GC52">
        <f>IF(Charts!$B$3="none",BA219,IF(DO219="",NA(),DO219))</f>
        <v>0</v>
      </c>
      <c r="GD52">
        <f>IF(Charts!$B$3="none",BB219,IF(DP219="",NA(),DP219))</f>
        <v>0</v>
      </c>
      <c r="GE52">
        <f>IF(Charts!$B$3="none",BC219,IF(DQ219="",NA(),DQ219))</f>
        <v>0</v>
      </c>
      <c r="GF52">
        <f>IF(Charts!$B$3="none",BD219,IF(DR219="",NA(),DR219))</f>
        <v>0</v>
      </c>
      <c r="GG52">
        <f>IF(Charts!$B$3="none",BE219,IF(DS219="",NA(),DS219))</f>
        <v>0</v>
      </c>
      <c r="GH52">
        <f>IF(Charts!$B$3="none",BF219,IF(DT219="",NA(),DT219))</f>
        <v>0</v>
      </c>
      <c r="GI52">
        <f>IF(Charts!$B$3="none",BG219,IF(DU219="",NA(),DU219))</f>
        <v>0</v>
      </c>
      <c r="GJ52">
        <f>IF(Charts!$B$3="none",BH219,IF(DV219="",NA(),DV219))</f>
        <v>0</v>
      </c>
      <c r="GK52">
        <f>IF(Charts!$B$3="none",BI219,IF(DW219="",NA(),DW219))</f>
        <v>0</v>
      </c>
      <c r="GL52">
        <f>IF(Charts!$B$3="none",BJ219,IF(DX219="",NA(),DX219))</f>
        <v>0</v>
      </c>
      <c r="GM52">
        <f>IF(Charts!$B$3="none",BK219,IF(DY219="",NA(),DY219))</f>
        <v>0</v>
      </c>
      <c r="GN52">
        <f>IF(Charts!$B$3="none",BL219,IF(DZ219="",NA(),DZ219))</f>
        <v>0</v>
      </c>
      <c r="GO52">
        <f>IF(Charts!$B$3="none",BM219,IF(EA219="",NA(),EA219))</f>
        <v>0</v>
      </c>
      <c r="GP52">
        <f>IF(Charts!$B$3="none",BN219,IF(EB219="",NA(),EB219))</f>
        <v>0</v>
      </c>
      <c r="GQ52">
        <f>IF(Charts!$B$3="none",BO219,IF(EC219="",NA(),EC219))</f>
        <v>0</v>
      </c>
      <c r="GR52">
        <f>IF(Charts!$B$3="none",BP219,IF(ED219="",NA(),ED219))</f>
        <v>0</v>
      </c>
    </row>
    <row r="53" spans="5:200">
      <c r="E53">
        <v>15</v>
      </c>
      <c r="F53">
        <f>F19</f>
        <v>0</v>
      </c>
      <c r="G53">
        <v>15</v>
      </c>
      <c r="H53">
        <f>H19</f>
        <v>0</v>
      </c>
      <c r="I53">
        <v>15</v>
      </c>
      <c r="J53">
        <f>J19</f>
        <v>0</v>
      </c>
      <c r="K53">
        <v>15</v>
      </c>
      <c r="L53">
        <f>L19</f>
        <v>0</v>
      </c>
      <c r="M53">
        <v>15</v>
      </c>
      <c r="N53">
        <f>N19</f>
        <v>0</v>
      </c>
      <c r="O53">
        <v>15</v>
      </c>
      <c r="P53">
        <f>P19</f>
        <v>0</v>
      </c>
      <c r="Q53">
        <v>15</v>
      </c>
      <c r="R53">
        <f>R19</f>
        <v>0</v>
      </c>
      <c r="S53">
        <v>15</v>
      </c>
      <c r="T53">
        <f>T19</f>
        <v>0</v>
      </c>
      <c r="U53">
        <v>15</v>
      </c>
      <c r="V53">
        <f>V19</f>
        <v>0</v>
      </c>
      <c r="W53">
        <v>15</v>
      </c>
      <c r="X53">
        <f>X19</f>
        <v>0</v>
      </c>
      <c r="Y53">
        <v>15</v>
      </c>
      <c r="Z53">
        <f>Z19</f>
        <v>0</v>
      </c>
      <c r="AA53">
        <v>15</v>
      </c>
      <c r="AB53">
        <f>AB19</f>
        <v>0</v>
      </c>
      <c r="AC53">
        <v>15</v>
      </c>
      <c r="AD53">
        <f>AD19</f>
        <v>0</v>
      </c>
      <c r="AE53">
        <v>15</v>
      </c>
      <c r="AF53">
        <f>AF19</f>
        <v>0</v>
      </c>
      <c r="AG53">
        <v>15</v>
      </c>
      <c r="AH53">
        <f>AH19</f>
        <v>0</v>
      </c>
      <c r="AI53">
        <v>15</v>
      </c>
      <c r="AJ53">
        <f>AJ19</f>
        <v>0</v>
      </c>
      <c r="AK53">
        <v>15</v>
      </c>
      <c r="AL53">
        <f>AL19</f>
        <v>0</v>
      </c>
      <c r="AM53">
        <v>15</v>
      </c>
      <c r="AN53">
        <f>AN19</f>
        <v>0</v>
      </c>
      <c r="AO53">
        <v>15</v>
      </c>
      <c r="AP53">
        <f>AP19</f>
        <v>0</v>
      </c>
      <c r="AQ53">
        <v>15</v>
      </c>
      <c r="AR53">
        <f>AR19</f>
        <v>0</v>
      </c>
      <c r="AS53">
        <v>15</v>
      </c>
      <c r="AT53">
        <f>AT19</f>
        <v>0</v>
      </c>
      <c r="AU53">
        <v>15</v>
      </c>
      <c r="AV53">
        <f>AV19</f>
        <v>0</v>
      </c>
      <c r="AW53">
        <v>15</v>
      </c>
      <c r="AX53">
        <f>AX19</f>
        <v>0</v>
      </c>
      <c r="AY53">
        <v>15</v>
      </c>
      <c r="AZ53">
        <f>AZ19</f>
        <v>0</v>
      </c>
      <c r="BA53">
        <v>15</v>
      </c>
      <c r="BB53">
        <f>BB19</f>
        <v>0</v>
      </c>
      <c r="BC53">
        <v>15</v>
      </c>
      <c r="BD53">
        <f>BD19</f>
        <v>0</v>
      </c>
      <c r="BE53">
        <v>15</v>
      </c>
      <c r="BF53">
        <f>BF19</f>
        <v>0</v>
      </c>
      <c r="BG53">
        <v>15</v>
      </c>
      <c r="BH53">
        <f>BH19</f>
        <v>0</v>
      </c>
      <c r="BI53">
        <v>15</v>
      </c>
      <c r="BJ53">
        <f>BJ19</f>
        <v>0</v>
      </c>
      <c r="BK53">
        <v>15</v>
      </c>
      <c r="BL53">
        <f>BL19</f>
        <v>0</v>
      </c>
      <c r="BM53">
        <v>15</v>
      </c>
      <c r="BN53">
        <f>BN19</f>
        <v>0</v>
      </c>
      <c r="BO53">
        <v>15</v>
      </c>
      <c r="BP53">
        <f>BP19</f>
        <v>0</v>
      </c>
      <c r="BS53">
        <v>15</v>
      </c>
      <c r="BT53">
        <f>BT19</f>
        <v>0</v>
      </c>
      <c r="BU53">
        <v>15</v>
      </c>
      <c r="BV53">
        <f>BV19</f>
        <v>0</v>
      </c>
      <c r="BW53">
        <v>15</v>
      </c>
      <c r="BX53">
        <f>BX19</f>
        <v>0</v>
      </c>
      <c r="BY53">
        <v>15</v>
      </c>
      <c r="BZ53">
        <f>BZ19</f>
        <v>0</v>
      </c>
      <c r="CA53">
        <v>15</v>
      </c>
      <c r="CB53">
        <f>CB19</f>
        <v>0</v>
      </c>
      <c r="CC53">
        <v>15</v>
      </c>
      <c r="CD53">
        <f>CD19</f>
        <v>0</v>
      </c>
      <c r="CE53">
        <v>15</v>
      </c>
      <c r="CF53">
        <f>CF19</f>
        <v>0</v>
      </c>
      <c r="CG53">
        <v>15</v>
      </c>
      <c r="CH53">
        <f>CH19</f>
        <v>0</v>
      </c>
      <c r="CI53">
        <v>15</v>
      </c>
      <c r="CJ53">
        <f>CJ19</f>
        <v>0</v>
      </c>
      <c r="CK53">
        <v>15</v>
      </c>
      <c r="CL53">
        <f>CL19</f>
        <v>0</v>
      </c>
      <c r="CM53">
        <v>15</v>
      </c>
      <c r="CN53">
        <f>CN19</f>
        <v>0</v>
      </c>
      <c r="CO53">
        <v>15</v>
      </c>
      <c r="CP53">
        <f>CP19</f>
        <v>0</v>
      </c>
      <c r="CQ53">
        <v>15</v>
      </c>
      <c r="CR53">
        <f>CR19</f>
        <v>0</v>
      </c>
      <c r="CS53">
        <v>15</v>
      </c>
      <c r="CT53">
        <f>CT19</f>
        <v>0</v>
      </c>
      <c r="CU53">
        <v>15</v>
      </c>
      <c r="CV53">
        <f>CV19</f>
        <v>0</v>
      </c>
      <c r="CW53">
        <v>15</v>
      </c>
      <c r="CX53">
        <f>CX19</f>
        <v>0</v>
      </c>
      <c r="CY53">
        <v>15</v>
      </c>
      <c r="CZ53">
        <f>CZ19</f>
        <v>0</v>
      </c>
      <c r="DA53">
        <v>15</v>
      </c>
      <c r="DB53">
        <f>DB19</f>
        <v>0</v>
      </c>
      <c r="DC53">
        <v>15</v>
      </c>
      <c r="DD53">
        <f>DD19</f>
        <v>0</v>
      </c>
      <c r="DE53">
        <v>15</v>
      </c>
      <c r="DF53">
        <f>DF19</f>
        <v>0</v>
      </c>
      <c r="DG53">
        <v>15</v>
      </c>
      <c r="DH53">
        <f>DH19</f>
        <v>0</v>
      </c>
      <c r="DI53">
        <v>15</v>
      </c>
      <c r="DJ53">
        <f>DJ19</f>
        <v>0</v>
      </c>
      <c r="DK53">
        <v>15</v>
      </c>
      <c r="DL53">
        <f>DL19</f>
        <v>0</v>
      </c>
      <c r="DM53">
        <v>15</v>
      </c>
      <c r="DN53">
        <f>DN19</f>
        <v>0</v>
      </c>
      <c r="DO53">
        <v>15</v>
      </c>
      <c r="DP53">
        <f>DP19</f>
        <v>0</v>
      </c>
      <c r="DQ53">
        <v>15</v>
      </c>
      <c r="DR53">
        <f>DR19</f>
        <v>0</v>
      </c>
      <c r="DS53">
        <v>15</v>
      </c>
      <c r="DT53">
        <f>DT19</f>
        <v>0</v>
      </c>
      <c r="DU53">
        <v>15</v>
      </c>
      <c r="DV53">
        <f>DV19</f>
        <v>0</v>
      </c>
      <c r="DW53">
        <v>15</v>
      </c>
      <c r="DX53">
        <f>DX19</f>
        <v>0</v>
      </c>
      <c r="DY53">
        <v>15</v>
      </c>
      <c r="DZ53">
        <f>DZ19</f>
        <v>0</v>
      </c>
      <c r="EA53">
        <v>15</v>
      </c>
      <c r="EB53">
        <f>EB19</f>
        <v>0</v>
      </c>
      <c r="EC53">
        <v>15</v>
      </c>
      <c r="ED53">
        <f>ED19</f>
        <v>0</v>
      </c>
      <c r="EG53">
        <f>IF(Charts!$B$3="none",E220,IF(BS220="",NA(),BS220))</f>
        <v>0</v>
      </c>
      <c r="EH53">
        <f>IF(Charts!$B$3="none",F220,IF(BT220="",NA(),BT220))</f>
        <v>0</v>
      </c>
      <c r="EI53">
        <f>IF(Charts!$B$3="none",G220,IF(BU220="",NA(),BU220))</f>
        <v>0</v>
      </c>
      <c r="EJ53">
        <f>IF(Charts!$B$3="none",H220,IF(BV220="",NA(),BV220))</f>
        <v>0</v>
      </c>
      <c r="EK53">
        <f>IF(Charts!$B$3="none",I220,IF(BW220="",NA(),BW220))</f>
        <v>0</v>
      </c>
      <c r="EL53">
        <f>IF(Charts!$B$3="none",J220,IF(BX220="",NA(),BX220))</f>
        <v>0</v>
      </c>
      <c r="EM53">
        <f>IF(Charts!$B$3="none",K220,IF(BY220="",NA(),BY220))</f>
        <v>0</v>
      </c>
      <c r="EN53">
        <f>IF(Charts!$B$3="none",L220,IF(BZ220="",NA(),BZ220))</f>
        <v>0</v>
      </c>
      <c r="EO53">
        <f>IF(Charts!$B$3="none",M220,IF(CA220="",NA(),CA220))</f>
        <v>0</v>
      </c>
      <c r="EP53">
        <f>IF(Charts!$B$3="none",N220,IF(CB220="",NA(),CB220))</f>
        <v>0</v>
      </c>
      <c r="EQ53">
        <f>IF(Charts!$B$3="none",O220,IF(CC220="",NA(),CC220))</f>
        <v>0</v>
      </c>
      <c r="ER53">
        <f>IF(Charts!$B$3="none",P220,IF(CD220="",NA(),CD220))</f>
        <v>0</v>
      </c>
      <c r="ES53">
        <f>IF(Charts!$B$3="none",Q220,IF(CE220="",NA(),CE220))</f>
        <v>0</v>
      </c>
      <c r="ET53">
        <f>IF(Charts!$B$3="none",R220,IF(CF220="",NA(),CF220))</f>
        <v>0</v>
      </c>
      <c r="EU53">
        <f>IF(Charts!$B$3="none",S220,IF(CG220="",NA(),CG220))</f>
        <v>0</v>
      </c>
      <c r="EV53">
        <f>IF(Charts!$B$3="none",T220,IF(CH220="",NA(),CH220))</f>
        <v>0</v>
      </c>
      <c r="EW53">
        <f>IF(Charts!$B$3="none",U220,IF(CI220="",NA(),CI220))</f>
        <v>0</v>
      </c>
      <c r="EX53">
        <f>IF(Charts!$B$3="none",V220,IF(CJ220="",NA(),CJ220))</f>
        <v>0</v>
      </c>
      <c r="EY53">
        <f>IF(Charts!$B$3="none",W220,IF(CK220="",NA(),CK220))</f>
        <v>0</v>
      </c>
      <c r="EZ53">
        <f>IF(Charts!$B$3="none",X220,IF(CL220="",NA(),CL220))</f>
        <v>0</v>
      </c>
      <c r="FA53">
        <f>IF(Charts!$B$3="none",Y220,IF(CM220="",NA(),CM220))</f>
        <v>0</v>
      </c>
      <c r="FB53">
        <f>IF(Charts!$B$3="none",Z220,IF(CN220="",NA(),CN220))</f>
        <v>0</v>
      </c>
      <c r="FC53">
        <f>IF(Charts!$B$3="none",AA220,IF(CO220="",NA(),CO220))</f>
        <v>0</v>
      </c>
      <c r="FD53">
        <f>IF(Charts!$B$3="none",AB220,IF(CP220="",NA(),CP220))</f>
        <v>0</v>
      </c>
      <c r="FE53">
        <f>IF(Charts!$B$3="none",AC220,IF(CQ220="",NA(),CQ220))</f>
        <v>0</v>
      </c>
      <c r="FF53">
        <f>IF(Charts!$B$3="none",AD220,IF(CR220="",NA(),CR220))</f>
        <v>0</v>
      </c>
      <c r="FG53">
        <f>IF(Charts!$B$3="none",AE220,IF(CS220="",NA(),CS220))</f>
        <v>0</v>
      </c>
      <c r="FH53">
        <f>IF(Charts!$B$3="none",AF220,IF(CT220="",NA(),CT220))</f>
        <v>0</v>
      </c>
      <c r="FI53">
        <f>IF(Charts!$B$3="none",AG220,IF(CU220="",NA(),CU220))</f>
        <v>0</v>
      </c>
      <c r="FJ53">
        <f>IF(Charts!$B$3="none",AH220,IF(CV220="",NA(),CV220))</f>
        <v>0</v>
      </c>
      <c r="FK53">
        <f>IF(Charts!$B$3="none",AI220,IF(CW220="",NA(),CW220))</f>
        <v>0</v>
      </c>
      <c r="FL53">
        <f>IF(Charts!$B$3="none",AJ220,IF(CX220="",NA(),CX220))</f>
        <v>0</v>
      </c>
      <c r="FM53">
        <f>IF(Charts!$B$3="none",AK220,IF(CY220="",NA(),CY220))</f>
        <v>0</v>
      </c>
      <c r="FN53">
        <f>IF(Charts!$B$3="none",AL220,IF(CZ220="",NA(),CZ220))</f>
        <v>0</v>
      </c>
      <c r="FO53">
        <f>IF(Charts!$B$3="none",AM220,IF(DA220="",NA(),DA220))</f>
        <v>0</v>
      </c>
      <c r="FP53">
        <f>IF(Charts!$B$3="none",AN220,IF(DB220="",NA(),DB220))</f>
        <v>0</v>
      </c>
      <c r="FQ53">
        <f>IF(Charts!$B$3="none",AO220,IF(DC220="",NA(),DC220))</f>
        <v>0</v>
      </c>
      <c r="FR53">
        <f>IF(Charts!$B$3="none",AP220,IF(DD220="",NA(),DD220))</f>
        <v>0</v>
      </c>
      <c r="FS53">
        <f>IF(Charts!$B$3="none",AQ220,IF(DE220="",NA(),DE220))</f>
        <v>0</v>
      </c>
      <c r="FT53">
        <f>IF(Charts!$B$3="none",AR220,IF(DF220="",NA(),DF220))</f>
        <v>0</v>
      </c>
      <c r="FU53">
        <f>IF(Charts!$B$3="none",AS220,IF(DG220="",NA(),DG220))</f>
        <v>0</v>
      </c>
      <c r="FV53">
        <f>IF(Charts!$B$3="none",AT220,IF(DH220="",NA(),DH220))</f>
        <v>0</v>
      </c>
      <c r="FW53">
        <f>IF(Charts!$B$3="none",AU220,IF(DI220="",NA(),DI220))</f>
        <v>0</v>
      </c>
      <c r="FX53">
        <f>IF(Charts!$B$3="none",AV220,IF(DJ220="",NA(),DJ220))</f>
        <v>0</v>
      </c>
      <c r="FY53">
        <f>IF(Charts!$B$3="none",AW220,IF(DK220="",NA(),DK220))</f>
        <v>0</v>
      </c>
      <c r="FZ53">
        <f>IF(Charts!$B$3="none",AX220,IF(DL220="",NA(),DL220))</f>
        <v>0</v>
      </c>
      <c r="GA53">
        <f>IF(Charts!$B$3="none",AY220,IF(DM220="",NA(),DM220))</f>
        <v>0</v>
      </c>
      <c r="GB53">
        <f>IF(Charts!$B$3="none",AZ220,IF(DN220="",NA(),DN220))</f>
        <v>0</v>
      </c>
      <c r="GC53">
        <f>IF(Charts!$B$3="none",BA220,IF(DO220="",NA(),DO220))</f>
        <v>0</v>
      </c>
      <c r="GD53">
        <f>IF(Charts!$B$3="none",BB220,IF(DP220="",NA(),DP220))</f>
        <v>0</v>
      </c>
      <c r="GE53">
        <f>IF(Charts!$B$3="none",BC220,IF(DQ220="",NA(),DQ220))</f>
        <v>0</v>
      </c>
      <c r="GF53">
        <f>IF(Charts!$B$3="none",BD220,IF(DR220="",NA(),DR220))</f>
        <v>0</v>
      </c>
      <c r="GG53">
        <f>IF(Charts!$B$3="none",BE220,IF(DS220="",NA(),DS220))</f>
        <v>0</v>
      </c>
      <c r="GH53">
        <f>IF(Charts!$B$3="none",BF220,IF(DT220="",NA(),DT220))</f>
        <v>0</v>
      </c>
      <c r="GI53">
        <f>IF(Charts!$B$3="none",BG220,IF(DU220="",NA(),DU220))</f>
        <v>0</v>
      </c>
      <c r="GJ53">
        <f>IF(Charts!$B$3="none",BH220,IF(DV220="",NA(),DV220))</f>
        <v>0</v>
      </c>
      <c r="GK53">
        <f>IF(Charts!$B$3="none",BI220,IF(DW220="",NA(),DW220))</f>
        <v>0</v>
      </c>
      <c r="GL53">
        <f>IF(Charts!$B$3="none",BJ220,IF(DX220="",NA(),DX220))</f>
        <v>0</v>
      </c>
      <c r="GM53">
        <f>IF(Charts!$B$3="none",BK220,IF(DY220="",NA(),DY220))</f>
        <v>0</v>
      </c>
      <c r="GN53">
        <f>IF(Charts!$B$3="none",BL220,IF(DZ220="",NA(),DZ220))</f>
        <v>0</v>
      </c>
      <c r="GO53">
        <f>IF(Charts!$B$3="none",BM220,IF(EA220="",NA(),EA220))</f>
        <v>0</v>
      </c>
      <c r="GP53">
        <f>IF(Charts!$B$3="none",BN220,IF(EB220="",NA(),EB220))</f>
        <v>0</v>
      </c>
      <c r="GQ53">
        <f>IF(Charts!$B$3="none",BO220,IF(EC220="",NA(),EC220))</f>
        <v>0</v>
      </c>
      <c r="GR53">
        <f>IF(Charts!$B$3="none",BP220,IF(ED220="",NA(),ED220))</f>
        <v>0</v>
      </c>
    </row>
    <row r="54" spans="5:200">
      <c r="E54">
        <v>16</v>
      </c>
      <c r="F54">
        <f>F20</f>
        <v>0</v>
      </c>
      <c r="G54">
        <v>16</v>
      </c>
      <c r="H54">
        <f>H20</f>
        <v>0</v>
      </c>
      <c r="I54">
        <v>16</v>
      </c>
      <c r="J54">
        <f>J20</f>
        <v>0</v>
      </c>
      <c r="K54">
        <v>16</v>
      </c>
      <c r="L54">
        <f>L20</f>
        <v>0</v>
      </c>
      <c r="M54">
        <v>16</v>
      </c>
      <c r="N54">
        <f>N20</f>
        <v>0</v>
      </c>
      <c r="O54">
        <v>16</v>
      </c>
      <c r="P54">
        <f>P20</f>
        <v>0</v>
      </c>
      <c r="Q54">
        <v>16</v>
      </c>
      <c r="R54">
        <f>R20</f>
        <v>0</v>
      </c>
      <c r="S54">
        <v>16</v>
      </c>
      <c r="T54">
        <f>T20</f>
        <v>0</v>
      </c>
      <c r="U54">
        <v>16</v>
      </c>
      <c r="V54">
        <f>V20</f>
        <v>0</v>
      </c>
      <c r="W54">
        <v>16</v>
      </c>
      <c r="X54">
        <f>X20</f>
        <v>0</v>
      </c>
      <c r="Y54">
        <v>16</v>
      </c>
      <c r="Z54">
        <f>Z20</f>
        <v>0</v>
      </c>
      <c r="AA54">
        <v>16</v>
      </c>
      <c r="AB54">
        <f>AB20</f>
        <v>0</v>
      </c>
      <c r="AC54">
        <v>16</v>
      </c>
      <c r="AD54">
        <f>AD20</f>
        <v>0</v>
      </c>
      <c r="AE54">
        <v>16</v>
      </c>
      <c r="AF54">
        <f>AF20</f>
        <v>0</v>
      </c>
      <c r="AG54">
        <v>16</v>
      </c>
      <c r="AH54">
        <f>AH20</f>
        <v>0</v>
      </c>
      <c r="AI54">
        <v>16</v>
      </c>
      <c r="AJ54">
        <f>AJ20</f>
        <v>0</v>
      </c>
      <c r="AK54">
        <v>16</v>
      </c>
      <c r="AL54">
        <f>AL20</f>
        <v>0</v>
      </c>
      <c r="AM54">
        <v>16</v>
      </c>
      <c r="AN54">
        <f>AN20</f>
        <v>0</v>
      </c>
      <c r="AO54">
        <v>16</v>
      </c>
      <c r="AP54">
        <f>AP20</f>
        <v>0</v>
      </c>
      <c r="AQ54">
        <v>16</v>
      </c>
      <c r="AR54">
        <f>AR20</f>
        <v>0</v>
      </c>
      <c r="AS54">
        <v>16</v>
      </c>
      <c r="AT54">
        <f>AT20</f>
        <v>0</v>
      </c>
      <c r="AU54">
        <v>16</v>
      </c>
      <c r="AV54">
        <f>AV20</f>
        <v>0</v>
      </c>
      <c r="AW54">
        <v>16</v>
      </c>
      <c r="AX54">
        <f>AX20</f>
        <v>0</v>
      </c>
      <c r="AY54">
        <v>16</v>
      </c>
      <c r="AZ54">
        <f>AZ20</f>
        <v>0</v>
      </c>
      <c r="BA54">
        <v>16</v>
      </c>
      <c r="BB54">
        <f>BB20</f>
        <v>0</v>
      </c>
      <c r="BC54">
        <v>16</v>
      </c>
      <c r="BD54">
        <f>BD20</f>
        <v>0</v>
      </c>
      <c r="BE54">
        <v>16</v>
      </c>
      <c r="BF54">
        <f>BF20</f>
        <v>0</v>
      </c>
      <c r="BG54">
        <v>16</v>
      </c>
      <c r="BH54">
        <f>BH20</f>
        <v>0</v>
      </c>
      <c r="BI54">
        <v>16</v>
      </c>
      <c r="BJ54">
        <f>BJ20</f>
        <v>0</v>
      </c>
      <c r="BK54">
        <v>16</v>
      </c>
      <c r="BL54">
        <f>BL20</f>
        <v>0</v>
      </c>
      <c r="BM54">
        <v>16</v>
      </c>
      <c r="BN54">
        <f>BN20</f>
        <v>0</v>
      </c>
      <c r="BO54">
        <v>16</v>
      </c>
      <c r="BP54">
        <f>BP20</f>
        <v>0</v>
      </c>
      <c r="BS54">
        <v>16</v>
      </c>
      <c r="BT54">
        <f>BT20</f>
        <v>0</v>
      </c>
      <c r="BU54">
        <v>16</v>
      </c>
      <c r="BV54">
        <f>BV20</f>
        <v>0</v>
      </c>
      <c r="BW54">
        <v>16</v>
      </c>
      <c r="BX54">
        <f>BX20</f>
        <v>0</v>
      </c>
      <c r="BY54">
        <v>16</v>
      </c>
      <c r="BZ54">
        <f>BZ20</f>
        <v>0</v>
      </c>
      <c r="CA54">
        <v>16</v>
      </c>
      <c r="CB54">
        <f>CB20</f>
        <v>0</v>
      </c>
      <c r="CC54">
        <v>16</v>
      </c>
      <c r="CD54">
        <f>CD20</f>
        <v>0</v>
      </c>
      <c r="CE54">
        <v>16</v>
      </c>
      <c r="CF54">
        <f>CF20</f>
        <v>0</v>
      </c>
      <c r="CG54">
        <v>16</v>
      </c>
      <c r="CH54">
        <f>CH20</f>
        <v>0</v>
      </c>
      <c r="CI54">
        <v>16</v>
      </c>
      <c r="CJ54">
        <f>CJ20</f>
        <v>0</v>
      </c>
      <c r="CK54">
        <v>16</v>
      </c>
      <c r="CL54">
        <f>CL20</f>
        <v>0</v>
      </c>
      <c r="CM54">
        <v>16</v>
      </c>
      <c r="CN54">
        <f>CN20</f>
        <v>0</v>
      </c>
      <c r="CO54">
        <v>16</v>
      </c>
      <c r="CP54">
        <f>CP20</f>
        <v>0</v>
      </c>
      <c r="CQ54">
        <v>16</v>
      </c>
      <c r="CR54">
        <f>CR20</f>
        <v>0</v>
      </c>
      <c r="CS54">
        <v>16</v>
      </c>
      <c r="CT54">
        <f>CT20</f>
        <v>0</v>
      </c>
      <c r="CU54">
        <v>16</v>
      </c>
      <c r="CV54">
        <f>CV20</f>
        <v>0</v>
      </c>
      <c r="CW54">
        <v>16</v>
      </c>
      <c r="CX54">
        <f>CX20</f>
        <v>0</v>
      </c>
      <c r="CY54">
        <v>16</v>
      </c>
      <c r="CZ54">
        <f>CZ20</f>
        <v>0</v>
      </c>
      <c r="DA54">
        <v>16</v>
      </c>
      <c r="DB54">
        <f>DB20</f>
        <v>0</v>
      </c>
      <c r="DC54">
        <v>16</v>
      </c>
      <c r="DD54">
        <f>DD20</f>
        <v>0</v>
      </c>
      <c r="DE54">
        <v>16</v>
      </c>
      <c r="DF54">
        <f>DF20</f>
        <v>0</v>
      </c>
      <c r="DG54">
        <v>16</v>
      </c>
      <c r="DH54">
        <f>DH20</f>
        <v>0</v>
      </c>
      <c r="DI54">
        <v>16</v>
      </c>
      <c r="DJ54">
        <f>DJ20</f>
        <v>0</v>
      </c>
      <c r="DK54">
        <v>16</v>
      </c>
      <c r="DL54">
        <f>DL20</f>
        <v>0</v>
      </c>
      <c r="DM54">
        <v>16</v>
      </c>
      <c r="DN54">
        <f>DN20</f>
        <v>0</v>
      </c>
      <c r="DO54">
        <v>16</v>
      </c>
      <c r="DP54">
        <f>DP20</f>
        <v>0</v>
      </c>
      <c r="DQ54">
        <v>16</v>
      </c>
      <c r="DR54">
        <f>DR20</f>
        <v>0</v>
      </c>
      <c r="DS54">
        <v>16</v>
      </c>
      <c r="DT54">
        <f>DT20</f>
        <v>0</v>
      </c>
      <c r="DU54">
        <v>16</v>
      </c>
      <c r="DV54">
        <f>DV20</f>
        <v>0</v>
      </c>
      <c r="DW54">
        <v>16</v>
      </c>
      <c r="DX54">
        <f>DX20</f>
        <v>0</v>
      </c>
      <c r="DY54">
        <v>16</v>
      </c>
      <c r="DZ54">
        <f>DZ20</f>
        <v>0</v>
      </c>
      <c r="EA54">
        <v>16</v>
      </c>
      <c r="EB54">
        <f>EB20</f>
        <v>0</v>
      </c>
      <c r="EC54">
        <v>16</v>
      </c>
      <c r="ED54">
        <f>ED20</f>
        <v>0</v>
      </c>
      <c r="EG54">
        <f>IF(Charts!$B$3="none",E221,IF(BS221="",NA(),BS221))</f>
        <v>0</v>
      </c>
      <c r="EH54">
        <f>IF(Charts!$B$3="none",F221,IF(BT221="",NA(),BT221))</f>
        <v>0</v>
      </c>
      <c r="EI54">
        <f>IF(Charts!$B$3="none",G221,IF(BU221="",NA(),BU221))</f>
        <v>0</v>
      </c>
      <c r="EJ54">
        <f>IF(Charts!$B$3="none",H221,IF(BV221="",NA(),BV221))</f>
        <v>0</v>
      </c>
      <c r="EK54">
        <f>IF(Charts!$B$3="none",I221,IF(BW221="",NA(),BW221))</f>
        <v>0</v>
      </c>
      <c r="EL54">
        <f>IF(Charts!$B$3="none",J221,IF(BX221="",NA(),BX221))</f>
        <v>0</v>
      </c>
      <c r="EM54">
        <f>IF(Charts!$B$3="none",K221,IF(BY221="",NA(),BY221))</f>
        <v>0</v>
      </c>
      <c r="EN54">
        <f>IF(Charts!$B$3="none",L221,IF(BZ221="",NA(),BZ221))</f>
        <v>0</v>
      </c>
      <c r="EO54">
        <f>IF(Charts!$B$3="none",M221,IF(CA221="",NA(),CA221))</f>
        <v>0</v>
      </c>
      <c r="EP54">
        <f>IF(Charts!$B$3="none",N221,IF(CB221="",NA(),CB221))</f>
        <v>0</v>
      </c>
      <c r="EQ54">
        <f>IF(Charts!$B$3="none",O221,IF(CC221="",NA(),CC221))</f>
        <v>0</v>
      </c>
      <c r="ER54">
        <f>IF(Charts!$B$3="none",P221,IF(CD221="",NA(),CD221))</f>
        <v>0</v>
      </c>
      <c r="ES54">
        <f>IF(Charts!$B$3="none",Q221,IF(CE221="",NA(),CE221))</f>
        <v>0</v>
      </c>
      <c r="ET54">
        <f>IF(Charts!$B$3="none",R221,IF(CF221="",NA(),CF221))</f>
        <v>0</v>
      </c>
      <c r="EU54">
        <f>IF(Charts!$B$3="none",S221,IF(CG221="",NA(),CG221))</f>
        <v>0</v>
      </c>
      <c r="EV54">
        <f>IF(Charts!$B$3="none",T221,IF(CH221="",NA(),CH221))</f>
        <v>0</v>
      </c>
      <c r="EW54">
        <f>IF(Charts!$B$3="none",U221,IF(CI221="",NA(),CI221))</f>
        <v>0</v>
      </c>
      <c r="EX54">
        <f>IF(Charts!$B$3="none",V221,IF(CJ221="",NA(),CJ221))</f>
        <v>0</v>
      </c>
      <c r="EY54">
        <f>IF(Charts!$B$3="none",W221,IF(CK221="",NA(),CK221))</f>
        <v>0</v>
      </c>
      <c r="EZ54">
        <f>IF(Charts!$B$3="none",X221,IF(CL221="",NA(),CL221))</f>
        <v>0</v>
      </c>
      <c r="FA54">
        <f>IF(Charts!$B$3="none",Y221,IF(CM221="",NA(),CM221))</f>
        <v>0</v>
      </c>
      <c r="FB54">
        <f>IF(Charts!$B$3="none",Z221,IF(CN221="",NA(),CN221))</f>
        <v>0</v>
      </c>
      <c r="FC54">
        <f>IF(Charts!$B$3="none",AA221,IF(CO221="",NA(),CO221))</f>
        <v>0</v>
      </c>
      <c r="FD54">
        <f>IF(Charts!$B$3="none",AB221,IF(CP221="",NA(),CP221))</f>
        <v>0</v>
      </c>
      <c r="FE54">
        <f>IF(Charts!$B$3="none",AC221,IF(CQ221="",NA(),CQ221))</f>
        <v>0</v>
      </c>
      <c r="FF54">
        <f>IF(Charts!$B$3="none",AD221,IF(CR221="",NA(),CR221))</f>
        <v>0</v>
      </c>
      <c r="FG54">
        <f>IF(Charts!$B$3="none",AE221,IF(CS221="",NA(),CS221))</f>
        <v>0</v>
      </c>
      <c r="FH54">
        <f>IF(Charts!$B$3="none",AF221,IF(CT221="",NA(),CT221))</f>
        <v>0</v>
      </c>
      <c r="FI54">
        <f>IF(Charts!$B$3="none",AG221,IF(CU221="",NA(),CU221))</f>
        <v>0</v>
      </c>
      <c r="FJ54">
        <f>IF(Charts!$B$3="none",AH221,IF(CV221="",NA(),CV221))</f>
        <v>0</v>
      </c>
      <c r="FK54">
        <f>IF(Charts!$B$3="none",AI221,IF(CW221="",NA(),CW221))</f>
        <v>0</v>
      </c>
      <c r="FL54">
        <f>IF(Charts!$B$3="none",AJ221,IF(CX221="",NA(),CX221))</f>
        <v>0</v>
      </c>
      <c r="FM54">
        <f>IF(Charts!$B$3="none",AK221,IF(CY221="",NA(),CY221))</f>
        <v>0</v>
      </c>
      <c r="FN54">
        <f>IF(Charts!$B$3="none",AL221,IF(CZ221="",NA(),CZ221))</f>
        <v>0</v>
      </c>
      <c r="FO54">
        <f>IF(Charts!$B$3="none",AM221,IF(DA221="",NA(),DA221))</f>
        <v>0</v>
      </c>
      <c r="FP54">
        <f>IF(Charts!$B$3="none",AN221,IF(DB221="",NA(),DB221))</f>
        <v>0</v>
      </c>
      <c r="FQ54">
        <f>IF(Charts!$B$3="none",AO221,IF(DC221="",NA(),DC221))</f>
        <v>0</v>
      </c>
      <c r="FR54">
        <f>IF(Charts!$B$3="none",AP221,IF(DD221="",NA(),DD221))</f>
        <v>0</v>
      </c>
      <c r="FS54">
        <f>IF(Charts!$B$3="none",AQ221,IF(DE221="",NA(),DE221))</f>
        <v>0</v>
      </c>
      <c r="FT54">
        <f>IF(Charts!$B$3="none",AR221,IF(DF221="",NA(),DF221))</f>
        <v>0</v>
      </c>
      <c r="FU54">
        <f>IF(Charts!$B$3="none",AS221,IF(DG221="",NA(),DG221))</f>
        <v>0</v>
      </c>
      <c r="FV54">
        <f>IF(Charts!$B$3="none",AT221,IF(DH221="",NA(),DH221))</f>
        <v>0</v>
      </c>
      <c r="FW54">
        <f>IF(Charts!$B$3="none",AU221,IF(DI221="",NA(),DI221))</f>
        <v>0</v>
      </c>
      <c r="FX54">
        <f>IF(Charts!$B$3="none",AV221,IF(DJ221="",NA(),DJ221))</f>
        <v>0</v>
      </c>
      <c r="FY54">
        <f>IF(Charts!$B$3="none",AW221,IF(DK221="",NA(),DK221))</f>
        <v>0</v>
      </c>
      <c r="FZ54">
        <f>IF(Charts!$B$3="none",AX221,IF(DL221="",NA(),DL221))</f>
        <v>0</v>
      </c>
      <c r="GA54">
        <f>IF(Charts!$B$3="none",AY221,IF(DM221="",NA(),DM221))</f>
        <v>0</v>
      </c>
      <c r="GB54">
        <f>IF(Charts!$B$3="none",AZ221,IF(DN221="",NA(),DN221))</f>
        <v>0</v>
      </c>
      <c r="GC54">
        <f>IF(Charts!$B$3="none",BA221,IF(DO221="",NA(),DO221))</f>
        <v>0</v>
      </c>
      <c r="GD54">
        <f>IF(Charts!$B$3="none",BB221,IF(DP221="",NA(),DP221))</f>
        <v>0</v>
      </c>
      <c r="GE54">
        <f>IF(Charts!$B$3="none",BC221,IF(DQ221="",NA(),DQ221))</f>
        <v>0</v>
      </c>
      <c r="GF54">
        <f>IF(Charts!$B$3="none",BD221,IF(DR221="",NA(),DR221))</f>
        <v>0</v>
      </c>
      <c r="GG54">
        <f>IF(Charts!$B$3="none",BE221,IF(DS221="",NA(),DS221))</f>
        <v>0</v>
      </c>
      <c r="GH54">
        <f>IF(Charts!$B$3="none",BF221,IF(DT221="",NA(),DT221))</f>
        <v>0</v>
      </c>
      <c r="GI54">
        <f>IF(Charts!$B$3="none",BG221,IF(DU221="",NA(),DU221))</f>
        <v>0</v>
      </c>
      <c r="GJ54">
        <f>IF(Charts!$B$3="none",BH221,IF(DV221="",NA(),DV221))</f>
        <v>0</v>
      </c>
      <c r="GK54">
        <f>IF(Charts!$B$3="none",BI221,IF(DW221="",NA(),DW221))</f>
        <v>0</v>
      </c>
      <c r="GL54">
        <f>IF(Charts!$B$3="none",BJ221,IF(DX221="",NA(),DX221))</f>
        <v>0</v>
      </c>
      <c r="GM54">
        <f>IF(Charts!$B$3="none",BK221,IF(DY221="",NA(),DY221))</f>
        <v>0</v>
      </c>
      <c r="GN54">
        <f>IF(Charts!$B$3="none",BL221,IF(DZ221="",NA(),DZ221))</f>
        <v>0</v>
      </c>
      <c r="GO54">
        <f>IF(Charts!$B$3="none",BM221,IF(EA221="",NA(),EA221))</f>
        <v>0</v>
      </c>
      <c r="GP54">
        <f>IF(Charts!$B$3="none",BN221,IF(EB221="",NA(),EB221))</f>
        <v>0</v>
      </c>
      <c r="GQ54">
        <f>IF(Charts!$B$3="none",BO221,IF(EC221="",NA(),EC221))</f>
        <v>0</v>
      </c>
      <c r="GR54">
        <f>IF(Charts!$B$3="none",BP221,IF(ED221="",NA(),ED221))</f>
        <v>0</v>
      </c>
    </row>
    <row r="55" spans="5:200">
      <c r="E55">
        <v>17</v>
      </c>
      <c r="F55">
        <f>F21</f>
        <v>0</v>
      </c>
      <c r="G55">
        <v>17</v>
      </c>
      <c r="H55">
        <f>H21</f>
        <v>0</v>
      </c>
      <c r="I55">
        <v>17</v>
      </c>
      <c r="J55">
        <f>J21</f>
        <v>0</v>
      </c>
      <c r="K55">
        <v>17</v>
      </c>
      <c r="L55">
        <f>L21</f>
        <v>0</v>
      </c>
      <c r="M55">
        <v>17</v>
      </c>
      <c r="N55">
        <f>N21</f>
        <v>0</v>
      </c>
      <c r="O55">
        <v>17</v>
      </c>
      <c r="P55">
        <f>P21</f>
        <v>0</v>
      </c>
      <c r="Q55">
        <v>17</v>
      </c>
      <c r="R55">
        <f>R21</f>
        <v>0</v>
      </c>
      <c r="S55">
        <v>17</v>
      </c>
      <c r="T55">
        <f>T21</f>
        <v>0</v>
      </c>
      <c r="U55">
        <v>17</v>
      </c>
      <c r="V55">
        <f>V21</f>
        <v>0</v>
      </c>
      <c r="W55">
        <v>17</v>
      </c>
      <c r="X55">
        <f>X21</f>
        <v>0</v>
      </c>
      <c r="Y55">
        <v>17</v>
      </c>
      <c r="Z55">
        <f>Z21</f>
        <v>0</v>
      </c>
      <c r="AA55">
        <v>17</v>
      </c>
      <c r="AB55">
        <f>AB21</f>
        <v>0</v>
      </c>
      <c r="AC55">
        <v>17</v>
      </c>
      <c r="AD55">
        <f>AD21</f>
        <v>0</v>
      </c>
      <c r="AE55">
        <v>17</v>
      </c>
      <c r="AF55">
        <f>AF21</f>
        <v>0</v>
      </c>
      <c r="AG55">
        <v>17</v>
      </c>
      <c r="AH55">
        <f>AH21</f>
        <v>0</v>
      </c>
      <c r="AI55">
        <v>17</v>
      </c>
      <c r="AJ55">
        <f>AJ21</f>
        <v>0</v>
      </c>
      <c r="AK55">
        <v>17</v>
      </c>
      <c r="AL55">
        <f>AL21</f>
        <v>0</v>
      </c>
      <c r="AM55">
        <v>17</v>
      </c>
      <c r="AN55">
        <f>AN21</f>
        <v>0</v>
      </c>
      <c r="AO55">
        <v>17</v>
      </c>
      <c r="AP55">
        <f>AP21</f>
        <v>0</v>
      </c>
      <c r="AQ55">
        <v>17</v>
      </c>
      <c r="AR55">
        <f>AR21</f>
        <v>0</v>
      </c>
      <c r="AS55">
        <v>17</v>
      </c>
      <c r="AT55">
        <f>AT21</f>
        <v>0</v>
      </c>
      <c r="AU55">
        <v>17</v>
      </c>
      <c r="AV55">
        <f>AV21</f>
        <v>0</v>
      </c>
      <c r="AW55">
        <v>17</v>
      </c>
      <c r="AX55">
        <f>AX21</f>
        <v>0</v>
      </c>
      <c r="AY55">
        <v>17</v>
      </c>
      <c r="AZ55">
        <f>AZ21</f>
        <v>0</v>
      </c>
      <c r="BA55">
        <v>17</v>
      </c>
      <c r="BB55">
        <f>BB21</f>
        <v>0</v>
      </c>
      <c r="BC55">
        <v>17</v>
      </c>
      <c r="BD55">
        <f>BD21</f>
        <v>0</v>
      </c>
      <c r="BE55">
        <v>17</v>
      </c>
      <c r="BF55">
        <f>BF21</f>
        <v>0</v>
      </c>
      <c r="BG55">
        <v>17</v>
      </c>
      <c r="BH55">
        <f>BH21</f>
        <v>0</v>
      </c>
      <c r="BI55">
        <v>17</v>
      </c>
      <c r="BJ55">
        <f>BJ21</f>
        <v>0</v>
      </c>
      <c r="BK55">
        <v>17</v>
      </c>
      <c r="BL55">
        <f>BL21</f>
        <v>0</v>
      </c>
      <c r="BM55">
        <v>17</v>
      </c>
      <c r="BN55">
        <f>BN21</f>
        <v>0</v>
      </c>
      <c r="BO55">
        <v>17</v>
      </c>
      <c r="BP55">
        <f>BP21</f>
        <v>0</v>
      </c>
      <c r="BS55">
        <v>17</v>
      </c>
      <c r="BT55">
        <f>BT21</f>
        <v>0</v>
      </c>
      <c r="BU55">
        <v>17</v>
      </c>
      <c r="BV55">
        <f>BV21</f>
        <v>0</v>
      </c>
      <c r="BW55">
        <v>17</v>
      </c>
      <c r="BX55">
        <f>BX21</f>
        <v>0</v>
      </c>
      <c r="BY55">
        <v>17</v>
      </c>
      <c r="BZ55">
        <f>BZ21</f>
        <v>0</v>
      </c>
      <c r="CA55">
        <v>17</v>
      </c>
      <c r="CB55">
        <f>CB21</f>
        <v>0</v>
      </c>
      <c r="CC55">
        <v>17</v>
      </c>
      <c r="CD55">
        <f>CD21</f>
        <v>0</v>
      </c>
      <c r="CE55">
        <v>17</v>
      </c>
      <c r="CF55">
        <f>CF21</f>
        <v>0</v>
      </c>
      <c r="CG55">
        <v>17</v>
      </c>
      <c r="CH55">
        <f>CH21</f>
        <v>0</v>
      </c>
      <c r="CI55">
        <v>17</v>
      </c>
      <c r="CJ55">
        <f>CJ21</f>
        <v>0</v>
      </c>
      <c r="CK55">
        <v>17</v>
      </c>
      <c r="CL55">
        <f>CL21</f>
        <v>0</v>
      </c>
      <c r="CM55">
        <v>17</v>
      </c>
      <c r="CN55">
        <f>CN21</f>
        <v>0</v>
      </c>
      <c r="CO55">
        <v>17</v>
      </c>
      <c r="CP55">
        <f>CP21</f>
        <v>0</v>
      </c>
      <c r="CQ55">
        <v>17</v>
      </c>
      <c r="CR55">
        <f>CR21</f>
        <v>0</v>
      </c>
      <c r="CS55">
        <v>17</v>
      </c>
      <c r="CT55">
        <f>CT21</f>
        <v>0</v>
      </c>
      <c r="CU55">
        <v>17</v>
      </c>
      <c r="CV55">
        <f>CV21</f>
        <v>0</v>
      </c>
      <c r="CW55">
        <v>17</v>
      </c>
      <c r="CX55">
        <f>CX21</f>
        <v>0</v>
      </c>
      <c r="CY55">
        <v>17</v>
      </c>
      <c r="CZ55">
        <f>CZ21</f>
        <v>0</v>
      </c>
      <c r="DA55">
        <v>17</v>
      </c>
      <c r="DB55">
        <f>DB21</f>
        <v>0</v>
      </c>
      <c r="DC55">
        <v>17</v>
      </c>
      <c r="DD55">
        <f>DD21</f>
        <v>0</v>
      </c>
      <c r="DE55">
        <v>17</v>
      </c>
      <c r="DF55">
        <f>DF21</f>
        <v>0</v>
      </c>
      <c r="DG55">
        <v>17</v>
      </c>
      <c r="DH55">
        <f>DH21</f>
        <v>0</v>
      </c>
      <c r="DI55">
        <v>17</v>
      </c>
      <c r="DJ55">
        <f>DJ21</f>
        <v>0</v>
      </c>
      <c r="DK55">
        <v>17</v>
      </c>
      <c r="DL55">
        <f>DL21</f>
        <v>0</v>
      </c>
      <c r="DM55">
        <v>17</v>
      </c>
      <c r="DN55">
        <f>DN21</f>
        <v>0</v>
      </c>
      <c r="DO55">
        <v>17</v>
      </c>
      <c r="DP55">
        <f>DP21</f>
        <v>0</v>
      </c>
      <c r="DQ55">
        <v>17</v>
      </c>
      <c r="DR55">
        <f>DR21</f>
        <v>0</v>
      </c>
      <c r="DS55">
        <v>17</v>
      </c>
      <c r="DT55">
        <f>DT21</f>
        <v>0</v>
      </c>
      <c r="DU55">
        <v>17</v>
      </c>
      <c r="DV55">
        <f>DV21</f>
        <v>0</v>
      </c>
      <c r="DW55">
        <v>17</v>
      </c>
      <c r="DX55">
        <f>DX21</f>
        <v>0</v>
      </c>
      <c r="DY55">
        <v>17</v>
      </c>
      <c r="DZ55">
        <f>DZ21</f>
        <v>0</v>
      </c>
      <c r="EA55">
        <v>17</v>
      </c>
      <c r="EB55">
        <f>EB21</f>
        <v>0</v>
      </c>
      <c r="EC55">
        <v>17</v>
      </c>
      <c r="ED55">
        <f>ED21</f>
        <v>0</v>
      </c>
      <c r="EG55">
        <f>IF(Charts!$B$3="none",E222,IF(BS222="",NA(),BS222))</f>
        <v>0</v>
      </c>
      <c r="EH55">
        <f>IF(Charts!$B$3="none",F222,IF(BT222="",NA(),BT222))</f>
        <v>0</v>
      </c>
      <c r="EI55">
        <f>IF(Charts!$B$3="none",G222,IF(BU222="",NA(),BU222))</f>
        <v>0</v>
      </c>
      <c r="EJ55">
        <f>IF(Charts!$B$3="none",H222,IF(BV222="",NA(),BV222))</f>
        <v>0</v>
      </c>
      <c r="EK55">
        <f>IF(Charts!$B$3="none",I222,IF(BW222="",NA(),BW222))</f>
        <v>0</v>
      </c>
      <c r="EL55">
        <f>IF(Charts!$B$3="none",J222,IF(BX222="",NA(),BX222))</f>
        <v>0</v>
      </c>
      <c r="EM55">
        <f>IF(Charts!$B$3="none",K222,IF(BY222="",NA(),BY222))</f>
        <v>0</v>
      </c>
      <c r="EN55">
        <f>IF(Charts!$B$3="none",L222,IF(BZ222="",NA(),BZ222))</f>
        <v>0</v>
      </c>
      <c r="EO55">
        <f>IF(Charts!$B$3="none",M222,IF(CA222="",NA(),CA222))</f>
        <v>0</v>
      </c>
      <c r="EP55">
        <f>IF(Charts!$B$3="none",N222,IF(CB222="",NA(),CB222))</f>
        <v>0</v>
      </c>
      <c r="EQ55">
        <f>IF(Charts!$B$3="none",O222,IF(CC222="",NA(),CC222))</f>
        <v>0</v>
      </c>
      <c r="ER55">
        <f>IF(Charts!$B$3="none",P222,IF(CD222="",NA(),CD222))</f>
        <v>0</v>
      </c>
      <c r="ES55">
        <f>IF(Charts!$B$3="none",Q222,IF(CE222="",NA(),CE222))</f>
        <v>0</v>
      </c>
      <c r="ET55">
        <f>IF(Charts!$B$3="none",R222,IF(CF222="",NA(),CF222))</f>
        <v>0</v>
      </c>
      <c r="EU55">
        <f>IF(Charts!$B$3="none",S222,IF(CG222="",NA(),CG222))</f>
        <v>0</v>
      </c>
      <c r="EV55">
        <f>IF(Charts!$B$3="none",T222,IF(CH222="",NA(),CH222))</f>
        <v>0</v>
      </c>
      <c r="EW55">
        <f>IF(Charts!$B$3="none",U222,IF(CI222="",NA(),CI222))</f>
        <v>0</v>
      </c>
      <c r="EX55">
        <f>IF(Charts!$B$3="none",V222,IF(CJ222="",NA(),CJ222))</f>
        <v>0</v>
      </c>
      <c r="EY55">
        <f>IF(Charts!$B$3="none",W222,IF(CK222="",NA(),CK222))</f>
        <v>0</v>
      </c>
      <c r="EZ55">
        <f>IF(Charts!$B$3="none",X222,IF(CL222="",NA(),CL222))</f>
        <v>0</v>
      </c>
      <c r="FA55">
        <f>IF(Charts!$B$3="none",Y222,IF(CM222="",NA(),CM222))</f>
        <v>0</v>
      </c>
      <c r="FB55">
        <f>IF(Charts!$B$3="none",Z222,IF(CN222="",NA(),CN222))</f>
        <v>0</v>
      </c>
      <c r="FC55">
        <f>IF(Charts!$B$3="none",AA222,IF(CO222="",NA(),CO222))</f>
        <v>0</v>
      </c>
      <c r="FD55">
        <f>IF(Charts!$B$3="none",AB222,IF(CP222="",NA(),CP222))</f>
        <v>0</v>
      </c>
      <c r="FE55">
        <f>IF(Charts!$B$3="none",AC222,IF(CQ222="",NA(),CQ222))</f>
        <v>0</v>
      </c>
      <c r="FF55">
        <f>IF(Charts!$B$3="none",AD222,IF(CR222="",NA(),CR222))</f>
        <v>0</v>
      </c>
      <c r="FG55">
        <f>IF(Charts!$B$3="none",AE222,IF(CS222="",NA(),CS222))</f>
        <v>0</v>
      </c>
      <c r="FH55">
        <f>IF(Charts!$B$3="none",AF222,IF(CT222="",NA(),CT222))</f>
        <v>0</v>
      </c>
      <c r="FI55">
        <f>IF(Charts!$B$3="none",AG222,IF(CU222="",NA(),CU222))</f>
        <v>0</v>
      </c>
      <c r="FJ55">
        <f>IF(Charts!$B$3="none",AH222,IF(CV222="",NA(),CV222))</f>
        <v>0</v>
      </c>
      <c r="FK55">
        <f>IF(Charts!$B$3="none",AI222,IF(CW222="",NA(),CW222))</f>
        <v>0</v>
      </c>
      <c r="FL55">
        <f>IF(Charts!$B$3="none",AJ222,IF(CX222="",NA(),CX222))</f>
        <v>0</v>
      </c>
      <c r="FM55">
        <f>IF(Charts!$B$3="none",AK222,IF(CY222="",NA(),CY222))</f>
        <v>0</v>
      </c>
      <c r="FN55">
        <f>IF(Charts!$B$3="none",AL222,IF(CZ222="",NA(),CZ222))</f>
        <v>0</v>
      </c>
      <c r="FO55">
        <f>IF(Charts!$B$3="none",AM222,IF(DA222="",NA(),DA222))</f>
        <v>0</v>
      </c>
      <c r="FP55">
        <f>IF(Charts!$B$3="none",AN222,IF(DB222="",NA(),DB222))</f>
        <v>0</v>
      </c>
      <c r="FQ55">
        <f>IF(Charts!$B$3="none",AO222,IF(DC222="",NA(),DC222))</f>
        <v>0</v>
      </c>
      <c r="FR55">
        <f>IF(Charts!$B$3="none",AP222,IF(DD222="",NA(),DD222))</f>
        <v>0</v>
      </c>
      <c r="FS55">
        <f>IF(Charts!$B$3="none",AQ222,IF(DE222="",NA(),DE222))</f>
        <v>0</v>
      </c>
      <c r="FT55">
        <f>IF(Charts!$B$3="none",AR222,IF(DF222="",NA(),DF222))</f>
        <v>0</v>
      </c>
      <c r="FU55">
        <f>IF(Charts!$B$3="none",AS222,IF(DG222="",NA(),DG222))</f>
        <v>0</v>
      </c>
      <c r="FV55">
        <f>IF(Charts!$B$3="none",AT222,IF(DH222="",NA(),DH222))</f>
        <v>0</v>
      </c>
      <c r="FW55">
        <f>IF(Charts!$B$3="none",AU222,IF(DI222="",NA(),DI222))</f>
        <v>0</v>
      </c>
      <c r="FX55">
        <f>IF(Charts!$B$3="none",AV222,IF(DJ222="",NA(),DJ222))</f>
        <v>0</v>
      </c>
      <c r="FY55">
        <f>IF(Charts!$B$3="none",AW222,IF(DK222="",NA(),DK222))</f>
        <v>0</v>
      </c>
      <c r="FZ55">
        <f>IF(Charts!$B$3="none",AX222,IF(DL222="",NA(),DL222))</f>
        <v>0</v>
      </c>
      <c r="GA55">
        <f>IF(Charts!$B$3="none",AY222,IF(DM222="",NA(),DM222))</f>
        <v>0</v>
      </c>
      <c r="GB55">
        <f>IF(Charts!$B$3="none",AZ222,IF(DN222="",NA(),DN222))</f>
        <v>0</v>
      </c>
      <c r="GC55">
        <f>IF(Charts!$B$3="none",BA222,IF(DO222="",NA(),DO222))</f>
        <v>0</v>
      </c>
      <c r="GD55">
        <f>IF(Charts!$B$3="none",BB222,IF(DP222="",NA(),DP222))</f>
        <v>0</v>
      </c>
      <c r="GE55">
        <f>IF(Charts!$B$3="none",BC222,IF(DQ222="",NA(),DQ222))</f>
        <v>0</v>
      </c>
      <c r="GF55">
        <f>IF(Charts!$B$3="none",BD222,IF(DR222="",NA(),DR222))</f>
        <v>0</v>
      </c>
      <c r="GG55">
        <f>IF(Charts!$B$3="none",BE222,IF(DS222="",NA(),DS222))</f>
        <v>0</v>
      </c>
      <c r="GH55">
        <f>IF(Charts!$B$3="none",BF222,IF(DT222="",NA(),DT222))</f>
        <v>0</v>
      </c>
      <c r="GI55">
        <f>IF(Charts!$B$3="none",BG222,IF(DU222="",NA(),DU222))</f>
        <v>0</v>
      </c>
      <c r="GJ55">
        <f>IF(Charts!$B$3="none",BH222,IF(DV222="",NA(),DV222))</f>
        <v>0</v>
      </c>
      <c r="GK55">
        <f>IF(Charts!$B$3="none",BI222,IF(DW222="",NA(),DW222))</f>
        <v>0</v>
      </c>
      <c r="GL55">
        <f>IF(Charts!$B$3="none",BJ222,IF(DX222="",NA(),DX222))</f>
        <v>0</v>
      </c>
      <c r="GM55">
        <f>IF(Charts!$B$3="none",BK222,IF(DY222="",NA(),DY222))</f>
        <v>0</v>
      </c>
      <c r="GN55">
        <f>IF(Charts!$B$3="none",BL222,IF(DZ222="",NA(),DZ222))</f>
        <v>0</v>
      </c>
      <c r="GO55">
        <f>IF(Charts!$B$3="none",BM222,IF(EA222="",NA(),EA222))</f>
        <v>0</v>
      </c>
      <c r="GP55">
        <f>IF(Charts!$B$3="none",BN222,IF(EB222="",NA(),EB222))</f>
        <v>0</v>
      </c>
      <c r="GQ55">
        <f>IF(Charts!$B$3="none",BO222,IF(EC222="",NA(),EC222))</f>
        <v>0</v>
      </c>
      <c r="GR55">
        <f>IF(Charts!$B$3="none",BP222,IF(ED222="",NA(),ED222))</f>
        <v>0</v>
      </c>
    </row>
    <row r="56" spans="5:200">
      <c r="E56">
        <v>18</v>
      </c>
      <c r="F56">
        <f>F22</f>
        <v>0</v>
      </c>
      <c r="G56">
        <v>18</v>
      </c>
      <c r="H56">
        <f>H22</f>
        <v>0</v>
      </c>
      <c r="I56">
        <v>18</v>
      </c>
      <c r="J56">
        <f>J22</f>
        <v>0</v>
      </c>
      <c r="K56">
        <v>18</v>
      </c>
      <c r="L56">
        <f>L22</f>
        <v>0</v>
      </c>
      <c r="M56">
        <v>18</v>
      </c>
      <c r="N56">
        <f>N22</f>
        <v>0</v>
      </c>
      <c r="O56">
        <v>18</v>
      </c>
      <c r="P56">
        <f>P22</f>
        <v>0</v>
      </c>
      <c r="Q56">
        <v>18</v>
      </c>
      <c r="R56">
        <f>R22</f>
        <v>0</v>
      </c>
      <c r="S56">
        <v>18</v>
      </c>
      <c r="T56">
        <f>T22</f>
        <v>0</v>
      </c>
      <c r="U56">
        <v>18</v>
      </c>
      <c r="V56">
        <f>V22</f>
        <v>0</v>
      </c>
      <c r="W56">
        <v>18</v>
      </c>
      <c r="X56">
        <f>X22</f>
        <v>0</v>
      </c>
      <c r="Y56">
        <v>18</v>
      </c>
      <c r="Z56">
        <f>Z22</f>
        <v>0</v>
      </c>
      <c r="AA56">
        <v>18</v>
      </c>
      <c r="AB56">
        <f>AB22</f>
        <v>0</v>
      </c>
      <c r="AC56">
        <v>18</v>
      </c>
      <c r="AD56">
        <f>AD22</f>
        <v>0</v>
      </c>
      <c r="AE56">
        <v>18</v>
      </c>
      <c r="AF56">
        <f>AF22</f>
        <v>0</v>
      </c>
      <c r="AG56">
        <v>18</v>
      </c>
      <c r="AH56">
        <f>AH22</f>
        <v>0</v>
      </c>
      <c r="AI56">
        <v>18</v>
      </c>
      <c r="AJ56">
        <f>AJ22</f>
        <v>0</v>
      </c>
      <c r="AK56">
        <v>18</v>
      </c>
      <c r="AL56">
        <f>AL22</f>
        <v>0</v>
      </c>
      <c r="AM56">
        <v>18</v>
      </c>
      <c r="AN56">
        <f>AN22</f>
        <v>0</v>
      </c>
      <c r="AO56">
        <v>18</v>
      </c>
      <c r="AP56">
        <f>AP22</f>
        <v>0</v>
      </c>
      <c r="AQ56">
        <v>18</v>
      </c>
      <c r="AR56">
        <f>AR22</f>
        <v>0</v>
      </c>
      <c r="AS56">
        <v>18</v>
      </c>
      <c r="AT56">
        <f>AT22</f>
        <v>0</v>
      </c>
      <c r="AU56">
        <v>18</v>
      </c>
      <c r="AV56">
        <f>AV22</f>
        <v>0</v>
      </c>
      <c r="AW56">
        <v>18</v>
      </c>
      <c r="AX56">
        <f>AX22</f>
        <v>0</v>
      </c>
      <c r="AY56">
        <v>18</v>
      </c>
      <c r="AZ56">
        <f>AZ22</f>
        <v>0</v>
      </c>
      <c r="BA56">
        <v>18</v>
      </c>
      <c r="BB56">
        <f>BB22</f>
        <v>0</v>
      </c>
      <c r="BC56">
        <v>18</v>
      </c>
      <c r="BD56">
        <f>BD22</f>
        <v>0</v>
      </c>
      <c r="BE56">
        <v>18</v>
      </c>
      <c r="BF56">
        <f>BF22</f>
        <v>0</v>
      </c>
      <c r="BG56">
        <v>18</v>
      </c>
      <c r="BH56">
        <f>BH22</f>
        <v>0</v>
      </c>
      <c r="BI56">
        <v>18</v>
      </c>
      <c r="BJ56">
        <f>BJ22</f>
        <v>0</v>
      </c>
      <c r="BK56">
        <v>18</v>
      </c>
      <c r="BL56">
        <f>BL22</f>
        <v>0</v>
      </c>
      <c r="BM56">
        <v>18</v>
      </c>
      <c r="BN56">
        <f>BN22</f>
        <v>0</v>
      </c>
      <c r="BO56">
        <v>18</v>
      </c>
      <c r="BP56">
        <f>BP22</f>
        <v>0</v>
      </c>
      <c r="BS56">
        <v>18</v>
      </c>
      <c r="BT56">
        <f>BT22</f>
        <v>0</v>
      </c>
      <c r="BU56">
        <v>18</v>
      </c>
      <c r="BV56">
        <f>BV22</f>
        <v>0</v>
      </c>
      <c r="BW56">
        <v>18</v>
      </c>
      <c r="BX56">
        <f>BX22</f>
        <v>0</v>
      </c>
      <c r="BY56">
        <v>18</v>
      </c>
      <c r="BZ56">
        <f>BZ22</f>
        <v>0</v>
      </c>
      <c r="CA56">
        <v>18</v>
      </c>
      <c r="CB56">
        <f>CB22</f>
        <v>0</v>
      </c>
      <c r="CC56">
        <v>18</v>
      </c>
      <c r="CD56">
        <f>CD22</f>
        <v>0</v>
      </c>
      <c r="CE56">
        <v>18</v>
      </c>
      <c r="CF56">
        <f>CF22</f>
        <v>0</v>
      </c>
      <c r="CG56">
        <v>18</v>
      </c>
      <c r="CH56">
        <f>CH22</f>
        <v>0</v>
      </c>
      <c r="CI56">
        <v>18</v>
      </c>
      <c r="CJ56">
        <f>CJ22</f>
        <v>0</v>
      </c>
      <c r="CK56">
        <v>18</v>
      </c>
      <c r="CL56">
        <f>CL22</f>
        <v>0</v>
      </c>
      <c r="CM56">
        <v>18</v>
      </c>
      <c r="CN56">
        <f>CN22</f>
        <v>0</v>
      </c>
      <c r="CO56">
        <v>18</v>
      </c>
      <c r="CP56">
        <f>CP22</f>
        <v>0</v>
      </c>
      <c r="CQ56">
        <v>18</v>
      </c>
      <c r="CR56">
        <f>CR22</f>
        <v>0</v>
      </c>
      <c r="CS56">
        <v>18</v>
      </c>
      <c r="CT56">
        <f>CT22</f>
        <v>0</v>
      </c>
      <c r="CU56">
        <v>18</v>
      </c>
      <c r="CV56">
        <f>CV22</f>
        <v>0</v>
      </c>
      <c r="CW56">
        <v>18</v>
      </c>
      <c r="CX56">
        <f>CX22</f>
        <v>0</v>
      </c>
      <c r="CY56">
        <v>18</v>
      </c>
      <c r="CZ56">
        <f>CZ22</f>
        <v>0</v>
      </c>
      <c r="DA56">
        <v>18</v>
      </c>
      <c r="DB56">
        <f>DB22</f>
        <v>0</v>
      </c>
      <c r="DC56">
        <v>18</v>
      </c>
      <c r="DD56">
        <f>DD22</f>
        <v>0</v>
      </c>
      <c r="DE56">
        <v>18</v>
      </c>
      <c r="DF56">
        <f>DF22</f>
        <v>0</v>
      </c>
      <c r="DG56">
        <v>18</v>
      </c>
      <c r="DH56">
        <f>DH22</f>
        <v>0</v>
      </c>
      <c r="DI56">
        <v>18</v>
      </c>
      <c r="DJ56">
        <f>DJ22</f>
        <v>0</v>
      </c>
      <c r="DK56">
        <v>18</v>
      </c>
      <c r="DL56">
        <f>DL22</f>
        <v>0</v>
      </c>
      <c r="DM56">
        <v>18</v>
      </c>
      <c r="DN56">
        <f>DN22</f>
        <v>0</v>
      </c>
      <c r="DO56">
        <v>18</v>
      </c>
      <c r="DP56">
        <f>DP22</f>
        <v>0</v>
      </c>
      <c r="DQ56">
        <v>18</v>
      </c>
      <c r="DR56">
        <f>DR22</f>
        <v>0</v>
      </c>
      <c r="DS56">
        <v>18</v>
      </c>
      <c r="DT56">
        <f>DT22</f>
        <v>0</v>
      </c>
      <c r="DU56">
        <v>18</v>
      </c>
      <c r="DV56">
        <f>DV22</f>
        <v>0</v>
      </c>
      <c r="DW56">
        <v>18</v>
      </c>
      <c r="DX56">
        <f>DX22</f>
        <v>0</v>
      </c>
      <c r="DY56">
        <v>18</v>
      </c>
      <c r="DZ56">
        <f>DZ22</f>
        <v>0</v>
      </c>
      <c r="EA56">
        <v>18</v>
      </c>
      <c r="EB56">
        <f>EB22</f>
        <v>0</v>
      </c>
      <c r="EC56">
        <v>18</v>
      </c>
      <c r="ED56">
        <f>ED22</f>
        <v>0</v>
      </c>
      <c r="EG56">
        <f>IF(Charts!$B$3="none",E223,IF(BS223="",NA(),BS223))</f>
        <v>0</v>
      </c>
      <c r="EH56">
        <f>IF(Charts!$B$3="none",F223,IF(BT223="",NA(),BT223))</f>
        <v>0</v>
      </c>
      <c r="EI56">
        <f>IF(Charts!$B$3="none",G223,IF(BU223="",NA(),BU223))</f>
        <v>0</v>
      </c>
      <c r="EJ56">
        <f>IF(Charts!$B$3="none",H223,IF(BV223="",NA(),BV223))</f>
        <v>0</v>
      </c>
      <c r="EK56">
        <f>IF(Charts!$B$3="none",I223,IF(BW223="",NA(),BW223))</f>
        <v>0</v>
      </c>
      <c r="EL56">
        <f>IF(Charts!$B$3="none",J223,IF(BX223="",NA(),BX223))</f>
        <v>0</v>
      </c>
      <c r="EM56">
        <f>IF(Charts!$B$3="none",K223,IF(BY223="",NA(),BY223))</f>
        <v>0</v>
      </c>
      <c r="EN56">
        <f>IF(Charts!$B$3="none",L223,IF(BZ223="",NA(),BZ223))</f>
        <v>0</v>
      </c>
      <c r="EO56">
        <f>IF(Charts!$B$3="none",M223,IF(CA223="",NA(),CA223))</f>
        <v>0</v>
      </c>
      <c r="EP56">
        <f>IF(Charts!$B$3="none",N223,IF(CB223="",NA(),CB223))</f>
        <v>0</v>
      </c>
      <c r="EQ56">
        <f>IF(Charts!$B$3="none",O223,IF(CC223="",NA(),CC223))</f>
        <v>0</v>
      </c>
      <c r="ER56">
        <f>IF(Charts!$B$3="none",P223,IF(CD223="",NA(),CD223))</f>
        <v>0</v>
      </c>
      <c r="ES56">
        <f>IF(Charts!$B$3="none",Q223,IF(CE223="",NA(),CE223))</f>
        <v>0</v>
      </c>
      <c r="ET56">
        <f>IF(Charts!$B$3="none",R223,IF(CF223="",NA(),CF223))</f>
        <v>0</v>
      </c>
      <c r="EU56">
        <f>IF(Charts!$B$3="none",S223,IF(CG223="",NA(),CG223))</f>
        <v>0</v>
      </c>
      <c r="EV56">
        <f>IF(Charts!$B$3="none",T223,IF(CH223="",NA(),CH223))</f>
        <v>0</v>
      </c>
      <c r="EW56">
        <f>IF(Charts!$B$3="none",U223,IF(CI223="",NA(),CI223))</f>
        <v>0</v>
      </c>
      <c r="EX56">
        <f>IF(Charts!$B$3="none",V223,IF(CJ223="",NA(),CJ223))</f>
        <v>0</v>
      </c>
      <c r="EY56">
        <f>IF(Charts!$B$3="none",W223,IF(CK223="",NA(),CK223))</f>
        <v>0</v>
      </c>
      <c r="EZ56">
        <f>IF(Charts!$B$3="none",X223,IF(CL223="",NA(),CL223))</f>
        <v>0</v>
      </c>
      <c r="FA56">
        <f>IF(Charts!$B$3="none",Y223,IF(CM223="",NA(),CM223))</f>
        <v>0</v>
      </c>
      <c r="FB56">
        <f>IF(Charts!$B$3="none",Z223,IF(CN223="",NA(),CN223))</f>
        <v>0</v>
      </c>
      <c r="FC56">
        <f>IF(Charts!$B$3="none",AA223,IF(CO223="",NA(),CO223))</f>
        <v>0</v>
      </c>
      <c r="FD56">
        <f>IF(Charts!$B$3="none",AB223,IF(CP223="",NA(),CP223))</f>
        <v>0</v>
      </c>
      <c r="FE56">
        <f>IF(Charts!$B$3="none",AC223,IF(CQ223="",NA(),CQ223))</f>
        <v>0</v>
      </c>
      <c r="FF56">
        <f>IF(Charts!$B$3="none",AD223,IF(CR223="",NA(),CR223))</f>
        <v>0</v>
      </c>
      <c r="FG56">
        <f>IF(Charts!$B$3="none",AE223,IF(CS223="",NA(),CS223))</f>
        <v>0</v>
      </c>
      <c r="FH56">
        <f>IF(Charts!$B$3="none",AF223,IF(CT223="",NA(),CT223))</f>
        <v>0</v>
      </c>
      <c r="FI56">
        <f>IF(Charts!$B$3="none",AG223,IF(CU223="",NA(),CU223))</f>
        <v>0</v>
      </c>
      <c r="FJ56">
        <f>IF(Charts!$B$3="none",AH223,IF(CV223="",NA(),CV223))</f>
        <v>0</v>
      </c>
      <c r="FK56">
        <f>IF(Charts!$B$3="none",AI223,IF(CW223="",NA(),CW223))</f>
        <v>0</v>
      </c>
      <c r="FL56">
        <f>IF(Charts!$B$3="none",AJ223,IF(CX223="",NA(),CX223))</f>
        <v>0</v>
      </c>
      <c r="FM56">
        <f>IF(Charts!$B$3="none",AK223,IF(CY223="",NA(),CY223))</f>
        <v>0</v>
      </c>
      <c r="FN56">
        <f>IF(Charts!$B$3="none",AL223,IF(CZ223="",NA(),CZ223))</f>
        <v>0</v>
      </c>
      <c r="FO56">
        <f>IF(Charts!$B$3="none",AM223,IF(DA223="",NA(),DA223))</f>
        <v>0</v>
      </c>
      <c r="FP56">
        <f>IF(Charts!$B$3="none",AN223,IF(DB223="",NA(),DB223))</f>
        <v>0</v>
      </c>
      <c r="FQ56">
        <f>IF(Charts!$B$3="none",AO223,IF(DC223="",NA(),DC223))</f>
        <v>0</v>
      </c>
      <c r="FR56">
        <f>IF(Charts!$B$3="none",AP223,IF(DD223="",NA(),DD223))</f>
        <v>0</v>
      </c>
      <c r="FS56">
        <f>IF(Charts!$B$3="none",AQ223,IF(DE223="",NA(),DE223))</f>
        <v>0</v>
      </c>
      <c r="FT56">
        <f>IF(Charts!$B$3="none",AR223,IF(DF223="",NA(),DF223))</f>
        <v>0</v>
      </c>
      <c r="FU56">
        <f>IF(Charts!$B$3="none",AS223,IF(DG223="",NA(),DG223))</f>
        <v>0</v>
      </c>
      <c r="FV56">
        <f>IF(Charts!$B$3="none",AT223,IF(DH223="",NA(),DH223))</f>
        <v>0</v>
      </c>
      <c r="FW56">
        <f>IF(Charts!$B$3="none",AU223,IF(DI223="",NA(),DI223))</f>
        <v>0</v>
      </c>
      <c r="FX56">
        <f>IF(Charts!$B$3="none",AV223,IF(DJ223="",NA(),DJ223))</f>
        <v>0</v>
      </c>
      <c r="FY56">
        <f>IF(Charts!$B$3="none",AW223,IF(DK223="",NA(),DK223))</f>
        <v>0</v>
      </c>
      <c r="FZ56">
        <f>IF(Charts!$B$3="none",AX223,IF(DL223="",NA(),DL223))</f>
        <v>0</v>
      </c>
      <c r="GA56">
        <f>IF(Charts!$B$3="none",AY223,IF(DM223="",NA(),DM223))</f>
        <v>0</v>
      </c>
      <c r="GB56">
        <f>IF(Charts!$B$3="none",AZ223,IF(DN223="",NA(),DN223))</f>
        <v>0</v>
      </c>
      <c r="GC56">
        <f>IF(Charts!$B$3="none",BA223,IF(DO223="",NA(),DO223))</f>
        <v>0</v>
      </c>
      <c r="GD56">
        <f>IF(Charts!$B$3="none",BB223,IF(DP223="",NA(),DP223))</f>
        <v>0</v>
      </c>
      <c r="GE56">
        <f>IF(Charts!$B$3="none",BC223,IF(DQ223="",NA(),DQ223))</f>
        <v>0</v>
      </c>
      <c r="GF56">
        <f>IF(Charts!$B$3="none",BD223,IF(DR223="",NA(),DR223))</f>
        <v>0</v>
      </c>
      <c r="GG56">
        <f>IF(Charts!$B$3="none",BE223,IF(DS223="",NA(),DS223))</f>
        <v>0</v>
      </c>
      <c r="GH56">
        <f>IF(Charts!$B$3="none",BF223,IF(DT223="",NA(),DT223))</f>
        <v>0</v>
      </c>
      <c r="GI56">
        <f>IF(Charts!$B$3="none",BG223,IF(DU223="",NA(),DU223))</f>
        <v>0</v>
      </c>
      <c r="GJ56">
        <f>IF(Charts!$B$3="none",BH223,IF(DV223="",NA(),DV223))</f>
        <v>0</v>
      </c>
      <c r="GK56">
        <f>IF(Charts!$B$3="none",BI223,IF(DW223="",NA(),DW223))</f>
        <v>0</v>
      </c>
      <c r="GL56">
        <f>IF(Charts!$B$3="none",BJ223,IF(DX223="",NA(),DX223))</f>
        <v>0</v>
      </c>
      <c r="GM56">
        <f>IF(Charts!$B$3="none",BK223,IF(DY223="",NA(),DY223))</f>
        <v>0</v>
      </c>
      <c r="GN56">
        <f>IF(Charts!$B$3="none",BL223,IF(DZ223="",NA(),DZ223))</f>
        <v>0</v>
      </c>
      <c r="GO56">
        <f>IF(Charts!$B$3="none",BM223,IF(EA223="",NA(),EA223))</f>
        <v>0</v>
      </c>
      <c r="GP56">
        <f>IF(Charts!$B$3="none",BN223,IF(EB223="",NA(),EB223))</f>
        <v>0</v>
      </c>
      <c r="GQ56">
        <f>IF(Charts!$B$3="none",BO223,IF(EC223="",NA(),EC223))</f>
        <v>0</v>
      </c>
      <c r="GR56">
        <f>IF(Charts!$B$3="none",BP223,IF(ED223="",NA(),ED223))</f>
        <v>0</v>
      </c>
    </row>
    <row r="57" spans="5:200">
      <c r="E57">
        <v>19</v>
      </c>
      <c r="F57">
        <f>F23</f>
        <v>0</v>
      </c>
      <c r="G57">
        <v>19</v>
      </c>
      <c r="H57">
        <f>H23</f>
        <v>0</v>
      </c>
      <c r="I57">
        <v>19</v>
      </c>
      <c r="J57">
        <f>J23</f>
        <v>0</v>
      </c>
      <c r="K57">
        <v>19</v>
      </c>
      <c r="L57">
        <f>L23</f>
        <v>0</v>
      </c>
      <c r="M57">
        <v>19</v>
      </c>
      <c r="N57">
        <f>N23</f>
        <v>0</v>
      </c>
      <c r="O57">
        <v>19</v>
      </c>
      <c r="P57">
        <f>P23</f>
        <v>0</v>
      </c>
      <c r="Q57">
        <v>19</v>
      </c>
      <c r="R57">
        <f>R23</f>
        <v>0</v>
      </c>
      <c r="S57">
        <v>19</v>
      </c>
      <c r="T57">
        <f>T23</f>
        <v>0</v>
      </c>
      <c r="U57">
        <v>19</v>
      </c>
      <c r="V57">
        <f>V23</f>
        <v>0</v>
      </c>
      <c r="W57">
        <v>19</v>
      </c>
      <c r="X57">
        <f>X23</f>
        <v>0</v>
      </c>
      <c r="Y57">
        <v>19</v>
      </c>
      <c r="Z57">
        <f>Z23</f>
        <v>0</v>
      </c>
      <c r="AA57">
        <v>19</v>
      </c>
      <c r="AB57">
        <f>AB23</f>
        <v>0</v>
      </c>
      <c r="AC57">
        <v>19</v>
      </c>
      <c r="AD57">
        <f>AD23</f>
        <v>0</v>
      </c>
      <c r="AE57">
        <v>19</v>
      </c>
      <c r="AF57">
        <f>AF23</f>
        <v>0</v>
      </c>
      <c r="AG57">
        <v>19</v>
      </c>
      <c r="AH57">
        <f>AH23</f>
        <v>0</v>
      </c>
      <c r="AI57">
        <v>19</v>
      </c>
      <c r="AJ57">
        <f>AJ23</f>
        <v>0</v>
      </c>
      <c r="AK57">
        <v>19</v>
      </c>
      <c r="AL57">
        <f>AL23</f>
        <v>0</v>
      </c>
      <c r="AM57">
        <v>19</v>
      </c>
      <c r="AN57">
        <f>AN23</f>
        <v>0</v>
      </c>
      <c r="AO57">
        <v>19</v>
      </c>
      <c r="AP57">
        <f>AP23</f>
        <v>0</v>
      </c>
      <c r="AQ57">
        <v>19</v>
      </c>
      <c r="AR57">
        <f>AR23</f>
        <v>0</v>
      </c>
      <c r="AS57">
        <v>19</v>
      </c>
      <c r="AT57">
        <f>AT23</f>
        <v>0</v>
      </c>
      <c r="AU57">
        <v>19</v>
      </c>
      <c r="AV57">
        <f>AV23</f>
        <v>0</v>
      </c>
      <c r="AW57">
        <v>19</v>
      </c>
      <c r="AX57">
        <f>AX23</f>
        <v>0</v>
      </c>
      <c r="AY57">
        <v>19</v>
      </c>
      <c r="AZ57">
        <f>AZ23</f>
        <v>0</v>
      </c>
      <c r="BA57">
        <v>19</v>
      </c>
      <c r="BB57">
        <f>BB23</f>
        <v>0</v>
      </c>
      <c r="BC57">
        <v>19</v>
      </c>
      <c r="BD57">
        <f>BD23</f>
        <v>0</v>
      </c>
      <c r="BE57">
        <v>19</v>
      </c>
      <c r="BF57">
        <f>BF23</f>
        <v>0</v>
      </c>
      <c r="BG57">
        <v>19</v>
      </c>
      <c r="BH57">
        <f>BH23</f>
        <v>0</v>
      </c>
      <c r="BI57">
        <v>19</v>
      </c>
      <c r="BJ57">
        <f>BJ23</f>
        <v>0</v>
      </c>
      <c r="BK57">
        <v>19</v>
      </c>
      <c r="BL57">
        <f>BL23</f>
        <v>0</v>
      </c>
      <c r="BM57">
        <v>19</v>
      </c>
      <c r="BN57">
        <f>BN23</f>
        <v>0</v>
      </c>
      <c r="BO57">
        <v>19</v>
      </c>
      <c r="BP57">
        <f>BP23</f>
        <v>0</v>
      </c>
      <c r="BS57">
        <v>19</v>
      </c>
      <c r="BT57">
        <f>BT23</f>
        <v>0</v>
      </c>
      <c r="BU57">
        <v>19</v>
      </c>
      <c r="BV57">
        <f>BV23</f>
        <v>0</v>
      </c>
      <c r="BW57">
        <v>19</v>
      </c>
      <c r="BX57">
        <f>BX23</f>
        <v>0</v>
      </c>
      <c r="BY57">
        <v>19</v>
      </c>
      <c r="BZ57">
        <f>BZ23</f>
        <v>0</v>
      </c>
      <c r="CA57">
        <v>19</v>
      </c>
      <c r="CB57">
        <f>CB23</f>
        <v>0</v>
      </c>
      <c r="CC57">
        <v>19</v>
      </c>
      <c r="CD57">
        <f>CD23</f>
        <v>0</v>
      </c>
      <c r="CE57">
        <v>19</v>
      </c>
      <c r="CF57">
        <f>CF23</f>
        <v>0</v>
      </c>
      <c r="CG57">
        <v>19</v>
      </c>
      <c r="CH57">
        <f>CH23</f>
        <v>0</v>
      </c>
      <c r="CI57">
        <v>19</v>
      </c>
      <c r="CJ57">
        <f>CJ23</f>
        <v>0</v>
      </c>
      <c r="CK57">
        <v>19</v>
      </c>
      <c r="CL57">
        <f>CL23</f>
        <v>0</v>
      </c>
      <c r="CM57">
        <v>19</v>
      </c>
      <c r="CN57">
        <f>CN23</f>
        <v>0</v>
      </c>
      <c r="CO57">
        <v>19</v>
      </c>
      <c r="CP57">
        <f>CP23</f>
        <v>0</v>
      </c>
      <c r="CQ57">
        <v>19</v>
      </c>
      <c r="CR57">
        <f>CR23</f>
        <v>0</v>
      </c>
      <c r="CS57">
        <v>19</v>
      </c>
      <c r="CT57">
        <f>CT23</f>
        <v>0</v>
      </c>
      <c r="CU57">
        <v>19</v>
      </c>
      <c r="CV57">
        <f>CV23</f>
        <v>0</v>
      </c>
      <c r="CW57">
        <v>19</v>
      </c>
      <c r="CX57">
        <f>CX23</f>
        <v>0</v>
      </c>
      <c r="CY57">
        <v>19</v>
      </c>
      <c r="CZ57">
        <f>CZ23</f>
        <v>0</v>
      </c>
      <c r="DA57">
        <v>19</v>
      </c>
      <c r="DB57">
        <f>DB23</f>
        <v>0</v>
      </c>
      <c r="DC57">
        <v>19</v>
      </c>
      <c r="DD57">
        <f>DD23</f>
        <v>0</v>
      </c>
      <c r="DE57">
        <v>19</v>
      </c>
      <c r="DF57">
        <f>DF23</f>
        <v>0</v>
      </c>
      <c r="DG57">
        <v>19</v>
      </c>
      <c r="DH57">
        <f>DH23</f>
        <v>0</v>
      </c>
      <c r="DI57">
        <v>19</v>
      </c>
      <c r="DJ57">
        <f>DJ23</f>
        <v>0</v>
      </c>
      <c r="DK57">
        <v>19</v>
      </c>
      <c r="DL57">
        <f>DL23</f>
        <v>0</v>
      </c>
      <c r="DM57">
        <v>19</v>
      </c>
      <c r="DN57">
        <f>DN23</f>
        <v>0</v>
      </c>
      <c r="DO57">
        <v>19</v>
      </c>
      <c r="DP57">
        <f>DP23</f>
        <v>0</v>
      </c>
      <c r="DQ57">
        <v>19</v>
      </c>
      <c r="DR57">
        <f>DR23</f>
        <v>0</v>
      </c>
      <c r="DS57">
        <v>19</v>
      </c>
      <c r="DT57">
        <f>DT23</f>
        <v>0</v>
      </c>
      <c r="DU57">
        <v>19</v>
      </c>
      <c r="DV57">
        <f>DV23</f>
        <v>0</v>
      </c>
      <c r="DW57">
        <v>19</v>
      </c>
      <c r="DX57">
        <f>DX23</f>
        <v>0</v>
      </c>
      <c r="DY57">
        <v>19</v>
      </c>
      <c r="DZ57">
        <f>DZ23</f>
        <v>0</v>
      </c>
      <c r="EA57">
        <v>19</v>
      </c>
      <c r="EB57">
        <f>EB23</f>
        <v>0</v>
      </c>
      <c r="EC57">
        <v>19</v>
      </c>
      <c r="ED57">
        <f>ED23</f>
        <v>0</v>
      </c>
      <c r="EG57">
        <f>IF(Charts!$B$3="none",E224,IF(BS224="",NA(),BS224))</f>
        <v>0</v>
      </c>
      <c r="EH57">
        <f>IF(Charts!$B$3="none",F224,IF(BT224="",NA(),BT224))</f>
        <v>0</v>
      </c>
      <c r="EI57">
        <f>IF(Charts!$B$3="none",G224,IF(BU224="",NA(),BU224))</f>
        <v>0</v>
      </c>
      <c r="EJ57">
        <f>IF(Charts!$B$3="none",H224,IF(BV224="",NA(),BV224))</f>
        <v>0</v>
      </c>
      <c r="EK57">
        <f>IF(Charts!$B$3="none",I224,IF(BW224="",NA(),BW224))</f>
        <v>0</v>
      </c>
      <c r="EL57">
        <f>IF(Charts!$B$3="none",J224,IF(BX224="",NA(),BX224))</f>
        <v>0</v>
      </c>
      <c r="EM57">
        <f>IF(Charts!$B$3="none",K224,IF(BY224="",NA(),BY224))</f>
        <v>0</v>
      </c>
      <c r="EN57">
        <f>IF(Charts!$B$3="none",L224,IF(BZ224="",NA(),BZ224))</f>
        <v>0</v>
      </c>
      <c r="EO57">
        <f>IF(Charts!$B$3="none",M224,IF(CA224="",NA(),CA224))</f>
        <v>0</v>
      </c>
      <c r="EP57">
        <f>IF(Charts!$B$3="none",N224,IF(CB224="",NA(),CB224))</f>
        <v>0</v>
      </c>
      <c r="EQ57">
        <f>IF(Charts!$B$3="none",O224,IF(CC224="",NA(),CC224))</f>
        <v>0</v>
      </c>
      <c r="ER57">
        <f>IF(Charts!$B$3="none",P224,IF(CD224="",NA(),CD224))</f>
        <v>0</v>
      </c>
      <c r="ES57">
        <f>IF(Charts!$B$3="none",Q224,IF(CE224="",NA(),CE224))</f>
        <v>0</v>
      </c>
      <c r="ET57">
        <f>IF(Charts!$B$3="none",R224,IF(CF224="",NA(),CF224))</f>
        <v>0</v>
      </c>
      <c r="EU57">
        <f>IF(Charts!$B$3="none",S224,IF(CG224="",NA(),CG224))</f>
        <v>0</v>
      </c>
      <c r="EV57">
        <f>IF(Charts!$B$3="none",T224,IF(CH224="",NA(),CH224))</f>
        <v>0</v>
      </c>
      <c r="EW57">
        <f>IF(Charts!$B$3="none",U224,IF(CI224="",NA(),CI224))</f>
        <v>0</v>
      </c>
      <c r="EX57">
        <f>IF(Charts!$B$3="none",V224,IF(CJ224="",NA(),CJ224))</f>
        <v>0</v>
      </c>
      <c r="EY57">
        <f>IF(Charts!$B$3="none",W224,IF(CK224="",NA(),CK224))</f>
        <v>0</v>
      </c>
      <c r="EZ57">
        <f>IF(Charts!$B$3="none",X224,IF(CL224="",NA(),CL224))</f>
        <v>0</v>
      </c>
      <c r="FA57">
        <f>IF(Charts!$B$3="none",Y224,IF(CM224="",NA(),CM224))</f>
        <v>0</v>
      </c>
      <c r="FB57">
        <f>IF(Charts!$B$3="none",Z224,IF(CN224="",NA(),CN224))</f>
        <v>0</v>
      </c>
      <c r="FC57">
        <f>IF(Charts!$B$3="none",AA224,IF(CO224="",NA(),CO224))</f>
        <v>0</v>
      </c>
      <c r="FD57">
        <f>IF(Charts!$B$3="none",AB224,IF(CP224="",NA(),CP224))</f>
        <v>0</v>
      </c>
      <c r="FE57">
        <f>IF(Charts!$B$3="none",AC224,IF(CQ224="",NA(),CQ224))</f>
        <v>0</v>
      </c>
      <c r="FF57">
        <f>IF(Charts!$B$3="none",AD224,IF(CR224="",NA(),CR224))</f>
        <v>0</v>
      </c>
      <c r="FG57">
        <f>IF(Charts!$B$3="none",AE224,IF(CS224="",NA(),CS224))</f>
        <v>0</v>
      </c>
      <c r="FH57">
        <f>IF(Charts!$B$3="none",AF224,IF(CT224="",NA(),CT224))</f>
        <v>0</v>
      </c>
      <c r="FI57">
        <f>IF(Charts!$B$3="none",AG224,IF(CU224="",NA(),CU224))</f>
        <v>0</v>
      </c>
      <c r="FJ57">
        <f>IF(Charts!$B$3="none",AH224,IF(CV224="",NA(),CV224))</f>
        <v>0</v>
      </c>
      <c r="FK57">
        <f>IF(Charts!$B$3="none",AI224,IF(CW224="",NA(),CW224))</f>
        <v>0</v>
      </c>
      <c r="FL57">
        <f>IF(Charts!$B$3="none",AJ224,IF(CX224="",NA(),CX224))</f>
        <v>0</v>
      </c>
      <c r="FM57">
        <f>IF(Charts!$B$3="none",AK224,IF(CY224="",NA(),CY224))</f>
        <v>0</v>
      </c>
      <c r="FN57">
        <f>IF(Charts!$B$3="none",AL224,IF(CZ224="",NA(),CZ224))</f>
        <v>0</v>
      </c>
      <c r="FO57">
        <f>IF(Charts!$B$3="none",AM224,IF(DA224="",NA(),DA224))</f>
        <v>0</v>
      </c>
      <c r="FP57">
        <f>IF(Charts!$B$3="none",AN224,IF(DB224="",NA(),DB224))</f>
        <v>0</v>
      </c>
      <c r="FQ57">
        <f>IF(Charts!$B$3="none",AO224,IF(DC224="",NA(),DC224))</f>
        <v>0</v>
      </c>
      <c r="FR57">
        <f>IF(Charts!$B$3="none",AP224,IF(DD224="",NA(),DD224))</f>
        <v>0</v>
      </c>
      <c r="FS57">
        <f>IF(Charts!$B$3="none",AQ224,IF(DE224="",NA(),DE224))</f>
        <v>0</v>
      </c>
      <c r="FT57">
        <f>IF(Charts!$B$3="none",AR224,IF(DF224="",NA(),DF224))</f>
        <v>0</v>
      </c>
      <c r="FU57">
        <f>IF(Charts!$B$3="none",AS224,IF(DG224="",NA(),DG224))</f>
        <v>0</v>
      </c>
      <c r="FV57">
        <f>IF(Charts!$B$3="none",AT224,IF(DH224="",NA(),DH224))</f>
        <v>0</v>
      </c>
      <c r="FW57">
        <f>IF(Charts!$B$3="none",AU224,IF(DI224="",NA(),DI224))</f>
        <v>0</v>
      </c>
      <c r="FX57">
        <f>IF(Charts!$B$3="none",AV224,IF(DJ224="",NA(),DJ224))</f>
        <v>0</v>
      </c>
      <c r="FY57">
        <f>IF(Charts!$B$3="none",AW224,IF(DK224="",NA(),DK224))</f>
        <v>0</v>
      </c>
      <c r="FZ57">
        <f>IF(Charts!$B$3="none",AX224,IF(DL224="",NA(),DL224))</f>
        <v>0</v>
      </c>
      <c r="GA57">
        <f>IF(Charts!$B$3="none",AY224,IF(DM224="",NA(),DM224))</f>
        <v>0</v>
      </c>
      <c r="GB57">
        <f>IF(Charts!$B$3="none",AZ224,IF(DN224="",NA(),DN224))</f>
        <v>0</v>
      </c>
      <c r="GC57">
        <f>IF(Charts!$B$3="none",BA224,IF(DO224="",NA(),DO224))</f>
        <v>0</v>
      </c>
      <c r="GD57">
        <f>IF(Charts!$B$3="none",BB224,IF(DP224="",NA(),DP224))</f>
        <v>0</v>
      </c>
      <c r="GE57">
        <f>IF(Charts!$B$3="none",BC224,IF(DQ224="",NA(),DQ224))</f>
        <v>0</v>
      </c>
      <c r="GF57">
        <f>IF(Charts!$B$3="none",BD224,IF(DR224="",NA(),DR224))</f>
        <v>0</v>
      </c>
      <c r="GG57">
        <f>IF(Charts!$B$3="none",BE224,IF(DS224="",NA(),DS224))</f>
        <v>0</v>
      </c>
      <c r="GH57">
        <f>IF(Charts!$B$3="none",BF224,IF(DT224="",NA(),DT224))</f>
        <v>0</v>
      </c>
      <c r="GI57">
        <f>IF(Charts!$B$3="none",BG224,IF(DU224="",NA(),DU224))</f>
        <v>0</v>
      </c>
      <c r="GJ57">
        <f>IF(Charts!$B$3="none",BH224,IF(DV224="",NA(),DV224))</f>
        <v>0</v>
      </c>
      <c r="GK57">
        <f>IF(Charts!$B$3="none",BI224,IF(DW224="",NA(),DW224))</f>
        <v>0</v>
      </c>
      <c r="GL57">
        <f>IF(Charts!$B$3="none",BJ224,IF(DX224="",NA(),DX224))</f>
        <v>0</v>
      </c>
      <c r="GM57">
        <f>IF(Charts!$B$3="none",BK224,IF(DY224="",NA(),DY224))</f>
        <v>0</v>
      </c>
      <c r="GN57">
        <f>IF(Charts!$B$3="none",BL224,IF(DZ224="",NA(),DZ224))</f>
        <v>0</v>
      </c>
      <c r="GO57">
        <f>IF(Charts!$B$3="none",BM224,IF(EA224="",NA(),EA224))</f>
        <v>0</v>
      </c>
      <c r="GP57">
        <f>IF(Charts!$B$3="none",BN224,IF(EB224="",NA(),EB224))</f>
        <v>0</v>
      </c>
      <c r="GQ57">
        <f>IF(Charts!$B$3="none",BO224,IF(EC224="",NA(),EC224))</f>
        <v>0</v>
      </c>
      <c r="GR57">
        <f>IF(Charts!$B$3="none",BP224,IF(ED224="",NA(),ED224))</f>
        <v>0</v>
      </c>
    </row>
    <row r="58" spans="5:200">
      <c r="E58">
        <v>20</v>
      </c>
      <c r="F58">
        <f>F24</f>
        <v>0</v>
      </c>
      <c r="G58">
        <v>20</v>
      </c>
      <c r="H58">
        <f>H24</f>
        <v>0</v>
      </c>
      <c r="I58">
        <v>20</v>
      </c>
      <c r="J58">
        <f>J24</f>
        <v>0</v>
      </c>
      <c r="K58">
        <v>20</v>
      </c>
      <c r="L58">
        <f>L24</f>
        <v>0</v>
      </c>
      <c r="M58">
        <v>20</v>
      </c>
      <c r="N58">
        <f>N24</f>
        <v>0</v>
      </c>
      <c r="O58">
        <v>20</v>
      </c>
      <c r="P58">
        <f>P24</f>
        <v>0</v>
      </c>
      <c r="Q58">
        <v>20</v>
      </c>
      <c r="R58">
        <f>R24</f>
        <v>0</v>
      </c>
      <c r="S58">
        <v>20</v>
      </c>
      <c r="T58">
        <f>T24</f>
        <v>0</v>
      </c>
      <c r="U58">
        <v>20</v>
      </c>
      <c r="V58">
        <f>V24</f>
        <v>0</v>
      </c>
      <c r="W58">
        <v>20</v>
      </c>
      <c r="X58">
        <f>X24</f>
        <v>0</v>
      </c>
      <c r="Y58">
        <v>20</v>
      </c>
      <c r="Z58">
        <f>Z24</f>
        <v>0</v>
      </c>
      <c r="AA58">
        <v>20</v>
      </c>
      <c r="AB58">
        <f>AB24</f>
        <v>0</v>
      </c>
      <c r="AC58">
        <v>20</v>
      </c>
      <c r="AD58">
        <f>AD24</f>
        <v>0</v>
      </c>
      <c r="AE58">
        <v>20</v>
      </c>
      <c r="AF58">
        <f>AF24</f>
        <v>0</v>
      </c>
      <c r="AG58">
        <v>20</v>
      </c>
      <c r="AH58">
        <f>AH24</f>
        <v>0</v>
      </c>
      <c r="AI58">
        <v>20</v>
      </c>
      <c r="AJ58">
        <f>AJ24</f>
        <v>0</v>
      </c>
      <c r="AK58">
        <v>20</v>
      </c>
      <c r="AL58">
        <f>AL24</f>
        <v>0</v>
      </c>
      <c r="AM58">
        <v>20</v>
      </c>
      <c r="AN58">
        <f>AN24</f>
        <v>0</v>
      </c>
      <c r="AO58">
        <v>20</v>
      </c>
      <c r="AP58">
        <f>AP24</f>
        <v>0</v>
      </c>
      <c r="AQ58">
        <v>20</v>
      </c>
      <c r="AR58">
        <f>AR24</f>
        <v>0</v>
      </c>
      <c r="AS58">
        <v>20</v>
      </c>
      <c r="AT58">
        <f>AT24</f>
        <v>0</v>
      </c>
      <c r="AU58">
        <v>20</v>
      </c>
      <c r="AV58">
        <f>AV24</f>
        <v>0</v>
      </c>
      <c r="AW58">
        <v>20</v>
      </c>
      <c r="AX58">
        <f>AX24</f>
        <v>0</v>
      </c>
      <c r="AY58">
        <v>20</v>
      </c>
      <c r="AZ58">
        <f>AZ24</f>
        <v>0</v>
      </c>
      <c r="BA58">
        <v>20</v>
      </c>
      <c r="BB58">
        <f>BB24</f>
        <v>0</v>
      </c>
      <c r="BC58">
        <v>20</v>
      </c>
      <c r="BD58">
        <f>BD24</f>
        <v>0</v>
      </c>
      <c r="BE58">
        <v>20</v>
      </c>
      <c r="BF58">
        <f>BF24</f>
        <v>0</v>
      </c>
      <c r="BG58">
        <v>20</v>
      </c>
      <c r="BH58">
        <f>BH24</f>
        <v>0</v>
      </c>
      <c r="BI58">
        <v>20</v>
      </c>
      <c r="BJ58">
        <f>BJ24</f>
        <v>0</v>
      </c>
      <c r="BK58">
        <v>20</v>
      </c>
      <c r="BL58">
        <f>BL24</f>
        <v>0</v>
      </c>
      <c r="BM58">
        <v>20</v>
      </c>
      <c r="BN58">
        <f>BN24</f>
        <v>0</v>
      </c>
      <c r="BO58">
        <v>20</v>
      </c>
      <c r="BP58">
        <f>BP24</f>
        <v>0</v>
      </c>
      <c r="BS58">
        <v>20</v>
      </c>
      <c r="BT58">
        <f>BT24</f>
        <v>0</v>
      </c>
      <c r="BU58">
        <v>20</v>
      </c>
      <c r="BV58">
        <f>BV24</f>
        <v>0</v>
      </c>
      <c r="BW58">
        <v>20</v>
      </c>
      <c r="BX58">
        <f>BX24</f>
        <v>0</v>
      </c>
      <c r="BY58">
        <v>20</v>
      </c>
      <c r="BZ58">
        <f>BZ24</f>
        <v>0</v>
      </c>
      <c r="CA58">
        <v>20</v>
      </c>
      <c r="CB58">
        <f>CB24</f>
        <v>0</v>
      </c>
      <c r="CC58">
        <v>20</v>
      </c>
      <c r="CD58">
        <f>CD24</f>
        <v>0</v>
      </c>
      <c r="CE58">
        <v>20</v>
      </c>
      <c r="CF58">
        <f>CF24</f>
        <v>0</v>
      </c>
      <c r="CG58">
        <v>20</v>
      </c>
      <c r="CH58">
        <f>CH24</f>
        <v>0</v>
      </c>
      <c r="CI58">
        <v>20</v>
      </c>
      <c r="CJ58">
        <f>CJ24</f>
        <v>0</v>
      </c>
      <c r="CK58">
        <v>20</v>
      </c>
      <c r="CL58">
        <f>CL24</f>
        <v>0</v>
      </c>
      <c r="CM58">
        <v>20</v>
      </c>
      <c r="CN58">
        <f>CN24</f>
        <v>0</v>
      </c>
      <c r="CO58">
        <v>20</v>
      </c>
      <c r="CP58">
        <f>CP24</f>
        <v>0</v>
      </c>
      <c r="CQ58">
        <v>20</v>
      </c>
      <c r="CR58">
        <f>CR24</f>
        <v>0</v>
      </c>
      <c r="CS58">
        <v>20</v>
      </c>
      <c r="CT58">
        <f>CT24</f>
        <v>0</v>
      </c>
      <c r="CU58">
        <v>20</v>
      </c>
      <c r="CV58">
        <f>CV24</f>
        <v>0</v>
      </c>
      <c r="CW58">
        <v>20</v>
      </c>
      <c r="CX58">
        <f>CX24</f>
        <v>0</v>
      </c>
      <c r="CY58">
        <v>20</v>
      </c>
      <c r="CZ58">
        <f>CZ24</f>
        <v>0</v>
      </c>
      <c r="DA58">
        <v>20</v>
      </c>
      <c r="DB58">
        <f>DB24</f>
        <v>0</v>
      </c>
      <c r="DC58">
        <v>20</v>
      </c>
      <c r="DD58">
        <f>DD24</f>
        <v>0</v>
      </c>
      <c r="DE58">
        <v>20</v>
      </c>
      <c r="DF58">
        <f>DF24</f>
        <v>0</v>
      </c>
      <c r="DG58">
        <v>20</v>
      </c>
      <c r="DH58">
        <f>DH24</f>
        <v>0</v>
      </c>
      <c r="DI58">
        <v>20</v>
      </c>
      <c r="DJ58">
        <f>DJ24</f>
        <v>0</v>
      </c>
      <c r="DK58">
        <v>20</v>
      </c>
      <c r="DL58">
        <f>DL24</f>
        <v>0</v>
      </c>
      <c r="DM58">
        <v>20</v>
      </c>
      <c r="DN58">
        <f>DN24</f>
        <v>0</v>
      </c>
      <c r="DO58">
        <v>20</v>
      </c>
      <c r="DP58">
        <f>DP24</f>
        <v>0</v>
      </c>
      <c r="DQ58">
        <v>20</v>
      </c>
      <c r="DR58">
        <f>DR24</f>
        <v>0</v>
      </c>
      <c r="DS58">
        <v>20</v>
      </c>
      <c r="DT58">
        <f>DT24</f>
        <v>0</v>
      </c>
      <c r="DU58">
        <v>20</v>
      </c>
      <c r="DV58">
        <f>DV24</f>
        <v>0</v>
      </c>
      <c r="DW58">
        <v>20</v>
      </c>
      <c r="DX58">
        <f>DX24</f>
        <v>0</v>
      </c>
      <c r="DY58">
        <v>20</v>
      </c>
      <c r="DZ58">
        <f>DZ24</f>
        <v>0</v>
      </c>
      <c r="EA58">
        <v>20</v>
      </c>
      <c r="EB58">
        <f>EB24</f>
        <v>0</v>
      </c>
      <c r="EC58">
        <v>20</v>
      </c>
      <c r="ED58">
        <f>ED24</f>
        <v>0</v>
      </c>
      <c r="EG58">
        <f>IF(Charts!$B$3="none",E225,IF(BS225="",NA(),BS225))</f>
        <v>0</v>
      </c>
      <c r="EH58">
        <f>IF(Charts!$B$3="none",F225,IF(BT225="",NA(),BT225))</f>
        <v>0</v>
      </c>
      <c r="EI58">
        <f>IF(Charts!$B$3="none",G225,IF(BU225="",NA(),BU225))</f>
        <v>0</v>
      </c>
      <c r="EJ58">
        <f>IF(Charts!$B$3="none",H225,IF(BV225="",NA(),BV225))</f>
        <v>0</v>
      </c>
      <c r="EK58">
        <f>IF(Charts!$B$3="none",I225,IF(BW225="",NA(),BW225))</f>
        <v>0</v>
      </c>
      <c r="EL58">
        <f>IF(Charts!$B$3="none",J225,IF(BX225="",NA(),BX225))</f>
        <v>0</v>
      </c>
      <c r="EM58">
        <f>IF(Charts!$B$3="none",K225,IF(BY225="",NA(),BY225))</f>
        <v>0</v>
      </c>
      <c r="EN58">
        <f>IF(Charts!$B$3="none",L225,IF(BZ225="",NA(),BZ225))</f>
        <v>0</v>
      </c>
      <c r="EO58">
        <f>IF(Charts!$B$3="none",M225,IF(CA225="",NA(),CA225))</f>
        <v>0</v>
      </c>
      <c r="EP58">
        <f>IF(Charts!$B$3="none",N225,IF(CB225="",NA(),CB225))</f>
        <v>0</v>
      </c>
      <c r="EQ58">
        <f>IF(Charts!$B$3="none",O225,IF(CC225="",NA(),CC225))</f>
        <v>0</v>
      </c>
      <c r="ER58">
        <f>IF(Charts!$B$3="none",P225,IF(CD225="",NA(),CD225))</f>
        <v>0</v>
      </c>
      <c r="ES58">
        <f>IF(Charts!$B$3="none",Q225,IF(CE225="",NA(),CE225))</f>
        <v>0</v>
      </c>
      <c r="ET58">
        <f>IF(Charts!$B$3="none",R225,IF(CF225="",NA(),CF225))</f>
        <v>0</v>
      </c>
      <c r="EU58">
        <f>IF(Charts!$B$3="none",S225,IF(CG225="",NA(),CG225))</f>
        <v>0</v>
      </c>
      <c r="EV58">
        <f>IF(Charts!$B$3="none",T225,IF(CH225="",NA(),CH225))</f>
        <v>0</v>
      </c>
      <c r="EW58">
        <f>IF(Charts!$B$3="none",U225,IF(CI225="",NA(),CI225))</f>
        <v>0</v>
      </c>
      <c r="EX58">
        <f>IF(Charts!$B$3="none",V225,IF(CJ225="",NA(),CJ225))</f>
        <v>0</v>
      </c>
      <c r="EY58">
        <f>IF(Charts!$B$3="none",W225,IF(CK225="",NA(),CK225))</f>
        <v>0</v>
      </c>
      <c r="EZ58">
        <f>IF(Charts!$B$3="none",X225,IF(CL225="",NA(),CL225))</f>
        <v>0</v>
      </c>
      <c r="FA58">
        <f>IF(Charts!$B$3="none",Y225,IF(CM225="",NA(),CM225))</f>
        <v>0</v>
      </c>
      <c r="FB58">
        <f>IF(Charts!$B$3="none",Z225,IF(CN225="",NA(),CN225))</f>
        <v>0</v>
      </c>
      <c r="FC58">
        <f>IF(Charts!$B$3="none",AA225,IF(CO225="",NA(),CO225))</f>
        <v>0</v>
      </c>
      <c r="FD58">
        <f>IF(Charts!$B$3="none",AB225,IF(CP225="",NA(),CP225))</f>
        <v>0</v>
      </c>
      <c r="FE58">
        <f>IF(Charts!$B$3="none",AC225,IF(CQ225="",NA(),CQ225))</f>
        <v>0</v>
      </c>
      <c r="FF58">
        <f>IF(Charts!$B$3="none",AD225,IF(CR225="",NA(),CR225))</f>
        <v>0</v>
      </c>
      <c r="FG58">
        <f>IF(Charts!$B$3="none",AE225,IF(CS225="",NA(),CS225))</f>
        <v>0</v>
      </c>
      <c r="FH58">
        <f>IF(Charts!$B$3="none",AF225,IF(CT225="",NA(),CT225))</f>
        <v>0</v>
      </c>
      <c r="FI58">
        <f>IF(Charts!$B$3="none",AG225,IF(CU225="",NA(),CU225))</f>
        <v>0</v>
      </c>
      <c r="FJ58">
        <f>IF(Charts!$B$3="none",AH225,IF(CV225="",NA(),CV225))</f>
        <v>0</v>
      </c>
      <c r="FK58">
        <f>IF(Charts!$B$3="none",AI225,IF(CW225="",NA(),CW225))</f>
        <v>0</v>
      </c>
      <c r="FL58">
        <f>IF(Charts!$B$3="none",AJ225,IF(CX225="",NA(),CX225))</f>
        <v>0</v>
      </c>
      <c r="FM58">
        <f>IF(Charts!$B$3="none",AK225,IF(CY225="",NA(),CY225))</f>
        <v>0</v>
      </c>
      <c r="FN58">
        <f>IF(Charts!$B$3="none",AL225,IF(CZ225="",NA(),CZ225))</f>
        <v>0</v>
      </c>
      <c r="FO58">
        <f>IF(Charts!$B$3="none",AM225,IF(DA225="",NA(),DA225))</f>
        <v>0</v>
      </c>
      <c r="FP58">
        <f>IF(Charts!$B$3="none",AN225,IF(DB225="",NA(),DB225))</f>
        <v>0</v>
      </c>
      <c r="FQ58">
        <f>IF(Charts!$B$3="none",AO225,IF(DC225="",NA(),DC225))</f>
        <v>0</v>
      </c>
      <c r="FR58">
        <f>IF(Charts!$B$3="none",AP225,IF(DD225="",NA(),DD225))</f>
        <v>0</v>
      </c>
      <c r="FS58">
        <f>IF(Charts!$B$3="none",AQ225,IF(DE225="",NA(),DE225))</f>
        <v>0</v>
      </c>
      <c r="FT58">
        <f>IF(Charts!$B$3="none",AR225,IF(DF225="",NA(),DF225))</f>
        <v>0</v>
      </c>
      <c r="FU58">
        <f>IF(Charts!$B$3="none",AS225,IF(DG225="",NA(),DG225))</f>
        <v>0</v>
      </c>
      <c r="FV58">
        <f>IF(Charts!$B$3="none",AT225,IF(DH225="",NA(),DH225))</f>
        <v>0</v>
      </c>
      <c r="FW58">
        <f>IF(Charts!$B$3="none",AU225,IF(DI225="",NA(),DI225))</f>
        <v>0</v>
      </c>
      <c r="FX58">
        <f>IF(Charts!$B$3="none",AV225,IF(DJ225="",NA(),DJ225))</f>
        <v>0</v>
      </c>
      <c r="FY58">
        <f>IF(Charts!$B$3="none",AW225,IF(DK225="",NA(),DK225))</f>
        <v>0</v>
      </c>
      <c r="FZ58">
        <f>IF(Charts!$B$3="none",AX225,IF(DL225="",NA(),DL225))</f>
        <v>0</v>
      </c>
      <c r="GA58">
        <f>IF(Charts!$B$3="none",AY225,IF(DM225="",NA(),DM225))</f>
        <v>0</v>
      </c>
      <c r="GB58">
        <f>IF(Charts!$B$3="none",AZ225,IF(DN225="",NA(),DN225))</f>
        <v>0</v>
      </c>
      <c r="GC58">
        <f>IF(Charts!$B$3="none",BA225,IF(DO225="",NA(),DO225))</f>
        <v>0</v>
      </c>
      <c r="GD58">
        <f>IF(Charts!$B$3="none",BB225,IF(DP225="",NA(),DP225))</f>
        <v>0</v>
      </c>
      <c r="GE58">
        <f>IF(Charts!$B$3="none",BC225,IF(DQ225="",NA(),DQ225))</f>
        <v>0</v>
      </c>
      <c r="GF58">
        <f>IF(Charts!$B$3="none",BD225,IF(DR225="",NA(),DR225))</f>
        <v>0</v>
      </c>
      <c r="GG58">
        <f>IF(Charts!$B$3="none",BE225,IF(DS225="",NA(),DS225))</f>
        <v>0</v>
      </c>
      <c r="GH58">
        <f>IF(Charts!$B$3="none",BF225,IF(DT225="",NA(),DT225))</f>
        <v>0</v>
      </c>
      <c r="GI58">
        <f>IF(Charts!$B$3="none",BG225,IF(DU225="",NA(),DU225))</f>
        <v>0</v>
      </c>
      <c r="GJ58">
        <f>IF(Charts!$B$3="none",BH225,IF(DV225="",NA(),DV225))</f>
        <v>0</v>
      </c>
      <c r="GK58">
        <f>IF(Charts!$B$3="none",BI225,IF(DW225="",NA(),DW225))</f>
        <v>0</v>
      </c>
      <c r="GL58">
        <f>IF(Charts!$B$3="none",BJ225,IF(DX225="",NA(),DX225))</f>
        <v>0</v>
      </c>
      <c r="GM58">
        <f>IF(Charts!$B$3="none",BK225,IF(DY225="",NA(),DY225))</f>
        <v>0</v>
      </c>
      <c r="GN58">
        <f>IF(Charts!$B$3="none",BL225,IF(DZ225="",NA(),DZ225))</f>
        <v>0</v>
      </c>
      <c r="GO58">
        <f>IF(Charts!$B$3="none",BM225,IF(EA225="",NA(),EA225))</f>
        <v>0</v>
      </c>
      <c r="GP58">
        <f>IF(Charts!$B$3="none",BN225,IF(EB225="",NA(),EB225))</f>
        <v>0</v>
      </c>
      <c r="GQ58">
        <f>IF(Charts!$B$3="none",BO225,IF(EC225="",NA(),EC225))</f>
        <v>0</v>
      </c>
      <c r="GR58">
        <f>IF(Charts!$B$3="none",BP225,IF(ED225="",NA(),ED225))</f>
        <v>0</v>
      </c>
    </row>
    <row r="59" spans="5:200">
      <c r="E59">
        <v>21</v>
      </c>
      <c r="F59">
        <f>F25</f>
        <v>0</v>
      </c>
      <c r="G59">
        <v>21</v>
      </c>
      <c r="H59">
        <f>H25</f>
        <v>0</v>
      </c>
      <c r="I59">
        <v>21</v>
      </c>
      <c r="J59">
        <f>J25</f>
        <v>0</v>
      </c>
      <c r="K59">
        <v>21</v>
      </c>
      <c r="L59">
        <f>L25</f>
        <v>0</v>
      </c>
      <c r="M59">
        <v>21</v>
      </c>
      <c r="N59">
        <f>N25</f>
        <v>0</v>
      </c>
      <c r="O59">
        <v>21</v>
      </c>
      <c r="P59">
        <f>P25</f>
        <v>0</v>
      </c>
      <c r="Q59">
        <v>21</v>
      </c>
      <c r="R59">
        <f>R25</f>
        <v>0</v>
      </c>
      <c r="S59">
        <v>21</v>
      </c>
      <c r="T59">
        <f>T25</f>
        <v>0</v>
      </c>
      <c r="U59">
        <v>21</v>
      </c>
      <c r="V59">
        <f>V25</f>
        <v>0</v>
      </c>
      <c r="W59">
        <v>21</v>
      </c>
      <c r="X59">
        <f>X25</f>
        <v>0</v>
      </c>
      <c r="Y59">
        <v>21</v>
      </c>
      <c r="Z59">
        <f>Z25</f>
        <v>0</v>
      </c>
      <c r="AA59">
        <v>21</v>
      </c>
      <c r="AB59">
        <f>AB25</f>
        <v>0</v>
      </c>
      <c r="AC59">
        <v>21</v>
      </c>
      <c r="AD59">
        <f>AD25</f>
        <v>0</v>
      </c>
      <c r="AE59">
        <v>21</v>
      </c>
      <c r="AF59">
        <f>AF25</f>
        <v>0</v>
      </c>
      <c r="AG59">
        <v>21</v>
      </c>
      <c r="AH59">
        <f>AH25</f>
        <v>0</v>
      </c>
      <c r="AI59">
        <v>21</v>
      </c>
      <c r="AJ59">
        <f>AJ25</f>
        <v>0</v>
      </c>
      <c r="AK59">
        <v>21</v>
      </c>
      <c r="AL59">
        <f>AL25</f>
        <v>0</v>
      </c>
      <c r="AM59">
        <v>21</v>
      </c>
      <c r="AN59">
        <f>AN25</f>
        <v>0</v>
      </c>
      <c r="AO59">
        <v>21</v>
      </c>
      <c r="AP59">
        <f>AP25</f>
        <v>0</v>
      </c>
      <c r="AQ59">
        <v>21</v>
      </c>
      <c r="AR59">
        <f>AR25</f>
        <v>0</v>
      </c>
      <c r="AS59">
        <v>21</v>
      </c>
      <c r="AT59">
        <f>AT25</f>
        <v>0</v>
      </c>
      <c r="AU59">
        <v>21</v>
      </c>
      <c r="AV59">
        <f>AV25</f>
        <v>0</v>
      </c>
      <c r="AW59">
        <v>21</v>
      </c>
      <c r="AX59">
        <f>AX25</f>
        <v>0</v>
      </c>
      <c r="AY59">
        <v>21</v>
      </c>
      <c r="AZ59">
        <f>AZ25</f>
        <v>0</v>
      </c>
      <c r="BA59">
        <v>21</v>
      </c>
      <c r="BB59">
        <f>BB25</f>
        <v>0</v>
      </c>
      <c r="BC59">
        <v>21</v>
      </c>
      <c r="BD59">
        <f>BD25</f>
        <v>0</v>
      </c>
      <c r="BE59">
        <v>21</v>
      </c>
      <c r="BF59">
        <f>BF25</f>
        <v>0</v>
      </c>
      <c r="BG59">
        <v>21</v>
      </c>
      <c r="BH59">
        <f>BH25</f>
        <v>0</v>
      </c>
      <c r="BI59">
        <v>21</v>
      </c>
      <c r="BJ59">
        <f>BJ25</f>
        <v>0</v>
      </c>
      <c r="BK59">
        <v>21</v>
      </c>
      <c r="BL59">
        <f>BL25</f>
        <v>0</v>
      </c>
      <c r="BM59">
        <v>21</v>
      </c>
      <c r="BN59">
        <f>BN25</f>
        <v>0</v>
      </c>
      <c r="BO59">
        <v>21</v>
      </c>
      <c r="BP59">
        <f>BP25</f>
        <v>0</v>
      </c>
      <c r="BS59">
        <v>21</v>
      </c>
      <c r="BT59">
        <f>BT25</f>
        <v>0</v>
      </c>
      <c r="BU59">
        <v>21</v>
      </c>
      <c r="BV59">
        <f>BV25</f>
        <v>0</v>
      </c>
      <c r="BW59">
        <v>21</v>
      </c>
      <c r="BX59">
        <f>BX25</f>
        <v>0</v>
      </c>
      <c r="BY59">
        <v>21</v>
      </c>
      <c r="BZ59">
        <f>BZ25</f>
        <v>0</v>
      </c>
      <c r="CA59">
        <v>21</v>
      </c>
      <c r="CB59">
        <f>CB25</f>
        <v>0</v>
      </c>
      <c r="CC59">
        <v>21</v>
      </c>
      <c r="CD59">
        <f>CD25</f>
        <v>0</v>
      </c>
      <c r="CE59">
        <v>21</v>
      </c>
      <c r="CF59">
        <f>CF25</f>
        <v>0</v>
      </c>
      <c r="CG59">
        <v>21</v>
      </c>
      <c r="CH59">
        <f>CH25</f>
        <v>0</v>
      </c>
      <c r="CI59">
        <v>21</v>
      </c>
      <c r="CJ59">
        <f>CJ25</f>
        <v>0</v>
      </c>
      <c r="CK59">
        <v>21</v>
      </c>
      <c r="CL59">
        <f>CL25</f>
        <v>0</v>
      </c>
      <c r="CM59">
        <v>21</v>
      </c>
      <c r="CN59">
        <f>CN25</f>
        <v>0</v>
      </c>
      <c r="CO59">
        <v>21</v>
      </c>
      <c r="CP59">
        <f>CP25</f>
        <v>0</v>
      </c>
      <c r="CQ59">
        <v>21</v>
      </c>
      <c r="CR59">
        <f>CR25</f>
        <v>0</v>
      </c>
      <c r="CS59">
        <v>21</v>
      </c>
      <c r="CT59">
        <f>CT25</f>
        <v>0</v>
      </c>
      <c r="CU59">
        <v>21</v>
      </c>
      <c r="CV59">
        <f>CV25</f>
        <v>0</v>
      </c>
      <c r="CW59">
        <v>21</v>
      </c>
      <c r="CX59">
        <f>CX25</f>
        <v>0</v>
      </c>
      <c r="CY59">
        <v>21</v>
      </c>
      <c r="CZ59">
        <f>CZ25</f>
        <v>0</v>
      </c>
      <c r="DA59">
        <v>21</v>
      </c>
      <c r="DB59">
        <f>DB25</f>
        <v>0</v>
      </c>
      <c r="DC59">
        <v>21</v>
      </c>
      <c r="DD59">
        <f>DD25</f>
        <v>0</v>
      </c>
      <c r="DE59">
        <v>21</v>
      </c>
      <c r="DF59">
        <f>DF25</f>
        <v>0</v>
      </c>
      <c r="DG59">
        <v>21</v>
      </c>
      <c r="DH59">
        <f>DH25</f>
        <v>0</v>
      </c>
      <c r="DI59">
        <v>21</v>
      </c>
      <c r="DJ59">
        <f>DJ25</f>
        <v>0</v>
      </c>
      <c r="DK59">
        <v>21</v>
      </c>
      <c r="DL59">
        <f>DL25</f>
        <v>0</v>
      </c>
      <c r="DM59">
        <v>21</v>
      </c>
      <c r="DN59">
        <f>DN25</f>
        <v>0</v>
      </c>
      <c r="DO59">
        <v>21</v>
      </c>
      <c r="DP59">
        <f>DP25</f>
        <v>0</v>
      </c>
      <c r="DQ59">
        <v>21</v>
      </c>
      <c r="DR59">
        <f>DR25</f>
        <v>0</v>
      </c>
      <c r="DS59">
        <v>21</v>
      </c>
      <c r="DT59">
        <f>DT25</f>
        <v>0</v>
      </c>
      <c r="DU59">
        <v>21</v>
      </c>
      <c r="DV59">
        <f>DV25</f>
        <v>0</v>
      </c>
      <c r="DW59">
        <v>21</v>
      </c>
      <c r="DX59">
        <f>DX25</f>
        <v>0</v>
      </c>
      <c r="DY59">
        <v>21</v>
      </c>
      <c r="DZ59">
        <f>DZ25</f>
        <v>0</v>
      </c>
      <c r="EA59">
        <v>21</v>
      </c>
      <c r="EB59">
        <f>EB25</f>
        <v>0</v>
      </c>
      <c r="EC59">
        <v>21</v>
      </c>
      <c r="ED59">
        <f>ED25</f>
        <v>0</v>
      </c>
      <c r="EG59">
        <f>IF(Charts!$B$3="none",E226,IF(BS226="",NA(),BS226))</f>
        <v>0</v>
      </c>
      <c r="EH59">
        <f>IF(Charts!$B$3="none",F226,IF(BT226="",NA(),BT226))</f>
        <v>0</v>
      </c>
      <c r="EI59">
        <f>IF(Charts!$B$3="none",G226,IF(BU226="",NA(),BU226))</f>
        <v>0</v>
      </c>
      <c r="EJ59">
        <f>IF(Charts!$B$3="none",H226,IF(BV226="",NA(),BV226))</f>
        <v>0</v>
      </c>
      <c r="EK59">
        <f>IF(Charts!$B$3="none",I226,IF(BW226="",NA(),BW226))</f>
        <v>0</v>
      </c>
      <c r="EL59">
        <f>IF(Charts!$B$3="none",J226,IF(BX226="",NA(),BX226))</f>
        <v>0</v>
      </c>
      <c r="EM59">
        <f>IF(Charts!$B$3="none",K226,IF(BY226="",NA(),BY226))</f>
        <v>0</v>
      </c>
      <c r="EN59">
        <f>IF(Charts!$B$3="none",L226,IF(BZ226="",NA(),BZ226))</f>
        <v>0</v>
      </c>
      <c r="EO59">
        <f>IF(Charts!$B$3="none",M226,IF(CA226="",NA(),CA226))</f>
        <v>0</v>
      </c>
      <c r="EP59">
        <f>IF(Charts!$B$3="none",N226,IF(CB226="",NA(),CB226))</f>
        <v>0</v>
      </c>
      <c r="EQ59">
        <f>IF(Charts!$B$3="none",O226,IF(CC226="",NA(),CC226))</f>
        <v>0</v>
      </c>
      <c r="ER59">
        <f>IF(Charts!$B$3="none",P226,IF(CD226="",NA(),CD226))</f>
        <v>0</v>
      </c>
      <c r="ES59">
        <f>IF(Charts!$B$3="none",Q226,IF(CE226="",NA(),CE226))</f>
        <v>0</v>
      </c>
      <c r="ET59">
        <f>IF(Charts!$B$3="none",R226,IF(CF226="",NA(),CF226))</f>
        <v>0</v>
      </c>
      <c r="EU59">
        <f>IF(Charts!$B$3="none",S226,IF(CG226="",NA(),CG226))</f>
        <v>0</v>
      </c>
      <c r="EV59">
        <f>IF(Charts!$B$3="none",T226,IF(CH226="",NA(),CH226))</f>
        <v>0</v>
      </c>
      <c r="EW59">
        <f>IF(Charts!$B$3="none",U226,IF(CI226="",NA(),CI226))</f>
        <v>0</v>
      </c>
      <c r="EX59">
        <f>IF(Charts!$B$3="none",V226,IF(CJ226="",NA(),CJ226))</f>
        <v>0</v>
      </c>
      <c r="EY59">
        <f>IF(Charts!$B$3="none",W226,IF(CK226="",NA(),CK226))</f>
        <v>0</v>
      </c>
      <c r="EZ59">
        <f>IF(Charts!$B$3="none",X226,IF(CL226="",NA(),CL226))</f>
        <v>0</v>
      </c>
      <c r="FA59">
        <f>IF(Charts!$B$3="none",Y226,IF(CM226="",NA(),CM226))</f>
        <v>0</v>
      </c>
      <c r="FB59">
        <f>IF(Charts!$B$3="none",Z226,IF(CN226="",NA(),CN226))</f>
        <v>0</v>
      </c>
      <c r="FC59">
        <f>IF(Charts!$B$3="none",AA226,IF(CO226="",NA(),CO226))</f>
        <v>0</v>
      </c>
      <c r="FD59">
        <f>IF(Charts!$B$3="none",AB226,IF(CP226="",NA(),CP226))</f>
        <v>0</v>
      </c>
      <c r="FE59">
        <f>IF(Charts!$B$3="none",AC226,IF(CQ226="",NA(),CQ226))</f>
        <v>0</v>
      </c>
      <c r="FF59">
        <f>IF(Charts!$B$3="none",AD226,IF(CR226="",NA(),CR226))</f>
        <v>0</v>
      </c>
      <c r="FG59">
        <f>IF(Charts!$B$3="none",AE226,IF(CS226="",NA(),CS226))</f>
        <v>0</v>
      </c>
      <c r="FH59">
        <f>IF(Charts!$B$3="none",AF226,IF(CT226="",NA(),CT226))</f>
        <v>0</v>
      </c>
      <c r="FI59">
        <f>IF(Charts!$B$3="none",AG226,IF(CU226="",NA(),CU226))</f>
        <v>0</v>
      </c>
      <c r="FJ59">
        <f>IF(Charts!$B$3="none",AH226,IF(CV226="",NA(),CV226))</f>
        <v>0</v>
      </c>
      <c r="FK59">
        <f>IF(Charts!$B$3="none",AI226,IF(CW226="",NA(),CW226))</f>
        <v>0</v>
      </c>
      <c r="FL59">
        <f>IF(Charts!$B$3="none",AJ226,IF(CX226="",NA(),CX226))</f>
        <v>0</v>
      </c>
      <c r="FM59">
        <f>IF(Charts!$B$3="none",AK226,IF(CY226="",NA(),CY226))</f>
        <v>0</v>
      </c>
      <c r="FN59">
        <f>IF(Charts!$B$3="none",AL226,IF(CZ226="",NA(),CZ226))</f>
        <v>0</v>
      </c>
      <c r="FO59">
        <f>IF(Charts!$B$3="none",AM226,IF(DA226="",NA(),DA226))</f>
        <v>0</v>
      </c>
      <c r="FP59">
        <f>IF(Charts!$B$3="none",AN226,IF(DB226="",NA(),DB226))</f>
        <v>0</v>
      </c>
      <c r="FQ59">
        <f>IF(Charts!$B$3="none",AO226,IF(DC226="",NA(),DC226))</f>
        <v>0</v>
      </c>
      <c r="FR59">
        <f>IF(Charts!$B$3="none",AP226,IF(DD226="",NA(),DD226))</f>
        <v>0</v>
      </c>
      <c r="FS59">
        <f>IF(Charts!$B$3="none",AQ226,IF(DE226="",NA(),DE226))</f>
        <v>0</v>
      </c>
      <c r="FT59">
        <f>IF(Charts!$B$3="none",AR226,IF(DF226="",NA(),DF226))</f>
        <v>0</v>
      </c>
      <c r="FU59">
        <f>IF(Charts!$B$3="none",AS226,IF(DG226="",NA(),DG226))</f>
        <v>0</v>
      </c>
      <c r="FV59">
        <f>IF(Charts!$B$3="none",AT226,IF(DH226="",NA(),DH226))</f>
        <v>0</v>
      </c>
      <c r="FW59">
        <f>IF(Charts!$B$3="none",AU226,IF(DI226="",NA(),DI226))</f>
        <v>0</v>
      </c>
      <c r="FX59">
        <f>IF(Charts!$B$3="none",AV226,IF(DJ226="",NA(),DJ226))</f>
        <v>0</v>
      </c>
      <c r="FY59">
        <f>IF(Charts!$B$3="none",AW226,IF(DK226="",NA(),DK226))</f>
        <v>0</v>
      </c>
      <c r="FZ59">
        <f>IF(Charts!$B$3="none",AX226,IF(DL226="",NA(),DL226))</f>
        <v>0</v>
      </c>
      <c r="GA59">
        <f>IF(Charts!$B$3="none",AY226,IF(DM226="",NA(),DM226))</f>
        <v>0</v>
      </c>
      <c r="GB59">
        <f>IF(Charts!$B$3="none",AZ226,IF(DN226="",NA(),DN226))</f>
        <v>0</v>
      </c>
      <c r="GC59">
        <f>IF(Charts!$B$3="none",BA226,IF(DO226="",NA(),DO226))</f>
        <v>0</v>
      </c>
      <c r="GD59">
        <f>IF(Charts!$B$3="none",BB226,IF(DP226="",NA(),DP226))</f>
        <v>0</v>
      </c>
      <c r="GE59">
        <f>IF(Charts!$B$3="none",BC226,IF(DQ226="",NA(),DQ226))</f>
        <v>0</v>
      </c>
      <c r="GF59">
        <f>IF(Charts!$B$3="none",BD226,IF(DR226="",NA(),DR226))</f>
        <v>0</v>
      </c>
      <c r="GG59">
        <f>IF(Charts!$B$3="none",BE226,IF(DS226="",NA(),DS226))</f>
        <v>0</v>
      </c>
      <c r="GH59">
        <f>IF(Charts!$B$3="none",BF226,IF(DT226="",NA(),DT226))</f>
        <v>0</v>
      </c>
      <c r="GI59">
        <f>IF(Charts!$B$3="none",BG226,IF(DU226="",NA(),DU226))</f>
        <v>0</v>
      </c>
      <c r="GJ59">
        <f>IF(Charts!$B$3="none",BH226,IF(DV226="",NA(),DV226))</f>
        <v>0</v>
      </c>
      <c r="GK59">
        <f>IF(Charts!$B$3="none",BI226,IF(DW226="",NA(),DW226))</f>
        <v>0</v>
      </c>
      <c r="GL59">
        <f>IF(Charts!$B$3="none",BJ226,IF(DX226="",NA(),DX226))</f>
        <v>0</v>
      </c>
      <c r="GM59">
        <f>IF(Charts!$B$3="none",BK226,IF(DY226="",NA(),DY226))</f>
        <v>0</v>
      </c>
      <c r="GN59">
        <f>IF(Charts!$B$3="none",BL226,IF(DZ226="",NA(),DZ226))</f>
        <v>0</v>
      </c>
      <c r="GO59">
        <f>IF(Charts!$B$3="none",BM226,IF(EA226="",NA(),EA226))</f>
        <v>0</v>
      </c>
      <c r="GP59">
        <f>IF(Charts!$B$3="none",BN226,IF(EB226="",NA(),EB226))</f>
        <v>0</v>
      </c>
      <c r="GQ59">
        <f>IF(Charts!$B$3="none",BO226,IF(EC226="",NA(),EC226))</f>
        <v>0</v>
      </c>
      <c r="GR59">
        <f>IF(Charts!$B$3="none",BP226,IF(ED226="",NA(),ED226))</f>
        <v>0</v>
      </c>
    </row>
    <row r="60" spans="5:200">
      <c r="E60">
        <v>22</v>
      </c>
      <c r="F60">
        <f>F26</f>
        <v>0</v>
      </c>
      <c r="G60">
        <v>22</v>
      </c>
      <c r="H60">
        <f>H26</f>
        <v>0</v>
      </c>
      <c r="I60">
        <v>22</v>
      </c>
      <c r="J60">
        <f>J26</f>
        <v>0</v>
      </c>
      <c r="K60">
        <v>22</v>
      </c>
      <c r="L60">
        <f>L26</f>
        <v>0</v>
      </c>
      <c r="M60">
        <v>22</v>
      </c>
      <c r="N60">
        <f>N26</f>
        <v>0</v>
      </c>
      <c r="O60">
        <v>22</v>
      </c>
      <c r="P60">
        <f>P26</f>
        <v>0</v>
      </c>
      <c r="Q60">
        <v>22</v>
      </c>
      <c r="R60">
        <f>R26</f>
        <v>0</v>
      </c>
      <c r="S60">
        <v>22</v>
      </c>
      <c r="T60">
        <f>T26</f>
        <v>0</v>
      </c>
      <c r="U60">
        <v>22</v>
      </c>
      <c r="V60">
        <f>V26</f>
        <v>0</v>
      </c>
      <c r="W60">
        <v>22</v>
      </c>
      <c r="X60">
        <f>X26</f>
        <v>0</v>
      </c>
      <c r="Y60">
        <v>22</v>
      </c>
      <c r="Z60">
        <f>Z26</f>
        <v>0</v>
      </c>
      <c r="AA60">
        <v>22</v>
      </c>
      <c r="AB60">
        <f>AB26</f>
        <v>0</v>
      </c>
      <c r="AC60">
        <v>22</v>
      </c>
      <c r="AD60">
        <f>AD26</f>
        <v>0</v>
      </c>
      <c r="AE60">
        <v>22</v>
      </c>
      <c r="AF60">
        <f>AF26</f>
        <v>0</v>
      </c>
      <c r="AG60">
        <v>22</v>
      </c>
      <c r="AH60">
        <f>AH26</f>
        <v>0</v>
      </c>
      <c r="AI60">
        <v>22</v>
      </c>
      <c r="AJ60">
        <f>AJ26</f>
        <v>0</v>
      </c>
      <c r="AK60">
        <v>22</v>
      </c>
      <c r="AL60">
        <f>AL26</f>
        <v>0</v>
      </c>
      <c r="AM60">
        <v>22</v>
      </c>
      <c r="AN60">
        <f>AN26</f>
        <v>0</v>
      </c>
      <c r="AO60">
        <v>22</v>
      </c>
      <c r="AP60">
        <f>AP26</f>
        <v>0</v>
      </c>
      <c r="AQ60">
        <v>22</v>
      </c>
      <c r="AR60">
        <f>AR26</f>
        <v>0</v>
      </c>
      <c r="AS60">
        <v>22</v>
      </c>
      <c r="AT60">
        <f>AT26</f>
        <v>0</v>
      </c>
      <c r="AU60">
        <v>22</v>
      </c>
      <c r="AV60">
        <f>AV26</f>
        <v>0</v>
      </c>
      <c r="AW60">
        <v>22</v>
      </c>
      <c r="AX60">
        <f>AX26</f>
        <v>0</v>
      </c>
      <c r="AY60">
        <v>22</v>
      </c>
      <c r="AZ60">
        <f>AZ26</f>
        <v>0</v>
      </c>
      <c r="BA60">
        <v>22</v>
      </c>
      <c r="BB60">
        <f>BB26</f>
        <v>0</v>
      </c>
      <c r="BC60">
        <v>22</v>
      </c>
      <c r="BD60">
        <f>BD26</f>
        <v>0</v>
      </c>
      <c r="BE60">
        <v>22</v>
      </c>
      <c r="BF60">
        <f>BF26</f>
        <v>0</v>
      </c>
      <c r="BG60">
        <v>22</v>
      </c>
      <c r="BH60">
        <f>BH26</f>
        <v>0</v>
      </c>
      <c r="BI60">
        <v>22</v>
      </c>
      <c r="BJ60">
        <f>BJ26</f>
        <v>0</v>
      </c>
      <c r="BK60">
        <v>22</v>
      </c>
      <c r="BL60">
        <f>BL26</f>
        <v>0</v>
      </c>
      <c r="BM60">
        <v>22</v>
      </c>
      <c r="BN60">
        <f>BN26</f>
        <v>0</v>
      </c>
      <c r="BO60">
        <v>22</v>
      </c>
      <c r="BP60">
        <f>BP26</f>
        <v>0</v>
      </c>
      <c r="BS60">
        <v>22</v>
      </c>
      <c r="BT60">
        <f>BT26</f>
        <v>0</v>
      </c>
      <c r="BU60">
        <v>22</v>
      </c>
      <c r="BV60">
        <f>BV26</f>
        <v>0</v>
      </c>
      <c r="BW60">
        <v>22</v>
      </c>
      <c r="BX60">
        <f>BX26</f>
        <v>0</v>
      </c>
      <c r="BY60">
        <v>22</v>
      </c>
      <c r="BZ60">
        <f>BZ26</f>
        <v>0</v>
      </c>
      <c r="CA60">
        <v>22</v>
      </c>
      <c r="CB60">
        <f>CB26</f>
        <v>0</v>
      </c>
      <c r="CC60">
        <v>22</v>
      </c>
      <c r="CD60">
        <f>CD26</f>
        <v>0</v>
      </c>
      <c r="CE60">
        <v>22</v>
      </c>
      <c r="CF60">
        <f>CF26</f>
        <v>0</v>
      </c>
      <c r="CG60">
        <v>22</v>
      </c>
      <c r="CH60">
        <f>CH26</f>
        <v>0</v>
      </c>
      <c r="CI60">
        <v>22</v>
      </c>
      <c r="CJ60">
        <f>CJ26</f>
        <v>0</v>
      </c>
      <c r="CK60">
        <v>22</v>
      </c>
      <c r="CL60">
        <f>CL26</f>
        <v>0</v>
      </c>
      <c r="CM60">
        <v>22</v>
      </c>
      <c r="CN60">
        <f>CN26</f>
        <v>0</v>
      </c>
      <c r="CO60">
        <v>22</v>
      </c>
      <c r="CP60">
        <f>CP26</f>
        <v>0</v>
      </c>
      <c r="CQ60">
        <v>22</v>
      </c>
      <c r="CR60">
        <f>CR26</f>
        <v>0</v>
      </c>
      <c r="CS60">
        <v>22</v>
      </c>
      <c r="CT60">
        <f>CT26</f>
        <v>0</v>
      </c>
      <c r="CU60">
        <v>22</v>
      </c>
      <c r="CV60">
        <f>CV26</f>
        <v>0</v>
      </c>
      <c r="CW60">
        <v>22</v>
      </c>
      <c r="CX60">
        <f>CX26</f>
        <v>0</v>
      </c>
      <c r="CY60">
        <v>22</v>
      </c>
      <c r="CZ60">
        <f>CZ26</f>
        <v>0</v>
      </c>
      <c r="DA60">
        <v>22</v>
      </c>
      <c r="DB60">
        <f>DB26</f>
        <v>0</v>
      </c>
      <c r="DC60">
        <v>22</v>
      </c>
      <c r="DD60">
        <f>DD26</f>
        <v>0</v>
      </c>
      <c r="DE60">
        <v>22</v>
      </c>
      <c r="DF60">
        <f>DF26</f>
        <v>0</v>
      </c>
      <c r="DG60">
        <v>22</v>
      </c>
      <c r="DH60">
        <f>DH26</f>
        <v>0</v>
      </c>
      <c r="DI60">
        <v>22</v>
      </c>
      <c r="DJ60">
        <f>DJ26</f>
        <v>0</v>
      </c>
      <c r="DK60">
        <v>22</v>
      </c>
      <c r="DL60">
        <f>DL26</f>
        <v>0</v>
      </c>
      <c r="DM60">
        <v>22</v>
      </c>
      <c r="DN60">
        <f>DN26</f>
        <v>0</v>
      </c>
      <c r="DO60">
        <v>22</v>
      </c>
      <c r="DP60">
        <f>DP26</f>
        <v>0</v>
      </c>
      <c r="DQ60">
        <v>22</v>
      </c>
      <c r="DR60">
        <f>DR26</f>
        <v>0</v>
      </c>
      <c r="DS60">
        <v>22</v>
      </c>
      <c r="DT60">
        <f>DT26</f>
        <v>0</v>
      </c>
      <c r="DU60">
        <v>22</v>
      </c>
      <c r="DV60">
        <f>DV26</f>
        <v>0</v>
      </c>
      <c r="DW60">
        <v>22</v>
      </c>
      <c r="DX60">
        <f>DX26</f>
        <v>0</v>
      </c>
      <c r="DY60">
        <v>22</v>
      </c>
      <c r="DZ60">
        <f>DZ26</f>
        <v>0</v>
      </c>
      <c r="EA60">
        <v>22</v>
      </c>
      <c r="EB60">
        <f>EB26</f>
        <v>0</v>
      </c>
      <c r="EC60">
        <v>22</v>
      </c>
      <c r="ED60">
        <f>ED26</f>
        <v>0</v>
      </c>
      <c r="EG60">
        <f>IF(Charts!$B$3="none",E227,IF(BS227="",NA(),BS227))</f>
        <v>0</v>
      </c>
      <c r="EH60">
        <f>IF(Charts!$B$3="none",F227,IF(BT227="",NA(),BT227))</f>
        <v>0</v>
      </c>
      <c r="EI60">
        <f>IF(Charts!$B$3="none",G227,IF(BU227="",NA(),BU227))</f>
        <v>0</v>
      </c>
      <c r="EJ60">
        <f>IF(Charts!$B$3="none",H227,IF(BV227="",NA(),BV227))</f>
        <v>0</v>
      </c>
      <c r="EK60">
        <f>IF(Charts!$B$3="none",I227,IF(BW227="",NA(),BW227))</f>
        <v>0</v>
      </c>
      <c r="EL60">
        <f>IF(Charts!$B$3="none",J227,IF(BX227="",NA(),BX227))</f>
        <v>0</v>
      </c>
      <c r="EM60">
        <f>IF(Charts!$B$3="none",K227,IF(BY227="",NA(),BY227))</f>
        <v>0</v>
      </c>
      <c r="EN60">
        <f>IF(Charts!$B$3="none",L227,IF(BZ227="",NA(),BZ227))</f>
        <v>0</v>
      </c>
      <c r="EO60">
        <f>IF(Charts!$B$3="none",M227,IF(CA227="",NA(),CA227))</f>
        <v>0</v>
      </c>
      <c r="EP60">
        <f>IF(Charts!$B$3="none",N227,IF(CB227="",NA(),CB227))</f>
        <v>0</v>
      </c>
      <c r="EQ60">
        <f>IF(Charts!$B$3="none",O227,IF(CC227="",NA(),CC227))</f>
        <v>0</v>
      </c>
      <c r="ER60">
        <f>IF(Charts!$B$3="none",P227,IF(CD227="",NA(),CD227))</f>
        <v>0</v>
      </c>
      <c r="ES60">
        <f>IF(Charts!$B$3="none",Q227,IF(CE227="",NA(),CE227))</f>
        <v>0</v>
      </c>
      <c r="ET60">
        <f>IF(Charts!$B$3="none",R227,IF(CF227="",NA(),CF227))</f>
        <v>0</v>
      </c>
      <c r="EU60">
        <f>IF(Charts!$B$3="none",S227,IF(CG227="",NA(),CG227))</f>
        <v>0</v>
      </c>
      <c r="EV60">
        <f>IF(Charts!$B$3="none",T227,IF(CH227="",NA(),CH227))</f>
        <v>0</v>
      </c>
      <c r="EW60">
        <f>IF(Charts!$B$3="none",U227,IF(CI227="",NA(),CI227))</f>
        <v>0</v>
      </c>
      <c r="EX60">
        <f>IF(Charts!$B$3="none",V227,IF(CJ227="",NA(),CJ227))</f>
        <v>0</v>
      </c>
      <c r="EY60">
        <f>IF(Charts!$B$3="none",W227,IF(CK227="",NA(),CK227))</f>
        <v>0</v>
      </c>
      <c r="EZ60">
        <f>IF(Charts!$B$3="none",X227,IF(CL227="",NA(),CL227))</f>
        <v>0</v>
      </c>
      <c r="FA60">
        <f>IF(Charts!$B$3="none",Y227,IF(CM227="",NA(),CM227))</f>
        <v>0</v>
      </c>
      <c r="FB60">
        <f>IF(Charts!$B$3="none",Z227,IF(CN227="",NA(),CN227))</f>
        <v>0</v>
      </c>
      <c r="FC60">
        <f>IF(Charts!$B$3="none",AA227,IF(CO227="",NA(),CO227))</f>
        <v>0</v>
      </c>
      <c r="FD60">
        <f>IF(Charts!$B$3="none",AB227,IF(CP227="",NA(),CP227))</f>
        <v>0</v>
      </c>
      <c r="FE60">
        <f>IF(Charts!$B$3="none",AC227,IF(CQ227="",NA(),CQ227))</f>
        <v>0</v>
      </c>
      <c r="FF60">
        <f>IF(Charts!$B$3="none",AD227,IF(CR227="",NA(),CR227))</f>
        <v>0</v>
      </c>
      <c r="FG60">
        <f>IF(Charts!$B$3="none",AE227,IF(CS227="",NA(),CS227))</f>
        <v>0</v>
      </c>
      <c r="FH60">
        <f>IF(Charts!$B$3="none",AF227,IF(CT227="",NA(),CT227))</f>
        <v>0</v>
      </c>
      <c r="FI60">
        <f>IF(Charts!$B$3="none",AG227,IF(CU227="",NA(),CU227))</f>
        <v>0</v>
      </c>
      <c r="FJ60">
        <f>IF(Charts!$B$3="none",AH227,IF(CV227="",NA(),CV227))</f>
        <v>0</v>
      </c>
      <c r="FK60">
        <f>IF(Charts!$B$3="none",AI227,IF(CW227="",NA(),CW227))</f>
        <v>0</v>
      </c>
      <c r="FL60">
        <f>IF(Charts!$B$3="none",AJ227,IF(CX227="",NA(),CX227))</f>
        <v>0</v>
      </c>
      <c r="FM60">
        <f>IF(Charts!$B$3="none",AK227,IF(CY227="",NA(),CY227))</f>
        <v>0</v>
      </c>
      <c r="FN60">
        <f>IF(Charts!$B$3="none",AL227,IF(CZ227="",NA(),CZ227))</f>
        <v>0</v>
      </c>
      <c r="FO60">
        <f>IF(Charts!$B$3="none",AM227,IF(DA227="",NA(),DA227))</f>
        <v>0</v>
      </c>
      <c r="FP60">
        <f>IF(Charts!$B$3="none",AN227,IF(DB227="",NA(),DB227))</f>
        <v>0</v>
      </c>
      <c r="FQ60">
        <f>IF(Charts!$B$3="none",AO227,IF(DC227="",NA(),DC227))</f>
        <v>0</v>
      </c>
      <c r="FR60">
        <f>IF(Charts!$B$3="none",AP227,IF(DD227="",NA(),DD227))</f>
        <v>0</v>
      </c>
      <c r="FS60">
        <f>IF(Charts!$B$3="none",AQ227,IF(DE227="",NA(),DE227))</f>
        <v>0</v>
      </c>
      <c r="FT60">
        <f>IF(Charts!$B$3="none",AR227,IF(DF227="",NA(),DF227))</f>
        <v>0</v>
      </c>
      <c r="FU60">
        <f>IF(Charts!$B$3="none",AS227,IF(DG227="",NA(),DG227))</f>
        <v>0</v>
      </c>
      <c r="FV60">
        <f>IF(Charts!$B$3="none",AT227,IF(DH227="",NA(),DH227))</f>
        <v>0</v>
      </c>
      <c r="FW60">
        <f>IF(Charts!$B$3="none",AU227,IF(DI227="",NA(),DI227))</f>
        <v>0</v>
      </c>
      <c r="FX60">
        <f>IF(Charts!$B$3="none",AV227,IF(DJ227="",NA(),DJ227))</f>
        <v>0</v>
      </c>
      <c r="FY60">
        <f>IF(Charts!$B$3="none",AW227,IF(DK227="",NA(),DK227))</f>
        <v>0</v>
      </c>
      <c r="FZ60">
        <f>IF(Charts!$B$3="none",AX227,IF(DL227="",NA(),DL227))</f>
        <v>0</v>
      </c>
      <c r="GA60">
        <f>IF(Charts!$B$3="none",AY227,IF(DM227="",NA(),DM227))</f>
        <v>0</v>
      </c>
      <c r="GB60">
        <f>IF(Charts!$B$3="none",AZ227,IF(DN227="",NA(),DN227))</f>
        <v>0</v>
      </c>
      <c r="GC60">
        <f>IF(Charts!$B$3="none",BA227,IF(DO227="",NA(),DO227))</f>
        <v>0</v>
      </c>
      <c r="GD60">
        <f>IF(Charts!$B$3="none",BB227,IF(DP227="",NA(),DP227))</f>
        <v>0</v>
      </c>
      <c r="GE60">
        <f>IF(Charts!$B$3="none",BC227,IF(DQ227="",NA(),DQ227))</f>
        <v>0</v>
      </c>
      <c r="GF60">
        <f>IF(Charts!$B$3="none",BD227,IF(DR227="",NA(),DR227))</f>
        <v>0</v>
      </c>
      <c r="GG60">
        <f>IF(Charts!$B$3="none",BE227,IF(DS227="",NA(),DS227))</f>
        <v>0</v>
      </c>
      <c r="GH60">
        <f>IF(Charts!$B$3="none",BF227,IF(DT227="",NA(),DT227))</f>
        <v>0</v>
      </c>
      <c r="GI60">
        <f>IF(Charts!$B$3="none",BG227,IF(DU227="",NA(),DU227))</f>
        <v>0</v>
      </c>
      <c r="GJ60">
        <f>IF(Charts!$B$3="none",BH227,IF(DV227="",NA(),DV227))</f>
        <v>0</v>
      </c>
      <c r="GK60">
        <f>IF(Charts!$B$3="none",BI227,IF(DW227="",NA(),DW227))</f>
        <v>0</v>
      </c>
      <c r="GL60">
        <f>IF(Charts!$B$3="none",BJ227,IF(DX227="",NA(),DX227))</f>
        <v>0</v>
      </c>
      <c r="GM60">
        <f>IF(Charts!$B$3="none",BK227,IF(DY227="",NA(),DY227))</f>
        <v>0</v>
      </c>
      <c r="GN60">
        <f>IF(Charts!$B$3="none",BL227,IF(DZ227="",NA(),DZ227))</f>
        <v>0</v>
      </c>
      <c r="GO60">
        <f>IF(Charts!$B$3="none",BM227,IF(EA227="",NA(),EA227))</f>
        <v>0</v>
      </c>
      <c r="GP60">
        <f>IF(Charts!$B$3="none",BN227,IF(EB227="",NA(),EB227))</f>
        <v>0</v>
      </c>
      <c r="GQ60">
        <f>IF(Charts!$B$3="none",BO227,IF(EC227="",NA(),EC227))</f>
        <v>0</v>
      </c>
      <c r="GR60">
        <f>IF(Charts!$B$3="none",BP227,IF(ED227="",NA(),ED227))</f>
        <v>0</v>
      </c>
    </row>
    <row r="61" spans="5:200">
      <c r="E61">
        <v>23</v>
      </c>
      <c r="F61">
        <f>F27</f>
        <v>0</v>
      </c>
      <c r="G61">
        <v>23</v>
      </c>
      <c r="H61">
        <f>H27</f>
        <v>0</v>
      </c>
      <c r="I61">
        <v>23</v>
      </c>
      <c r="J61">
        <f>J27</f>
        <v>0</v>
      </c>
      <c r="K61">
        <v>23</v>
      </c>
      <c r="L61">
        <f>L27</f>
        <v>0</v>
      </c>
      <c r="M61">
        <v>23</v>
      </c>
      <c r="N61">
        <f>N27</f>
        <v>0</v>
      </c>
      <c r="O61">
        <v>23</v>
      </c>
      <c r="P61">
        <f>P27</f>
        <v>0</v>
      </c>
      <c r="Q61">
        <v>23</v>
      </c>
      <c r="R61">
        <f>R27</f>
        <v>0</v>
      </c>
      <c r="S61">
        <v>23</v>
      </c>
      <c r="T61">
        <f>T27</f>
        <v>0</v>
      </c>
      <c r="U61">
        <v>23</v>
      </c>
      <c r="V61">
        <f>V27</f>
        <v>0</v>
      </c>
      <c r="W61">
        <v>23</v>
      </c>
      <c r="X61">
        <f>X27</f>
        <v>0</v>
      </c>
      <c r="Y61">
        <v>23</v>
      </c>
      <c r="Z61">
        <f>Z27</f>
        <v>0</v>
      </c>
      <c r="AA61">
        <v>23</v>
      </c>
      <c r="AB61">
        <f>AB27</f>
        <v>0</v>
      </c>
      <c r="AC61">
        <v>23</v>
      </c>
      <c r="AD61">
        <f>AD27</f>
        <v>0</v>
      </c>
      <c r="AE61">
        <v>23</v>
      </c>
      <c r="AF61">
        <f>AF27</f>
        <v>0</v>
      </c>
      <c r="AG61">
        <v>23</v>
      </c>
      <c r="AH61">
        <f>AH27</f>
        <v>0</v>
      </c>
      <c r="AI61">
        <v>23</v>
      </c>
      <c r="AJ61">
        <f>AJ27</f>
        <v>0</v>
      </c>
      <c r="AK61">
        <v>23</v>
      </c>
      <c r="AL61">
        <f>AL27</f>
        <v>0</v>
      </c>
      <c r="AM61">
        <v>23</v>
      </c>
      <c r="AN61">
        <f>AN27</f>
        <v>0</v>
      </c>
      <c r="AO61">
        <v>23</v>
      </c>
      <c r="AP61">
        <f>AP27</f>
        <v>0</v>
      </c>
      <c r="AQ61">
        <v>23</v>
      </c>
      <c r="AR61">
        <f>AR27</f>
        <v>0</v>
      </c>
      <c r="AS61">
        <v>23</v>
      </c>
      <c r="AT61">
        <f>AT27</f>
        <v>0</v>
      </c>
      <c r="AU61">
        <v>23</v>
      </c>
      <c r="AV61">
        <f>AV27</f>
        <v>0</v>
      </c>
      <c r="AW61">
        <v>23</v>
      </c>
      <c r="AX61">
        <f>AX27</f>
        <v>0</v>
      </c>
      <c r="AY61">
        <v>23</v>
      </c>
      <c r="AZ61">
        <f>AZ27</f>
        <v>0</v>
      </c>
      <c r="BA61">
        <v>23</v>
      </c>
      <c r="BB61">
        <f>BB27</f>
        <v>0</v>
      </c>
      <c r="BC61">
        <v>23</v>
      </c>
      <c r="BD61">
        <f>BD27</f>
        <v>0</v>
      </c>
      <c r="BE61">
        <v>23</v>
      </c>
      <c r="BF61">
        <f>BF27</f>
        <v>0</v>
      </c>
      <c r="BG61">
        <v>23</v>
      </c>
      <c r="BH61">
        <f>BH27</f>
        <v>0</v>
      </c>
      <c r="BI61">
        <v>23</v>
      </c>
      <c r="BJ61">
        <f>BJ27</f>
        <v>0</v>
      </c>
      <c r="BK61">
        <v>23</v>
      </c>
      <c r="BL61">
        <f>BL27</f>
        <v>0</v>
      </c>
      <c r="BM61">
        <v>23</v>
      </c>
      <c r="BN61">
        <f>BN27</f>
        <v>0</v>
      </c>
      <c r="BO61">
        <v>23</v>
      </c>
      <c r="BP61">
        <f>BP27</f>
        <v>0</v>
      </c>
      <c r="BS61">
        <v>23</v>
      </c>
      <c r="BT61">
        <f>BT27</f>
        <v>0</v>
      </c>
      <c r="BU61">
        <v>23</v>
      </c>
      <c r="BV61">
        <f>BV27</f>
        <v>0</v>
      </c>
      <c r="BW61">
        <v>23</v>
      </c>
      <c r="BX61">
        <f>BX27</f>
        <v>0</v>
      </c>
      <c r="BY61">
        <v>23</v>
      </c>
      <c r="BZ61">
        <f>BZ27</f>
        <v>0</v>
      </c>
      <c r="CA61">
        <v>23</v>
      </c>
      <c r="CB61">
        <f>CB27</f>
        <v>0</v>
      </c>
      <c r="CC61">
        <v>23</v>
      </c>
      <c r="CD61">
        <f>CD27</f>
        <v>0</v>
      </c>
      <c r="CE61">
        <v>23</v>
      </c>
      <c r="CF61">
        <f>CF27</f>
        <v>0</v>
      </c>
      <c r="CG61">
        <v>23</v>
      </c>
      <c r="CH61">
        <f>CH27</f>
        <v>0</v>
      </c>
      <c r="CI61">
        <v>23</v>
      </c>
      <c r="CJ61">
        <f>CJ27</f>
        <v>0</v>
      </c>
      <c r="CK61">
        <v>23</v>
      </c>
      <c r="CL61">
        <f>CL27</f>
        <v>0</v>
      </c>
      <c r="CM61">
        <v>23</v>
      </c>
      <c r="CN61">
        <f>CN27</f>
        <v>0</v>
      </c>
      <c r="CO61">
        <v>23</v>
      </c>
      <c r="CP61">
        <f>CP27</f>
        <v>0</v>
      </c>
      <c r="CQ61">
        <v>23</v>
      </c>
      <c r="CR61">
        <f>CR27</f>
        <v>0</v>
      </c>
      <c r="CS61">
        <v>23</v>
      </c>
      <c r="CT61">
        <f>CT27</f>
        <v>0</v>
      </c>
      <c r="CU61">
        <v>23</v>
      </c>
      <c r="CV61">
        <f>CV27</f>
        <v>0</v>
      </c>
      <c r="CW61">
        <v>23</v>
      </c>
      <c r="CX61">
        <f>CX27</f>
        <v>0</v>
      </c>
      <c r="CY61">
        <v>23</v>
      </c>
      <c r="CZ61">
        <f>CZ27</f>
        <v>0</v>
      </c>
      <c r="DA61">
        <v>23</v>
      </c>
      <c r="DB61">
        <f>DB27</f>
        <v>0</v>
      </c>
      <c r="DC61">
        <v>23</v>
      </c>
      <c r="DD61">
        <f>DD27</f>
        <v>0</v>
      </c>
      <c r="DE61">
        <v>23</v>
      </c>
      <c r="DF61">
        <f>DF27</f>
        <v>0</v>
      </c>
      <c r="DG61">
        <v>23</v>
      </c>
      <c r="DH61">
        <f>DH27</f>
        <v>0</v>
      </c>
      <c r="DI61">
        <v>23</v>
      </c>
      <c r="DJ61">
        <f>DJ27</f>
        <v>0</v>
      </c>
      <c r="DK61">
        <v>23</v>
      </c>
      <c r="DL61">
        <f>DL27</f>
        <v>0</v>
      </c>
      <c r="DM61">
        <v>23</v>
      </c>
      <c r="DN61">
        <f>DN27</f>
        <v>0</v>
      </c>
      <c r="DO61">
        <v>23</v>
      </c>
      <c r="DP61">
        <f>DP27</f>
        <v>0</v>
      </c>
      <c r="DQ61">
        <v>23</v>
      </c>
      <c r="DR61">
        <f>DR27</f>
        <v>0</v>
      </c>
      <c r="DS61">
        <v>23</v>
      </c>
      <c r="DT61">
        <f>DT27</f>
        <v>0</v>
      </c>
      <c r="DU61">
        <v>23</v>
      </c>
      <c r="DV61">
        <f>DV27</f>
        <v>0</v>
      </c>
      <c r="DW61">
        <v>23</v>
      </c>
      <c r="DX61">
        <f>DX27</f>
        <v>0</v>
      </c>
      <c r="DY61">
        <v>23</v>
      </c>
      <c r="DZ61">
        <f>DZ27</f>
        <v>0</v>
      </c>
      <c r="EA61">
        <v>23</v>
      </c>
      <c r="EB61">
        <f>EB27</f>
        <v>0</v>
      </c>
      <c r="EC61">
        <v>23</v>
      </c>
      <c r="ED61">
        <f>ED27</f>
        <v>0</v>
      </c>
      <c r="EG61">
        <f>IF(Charts!$B$3="none",E228,IF(BS228="",NA(),BS228))</f>
        <v>0</v>
      </c>
      <c r="EH61">
        <f>IF(Charts!$B$3="none",F228,IF(BT228="",NA(),BT228))</f>
        <v>0</v>
      </c>
      <c r="EI61">
        <f>IF(Charts!$B$3="none",G228,IF(BU228="",NA(),BU228))</f>
        <v>0</v>
      </c>
      <c r="EJ61">
        <f>IF(Charts!$B$3="none",H228,IF(BV228="",NA(),BV228))</f>
        <v>0</v>
      </c>
      <c r="EK61">
        <f>IF(Charts!$B$3="none",I228,IF(BW228="",NA(),BW228))</f>
        <v>0</v>
      </c>
      <c r="EL61">
        <f>IF(Charts!$B$3="none",J228,IF(BX228="",NA(),BX228))</f>
        <v>0</v>
      </c>
      <c r="EM61">
        <f>IF(Charts!$B$3="none",K228,IF(BY228="",NA(),BY228))</f>
        <v>0</v>
      </c>
      <c r="EN61">
        <f>IF(Charts!$B$3="none",L228,IF(BZ228="",NA(),BZ228))</f>
        <v>0</v>
      </c>
      <c r="EO61">
        <f>IF(Charts!$B$3="none",M228,IF(CA228="",NA(),CA228))</f>
        <v>0</v>
      </c>
      <c r="EP61">
        <f>IF(Charts!$B$3="none",N228,IF(CB228="",NA(),CB228))</f>
        <v>0</v>
      </c>
      <c r="EQ61">
        <f>IF(Charts!$B$3="none",O228,IF(CC228="",NA(),CC228))</f>
        <v>0</v>
      </c>
      <c r="ER61">
        <f>IF(Charts!$B$3="none",P228,IF(CD228="",NA(),CD228))</f>
        <v>0</v>
      </c>
      <c r="ES61">
        <f>IF(Charts!$B$3="none",Q228,IF(CE228="",NA(),CE228))</f>
        <v>0</v>
      </c>
      <c r="ET61">
        <f>IF(Charts!$B$3="none",R228,IF(CF228="",NA(),CF228))</f>
        <v>0</v>
      </c>
      <c r="EU61">
        <f>IF(Charts!$B$3="none",S228,IF(CG228="",NA(),CG228))</f>
        <v>0</v>
      </c>
      <c r="EV61">
        <f>IF(Charts!$B$3="none",T228,IF(CH228="",NA(),CH228))</f>
        <v>0</v>
      </c>
      <c r="EW61">
        <f>IF(Charts!$B$3="none",U228,IF(CI228="",NA(),CI228))</f>
        <v>0</v>
      </c>
      <c r="EX61">
        <f>IF(Charts!$B$3="none",V228,IF(CJ228="",NA(),CJ228))</f>
        <v>0</v>
      </c>
      <c r="EY61">
        <f>IF(Charts!$B$3="none",W228,IF(CK228="",NA(),CK228))</f>
        <v>0</v>
      </c>
      <c r="EZ61">
        <f>IF(Charts!$B$3="none",X228,IF(CL228="",NA(),CL228))</f>
        <v>0</v>
      </c>
      <c r="FA61">
        <f>IF(Charts!$B$3="none",Y228,IF(CM228="",NA(),CM228))</f>
        <v>0</v>
      </c>
      <c r="FB61">
        <f>IF(Charts!$B$3="none",Z228,IF(CN228="",NA(),CN228))</f>
        <v>0</v>
      </c>
      <c r="FC61">
        <f>IF(Charts!$B$3="none",AA228,IF(CO228="",NA(),CO228))</f>
        <v>0</v>
      </c>
      <c r="FD61">
        <f>IF(Charts!$B$3="none",AB228,IF(CP228="",NA(),CP228))</f>
        <v>0</v>
      </c>
      <c r="FE61">
        <f>IF(Charts!$B$3="none",AC228,IF(CQ228="",NA(),CQ228))</f>
        <v>0</v>
      </c>
      <c r="FF61">
        <f>IF(Charts!$B$3="none",AD228,IF(CR228="",NA(),CR228))</f>
        <v>0</v>
      </c>
      <c r="FG61">
        <f>IF(Charts!$B$3="none",AE228,IF(CS228="",NA(),CS228))</f>
        <v>0</v>
      </c>
      <c r="FH61">
        <f>IF(Charts!$B$3="none",AF228,IF(CT228="",NA(),CT228))</f>
        <v>0</v>
      </c>
      <c r="FI61">
        <f>IF(Charts!$B$3="none",AG228,IF(CU228="",NA(),CU228))</f>
        <v>0</v>
      </c>
      <c r="FJ61">
        <f>IF(Charts!$B$3="none",AH228,IF(CV228="",NA(),CV228))</f>
        <v>0</v>
      </c>
      <c r="FK61">
        <f>IF(Charts!$B$3="none",AI228,IF(CW228="",NA(),CW228))</f>
        <v>0</v>
      </c>
      <c r="FL61">
        <f>IF(Charts!$B$3="none",AJ228,IF(CX228="",NA(),CX228))</f>
        <v>0</v>
      </c>
      <c r="FM61">
        <f>IF(Charts!$B$3="none",AK228,IF(CY228="",NA(),CY228))</f>
        <v>0</v>
      </c>
      <c r="FN61">
        <f>IF(Charts!$B$3="none",AL228,IF(CZ228="",NA(),CZ228))</f>
        <v>0</v>
      </c>
      <c r="FO61">
        <f>IF(Charts!$B$3="none",AM228,IF(DA228="",NA(),DA228))</f>
        <v>0</v>
      </c>
      <c r="FP61">
        <f>IF(Charts!$B$3="none",AN228,IF(DB228="",NA(),DB228))</f>
        <v>0</v>
      </c>
      <c r="FQ61">
        <f>IF(Charts!$B$3="none",AO228,IF(DC228="",NA(),DC228))</f>
        <v>0</v>
      </c>
      <c r="FR61">
        <f>IF(Charts!$B$3="none",AP228,IF(DD228="",NA(),DD228))</f>
        <v>0</v>
      </c>
      <c r="FS61">
        <f>IF(Charts!$B$3="none",AQ228,IF(DE228="",NA(),DE228))</f>
        <v>0</v>
      </c>
      <c r="FT61">
        <f>IF(Charts!$B$3="none",AR228,IF(DF228="",NA(),DF228))</f>
        <v>0</v>
      </c>
      <c r="FU61">
        <f>IF(Charts!$B$3="none",AS228,IF(DG228="",NA(),DG228))</f>
        <v>0</v>
      </c>
      <c r="FV61">
        <f>IF(Charts!$B$3="none",AT228,IF(DH228="",NA(),DH228))</f>
        <v>0</v>
      </c>
      <c r="FW61">
        <f>IF(Charts!$B$3="none",AU228,IF(DI228="",NA(),DI228))</f>
        <v>0</v>
      </c>
      <c r="FX61">
        <f>IF(Charts!$B$3="none",AV228,IF(DJ228="",NA(),DJ228))</f>
        <v>0</v>
      </c>
      <c r="FY61">
        <f>IF(Charts!$B$3="none",AW228,IF(DK228="",NA(),DK228))</f>
        <v>0</v>
      </c>
      <c r="FZ61">
        <f>IF(Charts!$B$3="none",AX228,IF(DL228="",NA(),DL228))</f>
        <v>0</v>
      </c>
      <c r="GA61">
        <f>IF(Charts!$B$3="none",AY228,IF(DM228="",NA(),DM228))</f>
        <v>0</v>
      </c>
      <c r="GB61">
        <f>IF(Charts!$B$3="none",AZ228,IF(DN228="",NA(),DN228))</f>
        <v>0</v>
      </c>
      <c r="GC61">
        <f>IF(Charts!$B$3="none",BA228,IF(DO228="",NA(),DO228))</f>
        <v>0</v>
      </c>
      <c r="GD61">
        <f>IF(Charts!$B$3="none",BB228,IF(DP228="",NA(),DP228))</f>
        <v>0</v>
      </c>
      <c r="GE61">
        <f>IF(Charts!$B$3="none",BC228,IF(DQ228="",NA(),DQ228))</f>
        <v>0</v>
      </c>
      <c r="GF61">
        <f>IF(Charts!$B$3="none",BD228,IF(DR228="",NA(),DR228))</f>
        <v>0</v>
      </c>
      <c r="GG61">
        <f>IF(Charts!$B$3="none",BE228,IF(DS228="",NA(),DS228))</f>
        <v>0</v>
      </c>
      <c r="GH61">
        <f>IF(Charts!$B$3="none",BF228,IF(DT228="",NA(),DT228))</f>
        <v>0</v>
      </c>
      <c r="GI61">
        <f>IF(Charts!$B$3="none",BG228,IF(DU228="",NA(),DU228))</f>
        <v>0</v>
      </c>
      <c r="GJ61">
        <f>IF(Charts!$B$3="none",BH228,IF(DV228="",NA(),DV228))</f>
        <v>0</v>
      </c>
      <c r="GK61">
        <f>IF(Charts!$B$3="none",BI228,IF(DW228="",NA(),DW228))</f>
        <v>0</v>
      </c>
      <c r="GL61">
        <f>IF(Charts!$B$3="none",BJ228,IF(DX228="",NA(),DX228))</f>
        <v>0</v>
      </c>
      <c r="GM61">
        <f>IF(Charts!$B$3="none",BK228,IF(DY228="",NA(),DY228))</f>
        <v>0</v>
      </c>
      <c r="GN61">
        <f>IF(Charts!$B$3="none",BL228,IF(DZ228="",NA(),DZ228))</f>
        <v>0</v>
      </c>
      <c r="GO61">
        <f>IF(Charts!$B$3="none",BM228,IF(EA228="",NA(),EA228))</f>
        <v>0</v>
      </c>
      <c r="GP61">
        <f>IF(Charts!$B$3="none",BN228,IF(EB228="",NA(),EB228))</f>
        <v>0</v>
      </c>
      <c r="GQ61">
        <f>IF(Charts!$B$3="none",BO228,IF(EC228="",NA(),EC228))</f>
        <v>0</v>
      </c>
      <c r="GR61">
        <f>IF(Charts!$B$3="none",BP228,IF(ED228="",NA(),ED228))</f>
        <v>0</v>
      </c>
    </row>
    <row r="62" spans="5:200">
      <c r="E62">
        <v>24</v>
      </c>
      <c r="F62">
        <f>F28</f>
        <v>0</v>
      </c>
      <c r="G62">
        <v>24</v>
      </c>
      <c r="H62">
        <f>H28</f>
        <v>0</v>
      </c>
      <c r="I62">
        <v>24</v>
      </c>
      <c r="J62">
        <f>J28</f>
        <v>0</v>
      </c>
      <c r="K62">
        <v>24</v>
      </c>
      <c r="L62">
        <f>L28</f>
        <v>0</v>
      </c>
      <c r="M62">
        <v>24</v>
      </c>
      <c r="N62">
        <f>N28</f>
        <v>0</v>
      </c>
      <c r="O62">
        <v>24</v>
      </c>
      <c r="P62">
        <f>P28</f>
        <v>0</v>
      </c>
      <c r="Q62">
        <v>24</v>
      </c>
      <c r="R62">
        <f>R28</f>
        <v>0</v>
      </c>
      <c r="S62">
        <v>24</v>
      </c>
      <c r="T62">
        <f>T28</f>
        <v>0</v>
      </c>
      <c r="U62">
        <v>24</v>
      </c>
      <c r="V62">
        <f>V28</f>
        <v>0</v>
      </c>
      <c r="W62">
        <v>24</v>
      </c>
      <c r="X62">
        <f>X28</f>
        <v>0</v>
      </c>
      <c r="Y62">
        <v>24</v>
      </c>
      <c r="Z62">
        <f>Z28</f>
        <v>0</v>
      </c>
      <c r="AA62">
        <v>24</v>
      </c>
      <c r="AB62">
        <f>AB28</f>
        <v>0</v>
      </c>
      <c r="AC62">
        <v>24</v>
      </c>
      <c r="AD62">
        <f>AD28</f>
        <v>0</v>
      </c>
      <c r="AE62">
        <v>24</v>
      </c>
      <c r="AF62">
        <f>AF28</f>
        <v>0</v>
      </c>
      <c r="AG62">
        <v>24</v>
      </c>
      <c r="AH62">
        <f>AH28</f>
        <v>0</v>
      </c>
      <c r="AI62">
        <v>24</v>
      </c>
      <c r="AJ62">
        <f>AJ28</f>
        <v>0</v>
      </c>
      <c r="AK62">
        <v>24</v>
      </c>
      <c r="AL62">
        <f>AL28</f>
        <v>0</v>
      </c>
      <c r="AM62">
        <v>24</v>
      </c>
      <c r="AN62">
        <f>AN28</f>
        <v>0</v>
      </c>
      <c r="AO62">
        <v>24</v>
      </c>
      <c r="AP62">
        <f>AP28</f>
        <v>0</v>
      </c>
      <c r="AQ62">
        <v>24</v>
      </c>
      <c r="AR62">
        <f>AR28</f>
        <v>0</v>
      </c>
      <c r="AS62">
        <v>24</v>
      </c>
      <c r="AT62">
        <f>AT28</f>
        <v>0</v>
      </c>
      <c r="AU62">
        <v>24</v>
      </c>
      <c r="AV62">
        <f>AV28</f>
        <v>0</v>
      </c>
      <c r="AW62">
        <v>24</v>
      </c>
      <c r="AX62">
        <f>AX28</f>
        <v>0</v>
      </c>
      <c r="AY62">
        <v>24</v>
      </c>
      <c r="AZ62">
        <f>AZ28</f>
        <v>0</v>
      </c>
      <c r="BA62">
        <v>24</v>
      </c>
      <c r="BB62">
        <f>BB28</f>
        <v>0</v>
      </c>
      <c r="BC62">
        <v>24</v>
      </c>
      <c r="BD62">
        <f>BD28</f>
        <v>0</v>
      </c>
      <c r="BE62">
        <v>24</v>
      </c>
      <c r="BF62">
        <f>BF28</f>
        <v>0</v>
      </c>
      <c r="BG62">
        <v>24</v>
      </c>
      <c r="BH62">
        <f>BH28</f>
        <v>0</v>
      </c>
      <c r="BI62">
        <v>24</v>
      </c>
      <c r="BJ62">
        <f>BJ28</f>
        <v>0</v>
      </c>
      <c r="BK62">
        <v>24</v>
      </c>
      <c r="BL62">
        <f>BL28</f>
        <v>0</v>
      </c>
      <c r="BM62">
        <v>24</v>
      </c>
      <c r="BN62">
        <f>BN28</f>
        <v>0</v>
      </c>
      <c r="BO62">
        <v>24</v>
      </c>
      <c r="BP62">
        <f>BP28</f>
        <v>0</v>
      </c>
      <c r="BS62">
        <v>24</v>
      </c>
      <c r="BT62">
        <f>BT28</f>
        <v>0</v>
      </c>
      <c r="BU62">
        <v>24</v>
      </c>
      <c r="BV62">
        <f>BV28</f>
        <v>0</v>
      </c>
      <c r="BW62">
        <v>24</v>
      </c>
      <c r="BX62">
        <f>BX28</f>
        <v>0</v>
      </c>
      <c r="BY62">
        <v>24</v>
      </c>
      <c r="BZ62">
        <f>BZ28</f>
        <v>0</v>
      </c>
      <c r="CA62">
        <v>24</v>
      </c>
      <c r="CB62">
        <f>CB28</f>
        <v>0</v>
      </c>
      <c r="CC62">
        <v>24</v>
      </c>
      <c r="CD62">
        <f>CD28</f>
        <v>0</v>
      </c>
      <c r="CE62">
        <v>24</v>
      </c>
      <c r="CF62">
        <f>CF28</f>
        <v>0</v>
      </c>
      <c r="CG62">
        <v>24</v>
      </c>
      <c r="CH62">
        <f>CH28</f>
        <v>0</v>
      </c>
      <c r="CI62">
        <v>24</v>
      </c>
      <c r="CJ62">
        <f>CJ28</f>
        <v>0</v>
      </c>
      <c r="CK62">
        <v>24</v>
      </c>
      <c r="CL62">
        <f>CL28</f>
        <v>0</v>
      </c>
      <c r="CM62">
        <v>24</v>
      </c>
      <c r="CN62">
        <f>CN28</f>
        <v>0</v>
      </c>
      <c r="CO62">
        <v>24</v>
      </c>
      <c r="CP62">
        <f>CP28</f>
        <v>0</v>
      </c>
      <c r="CQ62">
        <v>24</v>
      </c>
      <c r="CR62">
        <f>CR28</f>
        <v>0</v>
      </c>
      <c r="CS62">
        <v>24</v>
      </c>
      <c r="CT62">
        <f>CT28</f>
        <v>0</v>
      </c>
      <c r="CU62">
        <v>24</v>
      </c>
      <c r="CV62">
        <f>CV28</f>
        <v>0</v>
      </c>
      <c r="CW62">
        <v>24</v>
      </c>
      <c r="CX62">
        <f>CX28</f>
        <v>0</v>
      </c>
      <c r="CY62">
        <v>24</v>
      </c>
      <c r="CZ62">
        <f>CZ28</f>
        <v>0</v>
      </c>
      <c r="DA62">
        <v>24</v>
      </c>
      <c r="DB62">
        <f>DB28</f>
        <v>0</v>
      </c>
      <c r="DC62">
        <v>24</v>
      </c>
      <c r="DD62">
        <f>DD28</f>
        <v>0</v>
      </c>
      <c r="DE62">
        <v>24</v>
      </c>
      <c r="DF62">
        <f>DF28</f>
        <v>0</v>
      </c>
      <c r="DG62">
        <v>24</v>
      </c>
      <c r="DH62">
        <f>DH28</f>
        <v>0</v>
      </c>
      <c r="DI62">
        <v>24</v>
      </c>
      <c r="DJ62">
        <f>DJ28</f>
        <v>0</v>
      </c>
      <c r="DK62">
        <v>24</v>
      </c>
      <c r="DL62">
        <f>DL28</f>
        <v>0</v>
      </c>
      <c r="DM62">
        <v>24</v>
      </c>
      <c r="DN62">
        <f>DN28</f>
        <v>0</v>
      </c>
      <c r="DO62">
        <v>24</v>
      </c>
      <c r="DP62">
        <f>DP28</f>
        <v>0</v>
      </c>
      <c r="DQ62">
        <v>24</v>
      </c>
      <c r="DR62">
        <f>DR28</f>
        <v>0</v>
      </c>
      <c r="DS62">
        <v>24</v>
      </c>
      <c r="DT62">
        <f>DT28</f>
        <v>0</v>
      </c>
      <c r="DU62">
        <v>24</v>
      </c>
      <c r="DV62">
        <f>DV28</f>
        <v>0</v>
      </c>
      <c r="DW62">
        <v>24</v>
      </c>
      <c r="DX62">
        <f>DX28</f>
        <v>0</v>
      </c>
      <c r="DY62">
        <v>24</v>
      </c>
      <c r="DZ62">
        <f>DZ28</f>
        <v>0</v>
      </c>
      <c r="EA62">
        <v>24</v>
      </c>
      <c r="EB62">
        <f>EB28</f>
        <v>0</v>
      </c>
      <c r="EC62">
        <v>24</v>
      </c>
      <c r="ED62">
        <f>ED28</f>
        <v>0</v>
      </c>
      <c r="EG62">
        <f>IF(Charts!$B$3="none",E229,IF(BS229="",NA(),BS229))</f>
        <v>0</v>
      </c>
      <c r="EH62">
        <f>IF(Charts!$B$3="none",F229,IF(BT229="",NA(),BT229))</f>
        <v>0</v>
      </c>
      <c r="EI62">
        <f>IF(Charts!$B$3="none",G229,IF(BU229="",NA(),BU229))</f>
        <v>0</v>
      </c>
      <c r="EJ62">
        <f>IF(Charts!$B$3="none",H229,IF(BV229="",NA(),BV229))</f>
        <v>0</v>
      </c>
      <c r="EK62">
        <f>IF(Charts!$B$3="none",I229,IF(BW229="",NA(),BW229))</f>
        <v>0</v>
      </c>
      <c r="EL62">
        <f>IF(Charts!$B$3="none",J229,IF(BX229="",NA(),BX229))</f>
        <v>0</v>
      </c>
      <c r="EM62">
        <f>IF(Charts!$B$3="none",K229,IF(BY229="",NA(),BY229))</f>
        <v>0</v>
      </c>
      <c r="EN62">
        <f>IF(Charts!$B$3="none",L229,IF(BZ229="",NA(),BZ229))</f>
        <v>0</v>
      </c>
      <c r="EO62">
        <f>IF(Charts!$B$3="none",M229,IF(CA229="",NA(),CA229))</f>
        <v>0</v>
      </c>
      <c r="EP62">
        <f>IF(Charts!$B$3="none",N229,IF(CB229="",NA(),CB229))</f>
        <v>0</v>
      </c>
      <c r="EQ62">
        <f>IF(Charts!$B$3="none",O229,IF(CC229="",NA(),CC229))</f>
        <v>0</v>
      </c>
      <c r="ER62">
        <f>IF(Charts!$B$3="none",P229,IF(CD229="",NA(),CD229))</f>
        <v>0</v>
      </c>
      <c r="ES62">
        <f>IF(Charts!$B$3="none",Q229,IF(CE229="",NA(),CE229))</f>
        <v>0</v>
      </c>
      <c r="ET62">
        <f>IF(Charts!$B$3="none",R229,IF(CF229="",NA(),CF229))</f>
        <v>0</v>
      </c>
      <c r="EU62">
        <f>IF(Charts!$B$3="none",S229,IF(CG229="",NA(),CG229))</f>
        <v>0</v>
      </c>
      <c r="EV62">
        <f>IF(Charts!$B$3="none",T229,IF(CH229="",NA(),CH229))</f>
        <v>0</v>
      </c>
      <c r="EW62">
        <f>IF(Charts!$B$3="none",U229,IF(CI229="",NA(),CI229))</f>
        <v>0</v>
      </c>
      <c r="EX62">
        <f>IF(Charts!$B$3="none",V229,IF(CJ229="",NA(),CJ229))</f>
        <v>0</v>
      </c>
      <c r="EY62">
        <f>IF(Charts!$B$3="none",W229,IF(CK229="",NA(),CK229))</f>
        <v>0</v>
      </c>
      <c r="EZ62">
        <f>IF(Charts!$B$3="none",X229,IF(CL229="",NA(),CL229))</f>
        <v>0</v>
      </c>
      <c r="FA62">
        <f>IF(Charts!$B$3="none",Y229,IF(CM229="",NA(),CM229))</f>
        <v>0</v>
      </c>
      <c r="FB62">
        <f>IF(Charts!$B$3="none",Z229,IF(CN229="",NA(),CN229))</f>
        <v>0</v>
      </c>
      <c r="FC62">
        <f>IF(Charts!$B$3="none",AA229,IF(CO229="",NA(),CO229))</f>
        <v>0</v>
      </c>
      <c r="FD62">
        <f>IF(Charts!$B$3="none",AB229,IF(CP229="",NA(),CP229))</f>
        <v>0</v>
      </c>
      <c r="FE62">
        <f>IF(Charts!$B$3="none",AC229,IF(CQ229="",NA(),CQ229))</f>
        <v>0</v>
      </c>
      <c r="FF62">
        <f>IF(Charts!$B$3="none",AD229,IF(CR229="",NA(),CR229))</f>
        <v>0</v>
      </c>
      <c r="FG62">
        <f>IF(Charts!$B$3="none",AE229,IF(CS229="",NA(),CS229))</f>
        <v>0</v>
      </c>
      <c r="FH62">
        <f>IF(Charts!$B$3="none",AF229,IF(CT229="",NA(),CT229))</f>
        <v>0</v>
      </c>
      <c r="FI62">
        <f>IF(Charts!$B$3="none",AG229,IF(CU229="",NA(),CU229))</f>
        <v>0</v>
      </c>
      <c r="FJ62">
        <f>IF(Charts!$B$3="none",AH229,IF(CV229="",NA(),CV229))</f>
        <v>0</v>
      </c>
      <c r="FK62">
        <f>IF(Charts!$B$3="none",AI229,IF(CW229="",NA(),CW229))</f>
        <v>0</v>
      </c>
      <c r="FL62">
        <f>IF(Charts!$B$3="none",AJ229,IF(CX229="",NA(),CX229))</f>
        <v>0</v>
      </c>
      <c r="FM62">
        <f>IF(Charts!$B$3="none",AK229,IF(CY229="",NA(),CY229))</f>
        <v>0</v>
      </c>
      <c r="FN62">
        <f>IF(Charts!$B$3="none",AL229,IF(CZ229="",NA(),CZ229))</f>
        <v>0</v>
      </c>
      <c r="FO62">
        <f>IF(Charts!$B$3="none",AM229,IF(DA229="",NA(),DA229))</f>
        <v>0</v>
      </c>
      <c r="FP62">
        <f>IF(Charts!$B$3="none",AN229,IF(DB229="",NA(),DB229))</f>
        <v>0</v>
      </c>
      <c r="FQ62">
        <f>IF(Charts!$B$3="none",AO229,IF(DC229="",NA(),DC229))</f>
        <v>0</v>
      </c>
      <c r="FR62">
        <f>IF(Charts!$B$3="none",AP229,IF(DD229="",NA(),DD229))</f>
        <v>0</v>
      </c>
      <c r="FS62">
        <f>IF(Charts!$B$3="none",AQ229,IF(DE229="",NA(),DE229))</f>
        <v>0</v>
      </c>
      <c r="FT62">
        <f>IF(Charts!$B$3="none",AR229,IF(DF229="",NA(),DF229))</f>
        <v>0</v>
      </c>
      <c r="FU62">
        <f>IF(Charts!$B$3="none",AS229,IF(DG229="",NA(),DG229))</f>
        <v>0</v>
      </c>
      <c r="FV62">
        <f>IF(Charts!$B$3="none",AT229,IF(DH229="",NA(),DH229))</f>
        <v>0</v>
      </c>
      <c r="FW62">
        <f>IF(Charts!$B$3="none",AU229,IF(DI229="",NA(),DI229))</f>
        <v>0</v>
      </c>
      <c r="FX62">
        <f>IF(Charts!$B$3="none",AV229,IF(DJ229="",NA(),DJ229))</f>
        <v>0</v>
      </c>
      <c r="FY62">
        <f>IF(Charts!$B$3="none",AW229,IF(DK229="",NA(),DK229))</f>
        <v>0</v>
      </c>
      <c r="FZ62">
        <f>IF(Charts!$B$3="none",AX229,IF(DL229="",NA(),DL229))</f>
        <v>0</v>
      </c>
      <c r="GA62">
        <f>IF(Charts!$B$3="none",AY229,IF(DM229="",NA(),DM229))</f>
        <v>0</v>
      </c>
      <c r="GB62">
        <f>IF(Charts!$B$3="none",AZ229,IF(DN229="",NA(),DN229))</f>
        <v>0</v>
      </c>
      <c r="GC62">
        <f>IF(Charts!$B$3="none",BA229,IF(DO229="",NA(),DO229))</f>
        <v>0</v>
      </c>
      <c r="GD62">
        <f>IF(Charts!$B$3="none",BB229,IF(DP229="",NA(),DP229))</f>
        <v>0</v>
      </c>
      <c r="GE62">
        <f>IF(Charts!$B$3="none",BC229,IF(DQ229="",NA(),DQ229))</f>
        <v>0</v>
      </c>
      <c r="GF62">
        <f>IF(Charts!$B$3="none",BD229,IF(DR229="",NA(),DR229))</f>
        <v>0</v>
      </c>
      <c r="GG62">
        <f>IF(Charts!$B$3="none",BE229,IF(DS229="",NA(),DS229))</f>
        <v>0</v>
      </c>
      <c r="GH62">
        <f>IF(Charts!$B$3="none",BF229,IF(DT229="",NA(),DT229))</f>
        <v>0</v>
      </c>
      <c r="GI62">
        <f>IF(Charts!$B$3="none",BG229,IF(DU229="",NA(),DU229))</f>
        <v>0</v>
      </c>
      <c r="GJ62">
        <f>IF(Charts!$B$3="none",BH229,IF(DV229="",NA(),DV229))</f>
        <v>0</v>
      </c>
      <c r="GK62">
        <f>IF(Charts!$B$3="none",BI229,IF(DW229="",NA(),DW229))</f>
        <v>0</v>
      </c>
      <c r="GL62">
        <f>IF(Charts!$B$3="none",BJ229,IF(DX229="",NA(),DX229))</f>
        <v>0</v>
      </c>
      <c r="GM62">
        <f>IF(Charts!$B$3="none",BK229,IF(DY229="",NA(),DY229))</f>
        <v>0</v>
      </c>
      <c r="GN62">
        <f>IF(Charts!$B$3="none",BL229,IF(DZ229="",NA(),DZ229))</f>
        <v>0</v>
      </c>
      <c r="GO62">
        <f>IF(Charts!$B$3="none",BM229,IF(EA229="",NA(),EA229))</f>
        <v>0</v>
      </c>
      <c r="GP62">
        <f>IF(Charts!$B$3="none",BN229,IF(EB229="",NA(),EB229))</f>
        <v>0</v>
      </c>
      <c r="GQ62">
        <f>IF(Charts!$B$3="none",BO229,IF(EC229="",NA(),EC229))</f>
        <v>0</v>
      </c>
      <c r="GR62">
        <f>IF(Charts!$B$3="none",BP229,IF(ED229="",NA(),ED229))</f>
        <v>0</v>
      </c>
    </row>
    <row r="63" spans="5:200">
      <c r="E63">
        <v>25</v>
      </c>
      <c r="F63">
        <f>F29</f>
        <v>0</v>
      </c>
      <c r="G63">
        <v>25</v>
      </c>
      <c r="H63">
        <f>H29</f>
        <v>0</v>
      </c>
      <c r="I63">
        <v>25</v>
      </c>
      <c r="J63">
        <f>J29</f>
        <v>0</v>
      </c>
      <c r="K63">
        <v>25</v>
      </c>
      <c r="L63">
        <f>L29</f>
        <v>0</v>
      </c>
      <c r="M63">
        <v>25</v>
      </c>
      <c r="N63">
        <f>N29</f>
        <v>0</v>
      </c>
      <c r="O63">
        <v>25</v>
      </c>
      <c r="P63">
        <f>P29</f>
        <v>0</v>
      </c>
      <c r="Q63">
        <v>25</v>
      </c>
      <c r="R63">
        <f>R29</f>
        <v>0</v>
      </c>
      <c r="S63">
        <v>25</v>
      </c>
      <c r="T63">
        <f>T29</f>
        <v>0</v>
      </c>
      <c r="U63">
        <v>25</v>
      </c>
      <c r="V63">
        <f>V29</f>
        <v>0</v>
      </c>
      <c r="W63">
        <v>25</v>
      </c>
      <c r="X63">
        <f>X29</f>
        <v>0</v>
      </c>
      <c r="Y63">
        <v>25</v>
      </c>
      <c r="Z63">
        <f>Z29</f>
        <v>0</v>
      </c>
      <c r="AA63">
        <v>25</v>
      </c>
      <c r="AB63">
        <f>AB29</f>
        <v>0</v>
      </c>
      <c r="AC63">
        <v>25</v>
      </c>
      <c r="AD63">
        <f>AD29</f>
        <v>0</v>
      </c>
      <c r="AE63">
        <v>25</v>
      </c>
      <c r="AF63">
        <f>AF29</f>
        <v>0</v>
      </c>
      <c r="AG63">
        <v>25</v>
      </c>
      <c r="AH63">
        <f>AH29</f>
        <v>0</v>
      </c>
      <c r="AI63">
        <v>25</v>
      </c>
      <c r="AJ63">
        <f>AJ29</f>
        <v>0</v>
      </c>
      <c r="AK63">
        <v>25</v>
      </c>
      <c r="AL63">
        <f>AL29</f>
        <v>0</v>
      </c>
      <c r="AM63">
        <v>25</v>
      </c>
      <c r="AN63">
        <f>AN29</f>
        <v>0</v>
      </c>
      <c r="AO63">
        <v>25</v>
      </c>
      <c r="AP63">
        <f>AP29</f>
        <v>0</v>
      </c>
      <c r="AQ63">
        <v>25</v>
      </c>
      <c r="AR63">
        <f>AR29</f>
        <v>0</v>
      </c>
      <c r="AS63">
        <v>25</v>
      </c>
      <c r="AT63">
        <f>AT29</f>
        <v>0</v>
      </c>
      <c r="AU63">
        <v>25</v>
      </c>
      <c r="AV63">
        <f>AV29</f>
        <v>0</v>
      </c>
      <c r="AW63">
        <v>25</v>
      </c>
      <c r="AX63">
        <f>AX29</f>
        <v>0</v>
      </c>
      <c r="AY63">
        <v>25</v>
      </c>
      <c r="AZ63">
        <f>AZ29</f>
        <v>0</v>
      </c>
      <c r="BA63">
        <v>25</v>
      </c>
      <c r="BB63">
        <f>BB29</f>
        <v>0</v>
      </c>
      <c r="BC63">
        <v>25</v>
      </c>
      <c r="BD63">
        <f>BD29</f>
        <v>0</v>
      </c>
      <c r="BE63">
        <v>25</v>
      </c>
      <c r="BF63">
        <f>BF29</f>
        <v>0</v>
      </c>
      <c r="BG63">
        <v>25</v>
      </c>
      <c r="BH63">
        <f>BH29</f>
        <v>0</v>
      </c>
      <c r="BI63">
        <v>25</v>
      </c>
      <c r="BJ63">
        <f>BJ29</f>
        <v>0</v>
      </c>
      <c r="BK63">
        <v>25</v>
      </c>
      <c r="BL63">
        <f>BL29</f>
        <v>0</v>
      </c>
      <c r="BM63">
        <v>25</v>
      </c>
      <c r="BN63">
        <f>BN29</f>
        <v>0</v>
      </c>
      <c r="BO63">
        <v>25</v>
      </c>
      <c r="BP63">
        <f>BP29</f>
        <v>0</v>
      </c>
      <c r="BS63">
        <v>25</v>
      </c>
      <c r="BT63">
        <f>BT29</f>
        <v>0</v>
      </c>
      <c r="BU63">
        <v>25</v>
      </c>
      <c r="BV63">
        <f>BV29</f>
        <v>0</v>
      </c>
      <c r="BW63">
        <v>25</v>
      </c>
      <c r="BX63">
        <f>BX29</f>
        <v>0</v>
      </c>
      <c r="BY63">
        <v>25</v>
      </c>
      <c r="BZ63">
        <f>BZ29</f>
        <v>0</v>
      </c>
      <c r="CA63">
        <v>25</v>
      </c>
      <c r="CB63">
        <f>CB29</f>
        <v>0</v>
      </c>
      <c r="CC63">
        <v>25</v>
      </c>
      <c r="CD63">
        <f>CD29</f>
        <v>0</v>
      </c>
      <c r="CE63">
        <v>25</v>
      </c>
      <c r="CF63">
        <f>CF29</f>
        <v>0</v>
      </c>
      <c r="CG63">
        <v>25</v>
      </c>
      <c r="CH63">
        <f>CH29</f>
        <v>0</v>
      </c>
      <c r="CI63">
        <v>25</v>
      </c>
      <c r="CJ63">
        <f>CJ29</f>
        <v>0</v>
      </c>
      <c r="CK63">
        <v>25</v>
      </c>
      <c r="CL63">
        <f>CL29</f>
        <v>0</v>
      </c>
      <c r="CM63">
        <v>25</v>
      </c>
      <c r="CN63">
        <f>CN29</f>
        <v>0</v>
      </c>
      <c r="CO63">
        <v>25</v>
      </c>
      <c r="CP63">
        <f>CP29</f>
        <v>0</v>
      </c>
      <c r="CQ63">
        <v>25</v>
      </c>
      <c r="CR63">
        <f>CR29</f>
        <v>0</v>
      </c>
      <c r="CS63">
        <v>25</v>
      </c>
      <c r="CT63">
        <f>CT29</f>
        <v>0</v>
      </c>
      <c r="CU63">
        <v>25</v>
      </c>
      <c r="CV63">
        <f>CV29</f>
        <v>0</v>
      </c>
      <c r="CW63">
        <v>25</v>
      </c>
      <c r="CX63">
        <f>CX29</f>
        <v>0</v>
      </c>
      <c r="CY63">
        <v>25</v>
      </c>
      <c r="CZ63">
        <f>CZ29</f>
        <v>0</v>
      </c>
      <c r="DA63">
        <v>25</v>
      </c>
      <c r="DB63">
        <f>DB29</f>
        <v>0</v>
      </c>
      <c r="DC63">
        <v>25</v>
      </c>
      <c r="DD63">
        <f>DD29</f>
        <v>0</v>
      </c>
      <c r="DE63">
        <v>25</v>
      </c>
      <c r="DF63">
        <f>DF29</f>
        <v>0</v>
      </c>
      <c r="DG63">
        <v>25</v>
      </c>
      <c r="DH63">
        <f>DH29</f>
        <v>0</v>
      </c>
      <c r="DI63">
        <v>25</v>
      </c>
      <c r="DJ63">
        <f>DJ29</f>
        <v>0</v>
      </c>
      <c r="DK63">
        <v>25</v>
      </c>
      <c r="DL63">
        <f>DL29</f>
        <v>0</v>
      </c>
      <c r="DM63">
        <v>25</v>
      </c>
      <c r="DN63">
        <f>DN29</f>
        <v>0</v>
      </c>
      <c r="DO63">
        <v>25</v>
      </c>
      <c r="DP63">
        <f>DP29</f>
        <v>0</v>
      </c>
      <c r="DQ63">
        <v>25</v>
      </c>
      <c r="DR63">
        <f>DR29</f>
        <v>0</v>
      </c>
      <c r="DS63">
        <v>25</v>
      </c>
      <c r="DT63">
        <f>DT29</f>
        <v>0</v>
      </c>
      <c r="DU63">
        <v>25</v>
      </c>
      <c r="DV63">
        <f>DV29</f>
        <v>0</v>
      </c>
      <c r="DW63">
        <v>25</v>
      </c>
      <c r="DX63">
        <f>DX29</f>
        <v>0</v>
      </c>
      <c r="DY63">
        <v>25</v>
      </c>
      <c r="DZ63">
        <f>DZ29</f>
        <v>0</v>
      </c>
      <c r="EA63">
        <v>25</v>
      </c>
      <c r="EB63">
        <f>EB29</f>
        <v>0</v>
      </c>
      <c r="EC63">
        <v>25</v>
      </c>
      <c r="ED63">
        <f>ED29</f>
        <v>0</v>
      </c>
      <c r="EG63">
        <f>IF(Charts!$B$3="none",E230,IF(BS230="",NA(),BS230))</f>
        <v>0</v>
      </c>
      <c r="EH63">
        <f>IF(Charts!$B$3="none",F230,IF(BT230="",NA(),BT230))</f>
        <v>0</v>
      </c>
      <c r="EI63">
        <f>IF(Charts!$B$3="none",G230,IF(BU230="",NA(),BU230))</f>
        <v>0</v>
      </c>
      <c r="EJ63">
        <f>IF(Charts!$B$3="none",H230,IF(BV230="",NA(),BV230))</f>
        <v>0</v>
      </c>
      <c r="EK63">
        <f>IF(Charts!$B$3="none",I230,IF(BW230="",NA(),BW230))</f>
        <v>0</v>
      </c>
      <c r="EL63">
        <f>IF(Charts!$B$3="none",J230,IF(BX230="",NA(),BX230))</f>
        <v>0</v>
      </c>
      <c r="EM63">
        <f>IF(Charts!$B$3="none",K230,IF(BY230="",NA(),BY230))</f>
        <v>0</v>
      </c>
      <c r="EN63">
        <f>IF(Charts!$B$3="none",L230,IF(BZ230="",NA(),BZ230))</f>
        <v>0</v>
      </c>
      <c r="EO63">
        <f>IF(Charts!$B$3="none",M230,IF(CA230="",NA(),CA230))</f>
        <v>0</v>
      </c>
      <c r="EP63">
        <f>IF(Charts!$B$3="none",N230,IF(CB230="",NA(),CB230))</f>
        <v>0</v>
      </c>
      <c r="EQ63">
        <f>IF(Charts!$B$3="none",O230,IF(CC230="",NA(),CC230))</f>
        <v>0</v>
      </c>
      <c r="ER63">
        <f>IF(Charts!$B$3="none",P230,IF(CD230="",NA(),CD230))</f>
        <v>0</v>
      </c>
      <c r="ES63">
        <f>IF(Charts!$B$3="none",Q230,IF(CE230="",NA(),CE230))</f>
        <v>0</v>
      </c>
      <c r="ET63">
        <f>IF(Charts!$B$3="none",R230,IF(CF230="",NA(),CF230))</f>
        <v>0</v>
      </c>
      <c r="EU63">
        <f>IF(Charts!$B$3="none",S230,IF(CG230="",NA(),CG230))</f>
        <v>0</v>
      </c>
      <c r="EV63">
        <f>IF(Charts!$B$3="none",T230,IF(CH230="",NA(),CH230))</f>
        <v>0</v>
      </c>
      <c r="EW63">
        <f>IF(Charts!$B$3="none",U230,IF(CI230="",NA(),CI230))</f>
        <v>0</v>
      </c>
      <c r="EX63">
        <f>IF(Charts!$B$3="none",V230,IF(CJ230="",NA(),CJ230))</f>
        <v>0</v>
      </c>
      <c r="EY63">
        <f>IF(Charts!$B$3="none",W230,IF(CK230="",NA(),CK230))</f>
        <v>0</v>
      </c>
      <c r="EZ63">
        <f>IF(Charts!$B$3="none",X230,IF(CL230="",NA(),CL230))</f>
        <v>0</v>
      </c>
      <c r="FA63">
        <f>IF(Charts!$B$3="none",Y230,IF(CM230="",NA(),CM230))</f>
        <v>0</v>
      </c>
      <c r="FB63">
        <f>IF(Charts!$B$3="none",Z230,IF(CN230="",NA(),CN230))</f>
        <v>0</v>
      </c>
      <c r="FC63">
        <f>IF(Charts!$B$3="none",AA230,IF(CO230="",NA(),CO230))</f>
        <v>0</v>
      </c>
      <c r="FD63">
        <f>IF(Charts!$B$3="none",AB230,IF(CP230="",NA(),CP230))</f>
        <v>0</v>
      </c>
      <c r="FE63">
        <f>IF(Charts!$B$3="none",AC230,IF(CQ230="",NA(),CQ230))</f>
        <v>0</v>
      </c>
      <c r="FF63">
        <f>IF(Charts!$B$3="none",AD230,IF(CR230="",NA(),CR230))</f>
        <v>0</v>
      </c>
      <c r="FG63">
        <f>IF(Charts!$B$3="none",AE230,IF(CS230="",NA(),CS230))</f>
        <v>0</v>
      </c>
      <c r="FH63">
        <f>IF(Charts!$B$3="none",AF230,IF(CT230="",NA(),CT230))</f>
        <v>0</v>
      </c>
      <c r="FI63">
        <f>IF(Charts!$B$3="none",AG230,IF(CU230="",NA(),CU230))</f>
        <v>0</v>
      </c>
      <c r="FJ63">
        <f>IF(Charts!$B$3="none",AH230,IF(CV230="",NA(),CV230))</f>
        <v>0</v>
      </c>
      <c r="FK63">
        <f>IF(Charts!$B$3="none",AI230,IF(CW230="",NA(),CW230))</f>
        <v>0</v>
      </c>
      <c r="FL63">
        <f>IF(Charts!$B$3="none",AJ230,IF(CX230="",NA(),CX230))</f>
        <v>0</v>
      </c>
      <c r="FM63">
        <f>IF(Charts!$B$3="none",AK230,IF(CY230="",NA(),CY230))</f>
        <v>0</v>
      </c>
      <c r="FN63">
        <f>IF(Charts!$B$3="none",AL230,IF(CZ230="",NA(),CZ230))</f>
        <v>0</v>
      </c>
      <c r="FO63">
        <f>IF(Charts!$B$3="none",AM230,IF(DA230="",NA(),DA230))</f>
        <v>0</v>
      </c>
      <c r="FP63">
        <f>IF(Charts!$B$3="none",AN230,IF(DB230="",NA(),DB230))</f>
        <v>0</v>
      </c>
      <c r="FQ63">
        <f>IF(Charts!$B$3="none",AO230,IF(DC230="",NA(),DC230))</f>
        <v>0</v>
      </c>
      <c r="FR63">
        <f>IF(Charts!$B$3="none",AP230,IF(DD230="",NA(),DD230))</f>
        <v>0</v>
      </c>
      <c r="FS63">
        <f>IF(Charts!$B$3="none",AQ230,IF(DE230="",NA(),DE230))</f>
        <v>0</v>
      </c>
      <c r="FT63">
        <f>IF(Charts!$B$3="none",AR230,IF(DF230="",NA(),DF230))</f>
        <v>0</v>
      </c>
      <c r="FU63">
        <f>IF(Charts!$B$3="none",AS230,IF(DG230="",NA(),DG230))</f>
        <v>0</v>
      </c>
      <c r="FV63">
        <f>IF(Charts!$B$3="none",AT230,IF(DH230="",NA(),DH230))</f>
        <v>0</v>
      </c>
      <c r="FW63">
        <f>IF(Charts!$B$3="none",AU230,IF(DI230="",NA(),DI230))</f>
        <v>0</v>
      </c>
      <c r="FX63">
        <f>IF(Charts!$B$3="none",AV230,IF(DJ230="",NA(),DJ230))</f>
        <v>0</v>
      </c>
      <c r="FY63">
        <f>IF(Charts!$B$3="none",AW230,IF(DK230="",NA(),DK230))</f>
        <v>0</v>
      </c>
      <c r="FZ63">
        <f>IF(Charts!$B$3="none",AX230,IF(DL230="",NA(),DL230))</f>
        <v>0</v>
      </c>
      <c r="GA63">
        <f>IF(Charts!$B$3="none",AY230,IF(DM230="",NA(),DM230))</f>
        <v>0</v>
      </c>
      <c r="GB63">
        <f>IF(Charts!$B$3="none",AZ230,IF(DN230="",NA(),DN230))</f>
        <v>0</v>
      </c>
      <c r="GC63">
        <f>IF(Charts!$B$3="none",BA230,IF(DO230="",NA(),DO230))</f>
        <v>0</v>
      </c>
      <c r="GD63">
        <f>IF(Charts!$B$3="none",BB230,IF(DP230="",NA(),DP230))</f>
        <v>0</v>
      </c>
      <c r="GE63">
        <f>IF(Charts!$B$3="none",BC230,IF(DQ230="",NA(),DQ230))</f>
        <v>0</v>
      </c>
      <c r="GF63">
        <f>IF(Charts!$B$3="none",BD230,IF(DR230="",NA(),DR230))</f>
        <v>0</v>
      </c>
      <c r="GG63">
        <f>IF(Charts!$B$3="none",BE230,IF(DS230="",NA(),DS230))</f>
        <v>0</v>
      </c>
      <c r="GH63">
        <f>IF(Charts!$B$3="none",BF230,IF(DT230="",NA(),DT230))</f>
        <v>0</v>
      </c>
      <c r="GI63">
        <f>IF(Charts!$B$3="none",BG230,IF(DU230="",NA(),DU230))</f>
        <v>0</v>
      </c>
      <c r="GJ63">
        <f>IF(Charts!$B$3="none",BH230,IF(DV230="",NA(),DV230))</f>
        <v>0</v>
      </c>
      <c r="GK63">
        <f>IF(Charts!$B$3="none",BI230,IF(DW230="",NA(),DW230))</f>
        <v>0</v>
      </c>
      <c r="GL63">
        <f>IF(Charts!$B$3="none",BJ230,IF(DX230="",NA(),DX230))</f>
        <v>0</v>
      </c>
      <c r="GM63">
        <f>IF(Charts!$B$3="none",BK230,IF(DY230="",NA(),DY230))</f>
        <v>0</v>
      </c>
      <c r="GN63">
        <f>IF(Charts!$B$3="none",BL230,IF(DZ230="",NA(),DZ230))</f>
        <v>0</v>
      </c>
      <c r="GO63">
        <f>IF(Charts!$B$3="none",BM230,IF(EA230="",NA(),EA230))</f>
        <v>0</v>
      </c>
      <c r="GP63">
        <f>IF(Charts!$B$3="none",BN230,IF(EB230="",NA(),EB230))</f>
        <v>0</v>
      </c>
      <c r="GQ63">
        <f>IF(Charts!$B$3="none",BO230,IF(EC230="",NA(),EC230))</f>
        <v>0</v>
      </c>
      <c r="GR63">
        <f>IF(Charts!$B$3="none",BP230,IF(ED230="",NA(),ED230))</f>
        <v>0</v>
      </c>
    </row>
    <row r="64" spans="5:200">
      <c r="E64">
        <v>26</v>
      </c>
      <c r="F64">
        <f>F30</f>
        <v>0</v>
      </c>
      <c r="G64">
        <v>26</v>
      </c>
      <c r="H64">
        <f>H30</f>
        <v>0</v>
      </c>
      <c r="I64">
        <v>26</v>
      </c>
      <c r="J64">
        <f>J30</f>
        <v>0</v>
      </c>
      <c r="K64">
        <v>26</v>
      </c>
      <c r="L64">
        <f>L30</f>
        <v>0</v>
      </c>
      <c r="M64">
        <v>26</v>
      </c>
      <c r="N64">
        <f>N30</f>
        <v>0</v>
      </c>
      <c r="O64">
        <v>26</v>
      </c>
      <c r="P64">
        <f>P30</f>
        <v>0</v>
      </c>
      <c r="Q64">
        <v>26</v>
      </c>
      <c r="R64">
        <f>R30</f>
        <v>0</v>
      </c>
      <c r="S64">
        <v>26</v>
      </c>
      <c r="T64">
        <f>T30</f>
        <v>0</v>
      </c>
      <c r="U64">
        <v>26</v>
      </c>
      <c r="V64">
        <f>V30</f>
        <v>0</v>
      </c>
      <c r="W64">
        <v>26</v>
      </c>
      <c r="X64">
        <f>X30</f>
        <v>0</v>
      </c>
      <c r="Y64">
        <v>26</v>
      </c>
      <c r="Z64">
        <f>Z30</f>
        <v>0</v>
      </c>
      <c r="AA64">
        <v>26</v>
      </c>
      <c r="AB64">
        <f>AB30</f>
        <v>0</v>
      </c>
      <c r="AC64">
        <v>26</v>
      </c>
      <c r="AD64">
        <f>AD30</f>
        <v>0</v>
      </c>
      <c r="AE64">
        <v>26</v>
      </c>
      <c r="AF64">
        <f>AF30</f>
        <v>0</v>
      </c>
      <c r="AG64">
        <v>26</v>
      </c>
      <c r="AH64">
        <f>AH30</f>
        <v>0</v>
      </c>
      <c r="AI64">
        <v>26</v>
      </c>
      <c r="AJ64">
        <f>AJ30</f>
        <v>0</v>
      </c>
      <c r="AK64">
        <v>26</v>
      </c>
      <c r="AL64">
        <f>AL30</f>
        <v>0</v>
      </c>
      <c r="AM64">
        <v>26</v>
      </c>
      <c r="AN64">
        <f>AN30</f>
        <v>0</v>
      </c>
      <c r="AO64">
        <v>26</v>
      </c>
      <c r="AP64">
        <f>AP30</f>
        <v>0</v>
      </c>
      <c r="AQ64">
        <v>26</v>
      </c>
      <c r="AR64">
        <f>AR30</f>
        <v>0</v>
      </c>
      <c r="AS64">
        <v>26</v>
      </c>
      <c r="AT64">
        <f>AT30</f>
        <v>0</v>
      </c>
      <c r="AU64">
        <v>26</v>
      </c>
      <c r="AV64">
        <f>AV30</f>
        <v>0</v>
      </c>
      <c r="AW64">
        <v>26</v>
      </c>
      <c r="AX64">
        <f>AX30</f>
        <v>0</v>
      </c>
      <c r="AY64">
        <v>26</v>
      </c>
      <c r="AZ64">
        <f>AZ30</f>
        <v>0</v>
      </c>
      <c r="BA64">
        <v>26</v>
      </c>
      <c r="BB64">
        <f>BB30</f>
        <v>0</v>
      </c>
      <c r="BC64">
        <v>26</v>
      </c>
      <c r="BD64">
        <f>BD30</f>
        <v>0</v>
      </c>
      <c r="BE64">
        <v>26</v>
      </c>
      <c r="BF64">
        <f>BF30</f>
        <v>0</v>
      </c>
      <c r="BG64">
        <v>26</v>
      </c>
      <c r="BH64">
        <f>BH30</f>
        <v>0</v>
      </c>
      <c r="BI64">
        <v>26</v>
      </c>
      <c r="BJ64">
        <f>BJ30</f>
        <v>0</v>
      </c>
      <c r="BK64">
        <v>26</v>
      </c>
      <c r="BL64">
        <f>BL30</f>
        <v>0</v>
      </c>
      <c r="BM64">
        <v>26</v>
      </c>
      <c r="BN64">
        <f>BN30</f>
        <v>0</v>
      </c>
      <c r="BO64">
        <v>26</v>
      </c>
      <c r="BP64">
        <f>BP30</f>
        <v>0</v>
      </c>
      <c r="BS64">
        <v>26</v>
      </c>
      <c r="BT64">
        <f>BT30</f>
        <v>0</v>
      </c>
      <c r="BU64">
        <v>26</v>
      </c>
      <c r="BV64">
        <f>BV30</f>
        <v>0</v>
      </c>
      <c r="BW64">
        <v>26</v>
      </c>
      <c r="BX64">
        <f>BX30</f>
        <v>0</v>
      </c>
      <c r="BY64">
        <v>26</v>
      </c>
      <c r="BZ64">
        <f>BZ30</f>
        <v>0</v>
      </c>
      <c r="CA64">
        <v>26</v>
      </c>
      <c r="CB64">
        <f>CB30</f>
        <v>0</v>
      </c>
      <c r="CC64">
        <v>26</v>
      </c>
      <c r="CD64">
        <f>CD30</f>
        <v>0</v>
      </c>
      <c r="CE64">
        <v>26</v>
      </c>
      <c r="CF64">
        <f>CF30</f>
        <v>0</v>
      </c>
      <c r="CG64">
        <v>26</v>
      </c>
      <c r="CH64">
        <f>CH30</f>
        <v>0</v>
      </c>
      <c r="CI64">
        <v>26</v>
      </c>
      <c r="CJ64">
        <f>CJ30</f>
        <v>0</v>
      </c>
      <c r="CK64">
        <v>26</v>
      </c>
      <c r="CL64">
        <f>CL30</f>
        <v>0</v>
      </c>
      <c r="CM64">
        <v>26</v>
      </c>
      <c r="CN64">
        <f>CN30</f>
        <v>0</v>
      </c>
      <c r="CO64">
        <v>26</v>
      </c>
      <c r="CP64">
        <f>CP30</f>
        <v>0</v>
      </c>
      <c r="CQ64">
        <v>26</v>
      </c>
      <c r="CR64">
        <f>CR30</f>
        <v>0</v>
      </c>
      <c r="CS64">
        <v>26</v>
      </c>
      <c r="CT64">
        <f>CT30</f>
        <v>0</v>
      </c>
      <c r="CU64">
        <v>26</v>
      </c>
      <c r="CV64">
        <f>CV30</f>
        <v>0</v>
      </c>
      <c r="CW64">
        <v>26</v>
      </c>
      <c r="CX64">
        <f>CX30</f>
        <v>0</v>
      </c>
      <c r="CY64">
        <v>26</v>
      </c>
      <c r="CZ64">
        <f>CZ30</f>
        <v>0</v>
      </c>
      <c r="DA64">
        <v>26</v>
      </c>
      <c r="DB64">
        <f>DB30</f>
        <v>0</v>
      </c>
      <c r="DC64">
        <v>26</v>
      </c>
      <c r="DD64">
        <f>DD30</f>
        <v>0</v>
      </c>
      <c r="DE64">
        <v>26</v>
      </c>
      <c r="DF64">
        <f>DF30</f>
        <v>0</v>
      </c>
      <c r="DG64">
        <v>26</v>
      </c>
      <c r="DH64">
        <f>DH30</f>
        <v>0</v>
      </c>
      <c r="DI64">
        <v>26</v>
      </c>
      <c r="DJ64">
        <f>DJ30</f>
        <v>0</v>
      </c>
      <c r="DK64">
        <v>26</v>
      </c>
      <c r="DL64">
        <f>DL30</f>
        <v>0</v>
      </c>
      <c r="DM64">
        <v>26</v>
      </c>
      <c r="DN64">
        <f>DN30</f>
        <v>0</v>
      </c>
      <c r="DO64">
        <v>26</v>
      </c>
      <c r="DP64">
        <f>DP30</f>
        <v>0</v>
      </c>
      <c r="DQ64">
        <v>26</v>
      </c>
      <c r="DR64">
        <f>DR30</f>
        <v>0</v>
      </c>
      <c r="DS64">
        <v>26</v>
      </c>
      <c r="DT64">
        <f>DT30</f>
        <v>0</v>
      </c>
      <c r="DU64">
        <v>26</v>
      </c>
      <c r="DV64">
        <f>DV30</f>
        <v>0</v>
      </c>
      <c r="DW64">
        <v>26</v>
      </c>
      <c r="DX64">
        <f>DX30</f>
        <v>0</v>
      </c>
      <c r="DY64">
        <v>26</v>
      </c>
      <c r="DZ64">
        <f>DZ30</f>
        <v>0</v>
      </c>
      <c r="EA64">
        <v>26</v>
      </c>
      <c r="EB64">
        <f>EB30</f>
        <v>0</v>
      </c>
      <c r="EC64">
        <v>26</v>
      </c>
      <c r="ED64">
        <f>ED30</f>
        <v>0</v>
      </c>
      <c r="EG64">
        <f>IF(Charts!$B$3="none",E231,IF(BS231="",NA(),BS231))</f>
        <v>0</v>
      </c>
      <c r="EH64">
        <f>IF(Charts!$B$3="none",F231,IF(BT231="",NA(),BT231))</f>
        <v>0</v>
      </c>
      <c r="EI64">
        <f>IF(Charts!$B$3="none",G231,IF(BU231="",NA(),BU231))</f>
        <v>0</v>
      </c>
      <c r="EJ64">
        <f>IF(Charts!$B$3="none",H231,IF(BV231="",NA(),BV231))</f>
        <v>0</v>
      </c>
      <c r="EK64">
        <f>IF(Charts!$B$3="none",I231,IF(BW231="",NA(),BW231))</f>
        <v>0</v>
      </c>
      <c r="EL64">
        <f>IF(Charts!$B$3="none",J231,IF(BX231="",NA(),BX231))</f>
        <v>0</v>
      </c>
      <c r="EM64">
        <f>IF(Charts!$B$3="none",K231,IF(BY231="",NA(),BY231))</f>
        <v>0</v>
      </c>
      <c r="EN64">
        <f>IF(Charts!$B$3="none",L231,IF(BZ231="",NA(),BZ231))</f>
        <v>0</v>
      </c>
      <c r="EO64">
        <f>IF(Charts!$B$3="none",M231,IF(CA231="",NA(),CA231))</f>
        <v>0</v>
      </c>
      <c r="EP64">
        <f>IF(Charts!$B$3="none",N231,IF(CB231="",NA(),CB231))</f>
        <v>0</v>
      </c>
      <c r="EQ64">
        <f>IF(Charts!$B$3="none",O231,IF(CC231="",NA(),CC231))</f>
        <v>0</v>
      </c>
      <c r="ER64">
        <f>IF(Charts!$B$3="none",P231,IF(CD231="",NA(),CD231))</f>
        <v>0</v>
      </c>
      <c r="ES64">
        <f>IF(Charts!$B$3="none",Q231,IF(CE231="",NA(),CE231))</f>
        <v>0</v>
      </c>
      <c r="ET64">
        <f>IF(Charts!$B$3="none",R231,IF(CF231="",NA(),CF231))</f>
        <v>0</v>
      </c>
      <c r="EU64">
        <f>IF(Charts!$B$3="none",S231,IF(CG231="",NA(),CG231))</f>
        <v>0</v>
      </c>
      <c r="EV64">
        <f>IF(Charts!$B$3="none",T231,IF(CH231="",NA(),CH231))</f>
        <v>0</v>
      </c>
      <c r="EW64">
        <f>IF(Charts!$B$3="none",U231,IF(CI231="",NA(),CI231))</f>
        <v>0</v>
      </c>
      <c r="EX64">
        <f>IF(Charts!$B$3="none",V231,IF(CJ231="",NA(),CJ231))</f>
        <v>0</v>
      </c>
      <c r="EY64">
        <f>IF(Charts!$B$3="none",W231,IF(CK231="",NA(),CK231))</f>
        <v>0</v>
      </c>
      <c r="EZ64">
        <f>IF(Charts!$B$3="none",X231,IF(CL231="",NA(),CL231))</f>
        <v>0</v>
      </c>
      <c r="FA64">
        <f>IF(Charts!$B$3="none",Y231,IF(CM231="",NA(),CM231))</f>
        <v>0</v>
      </c>
      <c r="FB64">
        <f>IF(Charts!$B$3="none",Z231,IF(CN231="",NA(),CN231))</f>
        <v>0</v>
      </c>
      <c r="FC64">
        <f>IF(Charts!$B$3="none",AA231,IF(CO231="",NA(),CO231))</f>
        <v>0</v>
      </c>
      <c r="FD64">
        <f>IF(Charts!$B$3="none",AB231,IF(CP231="",NA(),CP231))</f>
        <v>0</v>
      </c>
      <c r="FE64">
        <f>IF(Charts!$B$3="none",AC231,IF(CQ231="",NA(),CQ231))</f>
        <v>0</v>
      </c>
      <c r="FF64">
        <f>IF(Charts!$B$3="none",AD231,IF(CR231="",NA(),CR231))</f>
        <v>0</v>
      </c>
      <c r="FG64">
        <f>IF(Charts!$B$3="none",AE231,IF(CS231="",NA(),CS231))</f>
        <v>0</v>
      </c>
      <c r="FH64">
        <f>IF(Charts!$B$3="none",AF231,IF(CT231="",NA(),CT231))</f>
        <v>0</v>
      </c>
      <c r="FI64">
        <f>IF(Charts!$B$3="none",AG231,IF(CU231="",NA(),CU231))</f>
        <v>0</v>
      </c>
      <c r="FJ64">
        <f>IF(Charts!$B$3="none",AH231,IF(CV231="",NA(),CV231))</f>
        <v>0</v>
      </c>
      <c r="FK64">
        <f>IF(Charts!$B$3="none",AI231,IF(CW231="",NA(),CW231))</f>
        <v>0</v>
      </c>
      <c r="FL64">
        <f>IF(Charts!$B$3="none",AJ231,IF(CX231="",NA(),CX231))</f>
        <v>0</v>
      </c>
      <c r="FM64">
        <f>IF(Charts!$B$3="none",AK231,IF(CY231="",NA(),CY231))</f>
        <v>0</v>
      </c>
      <c r="FN64">
        <f>IF(Charts!$B$3="none",AL231,IF(CZ231="",NA(),CZ231))</f>
        <v>0</v>
      </c>
      <c r="FO64">
        <f>IF(Charts!$B$3="none",AM231,IF(DA231="",NA(),DA231))</f>
        <v>0</v>
      </c>
      <c r="FP64">
        <f>IF(Charts!$B$3="none",AN231,IF(DB231="",NA(),DB231))</f>
        <v>0</v>
      </c>
      <c r="FQ64">
        <f>IF(Charts!$B$3="none",AO231,IF(DC231="",NA(),DC231))</f>
        <v>0</v>
      </c>
      <c r="FR64">
        <f>IF(Charts!$B$3="none",AP231,IF(DD231="",NA(),DD231))</f>
        <v>0</v>
      </c>
      <c r="FS64">
        <f>IF(Charts!$B$3="none",AQ231,IF(DE231="",NA(),DE231))</f>
        <v>0</v>
      </c>
      <c r="FT64">
        <f>IF(Charts!$B$3="none",AR231,IF(DF231="",NA(),DF231))</f>
        <v>0</v>
      </c>
      <c r="FU64">
        <f>IF(Charts!$B$3="none",AS231,IF(DG231="",NA(),DG231))</f>
        <v>0</v>
      </c>
      <c r="FV64">
        <f>IF(Charts!$B$3="none",AT231,IF(DH231="",NA(),DH231))</f>
        <v>0</v>
      </c>
      <c r="FW64">
        <f>IF(Charts!$B$3="none",AU231,IF(DI231="",NA(),DI231))</f>
        <v>0</v>
      </c>
      <c r="FX64">
        <f>IF(Charts!$B$3="none",AV231,IF(DJ231="",NA(),DJ231))</f>
        <v>0</v>
      </c>
      <c r="FY64">
        <f>IF(Charts!$B$3="none",AW231,IF(DK231="",NA(),DK231))</f>
        <v>0</v>
      </c>
      <c r="FZ64">
        <f>IF(Charts!$B$3="none",AX231,IF(DL231="",NA(),DL231))</f>
        <v>0</v>
      </c>
      <c r="GA64">
        <f>IF(Charts!$B$3="none",AY231,IF(DM231="",NA(),DM231))</f>
        <v>0</v>
      </c>
      <c r="GB64">
        <f>IF(Charts!$B$3="none",AZ231,IF(DN231="",NA(),DN231))</f>
        <v>0</v>
      </c>
      <c r="GC64">
        <f>IF(Charts!$B$3="none",BA231,IF(DO231="",NA(),DO231))</f>
        <v>0</v>
      </c>
      <c r="GD64">
        <f>IF(Charts!$B$3="none",BB231,IF(DP231="",NA(),DP231))</f>
        <v>0</v>
      </c>
      <c r="GE64">
        <f>IF(Charts!$B$3="none",BC231,IF(DQ231="",NA(),DQ231))</f>
        <v>0</v>
      </c>
      <c r="GF64">
        <f>IF(Charts!$B$3="none",BD231,IF(DR231="",NA(),DR231))</f>
        <v>0</v>
      </c>
      <c r="GG64">
        <f>IF(Charts!$B$3="none",BE231,IF(DS231="",NA(),DS231))</f>
        <v>0</v>
      </c>
      <c r="GH64">
        <f>IF(Charts!$B$3="none",BF231,IF(DT231="",NA(),DT231))</f>
        <v>0</v>
      </c>
      <c r="GI64">
        <f>IF(Charts!$B$3="none",BG231,IF(DU231="",NA(),DU231))</f>
        <v>0</v>
      </c>
      <c r="GJ64">
        <f>IF(Charts!$B$3="none",BH231,IF(DV231="",NA(),DV231))</f>
        <v>0</v>
      </c>
      <c r="GK64">
        <f>IF(Charts!$B$3="none",BI231,IF(DW231="",NA(),DW231))</f>
        <v>0</v>
      </c>
      <c r="GL64">
        <f>IF(Charts!$B$3="none",BJ231,IF(DX231="",NA(),DX231))</f>
        <v>0</v>
      </c>
      <c r="GM64">
        <f>IF(Charts!$B$3="none",BK231,IF(DY231="",NA(),DY231))</f>
        <v>0</v>
      </c>
      <c r="GN64">
        <f>IF(Charts!$B$3="none",BL231,IF(DZ231="",NA(),DZ231))</f>
        <v>0</v>
      </c>
      <c r="GO64">
        <f>IF(Charts!$B$3="none",BM231,IF(EA231="",NA(),EA231))</f>
        <v>0</v>
      </c>
      <c r="GP64">
        <f>IF(Charts!$B$3="none",BN231,IF(EB231="",NA(),EB231))</f>
        <v>0</v>
      </c>
      <c r="GQ64">
        <f>IF(Charts!$B$3="none",BO231,IF(EC231="",NA(),EC231))</f>
        <v>0</v>
      </c>
      <c r="GR64">
        <f>IF(Charts!$B$3="none",BP231,IF(ED231="",NA(),ED231))</f>
        <v>0</v>
      </c>
    </row>
    <row r="65" spans="5:200">
      <c r="E65">
        <v>27</v>
      </c>
      <c r="F65">
        <f>F31</f>
        <v>0</v>
      </c>
      <c r="G65">
        <v>27</v>
      </c>
      <c r="H65">
        <f>H31</f>
        <v>0</v>
      </c>
      <c r="I65">
        <v>27</v>
      </c>
      <c r="J65">
        <f>J31</f>
        <v>0</v>
      </c>
      <c r="K65">
        <v>27</v>
      </c>
      <c r="L65">
        <f>L31</f>
        <v>0</v>
      </c>
      <c r="M65">
        <v>27</v>
      </c>
      <c r="N65">
        <f>N31</f>
        <v>0</v>
      </c>
      <c r="O65">
        <v>27</v>
      </c>
      <c r="P65">
        <f>P31</f>
        <v>0</v>
      </c>
      <c r="Q65">
        <v>27</v>
      </c>
      <c r="R65">
        <f>R31</f>
        <v>0</v>
      </c>
      <c r="S65">
        <v>27</v>
      </c>
      <c r="T65">
        <f>T31</f>
        <v>0</v>
      </c>
      <c r="U65">
        <v>27</v>
      </c>
      <c r="V65">
        <f>V31</f>
        <v>0</v>
      </c>
      <c r="W65">
        <v>27</v>
      </c>
      <c r="X65">
        <f>X31</f>
        <v>0</v>
      </c>
      <c r="Y65">
        <v>27</v>
      </c>
      <c r="Z65">
        <f>Z31</f>
        <v>0</v>
      </c>
      <c r="AA65">
        <v>27</v>
      </c>
      <c r="AB65">
        <f>AB31</f>
        <v>0</v>
      </c>
      <c r="AC65">
        <v>27</v>
      </c>
      <c r="AD65">
        <f>AD31</f>
        <v>0</v>
      </c>
      <c r="AE65">
        <v>27</v>
      </c>
      <c r="AF65">
        <f>AF31</f>
        <v>0</v>
      </c>
      <c r="AG65">
        <v>27</v>
      </c>
      <c r="AH65">
        <f>AH31</f>
        <v>0</v>
      </c>
      <c r="AI65">
        <v>27</v>
      </c>
      <c r="AJ65">
        <f>AJ31</f>
        <v>0</v>
      </c>
      <c r="AK65">
        <v>27</v>
      </c>
      <c r="AL65">
        <f>AL31</f>
        <v>0</v>
      </c>
      <c r="AM65">
        <v>27</v>
      </c>
      <c r="AN65">
        <f>AN31</f>
        <v>0</v>
      </c>
      <c r="AO65">
        <v>27</v>
      </c>
      <c r="AP65">
        <f>AP31</f>
        <v>0</v>
      </c>
      <c r="AQ65">
        <v>27</v>
      </c>
      <c r="AR65">
        <f>AR31</f>
        <v>0</v>
      </c>
      <c r="AS65">
        <v>27</v>
      </c>
      <c r="AT65">
        <f>AT31</f>
        <v>0</v>
      </c>
      <c r="AU65">
        <v>27</v>
      </c>
      <c r="AV65">
        <f>AV31</f>
        <v>0</v>
      </c>
      <c r="AW65">
        <v>27</v>
      </c>
      <c r="AX65">
        <f>AX31</f>
        <v>0</v>
      </c>
      <c r="AY65">
        <v>27</v>
      </c>
      <c r="AZ65">
        <f>AZ31</f>
        <v>0</v>
      </c>
      <c r="BA65">
        <v>27</v>
      </c>
      <c r="BB65">
        <f>BB31</f>
        <v>0</v>
      </c>
      <c r="BC65">
        <v>27</v>
      </c>
      <c r="BD65">
        <f>BD31</f>
        <v>0</v>
      </c>
      <c r="BE65">
        <v>27</v>
      </c>
      <c r="BF65">
        <f>BF31</f>
        <v>0</v>
      </c>
      <c r="BG65">
        <v>27</v>
      </c>
      <c r="BH65">
        <f>BH31</f>
        <v>0</v>
      </c>
      <c r="BI65">
        <v>27</v>
      </c>
      <c r="BJ65">
        <f>BJ31</f>
        <v>0</v>
      </c>
      <c r="BK65">
        <v>27</v>
      </c>
      <c r="BL65">
        <f>BL31</f>
        <v>0</v>
      </c>
      <c r="BM65">
        <v>27</v>
      </c>
      <c r="BN65">
        <f>BN31</f>
        <v>0</v>
      </c>
      <c r="BO65">
        <v>27</v>
      </c>
      <c r="BP65">
        <f>BP31</f>
        <v>0</v>
      </c>
      <c r="BS65">
        <v>27</v>
      </c>
      <c r="BT65">
        <f>BT31</f>
        <v>0</v>
      </c>
      <c r="BU65">
        <v>27</v>
      </c>
      <c r="BV65">
        <f>BV31</f>
        <v>0</v>
      </c>
      <c r="BW65">
        <v>27</v>
      </c>
      <c r="BX65">
        <f>BX31</f>
        <v>0</v>
      </c>
      <c r="BY65">
        <v>27</v>
      </c>
      <c r="BZ65">
        <f>BZ31</f>
        <v>0</v>
      </c>
      <c r="CA65">
        <v>27</v>
      </c>
      <c r="CB65">
        <f>CB31</f>
        <v>0</v>
      </c>
      <c r="CC65">
        <v>27</v>
      </c>
      <c r="CD65">
        <f>CD31</f>
        <v>0</v>
      </c>
      <c r="CE65">
        <v>27</v>
      </c>
      <c r="CF65">
        <f>CF31</f>
        <v>0</v>
      </c>
      <c r="CG65">
        <v>27</v>
      </c>
      <c r="CH65">
        <f>CH31</f>
        <v>0</v>
      </c>
      <c r="CI65">
        <v>27</v>
      </c>
      <c r="CJ65">
        <f>CJ31</f>
        <v>0</v>
      </c>
      <c r="CK65">
        <v>27</v>
      </c>
      <c r="CL65">
        <f>CL31</f>
        <v>0</v>
      </c>
      <c r="CM65">
        <v>27</v>
      </c>
      <c r="CN65">
        <f>CN31</f>
        <v>0</v>
      </c>
      <c r="CO65">
        <v>27</v>
      </c>
      <c r="CP65">
        <f>CP31</f>
        <v>0</v>
      </c>
      <c r="CQ65">
        <v>27</v>
      </c>
      <c r="CR65">
        <f>CR31</f>
        <v>0</v>
      </c>
      <c r="CS65">
        <v>27</v>
      </c>
      <c r="CT65">
        <f>CT31</f>
        <v>0</v>
      </c>
      <c r="CU65">
        <v>27</v>
      </c>
      <c r="CV65">
        <f>CV31</f>
        <v>0</v>
      </c>
      <c r="CW65">
        <v>27</v>
      </c>
      <c r="CX65">
        <f>CX31</f>
        <v>0</v>
      </c>
      <c r="CY65">
        <v>27</v>
      </c>
      <c r="CZ65">
        <f>CZ31</f>
        <v>0</v>
      </c>
      <c r="DA65">
        <v>27</v>
      </c>
      <c r="DB65">
        <f>DB31</f>
        <v>0</v>
      </c>
      <c r="DC65">
        <v>27</v>
      </c>
      <c r="DD65">
        <f>DD31</f>
        <v>0</v>
      </c>
      <c r="DE65">
        <v>27</v>
      </c>
      <c r="DF65">
        <f>DF31</f>
        <v>0</v>
      </c>
      <c r="DG65">
        <v>27</v>
      </c>
      <c r="DH65">
        <f>DH31</f>
        <v>0</v>
      </c>
      <c r="DI65">
        <v>27</v>
      </c>
      <c r="DJ65">
        <f>DJ31</f>
        <v>0</v>
      </c>
      <c r="DK65">
        <v>27</v>
      </c>
      <c r="DL65">
        <f>DL31</f>
        <v>0</v>
      </c>
      <c r="DM65">
        <v>27</v>
      </c>
      <c r="DN65">
        <f>DN31</f>
        <v>0</v>
      </c>
      <c r="DO65">
        <v>27</v>
      </c>
      <c r="DP65">
        <f>DP31</f>
        <v>0</v>
      </c>
      <c r="DQ65">
        <v>27</v>
      </c>
      <c r="DR65">
        <f>DR31</f>
        <v>0</v>
      </c>
      <c r="DS65">
        <v>27</v>
      </c>
      <c r="DT65">
        <f>DT31</f>
        <v>0</v>
      </c>
      <c r="DU65">
        <v>27</v>
      </c>
      <c r="DV65">
        <f>DV31</f>
        <v>0</v>
      </c>
      <c r="DW65">
        <v>27</v>
      </c>
      <c r="DX65">
        <f>DX31</f>
        <v>0</v>
      </c>
      <c r="DY65">
        <v>27</v>
      </c>
      <c r="DZ65">
        <f>DZ31</f>
        <v>0</v>
      </c>
      <c r="EA65">
        <v>27</v>
      </c>
      <c r="EB65">
        <f>EB31</f>
        <v>0</v>
      </c>
      <c r="EC65">
        <v>27</v>
      </c>
      <c r="ED65">
        <f>ED31</f>
        <v>0</v>
      </c>
      <c r="EG65">
        <f>IF(Charts!$B$3="none",E232,IF(BS232="",NA(),BS232))</f>
        <v>0</v>
      </c>
      <c r="EH65">
        <f>IF(Charts!$B$3="none",F232,IF(BT232="",NA(),BT232))</f>
        <v>0</v>
      </c>
      <c r="EI65">
        <f>IF(Charts!$B$3="none",G232,IF(BU232="",NA(),BU232))</f>
        <v>0</v>
      </c>
      <c r="EJ65">
        <f>IF(Charts!$B$3="none",H232,IF(BV232="",NA(),BV232))</f>
        <v>0</v>
      </c>
      <c r="EK65">
        <f>IF(Charts!$B$3="none",I232,IF(BW232="",NA(),BW232))</f>
        <v>0</v>
      </c>
      <c r="EL65">
        <f>IF(Charts!$B$3="none",J232,IF(BX232="",NA(),BX232))</f>
        <v>0</v>
      </c>
      <c r="EM65">
        <f>IF(Charts!$B$3="none",K232,IF(BY232="",NA(),BY232))</f>
        <v>0</v>
      </c>
      <c r="EN65">
        <f>IF(Charts!$B$3="none",L232,IF(BZ232="",NA(),BZ232))</f>
        <v>0</v>
      </c>
      <c r="EO65">
        <f>IF(Charts!$B$3="none",M232,IF(CA232="",NA(),CA232))</f>
        <v>0</v>
      </c>
      <c r="EP65">
        <f>IF(Charts!$B$3="none",N232,IF(CB232="",NA(),CB232))</f>
        <v>0</v>
      </c>
      <c r="EQ65">
        <f>IF(Charts!$B$3="none",O232,IF(CC232="",NA(),CC232))</f>
        <v>0</v>
      </c>
      <c r="ER65">
        <f>IF(Charts!$B$3="none",P232,IF(CD232="",NA(),CD232))</f>
        <v>0</v>
      </c>
      <c r="ES65">
        <f>IF(Charts!$B$3="none",Q232,IF(CE232="",NA(),CE232))</f>
        <v>0</v>
      </c>
      <c r="ET65">
        <f>IF(Charts!$B$3="none",R232,IF(CF232="",NA(),CF232))</f>
        <v>0</v>
      </c>
      <c r="EU65">
        <f>IF(Charts!$B$3="none",S232,IF(CG232="",NA(),CG232))</f>
        <v>0</v>
      </c>
      <c r="EV65">
        <f>IF(Charts!$B$3="none",T232,IF(CH232="",NA(),CH232))</f>
        <v>0</v>
      </c>
      <c r="EW65">
        <f>IF(Charts!$B$3="none",U232,IF(CI232="",NA(),CI232))</f>
        <v>0</v>
      </c>
      <c r="EX65">
        <f>IF(Charts!$B$3="none",V232,IF(CJ232="",NA(),CJ232))</f>
        <v>0</v>
      </c>
      <c r="EY65">
        <f>IF(Charts!$B$3="none",W232,IF(CK232="",NA(),CK232))</f>
        <v>0</v>
      </c>
      <c r="EZ65">
        <f>IF(Charts!$B$3="none",X232,IF(CL232="",NA(),CL232))</f>
        <v>0</v>
      </c>
      <c r="FA65">
        <f>IF(Charts!$B$3="none",Y232,IF(CM232="",NA(),CM232))</f>
        <v>0</v>
      </c>
      <c r="FB65">
        <f>IF(Charts!$B$3="none",Z232,IF(CN232="",NA(),CN232))</f>
        <v>0</v>
      </c>
      <c r="FC65">
        <f>IF(Charts!$B$3="none",AA232,IF(CO232="",NA(),CO232))</f>
        <v>0</v>
      </c>
      <c r="FD65">
        <f>IF(Charts!$B$3="none",AB232,IF(CP232="",NA(),CP232))</f>
        <v>0</v>
      </c>
      <c r="FE65">
        <f>IF(Charts!$B$3="none",AC232,IF(CQ232="",NA(),CQ232))</f>
        <v>0</v>
      </c>
      <c r="FF65">
        <f>IF(Charts!$B$3="none",AD232,IF(CR232="",NA(),CR232))</f>
        <v>0</v>
      </c>
      <c r="FG65">
        <f>IF(Charts!$B$3="none",AE232,IF(CS232="",NA(),CS232))</f>
        <v>0</v>
      </c>
      <c r="FH65">
        <f>IF(Charts!$B$3="none",AF232,IF(CT232="",NA(),CT232))</f>
        <v>0</v>
      </c>
      <c r="FI65">
        <f>IF(Charts!$B$3="none",AG232,IF(CU232="",NA(),CU232))</f>
        <v>0</v>
      </c>
      <c r="FJ65">
        <f>IF(Charts!$B$3="none",AH232,IF(CV232="",NA(),CV232))</f>
        <v>0</v>
      </c>
      <c r="FK65">
        <f>IF(Charts!$B$3="none",AI232,IF(CW232="",NA(),CW232))</f>
        <v>0</v>
      </c>
      <c r="FL65">
        <f>IF(Charts!$B$3="none",AJ232,IF(CX232="",NA(),CX232))</f>
        <v>0</v>
      </c>
      <c r="FM65">
        <f>IF(Charts!$B$3="none",AK232,IF(CY232="",NA(),CY232))</f>
        <v>0</v>
      </c>
      <c r="FN65">
        <f>IF(Charts!$B$3="none",AL232,IF(CZ232="",NA(),CZ232))</f>
        <v>0</v>
      </c>
      <c r="FO65">
        <f>IF(Charts!$B$3="none",AM232,IF(DA232="",NA(),DA232))</f>
        <v>0</v>
      </c>
      <c r="FP65">
        <f>IF(Charts!$B$3="none",AN232,IF(DB232="",NA(),DB232))</f>
        <v>0</v>
      </c>
      <c r="FQ65">
        <f>IF(Charts!$B$3="none",AO232,IF(DC232="",NA(),DC232))</f>
        <v>0</v>
      </c>
      <c r="FR65">
        <f>IF(Charts!$B$3="none",AP232,IF(DD232="",NA(),DD232))</f>
        <v>0</v>
      </c>
      <c r="FS65">
        <f>IF(Charts!$B$3="none",AQ232,IF(DE232="",NA(),DE232))</f>
        <v>0</v>
      </c>
      <c r="FT65">
        <f>IF(Charts!$B$3="none",AR232,IF(DF232="",NA(),DF232))</f>
        <v>0</v>
      </c>
      <c r="FU65">
        <f>IF(Charts!$B$3="none",AS232,IF(DG232="",NA(),DG232))</f>
        <v>0</v>
      </c>
      <c r="FV65">
        <f>IF(Charts!$B$3="none",AT232,IF(DH232="",NA(),DH232))</f>
        <v>0</v>
      </c>
      <c r="FW65">
        <f>IF(Charts!$B$3="none",AU232,IF(DI232="",NA(),DI232))</f>
        <v>0</v>
      </c>
      <c r="FX65">
        <f>IF(Charts!$B$3="none",AV232,IF(DJ232="",NA(),DJ232))</f>
        <v>0</v>
      </c>
      <c r="FY65">
        <f>IF(Charts!$B$3="none",AW232,IF(DK232="",NA(),DK232))</f>
        <v>0</v>
      </c>
      <c r="FZ65">
        <f>IF(Charts!$B$3="none",AX232,IF(DL232="",NA(),DL232))</f>
        <v>0</v>
      </c>
      <c r="GA65">
        <f>IF(Charts!$B$3="none",AY232,IF(DM232="",NA(),DM232))</f>
        <v>0</v>
      </c>
      <c r="GB65">
        <f>IF(Charts!$B$3="none",AZ232,IF(DN232="",NA(),DN232))</f>
        <v>0</v>
      </c>
      <c r="GC65">
        <f>IF(Charts!$B$3="none",BA232,IF(DO232="",NA(),DO232))</f>
        <v>0</v>
      </c>
      <c r="GD65">
        <f>IF(Charts!$B$3="none",BB232,IF(DP232="",NA(),DP232))</f>
        <v>0</v>
      </c>
      <c r="GE65">
        <f>IF(Charts!$B$3="none",BC232,IF(DQ232="",NA(),DQ232))</f>
        <v>0</v>
      </c>
      <c r="GF65">
        <f>IF(Charts!$B$3="none",BD232,IF(DR232="",NA(),DR232))</f>
        <v>0</v>
      </c>
      <c r="GG65">
        <f>IF(Charts!$B$3="none",BE232,IF(DS232="",NA(),DS232))</f>
        <v>0</v>
      </c>
      <c r="GH65">
        <f>IF(Charts!$B$3="none",BF232,IF(DT232="",NA(),DT232))</f>
        <v>0</v>
      </c>
      <c r="GI65">
        <f>IF(Charts!$B$3="none",BG232,IF(DU232="",NA(),DU232))</f>
        <v>0</v>
      </c>
      <c r="GJ65">
        <f>IF(Charts!$B$3="none",BH232,IF(DV232="",NA(),DV232))</f>
        <v>0</v>
      </c>
      <c r="GK65">
        <f>IF(Charts!$B$3="none",BI232,IF(DW232="",NA(),DW232))</f>
        <v>0</v>
      </c>
      <c r="GL65">
        <f>IF(Charts!$B$3="none",BJ232,IF(DX232="",NA(),DX232))</f>
        <v>0</v>
      </c>
      <c r="GM65">
        <f>IF(Charts!$B$3="none",BK232,IF(DY232="",NA(),DY232))</f>
        <v>0</v>
      </c>
      <c r="GN65">
        <f>IF(Charts!$B$3="none",BL232,IF(DZ232="",NA(),DZ232))</f>
        <v>0</v>
      </c>
      <c r="GO65">
        <f>IF(Charts!$B$3="none",BM232,IF(EA232="",NA(),EA232))</f>
        <v>0</v>
      </c>
      <c r="GP65">
        <f>IF(Charts!$B$3="none",BN232,IF(EB232="",NA(),EB232))</f>
        <v>0</v>
      </c>
      <c r="GQ65">
        <f>IF(Charts!$B$3="none",BO232,IF(EC232="",NA(),EC232))</f>
        <v>0</v>
      </c>
      <c r="GR65">
        <f>IF(Charts!$B$3="none",BP232,IF(ED232="",NA(),ED232))</f>
        <v>0</v>
      </c>
    </row>
    <row r="66" spans="5:200">
      <c r="E66">
        <v>28</v>
      </c>
      <c r="F66">
        <f>F32</f>
        <v>0</v>
      </c>
      <c r="G66">
        <v>28</v>
      </c>
      <c r="H66">
        <f>H32</f>
        <v>0</v>
      </c>
      <c r="I66">
        <v>28</v>
      </c>
      <c r="J66">
        <f>J32</f>
        <v>0</v>
      </c>
      <c r="K66">
        <v>28</v>
      </c>
      <c r="L66">
        <f>L32</f>
        <v>0</v>
      </c>
      <c r="M66">
        <v>28</v>
      </c>
      <c r="N66">
        <f>N32</f>
        <v>0</v>
      </c>
      <c r="O66">
        <v>28</v>
      </c>
      <c r="P66">
        <f>P32</f>
        <v>0</v>
      </c>
      <c r="Q66">
        <v>28</v>
      </c>
      <c r="R66">
        <f>R32</f>
        <v>0</v>
      </c>
      <c r="S66">
        <v>28</v>
      </c>
      <c r="T66">
        <f>T32</f>
        <v>0</v>
      </c>
      <c r="U66">
        <v>28</v>
      </c>
      <c r="V66">
        <f>V32</f>
        <v>0</v>
      </c>
      <c r="W66">
        <v>28</v>
      </c>
      <c r="X66">
        <f>X32</f>
        <v>0</v>
      </c>
      <c r="Y66">
        <v>28</v>
      </c>
      <c r="Z66">
        <f>Z32</f>
        <v>0</v>
      </c>
      <c r="AA66">
        <v>28</v>
      </c>
      <c r="AB66">
        <f>AB32</f>
        <v>0</v>
      </c>
      <c r="AC66">
        <v>28</v>
      </c>
      <c r="AD66">
        <f>AD32</f>
        <v>0</v>
      </c>
      <c r="AE66">
        <v>28</v>
      </c>
      <c r="AF66">
        <f>AF32</f>
        <v>0</v>
      </c>
      <c r="AG66">
        <v>28</v>
      </c>
      <c r="AH66">
        <f>AH32</f>
        <v>0</v>
      </c>
      <c r="AI66">
        <v>28</v>
      </c>
      <c r="AJ66">
        <f>AJ32</f>
        <v>0</v>
      </c>
      <c r="AK66">
        <v>28</v>
      </c>
      <c r="AL66">
        <f>AL32</f>
        <v>0</v>
      </c>
      <c r="AM66">
        <v>28</v>
      </c>
      <c r="AN66">
        <f>AN32</f>
        <v>0</v>
      </c>
      <c r="AO66">
        <v>28</v>
      </c>
      <c r="AP66">
        <f>AP32</f>
        <v>0</v>
      </c>
      <c r="AQ66">
        <v>28</v>
      </c>
      <c r="AR66">
        <f>AR32</f>
        <v>0</v>
      </c>
      <c r="AS66">
        <v>28</v>
      </c>
      <c r="AT66">
        <f>AT32</f>
        <v>0</v>
      </c>
      <c r="AU66">
        <v>28</v>
      </c>
      <c r="AV66">
        <f>AV32</f>
        <v>0</v>
      </c>
      <c r="AW66">
        <v>28</v>
      </c>
      <c r="AX66">
        <f>AX32</f>
        <v>0</v>
      </c>
      <c r="AY66">
        <v>28</v>
      </c>
      <c r="AZ66">
        <f>AZ32</f>
        <v>0</v>
      </c>
      <c r="BA66">
        <v>28</v>
      </c>
      <c r="BB66">
        <f>BB32</f>
        <v>0</v>
      </c>
      <c r="BC66">
        <v>28</v>
      </c>
      <c r="BD66">
        <f>BD32</f>
        <v>0</v>
      </c>
      <c r="BE66">
        <v>28</v>
      </c>
      <c r="BF66">
        <f>BF32</f>
        <v>0</v>
      </c>
      <c r="BG66">
        <v>28</v>
      </c>
      <c r="BH66">
        <f>BH32</f>
        <v>0</v>
      </c>
      <c r="BI66">
        <v>28</v>
      </c>
      <c r="BJ66">
        <f>BJ32</f>
        <v>0</v>
      </c>
      <c r="BK66">
        <v>28</v>
      </c>
      <c r="BL66">
        <f>BL32</f>
        <v>0</v>
      </c>
      <c r="BM66">
        <v>28</v>
      </c>
      <c r="BN66">
        <f>BN32</f>
        <v>0</v>
      </c>
      <c r="BO66">
        <v>28</v>
      </c>
      <c r="BP66">
        <f>BP32</f>
        <v>0</v>
      </c>
      <c r="BS66">
        <v>28</v>
      </c>
      <c r="BT66">
        <f>BT32</f>
        <v>0</v>
      </c>
      <c r="BU66">
        <v>28</v>
      </c>
      <c r="BV66">
        <f>BV32</f>
        <v>0</v>
      </c>
      <c r="BW66">
        <v>28</v>
      </c>
      <c r="BX66">
        <f>BX32</f>
        <v>0</v>
      </c>
      <c r="BY66">
        <v>28</v>
      </c>
      <c r="BZ66">
        <f>BZ32</f>
        <v>0</v>
      </c>
      <c r="CA66">
        <v>28</v>
      </c>
      <c r="CB66">
        <f>CB32</f>
        <v>0</v>
      </c>
      <c r="CC66">
        <v>28</v>
      </c>
      <c r="CD66">
        <f>CD32</f>
        <v>0</v>
      </c>
      <c r="CE66">
        <v>28</v>
      </c>
      <c r="CF66">
        <f>CF32</f>
        <v>0</v>
      </c>
      <c r="CG66">
        <v>28</v>
      </c>
      <c r="CH66">
        <f>CH32</f>
        <v>0</v>
      </c>
      <c r="CI66">
        <v>28</v>
      </c>
      <c r="CJ66">
        <f>CJ32</f>
        <v>0</v>
      </c>
      <c r="CK66">
        <v>28</v>
      </c>
      <c r="CL66">
        <f>CL32</f>
        <v>0</v>
      </c>
      <c r="CM66">
        <v>28</v>
      </c>
      <c r="CN66">
        <f>CN32</f>
        <v>0</v>
      </c>
      <c r="CO66">
        <v>28</v>
      </c>
      <c r="CP66">
        <f>CP32</f>
        <v>0</v>
      </c>
      <c r="CQ66">
        <v>28</v>
      </c>
      <c r="CR66">
        <f>CR32</f>
        <v>0</v>
      </c>
      <c r="CS66">
        <v>28</v>
      </c>
      <c r="CT66">
        <f>CT32</f>
        <v>0</v>
      </c>
      <c r="CU66">
        <v>28</v>
      </c>
      <c r="CV66">
        <f>CV32</f>
        <v>0</v>
      </c>
      <c r="CW66">
        <v>28</v>
      </c>
      <c r="CX66">
        <f>CX32</f>
        <v>0</v>
      </c>
      <c r="CY66">
        <v>28</v>
      </c>
      <c r="CZ66">
        <f>CZ32</f>
        <v>0</v>
      </c>
      <c r="DA66">
        <v>28</v>
      </c>
      <c r="DB66">
        <f>DB32</f>
        <v>0</v>
      </c>
      <c r="DC66">
        <v>28</v>
      </c>
      <c r="DD66">
        <f>DD32</f>
        <v>0</v>
      </c>
      <c r="DE66">
        <v>28</v>
      </c>
      <c r="DF66">
        <f>DF32</f>
        <v>0</v>
      </c>
      <c r="DG66">
        <v>28</v>
      </c>
      <c r="DH66">
        <f>DH32</f>
        <v>0</v>
      </c>
      <c r="DI66">
        <v>28</v>
      </c>
      <c r="DJ66">
        <f>DJ32</f>
        <v>0</v>
      </c>
      <c r="DK66">
        <v>28</v>
      </c>
      <c r="DL66">
        <f>DL32</f>
        <v>0</v>
      </c>
      <c r="DM66">
        <v>28</v>
      </c>
      <c r="DN66">
        <f>DN32</f>
        <v>0</v>
      </c>
      <c r="DO66">
        <v>28</v>
      </c>
      <c r="DP66">
        <f>DP32</f>
        <v>0</v>
      </c>
      <c r="DQ66">
        <v>28</v>
      </c>
      <c r="DR66">
        <f>DR32</f>
        <v>0</v>
      </c>
      <c r="DS66">
        <v>28</v>
      </c>
      <c r="DT66">
        <f>DT32</f>
        <v>0</v>
      </c>
      <c r="DU66">
        <v>28</v>
      </c>
      <c r="DV66">
        <f>DV32</f>
        <v>0</v>
      </c>
      <c r="DW66">
        <v>28</v>
      </c>
      <c r="DX66">
        <f>DX32</f>
        <v>0</v>
      </c>
      <c r="DY66">
        <v>28</v>
      </c>
      <c r="DZ66">
        <f>DZ32</f>
        <v>0</v>
      </c>
      <c r="EA66">
        <v>28</v>
      </c>
      <c r="EB66">
        <f>EB32</f>
        <v>0</v>
      </c>
      <c r="EC66">
        <v>28</v>
      </c>
      <c r="ED66">
        <f>ED32</f>
        <v>0</v>
      </c>
      <c r="EG66">
        <f>IF(Charts!$B$3="none",E233,IF(BS233="",NA(),BS233))</f>
        <v>0</v>
      </c>
      <c r="EH66">
        <f>IF(Charts!$B$3="none",F233,IF(BT233="",NA(),BT233))</f>
        <v>0</v>
      </c>
      <c r="EI66">
        <f>IF(Charts!$B$3="none",G233,IF(BU233="",NA(),BU233))</f>
        <v>0</v>
      </c>
      <c r="EJ66">
        <f>IF(Charts!$B$3="none",H233,IF(BV233="",NA(),BV233))</f>
        <v>0</v>
      </c>
      <c r="EK66">
        <f>IF(Charts!$B$3="none",I233,IF(BW233="",NA(),BW233))</f>
        <v>0</v>
      </c>
      <c r="EL66">
        <f>IF(Charts!$B$3="none",J233,IF(BX233="",NA(),BX233))</f>
        <v>0</v>
      </c>
      <c r="EM66">
        <f>IF(Charts!$B$3="none",K233,IF(BY233="",NA(),BY233))</f>
        <v>0</v>
      </c>
      <c r="EN66">
        <f>IF(Charts!$B$3="none",L233,IF(BZ233="",NA(),BZ233))</f>
        <v>0</v>
      </c>
      <c r="EO66">
        <f>IF(Charts!$B$3="none",M233,IF(CA233="",NA(),CA233))</f>
        <v>0</v>
      </c>
      <c r="EP66">
        <f>IF(Charts!$B$3="none",N233,IF(CB233="",NA(),CB233))</f>
        <v>0</v>
      </c>
      <c r="EQ66">
        <f>IF(Charts!$B$3="none",O233,IF(CC233="",NA(),CC233))</f>
        <v>0</v>
      </c>
      <c r="ER66">
        <f>IF(Charts!$B$3="none",P233,IF(CD233="",NA(),CD233))</f>
        <v>0</v>
      </c>
      <c r="ES66">
        <f>IF(Charts!$B$3="none",Q233,IF(CE233="",NA(),CE233))</f>
        <v>0</v>
      </c>
      <c r="ET66">
        <f>IF(Charts!$B$3="none",R233,IF(CF233="",NA(),CF233))</f>
        <v>0</v>
      </c>
      <c r="EU66">
        <f>IF(Charts!$B$3="none",S233,IF(CG233="",NA(),CG233))</f>
        <v>0</v>
      </c>
      <c r="EV66">
        <f>IF(Charts!$B$3="none",T233,IF(CH233="",NA(),CH233))</f>
        <v>0</v>
      </c>
      <c r="EW66">
        <f>IF(Charts!$B$3="none",U233,IF(CI233="",NA(),CI233))</f>
        <v>0</v>
      </c>
      <c r="EX66">
        <f>IF(Charts!$B$3="none",V233,IF(CJ233="",NA(),CJ233))</f>
        <v>0</v>
      </c>
      <c r="EY66">
        <f>IF(Charts!$B$3="none",W233,IF(CK233="",NA(),CK233))</f>
        <v>0</v>
      </c>
      <c r="EZ66">
        <f>IF(Charts!$B$3="none",X233,IF(CL233="",NA(),CL233))</f>
        <v>0</v>
      </c>
      <c r="FA66">
        <f>IF(Charts!$B$3="none",Y233,IF(CM233="",NA(),CM233))</f>
        <v>0</v>
      </c>
      <c r="FB66">
        <f>IF(Charts!$B$3="none",Z233,IF(CN233="",NA(),CN233))</f>
        <v>0</v>
      </c>
      <c r="FC66">
        <f>IF(Charts!$B$3="none",AA233,IF(CO233="",NA(),CO233))</f>
        <v>0</v>
      </c>
      <c r="FD66">
        <f>IF(Charts!$B$3="none",AB233,IF(CP233="",NA(),CP233))</f>
        <v>0</v>
      </c>
      <c r="FE66">
        <f>IF(Charts!$B$3="none",AC233,IF(CQ233="",NA(),CQ233))</f>
        <v>0</v>
      </c>
      <c r="FF66">
        <f>IF(Charts!$B$3="none",AD233,IF(CR233="",NA(),CR233))</f>
        <v>0</v>
      </c>
      <c r="FG66">
        <f>IF(Charts!$B$3="none",AE233,IF(CS233="",NA(),CS233))</f>
        <v>0</v>
      </c>
      <c r="FH66">
        <f>IF(Charts!$B$3="none",AF233,IF(CT233="",NA(),CT233))</f>
        <v>0</v>
      </c>
      <c r="FI66">
        <f>IF(Charts!$B$3="none",AG233,IF(CU233="",NA(),CU233))</f>
        <v>0</v>
      </c>
      <c r="FJ66">
        <f>IF(Charts!$B$3="none",AH233,IF(CV233="",NA(),CV233))</f>
        <v>0</v>
      </c>
      <c r="FK66">
        <f>IF(Charts!$B$3="none",AI233,IF(CW233="",NA(),CW233))</f>
        <v>0</v>
      </c>
      <c r="FL66">
        <f>IF(Charts!$B$3="none",AJ233,IF(CX233="",NA(),CX233))</f>
        <v>0</v>
      </c>
      <c r="FM66">
        <f>IF(Charts!$B$3="none",AK233,IF(CY233="",NA(),CY233))</f>
        <v>0</v>
      </c>
      <c r="FN66">
        <f>IF(Charts!$B$3="none",AL233,IF(CZ233="",NA(),CZ233))</f>
        <v>0</v>
      </c>
      <c r="FO66">
        <f>IF(Charts!$B$3="none",AM233,IF(DA233="",NA(),DA233))</f>
        <v>0</v>
      </c>
      <c r="FP66">
        <f>IF(Charts!$B$3="none",AN233,IF(DB233="",NA(),DB233))</f>
        <v>0</v>
      </c>
      <c r="FQ66">
        <f>IF(Charts!$B$3="none",AO233,IF(DC233="",NA(),DC233))</f>
        <v>0</v>
      </c>
      <c r="FR66">
        <f>IF(Charts!$B$3="none",AP233,IF(DD233="",NA(),DD233))</f>
        <v>0</v>
      </c>
      <c r="FS66">
        <f>IF(Charts!$B$3="none",AQ233,IF(DE233="",NA(),DE233))</f>
        <v>0</v>
      </c>
      <c r="FT66">
        <f>IF(Charts!$B$3="none",AR233,IF(DF233="",NA(),DF233))</f>
        <v>0</v>
      </c>
      <c r="FU66">
        <f>IF(Charts!$B$3="none",AS233,IF(DG233="",NA(),DG233))</f>
        <v>0</v>
      </c>
      <c r="FV66">
        <f>IF(Charts!$B$3="none",AT233,IF(DH233="",NA(),DH233))</f>
        <v>0</v>
      </c>
      <c r="FW66">
        <f>IF(Charts!$B$3="none",AU233,IF(DI233="",NA(),DI233))</f>
        <v>0</v>
      </c>
      <c r="FX66">
        <f>IF(Charts!$B$3="none",AV233,IF(DJ233="",NA(),DJ233))</f>
        <v>0</v>
      </c>
      <c r="FY66">
        <f>IF(Charts!$B$3="none",AW233,IF(DK233="",NA(),DK233))</f>
        <v>0</v>
      </c>
      <c r="FZ66">
        <f>IF(Charts!$B$3="none",AX233,IF(DL233="",NA(),DL233))</f>
        <v>0</v>
      </c>
      <c r="GA66">
        <f>IF(Charts!$B$3="none",AY233,IF(DM233="",NA(),DM233))</f>
        <v>0</v>
      </c>
      <c r="GB66">
        <f>IF(Charts!$B$3="none",AZ233,IF(DN233="",NA(),DN233))</f>
        <v>0</v>
      </c>
      <c r="GC66">
        <f>IF(Charts!$B$3="none",BA233,IF(DO233="",NA(),DO233))</f>
        <v>0</v>
      </c>
      <c r="GD66">
        <f>IF(Charts!$B$3="none",BB233,IF(DP233="",NA(),DP233))</f>
        <v>0</v>
      </c>
      <c r="GE66">
        <f>IF(Charts!$B$3="none",BC233,IF(DQ233="",NA(),DQ233))</f>
        <v>0</v>
      </c>
      <c r="GF66">
        <f>IF(Charts!$B$3="none",BD233,IF(DR233="",NA(),DR233))</f>
        <v>0</v>
      </c>
      <c r="GG66">
        <f>IF(Charts!$B$3="none",BE233,IF(DS233="",NA(),DS233))</f>
        <v>0</v>
      </c>
      <c r="GH66">
        <f>IF(Charts!$B$3="none",BF233,IF(DT233="",NA(),DT233))</f>
        <v>0</v>
      </c>
      <c r="GI66">
        <f>IF(Charts!$B$3="none",BG233,IF(DU233="",NA(),DU233))</f>
        <v>0</v>
      </c>
      <c r="GJ66">
        <f>IF(Charts!$B$3="none",BH233,IF(DV233="",NA(),DV233))</f>
        <v>0</v>
      </c>
      <c r="GK66">
        <f>IF(Charts!$B$3="none",BI233,IF(DW233="",NA(),DW233))</f>
        <v>0</v>
      </c>
      <c r="GL66">
        <f>IF(Charts!$B$3="none",BJ233,IF(DX233="",NA(),DX233))</f>
        <v>0</v>
      </c>
      <c r="GM66">
        <f>IF(Charts!$B$3="none",BK233,IF(DY233="",NA(),DY233))</f>
        <v>0</v>
      </c>
      <c r="GN66">
        <f>IF(Charts!$B$3="none",BL233,IF(DZ233="",NA(),DZ233))</f>
        <v>0</v>
      </c>
      <c r="GO66">
        <f>IF(Charts!$B$3="none",BM233,IF(EA233="",NA(),EA233))</f>
        <v>0</v>
      </c>
      <c r="GP66">
        <f>IF(Charts!$B$3="none",BN233,IF(EB233="",NA(),EB233))</f>
        <v>0</v>
      </c>
      <c r="GQ66">
        <f>IF(Charts!$B$3="none",BO233,IF(EC233="",NA(),EC233))</f>
        <v>0</v>
      </c>
      <c r="GR66">
        <f>IF(Charts!$B$3="none",BP233,IF(ED233="",NA(),ED233))</f>
        <v>0</v>
      </c>
    </row>
    <row r="67" spans="5:200">
      <c r="E67">
        <v>29</v>
      </c>
      <c r="F67">
        <f>F33</f>
        <v>0</v>
      </c>
      <c r="G67">
        <v>29</v>
      </c>
      <c r="H67">
        <f>H33</f>
        <v>0</v>
      </c>
      <c r="I67">
        <v>29</v>
      </c>
      <c r="J67">
        <f>J33</f>
        <v>0</v>
      </c>
      <c r="K67">
        <v>29</v>
      </c>
      <c r="L67">
        <f>L33</f>
        <v>0</v>
      </c>
      <c r="M67">
        <v>29</v>
      </c>
      <c r="N67">
        <f>N33</f>
        <v>0</v>
      </c>
      <c r="O67">
        <v>29</v>
      </c>
      <c r="P67">
        <f>P33</f>
        <v>0</v>
      </c>
      <c r="Q67">
        <v>29</v>
      </c>
      <c r="R67">
        <f>R33</f>
        <v>0</v>
      </c>
      <c r="S67">
        <v>29</v>
      </c>
      <c r="T67">
        <f>T33</f>
        <v>0</v>
      </c>
      <c r="U67">
        <v>29</v>
      </c>
      <c r="V67">
        <f>V33</f>
        <v>0</v>
      </c>
      <c r="W67">
        <v>29</v>
      </c>
      <c r="X67">
        <f>X33</f>
        <v>0</v>
      </c>
      <c r="Y67">
        <v>29</v>
      </c>
      <c r="Z67">
        <f>Z33</f>
        <v>0</v>
      </c>
      <c r="AA67">
        <v>29</v>
      </c>
      <c r="AB67">
        <f>AB33</f>
        <v>0</v>
      </c>
      <c r="AC67">
        <v>29</v>
      </c>
      <c r="AD67">
        <f>AD33</f>
        <v>0</v>
      </c>
      <c r="AE67">
        <v>29</v>
      </c>
      <c r="AF67">
        <f>AF33</f>
        <v>0</v>
      </c>
      <c r="AG67">
        <v>29</v>
      </c>
      <c r="AH67">
        <f>AH33</f>
        <v>0</v>
      </c>
      <c r="AI67">
        <v>29</v>
      </c>
      <c r="AJ67">
        <f>AJ33</f>
        <v>0</v>
      </c>
      <c r="AK67">
        <v>29</v>
      </c>
      <c r="AL67">
        <f>AL33</f>
        <v>0</v>
      </c>
      <c r="AM67">
        <v>29</v>
      </c>
      <c r="AN67">
        <f>AN33</f>
        <v>0</v>
      </c>
      <c r="AO67">
        <v>29</v>
      </c>
      <c r="AP67">
        <f>AP33</f>
        <v>0</v>
      </c>
      <c r="AQ67">
        <v>29</v>
      </c>
      <c r="AR67">
        <f>AR33</f>
        <v>0</v>
      </c>
      <c r="AS67">
        <v>29</v>
      </c>
      <c r="AT67">
        <f>AT33</f>
        <v>0</v>
      </c>
      <c r="AU67">
        <v>29</v>
      </c>
      <c r="AV67">
        <f>AV33</f>
        <v>0</v>
      </c>
      <c r="AW67">
        <v>29</v>
      </c>
      <c r="AX67">
        <f>AX33</f>
        <v>0</v>
      </c>
      <c r="AY67">
        <v>29</v>
      </c>
      <c r="AZ67">
        <f>AZ33</f>
        <v>0</v>
      </c>
      <c r="BA67">
        <v>29</v>
      </c>
      <c r="BB67">
        <f>BB33</f>
        <v>0</v>
      </c>
      <c r="BC67">
        <v>29</v>
      </c>
      <c r="BD67">
        <f>BD33</f>
        <v>0</v>
      </c>
      <c r="BE67">
        <v>29</v>
      </c>
      <c r="BF67">
        <f>BF33</f>
        <v>0</v>
      </c>
      <c r="BG67">
        <v>29</v>
      </c>
      <c r="BH67">
        <f>BH33</f>
        <v>0</v>
      </c>
      <c r="BI67">
        <v>29</v>
      </c>
      <c r="BJ67">
        <f>BJ33</f>
        <v>0</v>
      </c>
      <c r="BK67">
        <v>29</v>
      </c>
      <c r="BL67">
        <f>BL33</f>
        <v>0</v>
      </c>
      <c r="BM67">
        <v>29</v>
      </c>
      <c r="BN67">
        <f>BN33</f>
        <v>0</v>
      </c>
      <c r="BO67">
        <v>29</v>
      </c>
      <c r="BP67">
        <f>BP33</f>
        <v>0</v>
      </c>
      <c r="BS67">
        <v>29</v>
      </c>
      <c r="BT67">
        <f>BT33</f>
        <v>0</v>
      </c>
      <c r="BU67">
        <v>29</v>
      </c>
      <c r="BV67">
        <f>BV33</f>
        <v>0</v>
      </c>
      <c r="BW67">
        <v>29</v>
      </c>
      <c r="BX67">
        <f>BX33</f>
        <v>0</v>
      </c>
      <c r="BY67">
        <v>29</v>
      </c>
      <c r="BZ67">
        <f>BZ33</f>
        <v>0</v>
      </c>
      <c r="CA67">
        <v>29</v>
      </c>
      <c r="CB67">
        <f>CB33</f>
        <v>0</v>
      </c>
      <c r="CC67">
        <v>29</v>
      </c>
      <c r="CD67">
        <f>CD33</f>
        <v>0</v>
      </c>
      <c r="CE67">
        <v>29</v>
      </c>
      <c r="CF67">
        <f>CF33</f>
        <v>0</v>
      </c>
      <c r="CG67">
        <v>29</v>
      </c>
      <c r="CH67">
        <f>CH33</f>
        <v>0</v>
      </c>
      <c r="CI67">
        <v>29</v>
      </c>
      <c r="CJ67">
        <f>CJ33</f>
        <v>0</v>
      </c>
      <c r="CK67">
        <v>29</v>
      </c>
      <c r="CL67">
        <f>CL33</f>
        <v>0</v>
      </c>
      <c r="CM67">
        <v>29</v>
      </c>
      <c r="CN67">
        <f>CN33</f>
        <v>0</v>
      </c>
      <c r="CO67">
        <v>29</v>
      </c>
      <c r="CP67">
        <f>CP33</f>
        <v>0</v>
      </c>
      <c r="CQ67">
        <v>29</v>
      </c>
      <c r="CR67">
        <f>CR33</f>
        <v>0</v>
      </c>
      <c r="CS67">
        <v>29</v>
      </c>
      <c r="CT67">
        <f>CT33</f>
        <v>0</v>
      </c>
      <c r="CU67">
        <v>29</v>
      </c>
      <c r="CV67">
        <f>CV33</f>
        <v>0</v>
      </c>
      <c r="CW67">
        <v>29</v>
      </c>
      <c r="CX67">
        <f>CX33</f>
        <v>0</v>
      </c>
      <c r="CY67">
        <v>29</v>
      </c>
      <c r="CZ67">
        <f>CZ33</f>
        <v>0</v>
      </c>
      <c r="DA67">
        <v>29</v>
      </c>
      <c r="DB67">
        <f>DB33</f>
        <v>0</v>
      </c>
      <c r="DC67">
        <v>29</v>
      </c>
      <c r="DD67">
        <f>DD33</f>
        <v>0</v>
      </c>
      <c r="DE67">
        <v>29</v>
      </c>
      <c r="DF67">
        <f>DF33</f>
        <v>0</v>
      </c>
      <c r="DG67">
        <v>29</v>
      </c>
      <c r="DH67">
        <f>DH33</f>
        <v>0</v>
      </c>
      <c r="DI67">
        <v>29</v>
      </c>
      <c r="DJ67">
        <f>DJ33</f>
        <v>0</v>
      </c>
      <c r="DK67">
        <v>29</v>
      </c>
      <c r="DL67">
        <f>DL33</f>
        <v>0</v>
      </c>
      <c r="DM67">
        <v>29</v>
      </c>
      <c r="DN67">
        <f>DN33</f>
        <v>0</v>
      </c>
      <c r="DO67">
        <v>29</v>
      </c>
      <c r="DP67">
        <f>DP33</f>
        <v>0</v>
      </c>
      <c r="DQ67">
        <v>29</v>
      </c>
      <c r="DR67">
        <f>DR33</f>
        <v>0</v>
      </c>
      <c r="DS67">
        <v>29</v>
      </c>
      <c r="DT67">
        <f>DT33</f>
        <v>0</v>
      </c>
      <c r="DU67">
        <v>29</v>
      </c>
      <c r="DV67">
        <f>DV33</f>
        <v>0</v>
      </c>
      <c r="DW67">
        <v>29</v>
      </c>
      <c r="DX67">
        <f>DX33</f>
        <v>0</v>
      </c>
      <c r="DY67">
        <v>29</v>
      </c>
      <c r="DZ67">
        <f>DZ33</f>
        <v>0</v>
      </c>
      <c r="EA67">
        <v>29</v>
      </c>
      <c r="EB67">
        <f>EB33</f>
        <v>0</v>
      </c>
      <c r="EC67">
        <v>29</v>
      </c>
      <c r="ED67">
        <f>ED33</f>
        <v>0</v>
      </c>
      <c r="EG67">
        <f>IF(Charts!$B$3="none",E234,IF(BS234="",NA(),BS234))</f>
        <v>0</v>
      </c>
      <c r="EH67">
        <f>IF(Charts!$B$3="none",F234,IF(BT234="",NA(),BT234))</f>
        <v>0</v>
      </c>
      <c r="EI67">
        <f>IF(Charts!$B$3="none",G234,IF(BU234="",NA(),BU234))</f>
        <v>0</v>
      </c>
      <c r="EJ67">
        <f>IF(Charts!$B$3="none",H234,IF(BV234="",NA(),BV234))</f>
        <v>0</v>
      </c>
      <c r="EK67">
        <f>IF(Charts!$B$3="none",I234,IF(BW234="",NA(),BW234))</f>
        <v>0</v>
      </c>
      <c r="EL67">
        <f>IF(Charts!$B$3="none",J234,IF(BX234="",NA(),BX234))</f>
        <v>0</v>
      </c>
      <c r="EM67">
        <f>IF(Charts!$B$3="none",K234,IF(BY234="",NA(),BY234))</f>
        <v>0</v>
      </c>
      <c r="EN67">
        <f>IF(Charts!$B$3="none",L234,IF(BZ234="",NA(),BZ234))</f>
        <v>0</v>
      </c>
      <c r="EO67">
        <f>IF(Charts!$B$3="none",M234,IF(CA234="",NA(),CA234))</f>
        <v>0</v>
      </c>
      <c r="EP67">
        <f>IF(Charts!$B$3="none",N234,IF(CB234="",NA(),CB234))</f>
        <v>0</v>
      </c>
      <c r="EQ67">
        <f>IF(Charts!$B$3="none",O234,IF(CC234="",NA(),CC234))</f>
        <v>0</v>
      </c>
      <c r="ER67">
        <f>IF(Charts!$B$3="none",P234,IF(CD234="",NA(),CD234))</f>
        <v>0</v>
      </c>
      <c r="ES67">
        <f>IF(Charts!$B$3="none",Q234,IF(CE234="",NA(),CE234))</f>
        <v>0</v>
      </c>
      <c r="ET67">
        <f>IF(Charts!$B$3="none",R234,IF(CF234="",NA(),CF234))</f>
        <v>0</v>
      </c>
      <c r="EU67">
        <f>IF(Charts!$B$3="none",S234,IF(CG234="",NA(),CG234))</f>
        <v>0</v>
      </c>
      <c r="EV67">
        <f>IF(Charts!$B$3="none",T234,IF(CH234="",NA(),CH234))</f>
        <v>0</v>
      </c>
      <c r="EW67">
        <f>IF(Charts!$B$3="none",U234,IF(CI234="",NA(),CI234))</f>
        <v>0</v>
      </c>
      <c r="EX67">
        <f>IF(Charts!$B$3="none",V234,IF(CJ234="",NA(),CJ234))</f>
        <v>0</v>
      </c>
      <c r="EY67">
        <f>IF(Charts!$B$3="none",W234,IF(CK234="",NA(),CK234))</f>
        <v>0</v>
      </c>
      <c r="EZ67">
        <f>IF(Charts!$B$3="none",X234,IF(CL234="",NA(),CL234))</f>
        <v>0</v>
      </c>
      <c r="FA67">
        <f>IF(Charts!$B$3="none",Y234,IF(CM234="",NA(),CM234))</f>
        <v>0</v>
      </c>
      <c r="FB67">
        <f>IF(Charts!$B$3="none",Z234,IF(CN234="",NA(),CN234))</f>
        <v>0</v>
      </c>
      <c r="FC67">
        <f>IF(Charts!$B$3="none",AA234,IF(CO234="",NA(),CO234))</f>
        <v>0</v>
      </c>
      <c r="FD67">
        <f>IF(Charts!$B$3="none",AB234,IF(CP234="",NA(),CP234))</f>
        <v>0</v>
      </c>
      <c r="FE67">
        <f>IF(Charts!$B$3="none",AC234,IF(CQ234="",NA(),CQ234))</f>
        <v>0</v>
      </c>
      <c r="FF67">
        <f>IF(Charts!$B$3="none",AD234,IF(CR234="",NA(),CR234))</f>
        <v>0</v>
      </c>
      <c r="FG67">
        <f>IF(Charts!$B$3="none",AE234,IF(CS234="",NA(),CS234))</f>
        <v>0</v>
      </c>
      <c r="FH67">
        <f>IF(Charts!$B$3="none",AF234,IF(CT234="",NA(),CT234))</f>
        <v>0</v>
      </c>
      <c r="FI67">
        <f>IF(Charts!$B$3="none",AG234,IF(CU234="",NA(),CU234))</f>
        <v>0</v>
      </c>
      <c r="FJ67">
        <f>IF(Charts!$B$3="none",AH234,IF(CV234="",NA(),CV234))</f>
        <v>0</v>
      </c>
      <c r="FK67">
        <f>IF(Charts!$B$3="none",AI234,IF(CW234="",NA(),CW234))</f>
        <v>0</v>
      </c>
      <c r="FL67">
        <f>IF(Charts!$B$3="none",AJ234,IF(CX234="",NA(),CX234))</f>
        <v>0</v>
      </c>
      <c r="FM67">
        <f>IF(Charts!$B$3="none",AK234,IF(CY234="",NA(),CY234))</f>
        <v>0</v>
      </c>
      <c r="FN67">
        <f>IF(Charts!$B$3="none",AL234,IF(CZ234="",NA(),CZ234))</f>
        <v>0</v>
      </c>
      <c r="FO67">
        <f>IF(Charts!$B$3="none",AM234,IF(DA234="",NA(),DA234))</f>
        <v>0</v>
      </c>
      <c r="FP67">
        <f>IF(Charts!$B$3="none",AN234,IF(DB234="",NA(),DB234))</f>
        <v>0</v>
      </c>
      <c r="FQ67">
        <f>IF(Charts!$B$3="none",AO234,IF(DC234="",NA(),DC234))</f>
        <v>0</v>
      </c>
      <c r="FR67">
        <f>IF(Charts!$B$3="none",AP234,IF(DD234="",NA(),DD234))</f>
        <v>0</v>
      </c>
      <c r="FS67">
        <f>IF(Charts!$B$3="none",AQ234,IF(DE234="",NA(),DE234))</f>
        <v>0</v>
      </c>
      <c r="FT67">
        <f>IF(Charts!$B$3="none",AR234,IF(DF234="",NA(),DF234))</f>
        <v>0</v>
      </c>
      <c r="FU67">
        <f>IF(Charts!$B$3="none",AS234,IF(DG234="",NA(),DG234))</f>
        <v>0</v>
      </c>
      <c r="FV67">
        <f>IF(Charts!$B$3="none",AT234,IF(DH234="",NA(),DH234))</f>
        <v>0</v>
      </c>
      <c r="FW67">
        <f>IF(Charts!$B$3="none",AU234,IF(DI234="",NA(),DI234))</f>
        <v>0</v>
      </c>
      <c r="FX67">
        <f>IF(Charts!$B$3="none",AV234,IF(DJ234="",NA(),DJ234))</f>
        <v>0</v>
      </c>
      <c r="FY67">
        <f>IF(Charts!$B$3="none",AW234,IF(DK234="",NA(),DK234))</f>
        <v>0</v>
      </c>
      <c r="FZ67">
        <f>IF(Charts!$B$3="none",AX234,IF(DL234="",NA(),DL234))</f>
        <v>0</v>
      </c>
      <c r="GA67">
        <f>IF(Charts!$B$3="none",AY234,IF(DM234="",NA(),DM234))</f>
        <v>0</v>
      </c>
      <c r="GB67">
        <f>IF(Charts!$B$3="none",AZ234,IF(DN234="",NA(),DN234))</f>
        <v>0</v>
      </c>
      <c r="GC67">
        <f>IF(Charts!$B$3="none",BA234,IF(DO234="",NA(),DO234))</f>
        <v>0</v>
      </c>
      <c r="GD67">
        <f>IF(Charts!$B$3="none",BB234,IF(DP234="",NA(),DP234))</f>
        <v>0</v>
      </c>
      <c r="GE67">
        <f>IF(Charts!$B$3="none",BC234,IF(DQ234="",NA(),DQ234))</f>
        <v>0</v>
      </c>
      <c r="GF67">
        <f>IF(Charts!$B$3="none",BD234,IF(DR234="",NA(),DR234))</f>
        <v>0</v>
      </c>
      <c r="GG67">
        <f>IF(Charts!$B$3="none",BE234,IF(DS234="",NA(),DS234))</f>
        <v>0</v>
      </c>
      <c r="GH67">
        <f>IF(Charts!$B$3="none",BF234,IF(DT234="",NA(),DT234))</f>
        <v>0</v>
      </c>
      <c r="GI67">
        <f>IF(Charts!$B$3="none",BG234,IF(DU234="",NA(),DU234))</f>
        <v>0</v>
      </c>
      <c r="GJ67">
        <f>IF(Charts!$B$3="none",BH234,IF(DV234="",NA(),DV234))</f>
        <v>0</v>
      </c>
      <c r="GK67">
        <f>IF(Charts!$B$3="none",BI234,IF(DW234="",NA(),DW234))</f>
        <v>0</v>
      </c>
      <c r="GL67">
        <f>IF(Charts!$B$3="none",BJ234,IF(DX234="",NA(),DX234))</f>
        <v>0</v>
      </c>
      <c r="GM67">
        <f>IF(Charts!$B$3="none",BK234,IF(DY234="",NA(),DY234))</f>
        <v>0</v>
      </c>
      <c r="GN67">
        <f>IF(Charts!$B$3="none",BL234,IF(DZ234="",NA(),DZ234))</f>
        <v>0</v>
      </c>
      <c r="GO67">
        <f>IF(Charts!$B$3="none",BM234,IF(EA234="",NA(),EA234))</f>
        <v>0</v>
      </c>
      <c r="GP67">
        <f>IF(Charts!$B$3="none",BN234,IF(EB234="",NA(),EB234))</f>
        <v>0</v>
      </c>
      <c r="GQ67">
        <f>IF(Charts!$B$3="none",BO234,IF(EC234="",NA(),EC234))</f>
        <v>0</v>
      </c>
      <c r="GR67">
        <f>IF(Charts!$B$3="none",BP234,IF(ED234="",NA(),ED234))</f>
        <v>0</v>
      </c>
    </row>
    <row r="68" spans="5:200">
      <c r="E68">
        <v>30</v>
      </c>
      <c r="F68">
        <f>F34</f>
        <v>0</v>
      </c>
      <c r="G68">
        <v>30</v>
      </c>
      <c r="H68">
        <f>H34</f>
        <v>0</v>
      </c>
      <c r="I68">
        <v>30</v>
      </c>
      <c r="J68">
        <f>J34</f>
        <v>0</v>
      </c>
      <c r="K68">
        <v>30</v>
      </c>
      <c r="L68">
        <f>L34</f>
        <v>0</v>
      </c>
      <c r="M68">
        <v>30</v>
      </c>
      <c r="N68">
        <f>N34</f>
        <v>0</v>
      </c>
      <c r="O68">
        <v>30</v>
      </c>
      <c r="P68">
        <f>P34</f>
        <v>0</v>
      </c>
      <c r="Q68">
        <v>30</v>
      </c>
      <c r="R68">
        <f>R34</f>
        <v>0</v>
      </c>
      <c r="S68">
        <v>30</v>
      </c>
      <c r="T68">
        <f>T34</f>
        <v>0</v>
      </c>
      <c r="U68">
        <v>30</v>
      </c>
      <c r="V68">
        <f>V34</f>
        <v>0</v>
      </c>
      <c r="W68">
        <v>30</v>
      </c>
      <c r="X68">
        <f>X34</f>
        <v>0</v>
      </c>
      <c r="Y68">
        <v>30</v>
      </c>
      <c r="Z68">
        <f>Z34</f>
        <v>0</v>
      </c>
      <c r="AA68">
        <v>30</v>
      </c>
      <c r="AB68">
        <f>AB34</f>
        <v>0</v>
      </c>
      <c r="AC68">
        <v>30</v>
      </c>
      <c r="AD68">
        <f>AD34</f>
        <v>0</v>
      </c>
      <c r="AE68">
        <v>30</v>
      </c>
      <c r="AF68">
        <f>AF34</f>
        <v>0</v>
      </c>
      <c r="AG68">
        <v>30</v>
      </c>
      <c r="AH68">
        <f>AH34</f>
        <v>0</v>
      </c>
      <c r="AI68">
        <v>30</v>
      </c>
      <c r="AJ68">
        <f>AJ34</f>
        <v>0</v>
      </c>
      <c r="AK68">
        <v>30</v>
      </c>
      <c r="AL68">
        <f>AL34</f>
        <v>0</v>
      </c>
      <c r="AM68">
        <v>30</v>
      </c>
      <c r="AN68">
        <f>AN34</f>
        <v>0</v>
      </c>
      <c r="AO68">
        <v>30</v>
      </c>
      <c r="AP68">
        <f>AP34</f>
        <v>0</v>
      </c>
      <c r="AQ68">
        <v>30</v>
      </c>
      <c r="AR68">
        <f>AR34</f>
        <v>0</v>
      </c>
      <c r="AS68">
        <v>30</v>
      </c>
      <c r="AT68">
        <f>AT34</f>
        <v>0</v>
      </c>
      <c r="AU68">
        <v>30</v>
      </c>
      <c r="AV68">
        <f>AV34</f>
        <v>0</v>
      </c>
      <c r="AW68">
        <v>30</v>
      </c>
      <c r="AX68">
        <f>AX34</f>
        <v>0</v>
      </c>
      <c r="AY68">
        <v>30</v>
      </c>
      <c r="AZ68">
        <f>AZ34</f>
        <v>0</v>
      </c>
      <c r="BA68">
        <v>30</v>
      </c>
      <c r="BB68">
        <f>BB34</f>
        <v>0</v>
      </c>
      <c r="BC68">
        <v>30</v>
      </c>
      <c r="BD68">
        <f>BD34</f>
        <v>0</v>
      </c>
      <c r="BE68">
        <v>30</v>
      </c>
      <c r="BF68">
        <f>BF34</f>
        <v>0</v>
      </c>
      <c r="BG68">
        <v>30</v>
      </c>
      <c r="BH68">
        <f>BH34</f>
        <v>0</v>
      </c>
      <c r="BI68">
        <v>30</v>
      </c>
      <c r="BJ68">
        <f>BJ34</f>
        <v>0</v>
      </c>
      <c r="BK68">
        <v>30</v>
      </c>
      <c r="BL68">
        <f>BL34</f>
        <v>0</v>
      </c>
      <c r="BM68">
        <v>30</v>
      </c>
      <c r="BN68">
        <f>BN34</f>
        <v>0</v>
      </c>
      <c r="BO68">
        <v>30</v>
      </c>
      <c r="BP68">
        <f>BP34</f>
        <v>0</v>
      </c>
      <c r="BS68">
        <v>30</v>
      </c>
      <c r="BT68">
        <f>BT34</f>
        <v>0</v>
      </c>
      <c r="BU68">
        <v>30</v>
      </c>
      <c r="BV68">
        <f>BV34</f>
        <v>0</v>
      </c>
      <c r="BW68">
        <v>30</v>
      </c>
      <c r="BX68">
        <f>BX34</f>
        <v>0</v>
      </c>
      <c r="BY68">
        <v>30</v>
      </c>
      <c r="BZ68">
        <f>BZ34</f>
        <v>0</v>
      </c>
      <c r="CA68">
        <v>30</v>
      </c>
      <c r="CB68">
        <f>CB34</f>
        <v>0</v>
      </c>
      <c r="CC68">
        <v>30</v>
      </c>
      <c r="CD68">
        <f>CD34</f>
        <v>0</v>
      </c>
      <c r="CE68">
        <v>30</v>
      </c>
      <c r="CF68">
        <f>CF34</f>
        <v>0</v>
      </c>
      <c r="CG68">
        <v>30</v>
      </c>
      <c r="CH68">
        <f>CH34</f>
        <v>0</v>
      </c>
      <c r="CI68">
        <v>30</v>
      </c>
      <c r="CJ68">
        <f>CJ34</f>
        <v>0</v>
      </c>
      <c r="CK68">
        <v>30</v>
      </c>
      <c r="CL68">
        <f>CL34</f>
        <v>0</v>
      </c>
      <c r="CM68">
        <v>30</v>
      </c>
      <c r="CN68">
        <f>CN34</f>
        <v>0</v>
      </c>
      <c r="CO68">
        <v>30</v>
      </c>
      <c r="CP68">
        <f>CP34</f>
        <v>0</v>
      </c>
      <c r="CQ68">
        <v>30</v>
      </c>
      <c r="CR68">
        <f>CR34</f>
        <v>0</v>
      </c>
      <c r="CS68">
        <v>30</v>
      </c>
      <c r="CT68">
        <f>CT34</f>
        <v>0</v>
      </c>
      <c r="CU68">
        <v>30</v>
      </c>
      <c r="CV68">
        <f>CV34</f>
        <v>0</v>
      </c>
      <c r="CW68">
        <v>30</v>
      </c>
      <c r="CX68">
        <f>CX34</f>
        <v>0</v>
      </c>
      <c r="CY68">
        <v>30</v>
      </c>
      <c r="CZ68">
        <f>CZ34</f>
        <v>0</v>
      </c>
      <c r="DA68">
        <v>30</v>
      </c>
      <c r="DB68">
        <f>DB34</f>
        <v>0</v>
      </c>
      <c r="DC68">
        <v>30</v>
      </c>
      <c r="DD68">
        <f>DD34</f>
        <v>0</v>
      </c>
      <c r="DE68">
        <v>30</v>
      </c>
      <c r="DF68">
        <f>DF34</f>
        <v>0</v>
      </c>
      <c r="DG68">
        <v>30</v>
      </c>
      <c r="DH68">
        <f>DH34</f>
        <v>0</v>
      </c>
      <c r="DI68">
        <v>30</v>
      </c>
      <c r="DJ68">
        <f>DJ34</f>
        <v>0</v>
      </c>
      <c r="DK68">
        <v>30</v>
      </c>
      <c r="DL68">
        <f>DL34</f>
        <v>0</v>
      </c>
      <c r="DM68">
        <v>30</v>
      </c>
      <c r="DN68">
        <f>DN34</f>
        <v>0</v>
      </c>
      <c r="DO68">
        <v>30</v>
      </c>
      <c r="DP68">
        <f>DP34</f>
        <v>0</v>
      </c>
      <c r="DQ68">
        <v>30</v>
      </c>
      <c r="DR68">
        <f>DR34</f>
        <v>0</v>
      </c>
      <c r="DS68">
        <v>30</v>
      </c>
      <c r="DT68">
        <f>DT34</f>
        <v>0</v>
      </c>
      <c r="DU68">
        <v>30</v>
      </c>
      <c r="DV68">
        <f>DV34</f>
        <v>0</v>
      </c>
      <c r="DW68">
        <v>30</v>
      </c>
      <c r="DX68">
        <f>DX34</f>
        <v>0</v>
      </c>
      <c r="DY68">
        <v>30</v>
      </c>
      <c r="DZ68">
        <f>DZ34</f>
        <v>0</v>
      </c>
      <c r="EA68">
        <v>30</v>
      </c>
      <c r="EB68">
        <f>EB34</f>
        <v>0</v>
      </c>
      <c r="EC68">
        <v>30</v>
      </c>
      <c r="ED68">
        <f>ED34</f>
        <v>0</v>
      </c>
      <c r="EG68">
        <f>IF(Charts!$B$3="none",E235,IF(BS235="",NA(),BS235))</f>
        <v>0</v>
      </c>
      <c r="EH68">
        <f>IF(Charts!$B$3="none",F235,IF(BT235="",NA(),BT235))</f>
        <v>0</v>
      </c>
      <c r="EI68">
        <f>IF(Charts!$B$3="none",G235,IF(BU235="",NA(),BU235))</f>
        <v>0</v>
      </c>
      <c r="EJ68">
        <f>IF(Charts!$B$3="none",H235,IF(BV235="",NA(),BV235))</f>
        <v>0</v>
      </c>
      <c r="EK68">
        <f>IF(Charts!$B$3="none",I235,IF(BW235="",NA(),BW235))</f>
        <v>0</v>
      </c>
      <c r="EL68">
        <f>IF(Charts!$B$3="none",J235,IF(BX235="",NA(),BX235))</f>
        <v>0</v>
      </c>
      <c r="EM68">
        <f>IF(Charts!$B$3="none",K235,IF(BY235="",NA(),BY235))</f>
        <v>0</v>
      </c>
      <c r="EN68">
        <f>IF(Charts!$B$3="none",L235,IF(BZ235="",NA(),BZ235))</f>
        <v>0</v>
      </c>
      <c r="EO68">
        <f>IF(Charts!$B$3="none",M235,IF(CA235="",NA(),CA235))</f>
        <v>0</v>
      </c>
      <c r="EP68">
        <f>IF(Charts!$B$3="none",N235,IF(CB235="",NA(),CB235))</f>
        <v>0</v>
      </c>
      <c r="EQ68">
        <f>IF(Charts!$B$3="none",O235,IF(CC235="",NA(),CC235))</f>
        <v>0</v>
      </c>
      <c r="ER68">
        <f>IF(Charts!$B$3="none",P235,IF(CD235="",NA(),CD235))</f>
        <v>0</v>
      </c>
      <c r="ES68">
        <f>IF(Charts!$B$3="none",Q235,IF(CE235="",NA(),CE235))</f>
        <v>0</v>
      </c>
      <c r="ET68">
        <f>IF(Charts!$B$3="none",R235,IF(CF235="",NA(),CF235))</f>
        <v>0</v>
      </c>
      <c r="EU68">
        <f>IF(Charts!$B$3="none",S235,IF(CG235="",NA(),CG235))</f>
        <v>0</v>
      </c>
      <c r="EV68">
        <f>IF(Charts!$B$3="none",T235,IF(CH235="",NA(),CH235))</f>
        <v>0</v>
      </c>
      <c r="EW68">
        <f>IF(Charts!$B$3="none",U235,IF(CI235="",NA(),CI235))</f>
        <v>0</v>
      </c>
      <c r="EX68">
        <f>IF(Charts!$B$3="none",V235,IF(CJ235="",NA(),CJ235))</f>
        <v>0</v>
      </c>
      <c r="EY68">
        <f>IF(Charts!$B$3="none",W235,IF(CK235="",NA(),CK235))</f>
        <v>0</v>
      </c>
      <c r="EZ68">
        <f>IF(Charts!$B$3="none",X235,IF(CL235="",NA(),CL235))</f>
        <v>0</v>
      </c>
      <c r="FA68">
        <f>IF(Charts!$B$3="none",Y235,IF(CM235="",NA(),CM235))</f>
        <v>0</v>
      </c>
      <c r="FB68">
        <f>IF(Charts!$B$3="none",Z235,IF(CN235="",NA(),CN235))</f>
        <v>0</v>
      </c>
      <c r="FC68">
        <f>IF(Charts!$B$3="none",AA235,IF(CO235="",NA(),CO235))</f>
        <v>0</v>
      </c>
      <c r="FD68">
        <f>IF(Charts!$B$3="none",AB235,IF(CP235="",NA(),CP235))</f>
        <v>0</v>
      </c>
      <c r="FE68">
        <f>IF(Charts!$B$3="none",AC235,IF(CQ235="",NA(),CQ235))</f>
        <v>0</v>
      </c>
      <c r="FF68">
        <f>IF(Charts!$B$3="none",AD235,IF(CR235="",NA(),CR235))</f>
        <v>0</v>
      </c>
      <c r="FG68">
        <f>IF(Charts!$B$3="none",AE235,IF(CS235="",NA(),CS235))</f>
        <v>0</v>
      </c>
      <c r="FH68">
        <f>IF(Charts!$B$3="none",AF235,IF(CT235="",NA(),CT235))</f>
        <v>0</v>
      </c>
      <c r="FI68">
        <f>IF(Charts!$B$3="none",AG235,IF(CU235="",NA(),CU235))</f>
        <v>0</v>
      </c>
      <c r="FJ68">
        <f>IF(Charts!$B$3="none",AH235,IF(CV235="",NA(),CV235))</f>
        <v>0</v>
      </c>
      <c r="FK68">
        <f>IF(Charts!$B$3="none",AI235,IF(CW235="",NA(),CW235))</f>
        <v>0</v>
      </c>
      <c r="FL68">
        <f>IF(Charts!$B$3="none",AJ235,IF(CX235="",NA(),CX235))</f>
        <v>0</v>
      </c>
      <c r="FM68">
        <f>IF(Charts!$B$3="none",AK235,IF(CY235="",NA(),CY235))</f>
        <v>0</v>
      </c>
      <c r="FN68">
        <f>IF(Charts!$B$3="none",AL235,IF(CZ235="",NA(),CZ235))</f>
        <v>0</v>
      </c>
      <c r="FO68">
        <f>IF(Charts!$B$3="none",AM235,IF(DA235="",NA(),DA235))</f>
        <v>0</v>
      </c>
      <c r="FP68">
        <f>IF(Charts!$B$3="none",AN235,IF(DB235="",NA(),DB235))</f>
        <v>0</v>
      </c>
      <c r="FQ68">
        <f>IF(Charts!$B$3="none",AO235,IF(DC235="",NA(),DC235))</f>
        <v>0</v>
      </c>
      <c r="FR68">
        <f>IF(Charts!$B$3="none",AP235,IF(DD235="",NA(),DD235))</f>
        <v>0</v>
      </c>
      <c r="FS68">
        <f>IF(Charts!$B$3="none",AQ235,IF(DE235="",NA(),DE235))</f>
        <v>0</v>
      </c>
      <c r="FT68">
        <f>IF(Charts!$B$3="none",AR235,IF(DF235="",NA(),DF235))</f>
        <v>0</v>
      </c>
      <c r="FU68">
        <f>IF(Charts!$B$3="none",AS235,IF(DG235="",NA(),DG235))</f>
        <v>0</v>
      </c>
      <c r="FV68">
        <f>IF(Charts!$B$3="none",AT235,IF(DH235="",NA(),DH235))</f>
        <v>0</v>
      </c>
      <c r="FW68">
        <f>IF(Charts!$B$3="none",AU235,IF(DI235="",NA(),DI235))</f>
        <v>0</v>
      </c>
      <c r="FX68">
        <f>IF(Charts!$B$3="none",AV235,IF(DJ235="",NA(),DJ235))</f>
        <v>0</v>
      </c>
      <c r="FY68">
        <f>IF(Charts!$B$3="none",AW235,IF(DK235="",NA(),DK235))</f>
        <v>0</v>
      </c>
      <c r="FZ68">
        <f>IF(Charts!$B$3="none",AX235,IF(DL235="",NA(),DL235))</f>
        <v>0</v>
      </c>
      <c r="GA68">
        <f>IF(Charts!$B$3="none",AY235,IF(DM235="",NA(),DM235))</f>
        <v>0</v>
      </c>
      <c r="GB68">
        <f>IF(Charts!$B$3="none",AZ235,IF(DN235="",NA(),DN235))</f>
        <v>0</v>
      </c>
      <c r="GC68">
        <f>IF(Charts!$B$3="none",BA235,IF(DO235="",NA(),DO235))</f>
        <v>0</v>
      </c>
      <c r="GD68">
        <f>IF(Charts!$B$3="none",BB235,IF(DP235="",NA(),DP235))</f>
        <v>0</v>
      </c>
      <c r="GE68">
        <f>IF(Charts!$B$3="none",BC235,IF(DQ235="",NA(),DQ235))</f>
        <v>0</v>
      </c>
      <c r="GF68">
        <f>IF(Charts!$B$3="none",BD235,IF(DR235="",NA(),DR235))</f>
        <v>0</v>
      </c>
      <c r="GG68">
        <f>IF(Charts!$B$3="none",BE235,IF(DS235="",NA(),DS235))</f>
        <v>0</v>
      </c>
      <c r="GH68">
        <f>IF(Charts!$B$3="none",BF235,IF(DT235="",NA(),DT235))</f>
        <v>0</v>
      </c>
      <c r="GI68">
        <f>IF(Charts!$B$3="none",BG235,IF(DU235="",NA(),DU235))</f>
        <v>0</v>
      </c>
      <c r="GJ68">
        <f>IF(Charts!$B$3="none",BH235,IF(DV235="",NA(),DV235))</f>
        <v>0</v>
      </c>
      <c r="GK68">
        <f>IF(Charts!$B$3="none",BI235,IF(DW235="",NA(),DW235))</f>
        <v>0</v>
      </c>
      <c r="GL68">
        <f>IF(Charts!$B$3="none",BJ235,IF(DX235="",NA(),DX235))</f>
        <v>0</v>
      </c>
      <c r="GM68">
        <f>IF(Charts!$B$3="none",BK235,IF(DY235="",NA(),DY235))</f>
        <v>0</v>
      </c>
      <c r="GN68">
        <f>IF(Charts!$B$3="none",BL235,IF(DZ235="",NA(),DZ235))</f>
        <v>0</v>
      </c>
      <c r="GO68">
        <f>IF(Charts!$B$3="none",BM235,IF(EA235="",NA(),EA235))</f>
        <v>0</v>
      </c>
      <c r="GP68">
        <f>IF(Charts!$B$3="none",BN235,IF(EB235="",NA(),EB235))</f>
        <v>0</v>
      </c>
      <c r="GQ68">
        <f>IF(Charts!$B$3="none",BO235,IF(EC235="",NA(),EC235))</f>
        <v>0</v>
      </c>
      <c r="GR68">
        <f>IF(Charts!$B$3="none",BP235,IF(ED235="",NA(),ED235))</f>
        <v>0</v>
      </c>
    </row>
    <row r="69" spans="5:200">
      <c r="E69">
        <v>31</v>
      </c>
      <c r="F69">
        <f>F35</f>
        <v>0</v>
      </c>
      <c r="G69">
        <v>31</v>
      </c>
      <c r="H69">
        <f>H35</f>
        <v>0</v>
      </c>
      <c r="I69">
        <v>31</v>
      </c>
      <c r="J69">
        <f>J35</f>
        <v>0</v>
      </c>
      <c r="K69">
        <v>31</v>
      </c>
      <c r="L69">
        <f>L35</f>
        <v>0</v>
      </c>
      <c r="M69">
        <v>31</v>
      </c>
      <c r="N69">
        <f>N35</f>
        <v>0</v>
      </c>
      <c r="O69">
        <v>31</v>
      </c>
      <c r="P69">
        <f>P35</f>
        <v>0</v>
      </c>
      <c r="Q69">
        <v>31</v>
      </c>
      <c r="R69">
        <f>R35</f>
        <v>0</v>
      </c>
      <c r="S69">
        <v>31</v>
      </c>
      <c r="T69">
        <f>T35</f>
        <v>0</v>
      </c>
      <c r="U69">
        <v>31</v>
      </c>
      <c r="V69">
        <f>V35</f>
        <v>0</v>
      </c>
      <c r="W69">
        <v>31</v>
      </c>
      <c r="X69">
        <f>X35</f>
        <v>0</v>
      </c>
      <c r="Y69">
        <v>31</v>
      </c>
      <c r="Z69">
        <f>Z35</f>
        <v>0</v>
      </c>
      <c r="AA69">
        <v>31</v>
      </c>
      <c r="AB69">
        <f>AB35</f>
        <v>0</v>
      </c>
      <c r="AC69">
        <v>31</v>
      </c>
      <c r="AD69">
        <f>AD35</f>
        <v>0</v>
      </c>
      <c r="AE69">
        <v>31</v>
      </c>
      <c r="AF69">
        <f>AF35</f>
        <v>0</v>
      </c>
      <c r="AG69">
        <v>31</v>
      </c>
      <c r="AH69">
        <f>AH35</f>
        <v>0</v>
      </c>
      <c r="AI69">
        <v>31</v>
      </c>
      <c r="AJ69">
        <f>AJ35</f>
        <v>0</v>
      </c>
      <c r="AK69">
        <v>31</v>
      </c>
      <c r="AL69">
        <f>AL35</f>
        <v>0</v>
      </c>
      <c r="AM69">
        <v>31</v>
      </c>
      <c r="AN69">
        <f>AN35</f>
        <v>0</v>
      </c>
      <c r="AO69">
        <v>31</v>
      </c>
      <c r="AP69">
        <f>AP35</f>
        <v>0</v>
      </c>
      <c r="AQ69">
        <v>31</v>
      </c>
      <c r="AR69">
        <f>AR35</f>
        <v>0</v>
      </c>
      <c r="AS69">
        <v>31</v>
      </c>
      <c r="AT69">
        <f>AT35</f>
        <v>0</v>
      </c>
      <c r="AU69">
        <v>31</v>
      </c>
      <c r="AV69">
        <f>AV35</f>
        <v>0</v>
      </c>
      <c r="AW69">
        <v>31</v>
      </c>
      <c r="AX69">
        <f>AX35</f>
        <v>0</v>
      </c>
      <c r="AY69">
        <v>31</v>
      </c>
      <c r="AZ69">
        <f>AZ35</f>
        <v>0</v>
      </c>
      <c r="BA69">
        <v>31</v>
      </c>
      <c r="BB69">
        <f>BB35</f>
        <v>0</v>
      </c>
      <c r="BC69">
        <v>31</v>
      </c>
      <c r="BD69">
        <f>BD35</f>
        <v>0</v>
      </c>
      <c r="BE69">
        <v>31</v>
      </c>
      <c r="BF69">
        <f>BF35</f>
        <v>0</v>
      </c>
      <c r="BG69">
        <v>31</v>
      </c>
      <c r="BH69">
        <f>BH35</f>
        <v>0</v>
      </c>
      <c r="BI69">
        <v>31</v>
      </c>
      <c r="BJ69">
        <f>BJ35</f>
        <v>0</v>
      </c>
      <c r="BK69">
        <v>31</v>
      </c>
      <c r="BL69">
        <f>BL35</f>
        <v>0</v>
      </c>
      <c r="BM69">
        <v>31</v>
      </c>
      <c r="BN69">
        <f>BN35</f>
        <v>0</v>
      </c>
      <c r="BO69">
        <v>31</v>
      </c>
      <c r="BP69">
        <f>BP35</f>
        <v>0</v>
      </c>
      <c r="BS69">
        <v>31</v>
      </c>
      <c r="BT69">
        <f>BT35</f>
        <v>0</v>
      </c>
      <c r="BU69">
        <v>31</v>
      </c>
      <c r="BV69">
        <f>BV35</f>
        <v>0</v>
      </c>
      <c r="BW69">
        <v>31</v>
      </c>
      <c r="BX69">
        <f>BX35</f>
        <v>0</v>
      </c>
      <c r="BY69">
        <v>31</v>
      </c>
      <c r="BZ69">
        <f>BZ35</f>
        <v>0</v>
      </c>
      <c r="CA69">
        <v>31</v>
      </c>
      <c r="CB69">
        <f>CB35</f>
        <v>0</v>
      </c>
      <c r="CC69">
        <v>31</v>
      </c>
      <c r="CD69">
        <f>CD35</f>
        <v>0</v>
      </c>
      <c r="CE69">
        <v>31</v>
      </c>
      <c r="CF69">
        <f>CF35</f>
        <v>0</v>
      </c>
      <c r="CG69">
        <v>31</v>
      </c>
      <c r="CH69">
        <f>CH35</f>
        <v>0</v>
      </c>
      <c r="CI69">
        <v>31</v>
      </c>
      <c r="CJ69">
        <f>CJ35</f>
        <v>0</v>
      </c>
      <c r="CK69">
        <v>31</v>
      </c>
      <c r="CL69">
        <f>CL35</f>
        <v>0</v>
      </c>
      <c r="CM69">
        <v>31</v>
      </c>
      <c r="CN69">
        <f>CN35</f>
        <v>0</v>
      </c>
      <c r="CO69">
        <v>31</v>
      </c>
      <c r="CP69">
        <f>CP35</f>
        <v>0</v>
      </c>
      <c r="CQ69">
        <v>31</v>
      </c>
      <c r="CR69">
        <f>CR35</f>
        <v>0</v>
      </c>
      <c r="CS69">
        <v>31</v>
      </c>
      <c r="CT69">
        <f>CT35</f>
        <v>0</v>
      </c>
      <c r="CU69">
        <v>31</v>
      </c>
      <c r="CV69">
        <f>CV35</f>
        <v>0</v>
      </c>
      <c r="CW69">
        <v>31</v>
      </c>
      <c r="CX69">
        <f>CX35</f>
        <v>0</v>
      </c>
      <c r="CY69">
        <v>31</v>
      </c>
      <c r="CZ69">
        <f>CZ35</f>
        <v>0</v>
      </c>
      <c r="DA69">
        <v>31</v>
      </c>
      <c r="DB69">
        <f>DB35</f>
        <v>0</v>
      </c>
      <c r="DC69">
        <v>31</v>
      </c>
      <c r="DD69">
        <f>DD35</f>
        <v>0</v>
      </c>
      <c r="DE69">
        <v>31</v>
      </c>
      <c r="DF69">
        <f>DF35</f>
        <v>0</v>
      </c>
      <c r="DG69">
        <v>31</v>
      </c>
      <c r="DH69">
        <f>DH35</f>
        <v>0</v>
      </c>
      <c r="DI69">
        <v>31</v>
      </c>
      <c r="DJ69">
        <f>DJ35</f>
        <v>0</v>
      </c>
      <c r="DK69">
        <v>31</v>
      </c>
      <c r="DL69">
        <f>DL35</f>
        <v>0</v>
      </c>
      <c r="DM69">
        <v>31</v>
      </c>
      <c r="DN69">
        <f>DN35</f>
        <v>0</v>
      </c>
      <c r="DO69">
        <v>31</v>
      </c>
      <c r="DP69">
        <f>DP35</f>
        <v>0</v>
      </c>
      <c r="DQ69">
        <v>31</v>
      </c>
      <c r="DR69">
        <f>DR35</f>
        <v>0</v>
      </c>
      <c r="DS69">
        <v>31</v>
      </c>
      <c r="DT69">
        <f>DT35</f>
        <v>0</v>
      </c>
      <c r="DU69">
        <v>31</v>
      </c>
      <c r="DV69">
        <f>DV35</f>
        <v>0</v>
      </c>
      <c r="DW69">
        <v>31</v>
      </c>
      <c r="DX69">
        <f>DX35</f>
        <v>0</v>
      </c>
      <c r="DY69">
        <v>31</v>
      </c>
      <c r="DZ69">
        <f>DZ35</f>
        <v>0</v>
      </c>
      <c r="EA69">
        <v>31</v>
      </c>
      <c r="EB69">
        <f>EB35</f>
        <v>0</v>
      </c>
      <c r="EC69">
        <v>31</v>
      </c>
      <c r="ED69">
        <f>ED35</f>
        <v>0</v>
      </c>
    </row>
    <row r="70" spans="5:200">
      <c r="E70">
        <v>32</v>
      </c>
      <c r="F70">
        <f>F36</f>
        <v>0</v>
      </c>
      <c r="G70">
        <v>32</v>
      </c>
      <c r="H70">
        <f>H36</f>
        <v>0</v>
      </c>
      <c r="I70">
        <v>32</v>
      </c>
      <c r="J70">
        <f>J36</f>
        <v>0</v>
      </c>
      <c r="K70">
        <v>32</v>
      </c>
      <c r="L70">
        <f>L36</f>
        <v>0</v>
      </c>
      <c r="M70">
        <v>32</v>
      </c>
      <c r="N70">
        <f>N36</f>
        <v>0</v>
      </c>
      <c r="O70">
        <v>32</v>
      </c>
      <c r="P70">
        <f>P36</f>
        <v>0</v>
      </c>
      <c r="Q70">
        <v>32</v>
      </c>
      <c r="R70">
        <f>R36</f>
        <v>0</v>
      </c>
      <c r="S70">
        <v>32</v>
      </c>
      <c r="T70">
        <f>T36</f>
        <v>0</v>
      </c>
      <c r="U70">
        <v>32</v>
      </c>
      <c r="V70">
        <f>V36</f>
        <v>0</v>
      </c>
      <c r="W70">
        <v>32</v>
      </c>
      <c r="X70">
        <f>X36</f>
        <v>0</v>
      </c>
      <c r="Y70">
        <v>32</v>
      </c>
      <c r="Z70">
        <f>Z36</f>
        <v>0</v>
      </c>
      <c r="AA70">
        <v>32</v>
      </c>
      <c r="AB70">
        <f>AB36</f>
        <v>0</v>
      </c>
      <c r="AC70">
        <v>32</v>
      </c>
      <c r="AD70">
        <f>AD36</f>
        <v>0</v>
      </c>
      <c r="AE70">
        <v>32</v>
      </c>
      <c r="AF70">
        <f>AF36</f>
        <v>0</v>
      </c>
      <c r="AG70">
        <v>32</v>
      </c>
      <c r="AH70">
        <f>AH36</f>
        <v>0</v>
      </c>
      <c r="AI70">
        <v>32</v>
      </c>
      <c r="AJ70">
        <f>AJ36</f>
        <v>0</v>
      </c>
      <c r="AK70">
        <v>32</v>
      </c>
      <c r="AL70">
        <f>AL36</f>
        <v>0</v>
      </c>
      <c r="AM70">
        <v>32</v>
      </c>
      <c r="AN70">
        <f>AN36</f>
        <v>0</v>
      </c>
      <c r="AO70">
        <v>32</v>
      </c>
      <c r="AP70">
        <f>AP36</f>
        <v>0</v>
      </c>
      <c r="AQ70">
        <v>32</v>
      </c>
      <c r="AR70">
        <f>AR36</f>
        <v>0</v>
      </c>
      <c r="AS70">
        <v>32</v>
      </c>
      <c r="AT70">
        <f>AT36</f>
        <v>0</v>
      </c>
      <c r="AU70">
        <v>32</v>
      </c>
      <c r="AV70">
        <f>AV36</f>
        <v>0</v>
      </c>
      <c r="AW70">
        <v>32</v>
      </c>
      <c r="AX70">
        <f>AX36</f>
        <v>0</v>
      </c>
      <c r="AY70">
        <v>32</v>
      </c>
      <c r="AZ70">
        <f>AZ36</f>
        <v>0</v>
      </c>
      <c r="BA70">
        <v>32</v>
      </c>
      <c r="BB70">
        <f>BB36</f>
        <v>0</v>
      </c>
      <c r="BC70">
        <v>32</v>
      </c>
      <c r="BD70">
        <f>BD36</f>
        <v>0</v>
      </c>
      <c r="BE70">
        <v>32</v>
      </c>
      <c r="BF70">
        <f>BF36</f>
        <v>0</v>
      </c>
      <c r="BG70">
        <v>32</v>
      </c>
      <c r="BH70">
        <f>BH36</f>
        <v>0</v>
      </c>
      <c r="BI70">
        <v>32</v>
      </c>
      <c r="BJ70">
        <f>BJ36</f>
        <v>0</v>
      </c>
      <c r="BK70">
        <v>32</v>
      </c>
      <c r="BL70">
        <f>BL36</f>
        <v>0</v>
      </c>
      <c r="BM70">
        <v>32</v>
      </c>
      <c r="BN70">
        <f>BN36</f>
        <v>0</v>
      </c>
      <c r="BO70">
        <v>32</v>
      </c>
      <c r="BP70">
        <f>BP36</f>
        <v>0</v>
      </c>
      <c r="BS70">
        <v>32</v>
      </c>
      <c r="BT70">
        <f>BT36</f>
        <v>0</v>
      </c>
      <c r="BU70">
        <v>32</v>
      </c>
      <c r="BV70">
        <f>BV36</f>
        <v>0</v>
      </c>
      <c r="BW70">
        <v>32</v>
      </c>
      <c r="BX70">
        <f>BX36</f>
        <v>0</v>
      </c>
      <c r="BY70">
        <v>32</v>
      </c>
      <c r="BZ70">
        <f>BZ36</f>
        <v>0</v>
      </c>
      <c r="CA70">
        <v>32</v>
      </c>
      <c r="CB70">
        <f>CB36</f>
        <v>0</v>
      </c>
      <c r="CC70">
        <v>32</v>
      </c>
      <c r="CD70">
        <f>CD36</f>
        <v>0</v>
      </c>
      <c r="CE70">
        <v>32</v>
      </c>
      <c r="CF70">
        <f>CF36</f>
        <v>0</v>
      </c>
      <c r="CG70">
        <v>32</v>
      </c>
      <c r="CH70">
        <f>CH36</f>
        <v>0</v>
      </c>
      <c r="CI70">
        <v>32</v>
      </c>
      <c r="CJ70">
        <f>CJ36</f>
        <v>0</v>
      </c>
      <c r="CK70">
        <v>32</v>
      </c>
      <c r="CL70">
        <f>CL36</f>
        <v>0</v>
      </c>
      <c r="CM70">
        <v>32</v>
      </c>
      <c r="CN70">
        <f>CN36</f>
        <v>0</v>
      </c>
      <c r="CO70">
        <v>32</v>
      </c>
      <c r="CP70">
        <f>CP36</f>
        <v>0</v>
      </c>
      <c r="CQ70">
        <v>32</v>
      </c>
      <c r="CR70">
        <f>CR36</f>
        <v>0</v>
      </c>
      <c r="CS70">
        <v>32</v>
      </c>
      <c r="CT70">
        <f>CT36</f>
        <v>0</v>
      </c>
      <c r="CU70">
        <v>32</v>
      </c>
      <c r="CV70">
        <f>CV36</f>
        <v>0</v>
      </c>
      <c r="CW70">
        <v>32</v>
      </c>
      <c r="CX70">
        <f>CX36</f>
        <v>0</v>
      </c>
      <c r="CY70">
        <v>32</v>
      </c>
      <c r="CZ70">
        <f>CZ36</f>
        <v>0</v>
      </c>
      <c r="DA70">
        <v>32</v>
      </c>
      <c r="DB70">
        <f>DB36</f>
        <v>0</v>
      </c>
      <c r="DC70">
        <v>32</v>
      </c>
      <c r="DD70">
        <f>DD36</f>
        <v>0</v>
      </c>
      <c r="DE70">
        <v>32</v>
      </c>
      <c r="DF70">
        <f>DF36</f>
        <v>0</v>
      </c>
      <c r="DG70">
        <v>32</v>
      </c>
      <c r="DH70">
        <f>DH36</f>
        <v>0</v>
      </c>
      <c r="DI70">
        <v>32</v>
      </c>
      <c r="DJ70">
        <f>DJ36</f>
        <v>0</v>
      </c>
      <c r="DK70">
        <v>32</v>
      </c>
      <c r="DL70">
        <f>DL36</f>
        <v>0</v>
      </c>
      <c r="DM70">
        <v>32</v>
      </c>
      <c r="DN70">
        <f>DN36</f>
        <v>0</v>
      </c>
      <c r="DO70">
        <v>32</v>
      </c>
      <c r="DP70">
        <f>DP36</f>
        <v>0</v>
      </c>
      <c r="DQ70">
        <v>32</v>
      </c>
      <c r="DR70">
        <f>DR36</f>
        <v>0</v>
      </c>
      <c r="DS70">
        <v>32</v>
      </c>
      <c r="DT70">
        <f>DT36</f>
        <v>0</v>
      </c>
      <c r="DU70">
        <v>32</v>
      </c>
      <c r="DV70">
        <f>DV36</f>
        <v>0</v>
      </c>
      <c r="DW70">
        <v>32</v>
      </c>
      <c r="DX70">
        <f>DX36</f>
        <v>0</v>
      </c>
      <c r="DY70">
        <v>32</v>
      </c>
      <c r="DZ70">
        <f>DZ36</f>
        <v>0</v>
      </c>
      <c r="EA70">
        <v>32</v>
      </c>
      <c r="EB70">
        <f>EB36</f>
        <v>0</v>
      </c>
      <c r="EC70">
        <v>32</v>
      </c>
      <c r="ED70">
        <f>ED36</f>
        <v>0</v>
      </c>
    </row>
    <row r="71" spans="5:200">
      <c r="E71">
        <v>2</v>
      </c>
      <c r="F71">
        <f>IF(F6="","",F5)</f>
        <v>0</v>
      </c>
      <c r="G71">
        <v>2</v>
      </c>
      <c r="H71">
        <f>H5</f>
        <v>0</v>
      </c>
      <c r="I71">
        <v>2</v>
      </c>
      <c r="J71">
        <f>IF(J6="","",J5)</f>
        <v>0</v>
      </c>
      <c r="K71">
        <v>2</v>
      </c>
      <c r="L71">
        <f>L5</f>
        <v>0</v>
      </c>
      <c r="M71">
        <v>2</v>
      </c>
      <c r="N71">
        <f>IF(N6="","",N5)</f>
        <v>0</v>
      </c>
      <c r="O71">
        <v>2</v>
      </c>
      <c r="P71">
        <f>P5</f>
        <v>0</v>
      </c>
      <c r="Q71">
        <v>2</v>
      </c>
      <c r="R71">
        <f>IF(R6="","",R5)</f>
        <v>0</v>
      </c>
      <c r="S71">
        <v>2</v>
      </c>
      <c r="T71">
        <f>T5</f>
        <v>0</v>
      </c>
      <c r="U71">
        <v>2</v>
      </c>
      <c r="V71">
        <f>IF(V6="","",V5)</f>
        <v>0</v>
      </c>
      <c r="W71">
        <v>2</v>
      </c>
      <c r="X71">
        <f>X5</f>
        <v>0</v>
      </c>
      <c r="Y71">
        <v>2</v>
      </c>
      <c r="Z71">
        <f>IF(Z6="","",Z5)</f>
        <v>0</v>
      </c>
      <c r="AA71">
        <v>2</v>
      </c>
      <c r="AB71">
        <f>AB5</f>
        <v>0</v>
      </c>
      <c r="AC71">
        <v>2</v>
      </c>
      <c r="AD71">
        <f>IF(AD6="","",AD5)</f>
        <v>0</v>
      </c>
      <c r="AE71">
        <v>2</v>
      </c>
      <c r="AF71">
        <f>AF5</f>
        <v>0</v>
      </c>
      <c r="AG71">
        <v>2</v>
      </c>
      <c r="AH71">
        <f>IF(AH6="","",AH5)</f>
        <v>0</v>
      </c>
      <c r="AI71">
        <v>2</v>
      </c>
      <c r="AJ71">
        <f>AJ5</f>
        <v>0</v>
      </c>
      <c r="AK71">
        <v>2</v>
      </c>
      <c r="AL71">
        <f>IF(AL6="","",AL5)</f>
        <v>0</v>
      </c>
      <c r="AM71">
        <v>2</v>
      </c>
      <c r="AN71">
        <f>AN5</f>
        <v>0</v>
      </c>
      <c r="AO71">
        <v>2</v>
      </c>
      <c r="AP71">
        <f>IF(AP6="","",AP5)</f>
        <v>0</v>
      </c>
      <c r="AQ71">
        <v>2</v>
      </c>
      <c r="AR71">
        <f>AR5</f>
        <v>0</v>
      </c>
      <c r="AS71">
        <v>2</v>
      </c>
      <c r="AT71">
        <f>IF(AT6="","",AT5)</f>
        <v>0</v>
      </c>
      <c r="AU71">
        <v>2</v>
      </c>
      <c r="AV71">
        <f>AV5</f>
        <v>0</v>
      </c>
      <c r="AW71">
        <v>2</v>
      </c>
      <c r="AX71">
        <f>IF(AX6="","",AX5)</f>
        <v>0</v>
      </c>
      <c r="AY71">
        <v>2</v>
      </c>
      <c r="AZ71">
        <f>AZ5</f>
        <v>0</v>
      </c>
      <c r="BA71">
        <v>2</v>
      </c>
      <c r="BB71">
        <f>IF(BB6="","",BB5)</f>
        <v>0</v>
      </c>
      <c r="BC71">
        <v>2</v>
      </c>
      <c r="BD71">
        <f>BD5</f>
        <v>0</v>
      </c>
      <c r="BE71">
        <v>2</v>
      </c>
      <c r="BF71">
        <f>IF(BF6="","",BF5)</f>
        <v>0</v>
      </c>
      <c r="BG71">
        <v>2</v>
      </c>
      <c r="BH71">
        <f>BH5</f>
        <v>0</v>
      </c>
      <c r="BI71">
        <v>2</v>
      </c>
      <c r="BJ71">
        <f>IF(BJ6="","",BJ5)</f>
        <v>0</v>
      </c>
      <c r="BK71">
        <v>2</v>
      </c>
      <c r="BL71">
        <f>BL5</f>
        <v>0</v>
      </c>
      <c r="BM71">
        <v>2</v>
      </c>
      <c r="BN71">
        <f>IF(BN6="","",BN5)</f>
        <v>0</v>
      </c>
      <c r="BO71">
        <v>2</v>
      </c>
      <c r="BP71">
        <f>BP5</f>
        <v>0</v>
      </c>
      <c r="BS71">
        <v>2</v>
      </c>
      <c r="BT71">
        <f>IF(BT6="","",BT5)</f>
        <v>0</v>
      </c>
      <c r="BU71">
        <v>2</v>
      </c>
      <c r="BV71">
        <f>BV5</f>
        <v>0</v>
      </c>
      <c r="BW71">
        <v>2</v>
      </c>
      <c r="BX71">
        <f>IF(BX6="","",BX5)</f>
        <v>0</v>
      </c>
      <c r="BY71">
        <v>2</v>
      </c>
      <c r="BZ71">
        <f>BZ5</f>
        <v>0</v>
      </c>
      <c r="CA71">
        <v>2</v>
      </c>
      <c r="CB71">
        <f>IF(CB6="","",CB5)</f>
        <v>0</v>
      </c>
      <c r="CC71">
        <v>2</v>
      </c>
      <c r="CD71">
        <f>CD5</f>
        <v>0</v>
      </c>
      <c r="CE71">
        <v>2</v>
      </c>
      <c r="CF71">
        <f>IF(CF6="","",CF5)</f>
        <v>0</v>
      </c>
      <c r="CG71">
        <v>2</v>
      </c>
      <c r="CH71">
        <f>CH5</f>
        <v>0</v>
      </c>
      <c r="CI71">
        <v>2</v>
      </c>
      <c r="CJ71">
        <f>IF(CJ6="","",CJ5)</f>
        <v>0</v>
      </c>
      <c r="CK71">
        <v>2</v>
      </c>
      <c r="CL71">
        <f>CL5</f>
        <v>0</v>
      </c>
      <c r="CM71">
        <v>2</v>
      </c>
      <c r="CN71">
        <f>IF(CN6="","",CN5)</f>
        <v>0</v>
      </c>
      <c r="CO71">
        <v>2</v>
      </c>
      <c r="CP71">
        <f>CP5</f>
        <v>0</v>
      </c>
      <c r="CQ71">
        <v>2</v>
      </c>
      <c r="CR71">
        <f>IF(CR6="","",CR5)</f>
        <v>0</v>
      </c>
      <c r="CS71">
        <v>2</v>
      </c>
      <c r="CT71">
        <f>CT5</f>
        <v>0</v>
      </c>
      <c r="CU71">
        <v>2</v>
      </c>
      <c r="CV71">
        <f>IF(CV6="","",CV5)</f>
        <v>0</v>
      </c>
      <c r="CW71">
        <v>2</v>
      </c>
      <c r="CX71">
        <f>CX5</f>
        <v>0</v>
      </c>
      <c r="CY71">
        <v>2</v>
      </c>
      <c r="CZ71">
        <f>IF(CZ6="","",CZ5)</f>
        <v>0</v>
      </c>
      <c r="DA71">
        <v>2</v>
      </c>
      <c r="DB71">
        <f>DB5</f>
        <v>0</v>
      </c>
      <c r="DC71">
        <v>2</v>
      </c>
      <c r="DD71">
        <f>IF(DD6="","",DD5)</f>
        <v>0</v>
      </c>
      <c r="DE71">
        <v>2</v>
      </c>
      <c r="DF71">
        <f>DF5</f>
        <v>0</v>
      </c>
      <c r="DG71">
        <v>2</v>
      </c>
      <c r="DH71">
        <f>IF(DH6="","",DH5)</f>
        <v>0</v>
      </c>
      <c r="DI71">
        <v>2</v>
      </c>
      <c r="DJ71">
        <f>DJ5</f>
        <v>0</v>
      </c>
      <c r="DK71">
        <v>2</v>
      </c>
      <c r="DL71">
        <f>IF(DL6="","",DL5)</f>
        <v>0</v>
      </c>
      <c r="DM71">
        <v>2</v>
      </c>
      <c r="DN71">
        <f>DN5</f>
        <v>0</v>
      </c>
      <c r="DO71">
        <v>2</v>
      </c>
      <c r="DP71">
        <f>IF(DP6="","",DP5)</f>
        <v>0</v>
      </c>
      <c r="DQ71">
        <v>2</v>
      </c>
      <c r="DR71">
        <f>DR5</f>
        <v>0</v>
      </c>
      <c r="DS71">
        <v>2</v>
      </c>
      <c r="DT71">
        <f>IF(DT6="","",DT5)</f>
        <v>0</v>
      </c>
      <c r="DU71">
        <v>2</v>
      </c>
      <c r="DV71">
        <f>DV5</f>
        <v>0</v>
      </c>
      <c r="DW71">
        <v>2</v>
      </c>
      <c r="DX71">
        <f>IF(DX6="","",DX5)</f>
        <v>0</v>
      </c>
      <c r="DY71">
        <v>2</v>
      </c>
      <c r="DZ71">
        <f>DZ5</f>
        <v>0</v>
      </c>
      <c r="EA71">
        <v>2</v>
      </c>
      <c r="EB71">
        <f>IF(EB6="","",EB5)</f>
        <v>0</v>
      </c>
      <c r="EC71">
        <v>2</v>
      </c>
      <c r="ED71">
        <f>ED5</f>
        <v>0</v>
      </c>
    </row>
    <row r="72" spans="5:200">
      <c r="E72">
        <v>3</v>
      </c>
      <c r="F72">
        <f>IF(F7="","",F6)</f>
        <v>0</v>
      </c>
      <c r="G72">
        <v>3</v>
      </c>
      <c r="H72">
        <f>H6</f>
        <v>0</v>
      </c>
      <c r="I72">
        <v>3</v>
      </c>
      <c r="J72">
        <f>IF(J7="","",J6)</f>
        <v>0</v>
      </c>
      <c r="K72">
        <v>3</v>
      </c>
      <c r="L72">
        <f>L6</f>
        <v>0</v>
      </c>
      <c r="M72">
        <v>3</v>
      </c>
      <c r="N72">
        <f>IF(N7="","",N6)</f>
        <v>0</v>
      </c>
      <c r="O72">
        <v>3</v>
      </c>
      <c r="P72">
        <f>P6</f>
        <v>0</v>
      </c>
      <c r="Q72">
        <v>3</v>
      </c>
      <c r="R72">
        <f>IF(R7="","",R6)</f>
        <v>0</v>
      </c>
      <c r="S72">
        <v>3</v>
      </c>
      <c r="T72">
        <f>T6</f>
        <v>0</v>
      </c>
      <c r="U72">
        <v>3</v>
      </c>
      <c r="V72">
        <f>IF(V7="","",V6)</f>
        <v>0</v>
      </c>
      <c r="W72">
        <v>3</v>
      </c>
      <c r="X72">
        <f>X6</f>
        <v>0</v>
      </c>
      <c r="Y72">
        <v>3</v>
      </c>
      <c r="Z72">
        <f>IF(Z7="","",Z6)</f>
        <v>0</v>
      </c>
      <c r="AA72">
        <v>3</v>
      </c>
      <c r="AB72">
        <f>AB6</f>
        <v>0</v>
      </c>
      <c r="AC72">
        <v>3</v>
      </c>
      <c r="AD72">
        <f>IF(AD7="","",AD6)</f>
        <v>0</v>
      </c>
      <c r="AE72">
        <v>3</v>
      </c>
      <c r="AF72">
        <f>AF6</f>
        <v>0</v>
      </c>
      <c r="AG72">
        <v>3</v>
      </c>
      <c r="AH72">
        <f>IF(AH7="","",AH6)</f>
        <v>0</v>
      </c>
      <c r="AI72">
        <v>3</v>
      </c>
      <c r="AJ72">
        <f>AJ6</f>
        <v>0</v>
      </c>
      <c r="AK72">
        <v>3</v>
      </c>
      <c r="AL72">
        <f>IF(AL7="","",AL6)</f>
        <v>0</v>
      </c>
      <c r="AM72">
        <v>3</v>
      </c>
      <c r="AN72">
        <f>AN6</f>
        <v>0</v>
      </c>
      <c r="AO72">
        <v>3</v>
      </c>
      <c r="AP72">
        <f>IF(AP7="","",AP6)</f>
        <v>0</v>
      </c>
      <c r="AQ72">
        <v>3</v>
      </c>
      <c r="AR72">
        <f>AR6</f>
        <v>0</v>
      </c>
      <c r="AS72">
        <v>3</v>
      </c>
      <c r="AT72">
        <f>IF(AT7="","",AT6)</f>
        <v>0</v>
      </c>
      <c r="AU72">
        <v>3</v>
      </c>
      <c r="AV72">
        <f>AV6</f>
        <v>0</v>
      </c>
      <c r="AW72">
        <v>3</v>
      </c>
      <c r="AX72">
        <f>IF(AX7="","",AX6)</f>
        <v>0</v>
      </c>
      <c r="AY72">
        <v>3</v>
      </c>
      <c r="AZ72">
        <f>AZ6</f>
        <v>0</v>
      </c>
      <c r="BA72">
        <v>3</v>
      </c>
      <c r="BB72">
        <f>IF(BB7="","",BB6)</f>
        <v>0</v>
      </c>
      <c r="BC72">
        <v>3</v>
      </c>
      <c r="BD72">
        <f>BD6</f>
        <v>0</v>
      </c>
      <c r="BE72">
        <v>3</v>
      </c>
      <c r="BF72">
        <f>IF(BF7="","",BF6)</f>
        <v>0</v>
      </c>
      <c r="BG72">
        <v>3</v>
      </c>
      <c r="BH72">
        <f>BH6</f>
        <v>0</v>
      </c>
      <c r="BI72">
        <v>3</v>
      </c>
      <c r="BJ72">
        <f>IF(BJ7="","",BJ6)</f>
        <v>0</v>
      </c>
      <c r="BK72">
        <v>3</v>
      </c>
      <c r="BL72">
        <f>BL6</f>
        <v>0</v>
      </c>
      <c r="BM72">
        <v>3</v>
      </c>
      <c r="BN72">
        <f>IF(BN7="","",BN6)</f>
        <v>0</v>
      </c>
      <c r="BO72">
        <v>3</v>
      </c>
      <c r="BP72">
        <f>BP6</f>
        <v>0</v>
      </c>
      <c r="BS72">
        <v>3</v>
      </c>
      <c r="BT72">
        <f>IF(BT7="","",BT6)</f>
        <v>0</v>
      </c>
      <c r="BU72">
        <v>3</v>
      </c>
      <c r="BV72">
        <f>BV6</f>
        <v>0</v>
      </c>
      <c r="BW72">
        <v>3</v>
      </c>
      <c r="BX72">
        <f>IF(BX7="","",BX6)</f>
        <v>0</v>
      </c>
      <c r="BY72">
        <v>3</v>
      </c>
      <c r="BZ72">
        <f>BZ6</f>
        <v>0</v>
      </c>
      <c r="CA72">
        <v>3</v>
      </c>
      <c r="CB72">
        <f>IF(CB7="","",CB6)</f>
        <v>0</v>
      </c>
      <c r="CC72">
        <v>3</v>
      </c>
      <c r="CD72">
        <f>CD6</f>
        <v>0</v>
      </c>
      <c r="CE72">
        <v>3</v>
      </c>
      <c r="CF72">
        <f>IF(CF7="","",CF6)</f>
        <v>0</v>
      </c>
      <c r="CG72">
        <v>3</v>
      </c>
      <c r="CH72">
        <f>CH6</f>
        <v>0</v>
      </c>
      <c r="CI72">
        <v>3</v>
      </c>
      <c r="CJ72">
        <f>IF(CJ7="","",CJ6)</f>
        <v>0</v>
      </c>
      <c r="CK72">
        <v>3</v>
      </c>
      <c r="CL72">
        <f>CL6</f>
        <v>0</v>
      </c>
      <c r="CM72">
        <v>3</v>
      </c>
      <c r="CN72">
        <f>IF(CN7="","",CN6)</f>
        <v>0</v>
      </c>
      <c r="CO72">
        <v>3</v>
      </c>
      <c r="CP72">
        <f>CP6</f>
        <v>0</v>
      </c>
      <c r="CQ72">
        <v>3</v>
      </c>
      <c r="CR72">
        <f>IF(CR7="","",CR6)</f>
        <v>0</v>
      </c>
      <c r="CS72">
        <v>3</v>
      </c>
      <c r="CT72">
        <f>CT6</f>
        <v>0</v>
      </c>
      <c r="CU72">
        <v>3</v>
      </c>
      <c r="CV72">
        <f>IF(CV7="","",CV6)</f>
        <v>0</v>
      </c>
      <c r="CW72">
        <v>3</v>
      </c>
      <c r="CX72">
        <f>CX6</f>
        <v>0</v>
      </c>
      <c r="CY72">
        <v>3</v>
      </c>
      <c r="CZ72">
        <f>IF(CZ7="","",CZ6)</f>
        <v>0</v>
      </c>
      <c r="DA72">
        <v>3</v>
      </c>
      <c r="DB72">
        <f>DB6</f>
        <v>0</v>
      </c>
      <c r="DC72">
        <v>3</v>
      </c>
      <c r="DD72">
        <f>IF(DD7="","",DD6)</f>
        <v>0</v>
      </c>
      <c r="DE72">
        <v>3</v>
      </c>
      <c r="DF72">
        <f>DF6</f>
        <v>0</v>
      </c>
      <c r="DG72">
        <v>3</v>
      </c>
      <c r="DH72">
        <f>IF(DH7="","",DH6)</f>
        <v>0</v>
      </c>
      <c r="DI72">
        <v>3</v>
      </c>
      <c r="DJ72">
        <f>DJ6</f>
        <v>0</v>
      </c>
      <c r="DK72">
        <v>3</v>
      </c>
      <c r="DL72">
        <f>IF(DL7="","",DL6)</f>
        <v>0</v>
      </c>
      <c r="DM72">
        <v>3</v>
      </c>
      <c r="DN72">
        <f>DN6</f>
        <v>0</v>
      </c>
      <c r="DO72">
        <v>3</v>
      </c>
      <c r="DP72">
        <f>IF(DP7="","",DP6)</f>
        <v>0</v>
      </c>
      <c r="DQ72">
        <v>3</v>
      </c>
      <c r="DR72">
        <f>DR6</f>
        <v>0</v>
      </c>
      <c r="DS72">
        <v>3</v>
      </c>
      <c r="DT72">
        <f>IF(DT7="","",DT6)</f>
        <v>0</v>
      </c>
      <c r="DU72">
        <v>3</v>
      </c>
      <c r="DV72">
        <f>DV6</f>
        <v>0</v>
      </c>
      <c r="DW72">
        <v>3</v>
      </c>
      <c r="DX72">
        <f>IF(DX7="","",DX6)</f>
        <v>0</v>
      </c>
      <c r="DY72">
        <v>3</v>
      </c>
      <c r="DZ72">
        <f>DZ6</f>
        <v>0</v>
      </c>
      <c r="EA72">
        <v>3</v>
      </c>
      <c r="EB72">
        <f>IF(EB7="","",EB6)</f>
        <v>0</v>
      </c>
      <c r="EC72">
        <v>3</v>
      </c>
      <c r="ED72">
        <f>ED6</f>
        <v>0</v>
      </c>
    </row>
    <row r="73" spans="5:200">
      <c r="E73">
        <v>4</v>
      </c>
      <c r="F73">
        <f>IF(F8="","",F7)</f>
        <v>0</v>
      </c>
      <c r="G73">
        <v>4</v>
      </c>
      <c r="H73">
        <f>H7</f>
        <v>0</v>
      </c>
      <c r="I73">
        <v>4</v>
      </c>
      <c r="J73">
        <f>IF(J8="","",J7)</f>
        <v>0</v>
      </c>
      <c r="K73">
        <v>4</v>
      </c>
      <c r="L73">
        <f>L7</f>
        <v>0</v>
      </c>
      <c r="M73">
        <v>4</v>
      </c>
      <c r="N73">
        <f>IF(N8="","",N7)</f>
        <v>0</v>
      </c>
      <c r="O73">
        <v>4</v>
      </c>
      <c r="P73">
        <f>P7</f>
        <v>0</v>
      </c>
      <c r="Q73">
        <v>4</v>
      </c>
      <c r="R73">
        <f>IF(R8="","",R7)</f>
        <v>0</v>
      </c>
      <c r="S73">
        <v>4</v>
      </c>
      <c r="T73">
        <f>T7</f>
        <v>0</v>
      </c>
      <c r="U73">
        <v>4</v>
      </c>
      <c r="V73">
        <f>IF(V8="","",V7)</f>
        <v>0</v>
      </c>
      <c r="W73">
        <v>4</v>
      </c>
      <c r="X73">
        <f>X7</f>
        <v>0</v>
      </c>
      <c r="Y73">
        <v>4</v>
      </c>
      <c r="Z73">
        <f>IF(Z8="","",Z7)</f>
        <v>0</v>
      </c>
      <c r="AA73">
        <v>4</v>
      </c>
      <c r="AB73">
        <f>AB7</f>
        <v>0</v>
      </c>
      <c r="AC73">
        <v>4</v>
      </c>
      <c r="AD73">
        <f>IF(AD8="","",AD7)</f>
        <v>0</v>
      </c>
      <c r="AE73">
        <v>4</v>
      </c>
      <c r="AF73">
        <f>AF7</f>
        <v>0</v>
      </c>
      <c r="AG73">
        <v>4</v>
      </c>
      <c r="AH73">
        <f>IF(AH8="","",AH7)</f>
        <v>0</v>
      </c>
      <c r="AI73">
        <v>4</v>
      </c>
      <c r="AJ73">
        <f>AJ7</f>
        <v>0</v>
      </c>
      <c r="AK73">
        <v>4</v>
      </c>
      <c r="AL73">
        <f>IF(AL8="","",AL7)</f>
        <v>0</v>
      </c>
      <c r="AM73">
        <v>4</v>
      </c>
      <c r="AN73">
        <f>AN7</f>
        <v>0</v>
      </c>
      <c r="AO73">
        <v>4</v>
      </c>
      <c r="AP73">
        <f>IF(AP8="","",AP7)</f>
        <v>0</v>
      </c>
      <c r="AQ73">
        <v>4</v>
      </c>
      <c r="AR73">
        <f>AR7</f>
        <v>0</v>
      </c>
      <c r="AS73">
        <v>4</v>
      </c>
      <c r="AT73">
        <f>IF(AT8="","",AT7)</f>
        <v>0</v>
      </c>
      <c r="AU73">
        <v>4</v>
      </c>
      <c r="AV73">
        <f>AV7</f>
        <v>0</v>
      </c>
      <c r="AW73">
        <v>4</v>
      </c>
      <c r="AX73">
        <f>IF(AX8="","",AX7)</f>
        <v>0</v>
      </c>
      <c r="AY73">
        <v>4</v>
      </c>
      <c r="AZ73">
        <f>AZ7</f>
        <v>0</v>
      </c>
      <c r="BA73">
        <v>4</v>
      </c>
      <c r="BB73">
        <f>IF(BB8="","",BB7)</f>
        <v>0</v>
      </c>
      <c r="BC73">
        <v>4</v>
      </c>
      <c r="BD73">
        <f>BD7</f>
        <v>0</v>
      </c>
      <c r="BE73">
        <v>4</v>
      </c>
      <c r="BF73">
        <f>IF(BF8="","",BF7)</f>
        <v>0</v>
      </c>
      <c r="BG73">
        <v>4</v>
      </c>
      <c r="BH73">
        <f>BH7</f>
        <v>0</v>
      </c>
      <c r="BI73">
        <v>4</v>
      </c>
      <c r="BJ73">
        <f>IF(BJ8="","",BJ7)</f>
        <v>0</v>
      </c>
      <c r="BK73">
        <v>4</v>
      </c>
      <c r="BL73">
        <f>BL7</f>
        <v>0</v>
      </c>
      <c r="BM73">
        <v>4</v>
      </c>
      <c r="BN73">
        <f>IF(BN8="","",BN7)</f>
        <v>0</v>
      </c>
      <c r="BO73">
        <v>4</v>
      </c>
      <c r="BP73">
        <f>BP7</f>
        <v>0</v>
      </c>
      <c r="BS73">
        <v>4</v>
      </c>
      <c r="BT73">
        <f>IF(BT8="","",BT7)</f>
        <v>0</v>
      </c>
      <c r="BU73">
        <v>4</v>
      </c>
      <c r="BV73">
        <f>BV7</f>
        <v>0</v>
      </c>
      <c r="BW73">
        <v>4</v>
      </c>
      <c r="BX73">
        <f>IF(BX8="","",BX7)</f>
        <v>0</v>
      </c>
      <c r="BY73">
        <v>4</v>
      </c>
      <c r="BZ73">
        <f>BZ7</f>
        <v>0</v>
      </c>
      <c r="CA73">
        <v>4</v>
      </c>
      <c r="CB73">
        <f>IF(CB8="","",CB7)</f>
        <v>0</v>
      </c>
      <c r="CC73">
        <v>4</v>
      </c>
      <c r="CD73">
        <f>CD7</f>
        <v>0</v>
      </c>
      <c r="CE73">
        <v>4</v>
      </c>
      <c r="CF73">
        <f>IF(CF8="","",CF7)</f>
        <v>0</v>
      </c>
      <c r="CG73">
        <v>4</v>
      </c>
      <c r="CH73">
        <f>CH7</f>
        <v>0</v>
      </c>
      <c r="CI73">
        <v>4</v>
      </c>
      <c r="CJ73">
        <f>IF(CJ8="","",CJ7)</f>
        <v>0</v>
      </c>
      <c r="CK73">
        <v>4</v>
      </c>
      <c r="CL73">
        <f>CL7</f>
        <v>0</v>
      </c>
      <c r="CM73">
        <v>4</v>
      </c>
      <c r="CN73">
        <f>IF(CN8="","",CN7)</f>
        <v>0</v>
      </c>
      <c r="CO73">
        <v>4</v>
      </c>
      <c r="CP73">
        <f>CP7</f>
        <v>0</v>
      </c>
      <c r="CQ73">
        <v>4</v>
      </c>
      <c r="CR73">
        <f>IF(CR8="","",CR7)</f>
        <v>0</v>
      </c>
      <c r="CS73">
        <v>4</v>
      </c>
      <c r="CT73">
        <f>CT7</f>
        <v>0</v>
      </c>
      <c r="CU73">
        <v>4</v>
      </c>
      <c r="CV73">
        <f>IF(CV8="","",CV7)</f>
        <v>0</v>
      </c>
      <c r="CW73">
        <v>4</v>
      </c>
      <c r="CX73">
        <f>CX7</f>
        <v>0</v>
      </c>
      <c r="CY73">
        <v>4</v>
      </c>
      <c r="CZ73">
        <f>IF(CZ8="","",CZ7)</f>
        <v>0</v>
      </c>
      <c r="DA73">
        <v>4</v>
      </c>
      <c r="DB73">
        <f>DB7</f>
        <v>0</v>
      </c>
      <c r="DC73">
        <v>4</v>
      </c>
      <c r="DD73">
        <f>IF(DD8="","",DD7)</f>
        <v>0</v>
      </c>
      <c r="DE73">
        <v>4</v>
      </c>
      <c r="DF73">
        <f>DF7</f>
        <v>0</v>
      </c>
      <c r="DG73">
        <v>4</v>
      </c>
      <c r="DH73">
        <f>IF(DH8="","",DH7)</f>
        <v>0</v>
      </c>
      <c r="DI73">
        <v>4</v>
      </c>
      <c r="DJ73">
        <f>DJ7</f>
        <v>0</v>
      </c>
      <c r="DK73">
        <v>4</v>
      </c>
      <c r="DL73">
        <f>IF(DL8="","",DL7)</f>
        <v>0</v>
      </c>
      <c r="DM73">
        <v>4</v>
      </c>
      <c r="DN73">
        <f>DN7</f>
        <v>0</v>
      </c>
      <c r="DO73">
        <v>4</v>
      </c>
      <c r="DP73">
        <f>IF(DP8="","",DP7)</f>
        <v>0</v>
      </c>
      <c r="DQ73">
        <v>4</v>
      </c>
      <c r="DR73">
        <f>DR7</f>
        <v>0</v>
      </c>
      <c r="DS73">
        <v>4</v>
      </c>
      <c r="DT73">
        <f>IF(DT8="","",DT7)</f>
        <v>0</v>
      </c>
      <c r="DU73">
        <v>4</v>
      </c>
      <c r="DV73">
        <f>DV7</f>
        <v>0</v>
      </c>
      <c r="DW73">
        <v>4</v>
      </c>
      <c r="DX73">
        <f>IF(DX8="","",DX7)</f>
        <v>0</v>
      </c>
      <c r="DY73">
        <v>4</v>
      </c>
      <c r="DZ73">
        <f>DZ7</f>
        <v>0</v>
      </c>
      <c r="EA73">
        <v>4</v>
      </c>
      <c r="EB73">
        <f>IF(EB8="","",EB7)</f>
        <v>0</v>
      </c>
      <c r="EC73">
        <v>4</v>
      </c>
      <c r="ED73">
        <f>ED7</f>
        <v>0</v>
      </c>
    </row>
    <row r="74" spans="5:200">
      <c r="E74">
        <v>5</v>
      </c>
      <c r="F74">
        <f>IF(F9="","",F8)</f>
        <v>0</v>
      </c>
      <c r="G74">
        <v>5</v>
      </c>
      <c r="H74">
        <f>H8</f>
        <v>0</v>
      </c>
      <c r="I74">
        <v>5</v>
      </c>
      <c r="J74">
        <f>IF(J9="","",J8)</f>
        <v>0</v>
      </c>
      <c r="K74">
        <v>5</v>
      </c>
      <c r="L74">
        <f>L8</f>
        <v>0</v>
      </c>
      <c r="M74">
        <v>5</v>
      </c>
      <c r="N74">
        <f>IF(N9="","",N8)</f>
        <v>0</v>
      </c>
      <c r="O74">
        <v>5</v>
      </c>
      <c r="P74">
        <f>P8</f>
        <v>0</v>
      </c>
      <c r="Q74">
        <v>5</v>
      </c>
      <c r="R74">
        <f>IF(R9="","",R8)</f>
        <v>0</v>
      </c>
      <c r="S74">
        <v>5</v>
      </c>
      <c r="T74">
        <f>T8</f>
        <v>0</v>
      </c>
      <c r="U74">
        <v>5</v>
      </c>
      <c r="V74">
        <f>IF(V9="","",V8)</f>
        <v>0</v>
      </c>
      <c r="W74">
        <v>5</v>
      </c>
      <c r="X74">
        <f>X8</f>
        <v>0</v>
      </c>
      <c r="Y74">
        <v>5</v>
      </c>
      <c r="Z74">
        <f>IF(Z9="","",Z8)</f>
        <v>0</v>
      </c>
      <c r="AA74">
        <v>5</v>
      </c>
      <c r="AB74">
        <f>AB8</f>
        <v>0</v>
      </c>
      <c r="AC74">
        <v>5</v>
      </c>
      <c r="AD74">
        <f>IF(AD9="","",AD8)</f>
        <v>0</v>
      </c>
      <c r="AE74">
        <v>5</v>
      </c>
      <c r="AF74">
        <f>AF8</f>
        <v>0</v>
      </c>
      <c r="AG74">
        <v>5</v>
      </c>
      <c r="AH74">
        <f>IF(AH9="","",AH8)</f>
        <v>0</v>
      </c>
      <c r="AI74">
        <v>5</v>
      </c>
      <c r="AJ74">
        <f>AJ8</f>
        <v>0</v>
      </c>
      <c r="AK74">
        <v>5</v>
      </c>
      <c r="AL74">
        <f>IF(AL9="","",AL8)</f>
        <v>0</v>
      </c>
      <c r="AM74">
        <v>5</v>
      </c>
      <c r="AN74">
        <f>AN8</f>
        <v>0</v>
      </c>
      <c r="AO74">
        <v>5</v>
      </c>
      <c r="AP74">
        <f>IF(AP9="","",AP8)</f>
        <v>0</v>
      </c>
      <c r="AQ74">
        <v>5</v>
      </c>
      <c r="AR74">
        <f>AR8</f>
        <v>0</v>
      </c>
      <c r="AS74">
        <v>5</v>
      </c>
      <c r="AT74">
        <f>IF(AT9="","",AT8)</f>
        <v>0</v>
      </c>
      <c r="AU74">
        <v>5</v>
      </c>
      <c r="AV74">
        <f>AV8</f>
        <v>0</v>
      </c>
      <c r="AW74">
        <v>5</v>
      </c>
      <c r="AX74">
        <f>IF(AX9="","",AX8)</f>
        <v>0</v>
      </c>
      <c r="AY74">
        <v>5</v>
      </c>
      <c r="AZ74">
        <f>AZ8</f>
        <v>0</v>
      </c>
      <c r="BA74">
        <v>5</v>
      </c>
      <c r="BB74">
        <f>IF(BB9="","",BB8)</f>
        <v>0</v>
      </c>
      <c r="BC74">
        <v>5</v>
      </c>
      <c r="BD74">
        <f>BD8</f>
        <v>0</v>
      </c>
      <c r="BE74">
        <v>5</v>
      </c>
      <c r="BF74">
        <f>IF(BF9="","",BF8)</f>
        <v>0</v>
      </c>
      <c r="BG74">
        <v>5</v>
      </c>
      <c r="BH74">
        <f>BH8</f>
        <v>0</v>
      </c>
      <c r="BI74">
        <v>5</v>
      </c>
      <c r="BJ74">
        <f>IF(BJ9="","",BJ8)</f>
        <v>0</v>
      </c>
      <c r="BK74">
        <v>5</v>
      </c>
      <c r="BL74">
        <f>BL8</f>
        <v>0</v>
      </c>
      <c r="BM74">
        <v>5</v>
      </c>
      <c r="BN74">
        <f>IF(BN9="","",BN8)</f>
        <v>0</v>
      </c>
      <c r="BO74">
        <v>5</v>
      </c>
      <c r="BP74">
        <f>BP8</f>
        <v>0</v>
      </c>
      <c r="BS74">
        <v>5</v>
      </c>
      <c r="BT74">
        <f>IF(BT9="","",BT8)</f>
        <v>0</v>
      </c>
      <c r="BU74">
        <v>5</v>
      </c>
      <c r="BV74">
        <f>BV8</f>
        <v>0</v>
      </c>
      <c r="BW74">
        <v>5</v>
      </c>
      <c r="BX74">
        <f>IF(BX9="","",BX8)</f>
        <v>0</v>
      </c>
      <c r="BY74">
        <v>5</v>
      </c>
      <c r="BZ74">
        <f>BZ8</f>
        <v>0</v>
      </c>
      <c r="CA74">
        <v>5</v>
      </c>
      <c r="CB74">
        <f>IF(CB9="","",CB8)</f>
        <v>0</v>
      </c>
      <c r="CC74">
        <v>5</v>
      </c>
      <c r="CD74">
        <f>CD8</f>
        <v>0</v>
      </c>
      <c r="CE74">
        <v>5</v>
      </c>
      <c r="CF74">
        <f>IF(CF9="","",CF8)</f>
        <v>0</v>
      </c>
      <c r="CG74">
        <v>5</v>
      </c>
      <c r="CH74">
        <f>CH8</f>
        <v>0</v>
      </c>
      <c r="CI74">
        <v>5</v>
      </c>
      <c r="CJ74">
        <f>IF(CJ9="","",CJ8)</f>
        <v>0</v>
      </c>
      <c r="CK74">
        <v>5</v>
      </c>
      <c r="CL74">
        <f>CL8</f>
        <v>0</v>
      </c>
      <c r="CM74">
        <v>5</v>
      </c>
      <c r="CN74">
        <f>IF(CN9="","",CN8)</f>
        <v>0</v>
      </c>
      <c r="CO74">
        <v>5</v>
      </c>
      <c r="CP74">
        <f>CP8</f>
        <v>0</v>
      </c>
      <c r="CQ74">
        <v>5</v>
      </c>
      <c r="CR74">
        <f>IF(CR9="","",CR8)</f>
        <v>0</v>
      </c>
      <c r="CS74">
        <v>5</v>
      </c>
      <c r="CT74">
        <f>CT8</f>
        <v>0</v>
      </c>
      <c r="CU74">
        <v>5</v>
      </c>
      <c r="CV74">
        <f>IF(CV9="","",CV8)</f>
        <v>0</v>
      </c>
      <c r="CW74">
        <v>5</v>
      </c>
      <c r="CX74">
        <f>CX8</f>
        <v>0</v>
      </c>
      <c r="CY74">
        <v>5</v>
      </c>
      <c r="CZ74">
        <f>IF(CZ9="","",CZ8)</f>
        <v>0</v>
      </c>
      <c r="DA74">
        <v>5</v>
      </c>
      <c r="DB74">
        <f>DB8</f>
        <v>0</v>
      </c>
      <c r="DC74">
        <v>5</v>
      </c>
      <c r="DD74">
        <f>IF(DD9="","",DD8)</f>
        <v>0</v>
      </c>
      <c r="DE74">
        <v>5</v>
      </c>
      <c r="DF74">
        <f>DF8</f>
        <v>0</v>
      </c>
      <c r="DG74">
        <v>5</v>
      </c>
      <c r="DH74">
        <f>IF(DH9="","",DH8)</f>
        <v>0</v>
      </c>
      <c r="DI74">
        <v>5</v>
      </c>
      <c r="DJ74">
        <f>DJ8</f>
        <v>0</v>
      </c>
      <c r="DK74">
        <v>5</v>
      </c>
      <c r="DL74">
        <f>IF(DL9="","",DL8)</f>
        <v>0</v>
      </c>
      <c r="DM74">
        <v>5</v>
      </c>
      <c r="DN74">
        <f>DN8</f>
        <v>0</v>
      </c>
      <c r="DO74">
        <v>5</v>
      </c>
      <c r="DP74">
        <f>IF(DP9="","",DP8)</f>
        <v>0</v>
      </c>
      <c r="DQ74">
        <v>5</v>
      </c>
      <c r="DR74">
        <f>DR8</f>
        <v>0</v>
      </c>
      <c r="DS74">
        <v>5</v>
      </c>
      <c r="DT74">
        <f>IF(DT9="","",DT8)</f>
        <v>0</v>
      </c>
      <c r="DU74">
        <v>5</v>
      </c>
      <c r="DV74">
        <f>DV8</f>
        <v>0</v>
      </c>
      <c r="DW74">
        <v>5</v>
      </c>
      <c r="DX74">
        <f>IF(DX9="","",DX8)</f>
        <v>0</v>
      </c>
      <c r="DY74">
        <v>5</v>
      </c>
      <c r="DZ74">
        <f>DZ8</f>
        <v>0</v>
      </c>
      <c r="EA74">
        <v>5</v>
      </c>
      <c r="EB74">
        <f>IF(EB9="","",EB8)</f>
        <v>0</v>
      </c>
      <c r="EC74">
        <v>5</v>
      </c>
      <c r="ED74">
        <f>ED8</f>
        <v>0</v>
      </c>
    </row>
    <row r="75" spans="5:200">
      <c r="E75">
        <v>6</v>
      </c>
      <c r="F75">
        <f>IF(F10="","",F9)</f>
        <v>0</v>
      </c>
      <c r="G75">
        <v>6</v>
      </c>
      <c r="H75">
        <f>H9</f>
        <v>0</v>
      </c>
      <c r="I75">
        <v>6</v>
      </c>
      <c r="J75">
        <f>IF(J10="","",J9)</f>
        <v>0</v>
      </c>
      <c r="K75">
        <v>6</v>
      </c>
      <c r="L75">
        <f>L9</f>
        <v>0</v>
      </c>
      <c r="M75">
        <v>6</v>
      </c>
      <c r="N75">
        <f>IF(N10="","",N9)</f>
        <v>0</v>
      </c>
      <c r="O75">
        <v>6</v>
      </c>
      <c r="P75">
        <f>P9</f>
        <v>0</v>
      </c>
      <c r="Q75">
        <v>6</v>
      </c>
      <c r="R75">
        <f>IF(R10="","",R9)</f>
        <v>0</v>
      </c>
      <c r="S75">
        <v>6</v>
      </c>
      <c r="T75">
        <f>T9</f>
        <v>0</v>
      </c>
      <c r="U75">
        <v>6</v>
      </c>
      <c r="V75">
        <f>IF(V10="","",V9)</f>
        <v>0</v>
      </c>
      <c r="W75">
        <v>6</v>
      </c>
      <c r="X75">
        <f>X9</f>
        <v>0</v>
      </c>
      <c r="Y75">
        <v>6</v>
      </c>
      <c r="Z75">
        <f>IF(Z10="","",Z9)</f>
        <v>0</v>
      </c>
      <c r="AA75">
        <v>6</v>
      </c>
      <c r="AB75">
        <f>AB9</f>
        <v>0</v>
      </c>
      <c r="AC75">
        <v>6</v>
      </c>
      <c r="AD75">
        <f>IF(AD10="","",AD9)</f>
        <v>0</v>
      </c>
      <c r="AE75">
        <v>6</v>
      </c>
      <c r="AF75">
        <f>AF9</f>
        <v>0</v>
      </c>
      <c r="AG75">
        <v>6</v>
      </c>
      <c r="AH75">
        <f>IF(AH10="","",AH9)</f>
        <v>0</v>
      </c>
      <c r="AI75">
        <v>6</v>
      </c>
      <c r="AJ75">
        <f>AJ9</f>
        <v>0</v>
      </c>
      <c r="AK75">
        <v>6</v>
      </c>
      <c r="AL75">
        <f>IF(AL10="","",AL9)</f>
        <v>0</v>
      </c>
      <c r="AM75">
        <v>6</v>
      </c>
      <c r="AN75">
        <f>AN9</f>
        <v>0</v>
      </c>
      <c r="AO75">
        <v>6</v>
      </c>
      <c r="AP75">
        <f>IF(AP10="","",AP9)</f>
        <v>0</v>
      </c>
      <c r="AQ75">
        <v>6</v>
      </c>
      <c r="AR75">
        <f>AR9</f>
        <v>0</v>
      </c>
      <c r="AS75">
        <v>6</v>
      </c>
      <c r="AT75">
        <f>IF(AT10="","",AT9)</f>
        <v>0</v>
      </c>
      <c r="AU75">
        <v>6</v>
      </c>
      <c r="AV75">
        <f>AV9</f>
        <v>0</v>
      </c>
      <c r="AW75">
        <v>6</v>
      </c>
      <c r="AX75">
        <f>IF(AX10="","",AX9)</f>
        <v>0</v>
      </c>
      <c r="AY75">
        <v>6</v>
      </c>
      <c r="AZ75">
        <f>AZ9</f>
        <v>0</v>
      </c>
      <c r="BA75">
        <v>6</v>
      </c>
      <c r="BB75">
        <f>IF(BB10="","",BB9)</f>
        <v>0</v>
      </c>
      <c r="BC75">
        <v>6</v>
      </c>
      <c r="BD75">
        <f>BD9</f>
        <v>0</v>
      </c>
      <c r="BE75">
        <v>6</v>
      </c>
      <c r="BF75">
        <f>IF(BF10="","",BF9)</f>
        <v>0</v>
      </c>
      <c r="BG75">
        <v>6</v>
      </c>
      <c r="BH75">
        <f>BH9</f>
        <v>0</v>
      </c>
      <c r="BI75">
        <v>6</v>
      </c>
      <c r="BJ75">
        <f>IF(BJ10="","",BJ9)</f>
        <v>0</v>
      </c>
      <c r="BK75">
        <v>6</v>
      </c>
      <c r="BL75">
        <f>BL9</f>
        <v>0</v>
      </c>
      <c r="BM75">
        <v>6</v>
      </c>
      <c r="BN75">
        <f>IF(BN10="","",BN9)</f>
        <v>0</v>
      </c>
      <c r="BO75">
        <v>6</v>
      </c>
      <c r="BP75">
        <f>BP9</f>
        <v>0</v>
      </c>
      <c r="BS75">
        <v>6</v>
      </c>
      <c r="BT75">
        <f>IF(BT10="","",BT9)</f>
        <v>0</v>
      </c>
      <c r="BU75">
        <v>6</v>
      </c>
      <c r="BV75">
        <f>BV9</f>
        <v>0</v>
      </c>
      <c r="BW75">
        <v>6</v>
      </c>
      <c r="BX75">
        <f>IF(BX10="","",BX9)</f>
        <v>0</v>
      </c>
      <c r="BY75">
        <v>6</v>
      </c>
      <c r="BZ75">
        <f>BZ9</f>
        <v>0</v>
      </c>
      <c r="CA75">
        <v>6</v>
      </c>
      <c r="CB75">
        <f>IF(CB10="","",CB9)</f>
        <v>0</v>
      </c>
      <c r="CC75">
        <v>6</v>
      </c>
      <c r="CD75">
        <f>CD9</f>
        <v>0</v>
      </c>
      <c r="CE75">
        <v>6</v>
      </c>
      <c r="CF75">
        <f>IF(CF10="","",CF9)</f>
        <v>0</v>
      </c>
      <c r="CG75">
        <v>6</v>
      </c>
      <c r="CH75">
        <f>CH9</f>
        <v>0</v>
      </c>
      <c r="CI75">
        <v>6</v>
      </c>
      <c r="CJ75">
        <f>IF(CJ10="","",CJ9)</f>
        <v>0</v>
      </c>
      <c r="CK75">
        <v>6</v>
      </c>
      <c r="CL75">
        <f>CL9</f>
        <v>0</v>
      </c>
      <c r="CM75">
        <v>6</v>
      </c>
      <c r="CN75">
        <f>IF(CN10="","",CN9)</f>
        <v>0</v>
      </c>
      <c r="CO75">
        <v>6</v>
      </c>
      <c r="CP75">
        <f>CP9</f>
        <v>0</v>
      </c>
      <c r="CQ75">
        <v>6</v>
      </c>
      <c r="CR75">
        <f>IF(CR10="","",CR9)</f>
        <v>0</v>
      </c>
      <c r="CS75">
        <v>6</v>
      </c>
      <c r="CT75">
        <f>CT9</f>
        <v>0</v>
      </c>
      <c r="CU75">
        <v>6</v>
      </c>
      <c r="CV75">
        <f>IF(CV10="","",CV9)</f>
        <v>0</v>
      </c>
      <c r="CW75">
        <v>6</v>
      </c>
      <c r="CX75">
        <f>CX9</f>
        <v>0</v>
      </c>
      <c r="CY75">
        <v>6</v>
      </c>
      <c r="CZ75">
        <f>IF(CZ10="","",CZ9)</f>
        <v>0</v>
      </c>
      <c r="DA75">
        <v>6</v>
      </c>
      <c r="DB75">
        <f>DB9</f>
        <v>0</v>
      </c>
      <c r="DC75">
        <v>6</v>
      </c>
      <c r="DD75">
        <f>IF(DD10="","",DD9)</f>
        <v>0</v>
      </c>
      <c r="DE75">
        <v>6</v>
      </c>
      <c r="DF75">
        <f>DF9</f>
        <v>0</v>
      </c>
      <c r="DG75">
        <v>6</v>
      </c>
      <c r="DH75">
        <f>IF(DH10="","",DH9)</f>
        <v>0</v>
      </c>
      <c r="DI75">
        <v>6</v>
      </c>
      <c r="DJ75">
        <f>DJ9</f>
        <v>0</v>
      </c>
      <c r="DK75">
        <v>6</v>
      </c>
      <c r="DL75">
        <f>IF(DL10="","",DL9)</f>
        <v>0</v>
      </c>
      <c r="DM75">
        <v>6</v>
      </c>
      <c r="DN75">
        <f>DN9</f>
        <v>0</v>
      </c>
      <c r="DO75">
        <v>6</v>
      </c>
      <c r="DP75">
        <f>IF(DP10="","",DP9)</f>
        <v>0</v>
      </c>
      <c r="DQ75">
        <v>6</v>
      </c>
      <c r="DR75">
        <f>DR9</f>
        <v>0</v>
      </c>
      <c r="DS75">
        <v>6</v>
      </c>
      <c r="DT75">
        <f>IF(DT10="","",DT9)</f>
        <v>0</v>
      </c>
      <c r="DU75">
        <v>6</v>
      </c>
      <c r="DV75">
        <f>DV9</f>
        <v>0</v>
      </c>
      <c r="DW75">
        <v>6</v>
      </c>
      <c r="DX75">
        <f>IF(DX10="","",DX9)</f>
        <v>0</v>
      </c>
      <c r="DY75">
        <v>6</v>
      </c>
      <c r="DZ75">
        <f>DZ9</f>
        <v>0</v>
      </c>
      <c r="EA75">
        <v>6</v>
      </c>
      <c r="EB75">
        <f>IF(EB10="","",EB9)</f>
        <v>0</v>
      </c>
      <c r="EC75">
        <v>6</v>
      </c>
      <c r="ED75">
        <f>ED9</f>
        <v>0</v>
      </c>
    </row>
    <row r="76" spans="5:200">
      <c r="E76">
        <v>7</v>
      </c>
      <c r="F76">
        <f>IF(F11="","",F10)</f>
        <v>0</v>
      </c>
      <c r="G76">
        <v>7</v>
      </c>
      <c r="H76">
        <f>H10</f>
        <v>0</v>
      </c>
      <c r="I76">
        <v>7</v>
      </c>
      <c r="J76">
        <f>IF(J11="","",J10)</f>
        <v>0</v>
      </c>
      <c r="K76">
        <v>7</v>
      </c>
      <c r="L76">
        <f>L10</f>
        <v>0</v>
      </c>
      <c r="M76">
        <v>7</v>
      </c>
      <c r="N76">
        <f>IF(N11="","",N10)</f>
        <v>0</v>
      </c>
      <c r="O76">
        <v>7</v>
      </c>
      <c r="P76">
        <f>P10</f>
        <v>0</v>
      </c>
      <c r="Q76">
        <v>7</v>
      </c>
      <c r="R76">
        <f>IF(R11="","",R10)</f>
        <v>0</v>
      </c>
      <c r="S76">
        <v>7</v>
      </c>
      <c r="T76">
        <f>T10</f>
        <v>0</v>
      </c>
      <c r="U76">
        <v>7</v>
      </c>
      <c r="V76">
        <f>IF(V11="","",V10)</f>
        <v>0</v>
      </c>
      <c r="W76">
        <v>7</v>
      </c>
      <c r="X76">
        <f>X10</f>
        <v>0</v>
      </c>
      <c r="Y76">
        <v>7</v>
      </c>
      <c r="Z76">
        <f>IF(Z11="","",Z10)</f>
        <v>0</v>
      </c>
      <c r="AA76">
        <v>7</v>
      </c>
      <c r="AB76">
        <f>AB10</f>
        <v>0</v>
      </c>
      <c r="AC76">
        <v>7</v>
      </c>
      <c r="AD76">
        <f>IF(AD11="","",AD10)</f>
        <v>0</v>
      </c>
      <c r="AE76">
        <v>7</v>
      </c>
      <c r="AF76">
        <f>AF10</f>
        <v>0</v>
      </c>
      <c r="AG76">
        <v>7</v>
      </c>
      <c r="AH76">
        <f>IF(AH11="","",AH10)</f>
        <v>0</v>
      </c>
      <c r="AI76">
        <v>7</v>
      </c>
      <c r="AJ76">
        <f>AJ10</f>
        <v>0</v>
      </c>
      <c r="AK76">
        <v>7</v>
      </c>
      <c r="AL76">
        <f>IF(AL11="","",AL10)</f>
        <v>0</v>
      </c>
      <c r="AM76">
        <v>7</v>
      </c>
      <c r="AN76">
        <f>AN10</f>
        <v>0</v>
      </c>
      <c r="AO76">
        <v>7</v>
      </c>
      <c r="AP76">
        <f>IF(AP11="","",AP10)</f>
        <v>0</v>
      </c>
      <c r="AQ76">
        <v>7</v>
      </c>
      <c r="AR76">
        <f>AR10</f>
        <v>0</v>
      </c>
      <c r="AS76">
        <v>7</v>
      </c>
      <c r="AT76">
        <f>IF(AT11="","",AT10)</f>
        <v>0</v>
      </c>
      <c r="AU76">
        <v>7</v>
      </c>
      <c r="AV76">
        <f>AV10</f>
        <v>0</v>
      </c>
      <c r="AW76">
        <v>7</v>
      </c>
      <c r="AX76">
        <f>IF(AX11="","",AX10)</f>
        <v>0</v>
      </c>
      <c r="AY76">
        <v>7</v>
      </c>
      <c r="AZ76">
        <f>AZ10</f>
        <v>0</v>
      </c>
      <c r="BA76">
        <v>7</v>
      </c>
      <c r="BB76">
        <f>IF(BB11="","",BB10)</f>
        <v>0</v>
      </c>
      <c r="BC76">
        <v>7</v>
      </c>
      <c r="BD76">
        <f>BD10</f>
        <v>0</v>
      </c>
      <c r="BE76">
        <v>7</v>
      </c>
      <c r="BF76">
        <f>IF(BF11="","",BF10)</f>
        <v>0</v>
      </c>
      <c r="BG76">
        <v>7</v>
      </c>
      <c r="BH76">
        <f>BH10</f>
        <v>0</v>
      </c>
      <c r="BI76">
        <v>7</v>
      </c>
      <c r="BJ76">
        <f>IF(BJ11="","",BJ10)</f>
        <v>0</v>
      </c>
      <c r="BK76">
        <v>7</v>
      </c>
      <c r="BL76">
        <f>BL10</f>
        <v>0</v>
      </c>
      <c r="BM76">
        <v>7</v>
      </c>
      <c r="BN76">
        <f>IF(BN11="","",BN10)</f>
        <v>0</v>
      </c>
      <c r="BO76">
        <v>7</v>
      </c>
      <c r="BP76">
        <f>BP10</f>
        <v>0</v>
      </c>
      <c r="BS76">
        <v>7</v>
      </c>
      <c r="BT76">
        <f>IF(BT11="","",BT10)</f>
        <v>0</v>
      </c>
      <c r="BU76">
        <v>7</v>
      </c>
      <c r="BV76">
        <f>BV10</f>
        <v>0</v>
      </c>
      <c r="BW76">
        <v>7</v>
      </c>
      <c r="BX76">
        <f>IF(BX11="","",BX10)</f>
        <v>0</v>
      </c>
      <c r="BY76">
        <v>7</v>
      </c>
      <c r="BZ76">
        <f>BZ10</f>
        <v>0</v>
      </c>
      <c r="CA76">
        <v>7</v>
      </c>
      <c r="CB76">
        <f>IF(CB11="","",CB10)</f>
        <v>0</v>
      </c>
      <c r="CC76">
        <v>7</v>
      </c>
      <c r="CD76">
        <f>CD10</f>
        <v>0</v>
      </c>
      <c r="CE76">
        <v>7</v>
      </c>
      <c r="CF76">
        <f>IF(CF11="","",CF10)</f>
        <v>0</v>
      </c>
      <c r="CG76">
        <v>7</v>
      </c>
      <c r="CH76">
        <f>CH10</f>
        <v>0</v>
      </c>
      <c r="CI76">
        <v>7</v>
      </c>
      <c r="CJ76">
        <f>IF(CJ11="","",CJ10)</f>
        <v>0</v>
      </c>
      <c r="CK76">
        <v>7</v>
      </c>
      <c r="CL76">
        <f>CL10</f>
        <v>0</v>
      </c>
      <c r="CM76">
        <v>7</v>
      </c>
      <c r="CN76">
        <f>IF(CN11="","",CN10)</f>
        <v>0</v>
      </c>
      <c r="CO76">
        <v>7</v>
      </c>
      <c r="CP76">
        <f>CP10</f>
        <v>0</v>
      </c>
      <c r="CQ76">
        <v>7</v>
      </c>
      <c r="CR76">
        <f>IF(CR11="","",CR10)</f>
        <v>0</v>
      </c>
      <c r="CS76">
        <v>7</v>
      </c>
      <c r="CT76">
        <f>CT10</f>
        <v>0</v>
      </c>
      <c r="CU76">
        <v>7</v>
      </c>
      <c r="CV76">
        <f>IF(CV11="","",CV10)</f>
        <v>0</v>
      </c>
      <c r="CW76">
        <v>7</v>
      </c>
      <c r="CX76">
        <f>CX10</f>
        <v>0</v>
      </c>
      <c r="CY76">
        <v>7</v>
      </c>
      <c r="CZ76">
        <f>IF(CZ11="","",CZ10)</f>
        <v>0</v>
      </c>
      <c r="DA76">
        <v>7</v>
      </c>
      <c r="DB76">
        <f>DB10</f>
        <v>0</v>
      </c>
      <c r="DC76">
        <v>7</v>
      </c>
      <c r="DD76">
        <f>IF(DD11="","",DD10)</f>
        <v>0</v>
      </c>
      <c r="DE76">
        <v>7</v>
      </c>
      <c r="DF76">
        <f>DF10</f>
        <v>0</v>
      </c>
      <c r="DG76">
        <v>7</v>
      </c>
      <c r="DH76">
        <f>IF(DH11="","",DH10)</f>
        <v>0</v>
      </c>
      <c r="DI76">
        <v>7</v>
      </c>
      <c r="DJ76">
        <f>DJ10</f>
        <v>0</v>
      </c>
      <c r="DK76">
        <v>7</v>
      </c>
      <c r="DL76">
        <f>IF(DL11="","",DL10)</f>
        <v>0</v>
      </c>
      <c r="DM76">
        <v>7</v>
      </c>
      <c r="DN76">
        <f>DN10</f>
        <v>0</v>
      </c>
      <c r="DO76">
        <v>7</v>
      </c>
      <c r="DP76">
        <f>IF(DP11="","",DP10)</f>
        <v>0</v>
      </c>
      <c r="DQ76">
        <v>7</v>
      </c>
      <c r="DR76">
        <f>DR10</f>
        <v>0</v>
      </c>
      <c r="DS76">
        <v>7</v>
      </c>
      <c r="DT76">
        <f>IF(DT11="","",DT10)</f>
        <v>0</v>
      </c>
      <c r="DU76">
        <v>7</v>
      </c>
      <c r="DV76">
        <f>DV10</f>
        <v>0</v>
      </c>
      <c r="DW76">
        <v>7</v>
      </c>
      <c r="DX76">
        <f>IF(DX11="","",DX10)</f>
        <v>0</v>
      </c>
      <c r="DY76">
        <v>7</v>
      </c>
      <c r="DZ76">
        <f>DZ10</f>
        <v>0</v>
      </c>
      <c r="EA76">
        <v>7</v>
      </c>
      <c r="EB76">
        <f>IF(EB11="","",EB10)</f>
        <v>0</v>
      </c>
      <c r="EC76">
        <v>7</v>
      </c>
      <c r="ED76">
        <f>ED10</f>
        <v>0</v>
      </c>
    </row>
    <row r="77" spans="5:200">
      <c r="E77">
        <v>8</v>
      </c>
      <c r="F77">
        <f>IF(F12="","",F11)</f>
        <v>0</v>
      </c>
      <c r="G77">
        <v>8</v>
      </c>
      <c r="H77">
        <f>H11</f>
        <v>0</v>
      </c>
      <c r="I77">
        <v>8</v>
      </c>
      <c r="J77">
        <f>IF(J12="","",J11)</f>
        <v>0</v>
      </c>
      <c r="K77">
        <v>8</v>
      </c>
      <c r="L77">
        <f>L11</f>
        <v>0</v>
      </c>
      <c r="M77">
        <v>8</v>
      </c>
      <c r="N77">
        <f>IF(N12="","",N11)</f>
        <v>0</v>
      </c>
      <c r="O77">
        <v>8</v>
      </c>
      <c r="P77">
        <f>P11</f>
        <v>0</v>
      </c>
      <c r="Q77">
        <v>8</v>
      </c>
      <c r="R77">
        <f>IF(R12="","",R11)</f>
        <v>0</v>
      </c>
      <c r="S77">
        <v>8</v>
      </c>
      <c r="T77">
        <f>T11</f>
        <v>0</v>
      </c>
      <c r="U77">
        <v>8</v>
      </c>
      <c r="V77">
        <f>IF(V12="","",V11)</f>
        <v>0</v>
      </c>
      <c r="W77">
        <v>8</v>
      </c>
      <c r="X77">
        <f>X11</f>
        <v>0</v>
      </c>
      <c r="Y77">
        <v>8</v>
      </c>
      <c r="Z77">
        <f>IF(Z12="","",Z11)</f>
        <v>0</v>
      </c>
      <c r="AA77">
        <v>8</v>
      </c>
      <c r="AB77">
        <f>AB11</f>
        <v>0</v>
      </c>
      <c r="AC77">
        <v>8</v>
      </c>
      <c r="AD77">
        <f>IF(AD12="","",AD11)</f>
        <v>0</v>
      </c>
      <c r="AE77">
        <v>8</v>
      </c>
      <c r="AF77">
        <f>AF11</f>
        <v>0</v>
      </c>
      <c r="AG77">
        <v>8</v>
      </c>
      <c r="AH77">
        <f>IF(AH12="","",AH11)</f>
        <v>0</v>
      </c>
      <c r="AI77">
        <v>8</v>
      </c>
      <c r="AJ77">
        <f>AJ11</f>
        <v>0</v>
      </c>
      <c r="AK77">
        <v>8</v>
      </c>
      <c r="AL77">
        <f>IF(AL12="","",AL11)</f>
        <v>0</v>
      </c>
      <c r="AM77">
        <v>8</v>
      </c>
      <c r="AN77">
        <f>AN11</f>
        <v>0</v>
      </c>
      <c r="AO77">
        <v>8</v>
      </c>
      <c r="AP77">
        <f>IF(AP12="","",AP11)</f>
        <v>0</v>
      </c>
      <c r="AQ77">
        <v>8</v>
      </c>
      <c r="AR77">
        <f>AR11</f>
        <v>0</v>
      </c>
      <c r="AS77">
        <v>8</v>
      </c>
      <c r="AT77">
        <f>IF(AT12="","",AT11)</f>
        <v>0</v>
      </c>
      <c r="AU77">
        <v>8</v>
      </c>
      <c r="AV77">
        <f>AV11</f>
        <v>0</v>
      </c>
      <c r="AW77">
        <v>8</v>
      </c>
      <c r="AX77">
        <f>IF(AX12="","",AX11)</f>
        <v>0</v>
      </c>
      <c r="AY77">
        <v>8</v>
      </c>
      <c r="AZ77">
        <f>AZ11</f>
        <v>0</v>
      </c>
      <c r="BA77">
        <v>8</v>
      </c>
      <c r="BB77">
        <f>IF(BB12="","",BB11)</f>
        <v>0</v>
      </c>
      <c r="BC77">
        <v>8</v>
      </c>
      <c r="BD77">
        <f>BD11</f>
        <v>0</v>
      </c>
      <c r="BE77">
        <v>8</v>
      </c>
      <c r="BF77">
        <f>IF(BF12="","",BF11)</f>
        <v>0</v>
      </c>
      <c r="BG77">
        <v>8</v>
      </c>
      <c r="BH77">
        <f>BH11</f>
        <v>0</v>
      </c>
      <c r="BI77">
        <v>8</v>
      </c>
      <c r="BJ77">
        <f>IF(BJ12="","",BJ11)</f>
        <v>0</v>
      </c>
      <c r="BK77">
        <v>8</v>
      </c>
      <c r="BL77">
        <f>BL11</f>
        <v>0</v>
      </c>
      <c r="BM77">
        <v>8</v>
      </c>
      <c r="BN77">
        <f>IF(BN12="","",BN11)</f>
        <v>0</v>
      </c>
      <c r="BO77">
        <v>8</v>
      </c>
      <c r="BP77">
        <f>BP11</f>
        <v>0</v>
      </c>
      <c r="BS77">
        <v>8</v>
      </c>
      <c r="BT77">
        <f>IF(BT12="","",BT11)</f>
        <v>0</v>
      </c>
      <c r="BU77">
        <v>8</v>
      </c>
      <c r="BV77">
        <f>BV11</f>
        <v>0</v>
      </c>
      <c r="BW77">
        <v>8</v>
      </c>
      <c r="BX77">
        <f>IF(BX12="","",BX11)</f>
        <v>0</v>
      </c>
      <c r="BY77">
        <v>8</v>
      </c>
      <c r="BZ77">
        <f>BZ11</f>
        <v>0</v>
      </c>
      <c r="CA77">
        <v>8</v>
      </c>
      <c r="CB77">
        <f>IF(CB12="","",CB11)</f>
        <v>0</v>
      </c>
      <c r="CC77">
        <v>8</v>
      </c>
      <c r="CD77">
        <f>CD11</f>
        <v>0</v>
      </c>
      <c r="CE77">
        <v>8</v>
      </c>
      <c r="CF77">
        <f>IF(CF12="","",CF11)</f>
        <v>0</v>
      </c>
      <c r="CG77">
        <v>8</v>
      </c>
      <c r="CH77">
        <f>CH11</f>
        <v>0</v>
      </c>
      <c r="CI77">
        <v>8</v>
      </c>
      <c r="CJ77">
        <f>IF(CJ12="","",CJ11)</f>
        <v>0</v>
      </c>
      <c r="CK77">
        <v>8</v>
      </c>
      <c r="CL77">
        <f>CL11</f>
        <v>0</v>
      </c>
      <c r="CM77">
        <v>8</v>
      </c>
      <c r="CN77">
        <f>IF(CN12="","",CN11)</f>
        <v>0</v>
      </c>
      <c r="CO77">
        <v>8</v>
      </c>
      <c r="CP77">
        <f>CP11</f>
        <v>0</v>
      </c>
      <c r="CQ77">
        <v>8</v>
      </c>
      <c r="CR77">
        <f>IF(CR12="","",CR11)</f>
        <v>0</v>
      </c>
      <c r="CS77">
        <v>8</v>
      </c>
      <c r="CT77">
        <f>CT11</f>
        <v>0</v>
      </c>
      <c r="CU77">
        <v>8</v>
      </c>
      <c r="CV77">
        <f>IF(CV12="","",CV11)</f>
        <v>0</v>
      </c>
      <c r="CW77">
        <v>8</v>
      </c>
      <c r="CX77">
        <f>CX11</f>
        <v>0</v>
      </c>
      <c r="CY77">
        <v>8</v>
      </c>
      <c r="CZ77">
        <f>IF(CZ12="","",CZ11)</f>
        <v>0</v>
      </c>
      <c r="DA77">
        <v>8</v>
      </c>
      <c r="DB77">
        <f>DB11</f>
        <v>0</v>
      </c>
      <c r="DC77">
        <v>8</v>
      </c>
      <c r="DD77">
        <f>IF(DD12="","",DD11)</f>
        <v>0</v>
      </c>
      <c r="DE77">
        <v>8</v>
      </c>
      <c r="DF77">
        <f>DF11</f>
        <v>0</v>
      </c>
      <c r="DG77">
        <v>8</v>
      </c>
      <c r="DH77">
        <f>IF(DH12="","",DH11)</f>
        <v>0</v>
      </c>
      <c r="DI77">
        <v>8</v>
      </c>
      <c r="DJ77">
        <f>DJ11</f>
        <v>0</v>
      </c>
      <c r="DK77">
        <v>8</v>
      </c>
      <c r="DL77">
        <f>IF(DL12="","",DL11)</f>
        <v>0</v>
      </c>
      <c r="DM77">
        <v>8</v>
      </c>
      <c r="DN77">
        <f>DN11</f>
        <v>0</v>
      </c>
      <c r="DO77">
        <v>8</v>
      </c>
      <c r="DP77">
        <f>IF(DP12="","",DP11)</f>
        <v>0</v>
      </c>
      <c r="DQ77">
        <v>8</v>
      </c>
      <c r="DR77">
        <f>DR11</f>
        <v>0</v>
      </c>
      <c r="DS77">
        <v>8</v>
      </c>
      <c r="DT77">
        <f>IF(DT12="","",DT11)</f>
        <v>0</v>
      </c>
      <c r="DU77">
        <v>8</v>
      </c>
      <c r="DV77">
        <f>DV11</f>
        <v>0</v>
      </c>
      <c r="DW77">
        <v>8</v>
      </c>
      <c r="DX77">
        <f>IF(DX12="","",DX11)</f>
        <v>0</v>
      </c>
      <c r="DY77">
        <v>8</v>
      </c>
      <c r="DZ77">
        <f>DZ11</f>
        <v>0</v>
      </c>
      <c r="EA77">
        <v>8</v>
      </c>
      <c r="EB77">
        <f>IF(EB12="","",EB11)</f>
        <v>0</v>
      </c>
      <c r="EC77">
        <v>8</v>
      </c>
      <c r="ED77">
        <f>ED11</f>
        <v>0</v>
      </c>
    </row>
    <row r="78" spans="5:200">
      <c r="E78">
        <v>9</v>
      </c>
      <c r="F78">
        <f>IF(F13="","",F12)</f>
        <v>0</v>
      </c>
      <c r="G78">
        <v>9</v>
      </c>
      <c r="H78">
        <f>H12</f>
        <v>0</v>
      </c>
      <c r="I78">
        <v>9</v>
      </c>
      <c r="J78">
        <f>IF(J13="","",J12)</f>
        <v>0</v>
      </c>
      <c r="K78">
        <v>9</v>
      </c>
      <c r="L78">
        <f>L12</f>
        <v>0</v>
      </c>
      <c r="M78">
        <v>9</v>
      </c>
      <c r="N78">
        <f>IF(N13="","",N12)</f>
        <v>0</v>
      </c>
      <c r="O78">
        <v>9</v>
      </c>
      <c r="P78">
        <f>P12</f>
        <v>0</v>
      </c>
      <c r="Q78">
        <v>9</v>
      </c>
      <c r="R78">
        <f>IF(R13="","",R12)</f>
        <v>0</v>
      </c>
      <c r="S78">
        <v>9</v>
      </c>
      <c r="T78">
        <f>T12</f>
        <v>0</v>
      </c>
      <c r="U78">
        <v>9</v>
      </c>
      <c r="V78">
        <f>IF(V13="","",V12)</f>
        <v>0</v>
      </c>
      <c r="W78">
        <v>9</v>
      </c>
      <c r="X78">
        <f>X12</f>
        <v>0</v>
      </c>
      <c r="Y78">
        <v>9</v>
      </c>
      <c r="Z78">
        <f>IF(Z13="","",Z12)</f>
        <v>0</v>
      </c>
      <c r="AA78">
        <v>9</v>
      </c>
      <c r="AB78">
        <f>AB12</f>
        <v>0</v>
      </c>
      <c r="AC78">
        <v>9</v>
      </c>
      <c r="AD78">
        <f>IF(AD13="","",AD12)</f>
        <v>0</v>
      </c>
      <c r="AE78">
        <v>9</v>
      </c>
      <c r="AF78">
        <f>AF12</f>
        <v>0</v>
      </c>
      <c r="AG78">
        <v>9</v>
      </c>
      <c r="AH78">
        <f>IF(AH13="","",AH12)</f>
        <v>0</v>
      </c>
      <c r="AI78">
        <v>9</v>
      </c>
      <c r="AJ78">
        <f>AJ12</f>
        <v>0</v>
      </c>
      <c r="AK78">
        <v>9</v>
      </c>
      <c r="AL78">
        <f>IF(AL13="","",AL12)</f>
        <v>0</v>
      </c>
      <c r="AM78">
        <v>9</v>
      </c>
      <c r="AN78">
        <f>AN12</f>
        <v>0</v>
      </c>
      <c r="AO78">
        <v>9</v>
      </c>
      <c r="AP78">
        <f>IF(AP13="","",AP12)</f>
        <v>0</v>
      </c>
      <c r="AQ78">
        <v>9</v>
      </c>
      <c r="AR78">
        <f>AR12</f>
        <v>0</v>
      </c>
      <c r="AS78">
        <v>9</v>
      </c>
      <c r="AT78">
        <f>IF(AT13="","",AT12)</f>
        <v>0</v>
      </c>
      <c r="AU78">
        <v>9</v>
      </c>
      <c r="AV78">
        <f>AV12</f>
        <v>0</v>
      </c>
      <c r="AW78">
        <v>9</v>
      </c>
      <c r="AX78">
        <f>IF(AX13="","",AX12)</f>
        <v>0</v>
      </c>
      <c r="AY78">
        <v>9</v>
      </c>
      <c r="AZ78">
        <f>AZ12</f>
        <v>0</v>
      </c>
      <c r="BA78">
        <v>9</v>
      </c>
      <c r="BB78">
        <f>IF(BB13="","",BB12)</f>
        <v>0</v>
      </c>
      <c r="BC78">
        <v>9</v>
      </c>
      <c r="BD78">
        <f>BD12</f>
        <v>0</v>
      </c>
      <c r="BE78">
        <v>9</v>
      </c>
      <c r="BF78">
        <f>IF(BF13="","",BF12)</f>
        <v>0</v>
      </c>
      <c r="BG78">
        <v>9</v>
      </c>
      <c r="BH78">
        <f>BH12</f>
        <v>0</v>
      </c>
      <c r="BI78">
        <v>9</v>
      </c>
      <c r="BJ78">
        <f>IF(BJ13="","",BJ12)</f>
        <v>0</v>
      </c>
      <c r="BK78">
        <v>9</v>
      </c>
      <c r="BL78">
        <f>BL12</f>
        <v>0</v>
      </c>
      <c r="BM78">
        <v>9</v>
      </c>
      <c r="BN78">
        <f>IF(BN13="","",BN12)</f>
        <v>0</v>
      </c>
      <c r="BO78">
        <v>9</v>
      </c>
      <c r="BP78">
        <f>BP12</f>
        <v>0</v>
      </c>
      <c r="BS78">
        <v>9</v>
      </c>
      <c r="BT78">
        <f>IF(BT13="","",BT12)</f>
        <v>0</v>
      </c>
      <c r="BU78">
        <v>9</v>
      </c>
      <c r="BV78">
        <f>BV12</f>
        <v>0</v>
      </c>
      <c r="BW78">
        <v>9</v>
      </c>
      <c r="BX78">
        <f>IF(BX13="","",BX12)</f>
        <v>0</v>
      </c>
      <c r="BY78">
        <v>9</v>
      </c>
      <c r="BZ78">
        <f>BZ12</f>
        <v>0</v>
      </c>
      <c r="CA78">
        <v>9</v>
      </c>
      <c r="CB78">
        <f>IF(CB13="","",CB12)</f>
        <v>0</v>
      </c>
      <c r="CC78">
        <v>9</v>
      </c>
      <c r="CD78">
        <f>CD12</f>
        <v>0</v>
      </c>
      <c r="CE78">
        <v>9</v>
      </c>
      <c r="CF78">
        <f>IF(CF13="","",CF12)</f>
        <v>0</v>
      </c>
      <c r="CG78">
        <v>9</v>
      </c>
      <c r="CH78">
        <f>CH12</f>
        <v>0</v>
      </c>
      <c r="CI78">
        <v>9</v>
      </c>
      <c r="CJ78">
        <f>IF(CJ13="","",CJ12)</f>
        <v>0</v>
      </c>
      <c r="CK78">
        <v>9</v>
      </c>
      <c r="CL78">
        <f>CL12</f>
        <v>0</v>
      </c>
      <c r="CM78">
        <v>9</v>
      </c>
      <c r="CN78">
        <f>IF(CN13="","",CN12)</f>
        <v>0</v>
      </c>
      <c r="CO78">
        <v>9</v>
      </c>
      <c r="CP78">
        <f>CP12</f>
        <v>0</v>
      </c>
      <c r="CQ78">
        <v>9</v>
      </c>
      <c r="CR78">
        <f>IF(CR13="","",CR12)</f>
        <v>0</v>
      </c>
      <c r="CS78">
        <v>9</v>
      </c>
      <c r="CT78">
        <f>CT12</f>
        <v>0</v>
      </c>
      <c r="CU78">
        <v>9</v>
      </c>
      <c r="CV78">
        <f>IF(CV13="","",CV12)</f>
        <v>0</v>
      </c>
      <c r="CW78">
        <v>9</v>
      </c>
      <c r="CX78">
        <f>CX12</f>
        <v>0</v>
      </c>
      <c r="CY78">
        <v>9</v>
      </c>
      <c r="CZ78">
        <f>IF(CZ13="","",CZ12)</f>
        <v>0</v>
      </c>
      <c r="DA78">
        <v>9</v>
      </c>
      <c r="DB78">
        <f>DB12</f>
        <v>0</v>
      </c>
      <c r="DC78">
        <v>9</v>
      </c>
      <c r="DD78">
        <f>IF(DD13="","",DD12)</f>
        <v>0</v>
      </c>
      <c r="DE78">
        <v>9</v>
      </c>
      <c r="DF78">
        <f>DF12</f>
        <v>0</v>
      </c>
      <c r="DG78">
        <v>9</v>
      </c>
      <c r="DH78">
        <f>IF(DH13="","",DH12)</f>
        <v>0</v>
      </c>
      <c r="DI78">
        <v>9</v>
      </c>
      <c r="DJ78">
        <f>DJ12</f>
        <v>0</v>
      </c>
      <c r="DK78">
        <v>9</v>
      </c>
      <c r="DL78">
        <f>IF(DL13="","",DL12)</f>
        <v>0</v>
      </c>
      <c r="DM78">
        <v>9</v>
      </c>
      <c r="DN78">
        <f>DN12</f>
        <v>0</v>
      </c>
      <c r="DO78">
        <v>9</v>
      </c>
      <c r="DP78">
        <f>IF(DP13="","",DP12)</f>
        <v>0</v>
      </c>
      <c r="DQ78">
        <v>9</v>
      </c>
      <c r="DR78">
        <f>DR12</f>
        <v>0</v>
      </c>
      <c r="DS78">
        <v>9</v>
      </c>
      <c r="DT78">
        <f>IF(DT13="","",DT12)</f>
        <v>0</v>
      </c>
      <c r="DU78">
        <v>9</v>
      </c>
      <c r="DV78">
        <f>DV12</f>
        <v>0</v>
      </c>
      <c r="DW78">
        <v>9</v>
      </c>
      <c r="DX78">
        <f>IF(DX13="","",DX12)</f>
        <v>0</v>
      </c>
      <c r="DY78">
        <v>9</v>
      </c>
      <c r="DZ78">
        <f>DZ12</f>
        <v>0</v>
      </c>
      <c r="EA78">
        <v>9</v>
      </c>
      <c r="EB78">
        <f>IF(EB13="","",EB12)</f>
        <v>0</v>
      </c>
      <c r="EC78">
        <v>9</v>
      </c>
      <c r="ED78">
        <f>ED12</f>
        <v>0</v>
      </c>
    </row>
    <row r="79" spans="5:200">
      <c r="E79">
        <v>10</v>
      </c>
      <c r="F79">
        <f>IF(F14="","",F13)</f>
        <v>0</v>
      </c>
      <c r="G79">
        <v>10</v>
      </c>
      <c r="H79">
        <f>H13</f>
        <v>0</v>
      </c>
      <c r="I79">
        <v>10</v>
      </c>
      <c r="J79">
        <f>IF(J14="","",J13)</f>
        <v>0</v>
      </c>
      <c r="K79">
        <v>10</v>
      </c>
      <c r="L79">
        <f>L13</f>
        <v>0</v>
      </c>
      <c r="M79">
        <v>10</v>
      </c>
      <c r="N79">
        <f>IF(N14="","",N13)</f>
        <v>0</v>
      </c>
      <c r="O79">
        <v>10</v>
      </c>
      <c r="P79">
        <f>P13</f>
        <v>0</v>
      </c>
      <c r="Q79">
        <v>10</v>
      </c>
      <c r="R79">
        <f>IF(R14="","",R13)</f>
        <v>0</v>
      </c>
      <c r="S79">
        <v>10</v>
      </c>
      <c r="T79">
        <f>T13</f>
        <v>0</v>
      </c>
      <c r="U79">
        <v>10</v>
      </c>
      <c r="V79">
        <f>IF(V14="","",V13)</f>
        <v>0</v>
      </c>
      <c r="W79">
        <v>10</v>
      </c>
      <c r="X79">
        <f>X13</f>
        <v>0</v>
      </c>
      <c r="Y79">
        <v>10</v>
      </c>
      <c r="Z79">
        <f>IF(Z14="","",Z13)</f>
        <v>0</v>
      </c>
      <c r="AA79">
        <v>10</v>
      </c>
      <c r="AB79">
        <f>AB13</f>
        <v>0</v>
      </c>
      <c r="AC79">
        <v>10</v>
      </c>
      <c r="AD79">
        <f>IF(AD14="","",AD13)</f>
        <v>0</v>
      </c>
      <c r="AE79">
        <v>10</v>
      </c>
      <c r="AF79">
        <f>AF13</f>
        <v>0</v>
      </c>
      <c r="AG79">
        <v>10</v>
      </c>
      <c r="AH79">
        <f>IF(AH14="","",AH13)</f>
        <v>0</v>
      </c>
      <c r="AI79">
        <v>10</v>
      </c>
      <c r="AJ79">
        <f>AJ13</f>
        <v>0</v>
      </c>
      <c r="AK79">
        <v>10</v>
      </c>
      <c r="AL79">
        <f>IF(AL14="","",AL13)</f>
        <v>0</v>
      </c>
      <c r="AM79">
        <v>10</v>
      </c>
      <c r="AN79">
        <f>AN13</f>
        <v>0</v>
      </c>
      <c r="AO79">
        <v>10</v>
      </c>
      <c r="AP79">
        <f>IF(AP14="","",AP13)</f>
        <v>0</v>
      </c>
      <c r="AQ79">
        <v>10</v>
      </c>
      <c r="AR79">
        <f>AR13</f>
        <v>0</v>
      </c>
      <c r="AS79">
        <v>10</v>
      </c>
      <c r="AT79">
        <f>IF(AT14="","",AT13)</f>
        <v>0</v>
      </c>
      <c r="AU79">
        <v>10</v>
      </c>
      <c r="AV79">
        <f>AV13</f>
        <v>0</v>
      </c>
      <c r="AW79">
        <v>10</v>
      </c>
      <c r="AX79">
        <f>IF(AX14="","",AX13)</f>
        <v>0</v>
      </c>
      <c r="AY79">
        <v>10</v>
      </c>
      <c r="AZ79">
        <f>AZ13</f>
        <v>0</v>
      </c>
      <c r="BA79">
        <v>10</v>
      </c>
      <c r="BB79">
        <f>IF(BB14="","",BB13)</f>
        <v>0</v>
      </c>
      <c r="BC79">
        <v>10</v>
      </c>
      <c r="BD79">
        <f>BD13</f>
        <v>0</v>
      </c>
      <c r="BE79">
        <v>10</v>
      </c>
      <c r="BF79">
        <f>IF(BF14="","",BF13)</f>
        <v>0</v>
      </c>
      <c r="BG79">
        <v>10</v>
      </c>
      <c r="BH79">
        <f>BH13</f>
        <v>0</v>
      </c>
      <c r="BI79">
        <v>10</v>
      </c>
      <c r="BJ79">
        <f>IF(BJ14="","",BJ13)</f>
        <v>0</v>
      </c>
      <c r="BK79">
        <v>10</v>
      </c>
      <c r="BL79">
        <f>BL13</f>
        <v>0</v>
      </c>
      <c r="BM79">
        <v>10</v>
      </c>
      <c r="BN79">
        <f>IF(BN14="","",BN13)</f>
        <v>0</v>
      </c>
      <c r="BO79">
        <v>10</v>
      </c>
      <c r="BP79">
        <f>BP13</f>
        <v>0</v>
      </c>
      <c r="BS79">
        <v>10</v>
      </c>
      <c r="BT79">
        <f>IF(BT14="","",BT13)</f>
        <v>0</v>
      </c>
      <c r="BU79">
        <v>10</v>
      </c>
      <c r="BV79">
        <f>BV13</f>
        <v>0</v>
      </c>
      <c r="BW79">
        <v>10</v>
      </c>
      <c r="BX79">
        <f>IF(BX14="","",BX13)</f>
        <v>0</v>
      </c>
      <c r="BY79">
        <v>10</v>
      </c>
      <c r="BZ79">
        <f>BZ13</f>
        <v>0</v>
      </c>
      <c r="CA79">
        <v>10</v>
      </c>
      <c r="CB79">
        <f>IF(CB14="","",CB13)</f>
        <v>0</v>
      </c>
      <c r="CC79">
        <v>10</v>
      </c>
      <c r="CD79">
        <f>CD13</f>
        <v>0</v>
      </c>
      <c r="CE79">
        <v>10</v>
      </c>
      <c r="CF79">
        <f>IF(CF14="","",CF13)</f>
        <v>0</v>
      </c>
      <c r="CG79">
        <v>10</v>
      </c>
      <c r="CH79">
        <f>CH13</f>
        <v>0</v>
      </c>
      <c r="CI79">
        <v>10</v>
      </c>
      <c r="CJ79">
        <f>IF(CJ14="","",CJ13)</f>
        <v>0</v>
      </c>
      <c r="CK79">
        <v>10</v>
      </c>
      <c r="CL79">
        <f>CL13</f>
        <v>0</v>
      </c>
      <c r="CM79">
        <v>10</v>
      </c>
      <c r="CN79">
        <f>IF(CN14="","",CN13)</f>
        <v>0</v>
      </c>
      <c r="CO79">
        <v>10</v>
      </c>
      <c r="CP79">
        <f>CP13</f>
        <v>0</v>
      </c>
      <c r="CQ79">
        <v>10</v>
      </c>
      <c r="CR79">
        <f>IF(CR14="","",CR13)</f>
        <v>0</v>
      </c>
      <c r="CS79">
        <v>10</v>
      </c>
      <c r="CT79">
        <f>CT13</f>
        <v>0</v>
      </c>
      <c r="CU79">
        <v>10</v>
      </c>
      <c r="CV79">
        <f>IF(CV14="","",CV13)</f>
        <v>0</v>
      </c>
      <c r="CW79">
        <v>10</v>
      </c>
      <c r="CX79">
        <f>CX13</f>
        <v>0</v>
      </c>
      <c r="CY79">
        <v>10</v>
      </c>
      <c r="CZ79">
        <f>IF(CZ14="","",CZ13)</f>
        <v>0</v>
      </c>
      <c r="DA79">
        <v>10</v>
      </c>
      <c r="DB79">
        <f>DB13</f>
        <v>0</v>
      </c>
      <c r="DC79">
        <v>10</v>
      </c>
      <c r="DD79">
        <f>IF(DD14="","",DD13)</f>
        <v>0</v>
      </c>
      <c r="DE79">
        <v>10</v>
      </c>
      <c r="DF79">
        <f>DF13</f>
        <v>0</v>
      </c>
      <c r="DG79">
        <v>10</v>
      </c>
      <c r="DH79">
        <f>IF(DH14="","",DH13)</f>
        <v>0</v>
      </c>
      <c r="DI79">
        <v>10</v>
      </c>
      <c r="DJ79">
        <f>DJ13</f>
        <v>0</v>
      </c>
      <c r="DK79">
        <v>10</v>
      </c>
      <c r="DL79">
        <f>IF(DL14="","",DL13)</f>
        <v>0</v>
      </c>
      <c r="DM79">
        <v>10</v>
      </c>
      <c r="DN79">
        <f>DN13</f>
        <v>0</v>
      </c>
      <c r="DO79">
        <v>10</v>
      </c>
      <c r="DP79">
        <f>IF(DP14="","",DP13)</f>
        <v>0</v>
      </c>
      <c r="DQ79">
        <v>10</v>
      </c>
      <c r="DR79">
        <f>DR13</f>
        <v>0</v>
      </c>
      <c r="DS79">
        <v>10</v>
      </c>
      <c r="DT79">
        <f>IF(DT14="","",DT13)</f>
        <v>0</v>
      </c>
      <c r="DU79">
        <v>10</v>
      </c>
      <c r="DV79">
        <f>DV13</f>
        <v>0</v>
      </c>
      <c r="DW79">
        <v>10</v>
      </c>
      <c r="DX79">
        <f>IF(DX14="","",DX13)</f>
        <v>0</v>
      </c>
      <c r="DY79">
        <v>10</v>
      </c>
      <c r="DZ79">
        <f>DZ13</f>
        <v>0</v>
      </c>
      <c r="EA79">
        <v>10</v>
      </c>
      <c r="EB79">
        <f>IF(EB14="","",EB13)</f>
        <v>0</v>
      </c>
      <c r="EC79">
        <v>10</v>
      </c>
      <c r="ED79">
        <f>ED13</f>
        <v>0</v>
      </c>
    </row>
    <row r="80" spans="5:200">
      <c r="E80">
        <v>11</v>
      </c>
      <c r="F80">
        <f>IF(F15="","",F14)</f>
        <v>0</v>
      </c>
      <c r="G80">
        <v>11</v>
      </c>
      <c r="H80">
        <f>H14</f>
        <v>0</v>
      </c>
      <c r="I80">
        <v>11</v>
      </c>
      <c r="J80">
        <f>IF(J15="","",J14)</f>
        <v>0</v>
      </c>
      <c r="K80">
        <v>11</v>
      </c>
      <c r="L80">
        <f>L14</f>
        <v>0</v>
      </c>
      <c r="M80">
        <v>11</v>
      </c>
      <c r="N80">
        <f>IF(N15="","",N14)</f>
        <v>0</v>
      </c>
      <c r="O80">
        <v>11</v>
      </c>
      <c r="P80">
        <f>P14</f>
        <v>0</v>
      </c>
      <c r="Q80">
        <v>11</v>
      </c>
      <c r="R80">
        <f>IF(R15="","",R14)</f>
        <v>0</v>
      </c>
      <c r="S80">
        <v>11</v>
      </c>
      <c r="T80">
        <f>T14</f>
        <v>0</v>
      </c>
      <c r="U80">
        <v>11</v>
      </c>
      <c r="V80">
        <f>IF(V15="","",V14)</f>
        <v>0</v>
      </c>
      <c r="W80">
        <v>11</v>
      </c>
      <c r="X80">
        <f>X14</f>
        <v>0</v>
      </c>
      <c r="Y80">
        <v>11</v>
      </c>
      <c r="Z80">
        <f>IF(Z15="","",Z14)</f>
        <v>0</v>
      </c>
      <c r="AA80">
        <v>11</v>
      </c>
      <c r="AB80">
        <f>AB14</f>
        <v>0</v>
      </c>
      <c r="AC80">
        <v>11</v>
      </c>
      <c r="AD80">
        <f>IF(AD15="","",AD14)</f>
        <v>0</v>
      </c>
      <c r="AE80">
        <v>11</v>
      </c>
      <c r="AF80">
        <f>AF14</f>
        <v>0</v>
      </c>
      <c r="AG80">
        <v>11</v>
      </c>
      <c r="AH80">
        <f>IF(AH15="","",AH14)</f>
        <v>0</v>
      </c>
      <c r="AI80">
        <v>11</v>
      </c>
      <c r="AJ80">
        <f>AJ14</f>
        <v>0</v>
      </c>
      <c r="AK80">
        <v>11</v>
      </c>
      <c r="AL80">
        <f>IF(AL15="","",AL14)</f>
        <v>0</v>
      </c>
      <c r="AM80">
        <v>11</v>
      </c>
      <c r="AN80">
        <f>AN14</f>
        <v>0</v>
      </c>
      <c r="AO80">
        <v>11</v>
      </c>
      <c r="AP80">
        <f>IF(AP15="","",AP14)</f>
        <v>0</v>
      </c>
      <c r="AQ80">
        <v>11</v>
      </c>
      <c r="AR80">
        <f>AR14</f>
        <v>0</v>
      </c>
      <c r="AS80">
        <v>11</v>
      </c>
      <c r="AT80">
        <f>IF(AT15="","",AT14)</f>
        <v>0</v>
      </c>
      <c r="AU80">
        <v>11</v>
      </c>
      <c r="AV80">
        <f>AV14</f>
        <v>0</v>
      </c>
      <c r="AW80">
        <v>11</v>
      </c>
      <c r="AX80">
        <f>IF(AX15="","",AX14)</f>
        <v>0</v>
      </c>
      <c r="AY80">
        <v>11</v>
      </c>
      <c r="AZ80">
        <f>AZ14</f>
        <v>0</v>
      </c>
      <c r="BA80">
        <v>11</v>
      </c>
      <c r="BB80">
        <f>IF(BB15="","",BB14)</f>
        <v>0</v>
      </c>
      <c r="BC80">
        <v>11</v>
      </c>
      <c r="BD80">
        <f>BD14</f>
        <v>0</v>
      </c>
      <c r="BE80">
        <v>11</v>
      </c>
      <c r="BF80">
        <f>IF(BF15="","",BF14)</f>
        <v>0</v>
      </c>
      <c r="BG80">
        <v>11</v>
      </c>
      <c r="BH80">
        <f>BH14</f>
        <v>0</v>
      </c>
      <c r="BI80">
        <v>11</v>
      </c>
      <c r="BJ80">
        <f>IF(BJ15="","",BJ14)</f>
        <v>0</v>
      </c>
      <c r="BK80">
        <v>11</v>
      </c>
      <c r="BL80">
        <f>BL14</f>
        <v>0</v>
      </c>
      <c r="BM80">
        <v>11</v>
      </c>
      <c r="BN80">
        <f>IF(BN15="","",BN14)</f>
        <v>0</v>
      </c>
      <c r="BO80">
        <v>11</v>
      </c>
      <c r="BP80">
        <f>BP14</f>
        <v>0</v>
      </c>
      <c r="BS80">
        <v>11</v>
      </c>
      <c r="BT80">
        <f>IF(BT15="","",BT14)</f>
        <v>0</v>
      </c>
      <c r="BU80">
        <v>11</v>
      </c>
      <c r="BV80">
        <f>BV14</f>
        <v>0</v>
      </c>
      <c r="BW80">
        <v>11</v>
      </c>
      <c r="BX80">
        <f>IF(BX15="","",BX14)</f>
        <v>0</v>
      </c>
      <c r="BY80">
        <v>11</v>
      </c>
      <c r="BZ80">
        <f>BZ14</f>
        <v>0</v>
      </c>
      <c r="CA80">
        <v>11</v>
      </c>
      <c r="CB80">
        <f>IF(CB15="","",CB14)</f>
        <v>0</v>
      </c>
      <c r="CC80">
        <v>11</v>
      </c>
      <c r="CD80">
        <f>CD14</f>
        <v>0</v>
      </c>
      <c r="CE80">
        <v>11</v>
      </c>
      <c r="CF80">
        <f>IF(CF15="","",CF14)</f>
        <v>0</v>
      </c>
      <c r="CG80">
        <v>11</v>
      </c>
      <c r="CH80">
        <f>CH14</f>
        <v>0</v>
      </c>
      <c r="CI80">
        <v>11</v>
      </c>
      <c r="CJ80">
        <f>IF(CJ15="","",CJ14)</f>
        <v>0</v>
      </c>
      <c r="CK80">
        <v>11</v>
      </c>
      <c r="CL80">
        <f>CL14</f>
        <v>0</v>
      </c>
      <c r="CM80">
        <v>11</v>
      </c>
      <c r="CN80">
        <f>IF(CN15="","",CN14)</f>
        <v>0</v>
      </c>
      <c r="CO80">
        <v>11</v>
      </c>
      <c r="CP80">
        <f>CP14</f>
        <v>0</v>
      </c>
      <c r="CQ80">
        <v>11</v>
      </c>
      <c r="CR80">
        <f>IF(CR15="","",CR14)</f>
        <v>0</v>
      </c>
      <c r="CS80">
        <v>11</v>
      </c>
      <c r="CT80">
        <f>CT14</f>
        <v>0</v>
      </c>
      <c r="CU80">
        <v>11</v>
      </c>
      <c r="CV80">
        <f>IF(CV15="","",CV14)</f>
        <v>0</v>
      </c>
      <c r="CW80">
        <v>11</v>
      </c>
      <c r="CX80">
        <f>CX14</f>
        <v>0</v>
      </c>
      <c r="CY80">
        <v>11</v>
      </c>
      <c r="CZ80">
        <f>IF(CZ15="","",CZ14)</f>
        <v>0</v>
      </c>
      <c r="DA80">
        <v>11</v>
      </c>
      <c r="DB80">
        <f>DB14</f>
        <v>0</v>
      </c>
      <c r="DC80">
        <v>11</v>
      </c>
      <c r="DD80">
        <f>IF(DD15="","",DD14)</f>
        <v>0</v>
      </c>
      <c r="DE80">
        <v>11</v>
      </c>
      <c r="DF80">
        <f>DF14</f>
        <v>0</v>
      </c>
      <c r="DG80">
        <v>11</v>
      </c>
      <c r="DH80">
        <f>IF(DH15="","",DH14)</f>
        <v>0</v>
      </c>
      <c r="DI80">
        <v>11</v>
      </c>
      <c r="DJ80">
        <f>DJ14</f>
        <v>0</v>
      </c>
      <c r="DK80">
        <v>11</v>
      </c>
      <c r="DL80">
        <f>IF(DL15="","",DL14)</f>
        <v>0</v>
      </c>
      <c r="DM80">
        <v>11</v>
      </c>
      <c r="DN80">
        <f>DN14</f>
        <v>0</v>
      </c>
      <c r="DO80">
        <v>11</v>
      </c>
      <c r="DP80">
        <f>IF(DP15="","",DP14)</f>
        <v>0</v>
      </c>
      <c r="DQ80">
        <v>11</v>
      </c>
      <c r="DR80">
        <f>DR14</f>
        <v>0</v>
      </c>
      <c r="DS80">
        <v>11</v>
      </c>
      <c r="DT80">
        <f>IF(DT15="","",DT14)</f>
        <v>0</v>
      </c>
      <c r="DU80">
        <v>11</v>
      </c>
      <c r="DV80">
        <f>DV14</f>
        <v>0</v>
      </c>
      <c r="DW80">
        <v>11</v>
      </c>
      <c r="DX80">
        <f>IF(DX15="","",DX14)</f>
        <v>0</v>
      </c>
      <c r="DY80">
        <v>11</v>
      </c>
      <c r="DZ80">
        <f>DZ14</f>
        <v>0</v>
      </c>
      <c r="EA80">
        <v>11</v>
      </c>
      <c r="EB80">
        <f>IF(EB15="","",EB14)</f>
        <v>0</v>
      </c>
      <c r="EC80">
        <v>11</v>
      </c>
      <c r="ED80">
        <f>ED14</f>
        <v>0</v>
      </c>
    </row>
    <row r="81" spans="5:134">
      <c r="E81">
        <v>12</v>
      </c>
      <c r="F81">
        <f>IF(F16="","",F15)</f>
        <v>0</v>
      </c>
      <c r="G81">
        <v>12</v>
      </c>
      <c r="H81">
        <f>H15</f>
        <v>0</v>
      </c>
      <c r="I81">
        <v>12</v>
      </c>
      <c r="J81">
        <f>IF(J16="","",J15)</f>
        <v>0</v>
      </c>
      <c r="K81">
        <v>12</v>
      </c>
      <c r="L81">
        <f>L15</f>
        <v>0</v>
      </c>
      <c r="M81">
        <v>12</v>
      </c>
      <c r="N81">
        <f>IF(N16="","",N15)</f>
        <v>0</v>
      </c>
      <c r="O81">
        <v>12</v>
      </c>
      <c r="P81">
        <f>P15</f>
        <v>0</v>
      </c>
      <c r="Q81">
        <v>12</v>
      </c>
      <c r="R81">
        <f>IF(R16="","",R15)</f>
        <v>0</v>
      </c>
      <c r="S81">
        <v>12</v>
      </c>
      <c r="T81">
        <f>T15</f>
        <v>0</v>
      </c>
      <c r="U81">
        <v>12</v>
      </c>
      <c r="V81">
        <f>IF(V16="","",V15)</f>
        <v>0</v>
      </c>
      <c r="W81">
        <v>12</v>
      </c>
      <c r="X81">
        <f>X15</f>
        <v>0</v>
      </c>
      <c r="Y81">
        <v>12</v>
      </c>
      <c r="Z81">
        <f>IF(Z16="","",Z15)</f>
        <v>0</v>
      </c>
      <c r="AA81">
        <v>12</v>
      </c>
      <c r="AB81">
        <f>AB15</f>
        <v>0</v>
      </c>
      <c r="AC81">
        <v>12</v>
      </c>
      <c r="AD81">
        <f>IF(AD16="","",AD15)</f>
        <v>0</v>
      </c>
      <c r="AE81">
        <v>12</v>
      </c>
      <c r="AF81">
        <f>AF15</f>
        <v>0</v>
      </c>
      <c r="AG81">
        <v>12</v>
      </c>
      <c r="AH81">
        <f>IF(AH16="","",AH15)</f>
        <v>0</v>
      </c>
      <c r="AI81">
        <v>12</v>
      </c>
      <c r="AJ81">
        <f>AJ15</f>
        <v>0</v>
      </c>
      <c r="AK81">
        <v>12</v>
      </c>
      <c r="AL81">
        <f>IF(AL16="","",AL15)</f>
        <v>0</v>
      </c>
      <c r="AM81">
        <v>12</v>
      </c>
      <c r="AN81">
        <f>AN15</f>
        <v>0</v>
      </c>
      <c r="AO81">
        <v>12</v>
      </c>
      <c r="AP81">
        <f>IF(AP16="","",AP15)</f>
        <v>0</v>
      </c>
      <c r="AQ81">
        <v>12</v>
      </c>
      <c r="AR81">
        <f>AR15</f>
        <v>0</v>
      </c>
      <c r="AS81">
        <v>12</v>
      </c>
      <c r="AT81">
        <f>IF(AT16="","",AT15)</f>
        <v>0</v>
      </c>
      <c r="AU81">
        <v>12</v>
      </c>
      <c r="AV81">
        <f>AV15</f>
        <v>0</v>
      </c>
      <c r="AW81">
        <v>12</v>
      </c>
      <c r="AX81">
        <f>IF(AX16="","",AX15)</f>
        <v>0</v>
      </c>
      <c r="AY81">
        <v>12</v>
      </c>
      <c r="AZ81">
        <f>AZ15</f>
        <v>0</v>
      </c>
      <c r="BA81">
        <v>12</v>
      </c>
      <c r="BB81">
        <f>IF(BB16="","",BB15)</f>
        <v>0</v>
      </c>
      <c r="BC81">
        <v>12</v>
      </c>
      <c r="BD81">
        <f>BD15</f>
        <v>0</v>
      </c>
      <c r="BE81">
        <v>12</v>
      </c>
      <c r="BF81">
        <f>IF(BF16="","",BF15)</f>
        <v>0</v>
      </c>
      <c r="BG81">
        <v>12</v>
      </c>
      <c r="BH81">
        <f>BH15</f>
        <v>0</v>
      </c>
      <c r="BI81">
        <v>12</v>
      </c>
      <c r="BJ81">
        <f>IF(BJ16="","",BJ15)</f>
        <v>0</v>
      </c>
      <c r="BK81">
        <v>12</v>
      </c>
      <c r="BL81">
        <f>BL15</f>
        <v>0</v>
      </c>
      <c r="BM81">
        <v>12</v>
      </c>
      <c r="BN81">
        <f>IF(BN16="","",BN15)</f>
        <v>0</v>
      </c>
      <c r="BO81">
        <v>12</v>
      </c>
      <c r="BP81">
        <f>BP15</f>
        <v>0</v>
      </c>
      <c r="BS81">
        <v>12</v>
      </c>
      <c r="BT81">
        <f>IF(BT16="","",BT15)</f>
        <v>0</v>
      </c>
      <c r="BU81">
        <v>12</v>
      </c>
      <c r="BV81">
        <f>BV15</f>
        <v>0</v>
      </c>
      <c r="BW81">
        <v>12</v>
      </c>
      <c r="BX81">
        <f>IF(BX16="","",BX15)</f>
        <v>0</v>
      </c>
      <c r="BY81">
        <v>12</v>
      </c>
      <c r="BZ81">
        <f>BZ15</f>
        <v>0</v>
      </c>
      <c r="CA81">
        <v>12</v>
      </c>
      <c r="CB81">
        <f>IF(CB16="","",CB15)</f>
        <v>0</v>
      </c>
      <c r="CC81">
        <v>12</v>
      </c>
      <c r="CD81">
        <f>CD15</f>
        <v>0</v>
      </c>
      <c r="CE81">
        <v>12</v>
      </c>
      <c r="CF81">
        <f>IF(CF16="","",CF15)</f>
        <v>0</v>
      </c>
      <c r="CG81">
        <v>12</v>
      </c>
      <c r="CH81">
        <f>CH15</f>
        <v>0</v>
      </c>
      <c r="CI81">
        <v>12</v>
      </c>
      <c r="CJ81">
        <f>IF(CJ16="","",CJ15)</f>
        <v>0</v>
      </c>
      <c r="CK81">
        <v>12</v>
      </c>
      <c r="CL81">
        <f>CL15</f>
        <v>0</v>
      </c>
      <c r="CM81">
        <v>12</v>
      </c>
      <c r="CN81">
        <f>IF(CN16="","",CN15)</f>
        <v>0</v>
      </c>
      <c r="CO81">
        <v>12</v>
      </c>
      <c r="CP81">
        <f>CP15</f>
        <v>0</v>
      </c>
      <c r="CQ81">
        <v>12</v>
      </c>
      <c r="CR81">
        <f>IF(CR16="","",CR15)</f>
        <v>0</v>
      </c>
      <c r="CS81">
        <v>12</v>
      </c>
      <c r="CT81">
        <f>CT15</f>
        <v>0</v>
      </c>
      <c r="CU81">
        <v>12</v>
      </c>
      <c r="CV81">
        <f>IF(CV16="","",CV15)</f>
        <v>0</v>
      </c>
      <c r="CW81">
        <v>12</v>
      </c>
      <c r="CX81">
        <f>CX15</f>
        <v>0</v>
      </c>
      <c r="CY81">
        <v>12</v>
      </c>
      <c r="CZ81">
        <f>IF(CZ16="","",CZ15)</f>
        <v>0</v>
      </c>
      <c r="DA81">
        <v>12</v>
      </c>
      <c r="DB81">
        <f>DB15</f>
        <v>0</v>
      </c>
      <c r="DC81">
        <v>12</v>
      </c>
      <c r="DD81">
        <f>IF(DD16="","",DD15)</f>
        <v>0</v>
      </c>
      <c r="DE81">
        <v>12</v>
      </c>
      <c r="DF81">
        <f>DF15</f>
        <v>0</v>
      </c>
      <c r="DG81">
        <v>12</v>
      </c>
      <c r="DH81">
        <f>IF(DH16="","",DH15)</f>
        <v>0</v>
      </c>
      <c r="DI81">
        <v>12</v>
      </c>
      <c r="DJ81">
        <f>DJ15</f>
        <v>0</v>
      </c>
      <c r="DK81">
        <v>12</v>
      </c>
      <c r="DL81">
        <f>IF(DL16="","",DL15)</f>
        <v>0</v>
      </c>
      <c r="DM81">
        <v>12</v>
      </c>
      <c r="DN81">
        <f>DN15</f>
        <v>0</v>
      </c>
      <c r="DO81">
        <v>12</v>
      </c>
      <c r="DP81">
        <f>IF(DP16="","",DP15)</f>
        <v>0</v>
      </c>
      <c r="DQ81">
        <v>12</v>
      </c>
      <c r="DR81">
        <f>DR15</f>
        <v>0</v>
      </c>
      <c r="DS81">
        <v>12</v>
      </c>
      <c r="DT81">
        <f>IF(DT16="","",DT15)</f>
        <v>0</v>
      </c>
      <c r="DU81">
        <v>12</v>
      </c>
      <c r="DV81">
        <f>DV15</f>
        <v>0</v>
      </c>
      <c r="DW81">
        <v>12</v>
      </c>
      <c r="DX81">
        <f>IF(DX16="","",DX15)</f>
        <v>0</v>
      </c>
      <c r="DY81">
        <v>12</v>
      </c>
      <c r="DZ81">
        <f>DZ15</f>
        <v>0</v>
      </c>
      <c r="EA81">
        <v>12</v>
      </c>
      <c r="EB81">
        <f>IF(EB16="","",EB15)</f>
        <v>0</v>
      </c>
      <c r="EC81">
        <v>12</v>
      </c>
      <c r="ED81">
        <f>ED15</f>
        <v>0</v>
      </c>
    </row>
    <row r="82" spans="5:134">
      <c r="E82">
        <v>13</v>
      </c>
      <c r="F82">
        <f>IF(F17="","",F16)</f>
        <v>0</v>
      </c>
      <c r="G82">
        <v>13</v>
      </c>
      <c r="H82">
        <f>H16</f>
        <v>0</v>
      </c>
      <c r="I82">
        <v>13</v>
      </c>
      <c r="J82">
        <f>IF(J17="","",J16)</f>
        <v>0</v>
      </c>
      <c r="K82">
        <v>13</v>
      </c>
      <c r="L82">
        <f>L16</f>
        <v>0</v>
      </c>
      <c r="M82">
        <v>13</v>
      </c>
      <c r="N82">
        <f>IF(N17="","",N16)</f>
        <v>0</v>
      </c>
      <c r="O82">
        <v>13</v>
      </c>
      <c r="P82">
        <f>P16</f>
        <v>0</v>
      </c>
      <c r="Q82">
        <v>13</v>
      </c>
      <c r="R82">
        <f>IF(R17="","",R16)</f>
        <v>0</v>
      </c>
      <c r="S82">
        <v>13</v>
      </c>
      <c r="T82">
        <f>T16</f>
        <v>0</v>
      </c>
      <c r="U82">
        <v>13</v>
      </c>
      <c r="V82">
        <f>IF(V17="","",V16)</f>
        <v>0</v>
      </c>
      <c r="W82">
        <v>13</v>
      </c>
      <c r="X82">
        <f>X16</f>
        <v>0</v>
      </c>
      <c r="Y82">
        <v>13</v>
      </c>
      <c r="Z82">
        <f>IF(Z17="","",Z16)</f>
        <v>0</v>
      </c>
      <c r="AA82">
        <v>13</v>
      </c>
      <c r="AB82">
        <f>AB16</f>
        <v>0</v>
      </c>
      <c r="AC82">
        <v>13</v>
      </c>
      <c r="AD82">
        <f>IF(AD17="","",AD16)</f>
        <v>0</v>
      </c>
      <c r="AE82">
        <v>13</v>
      </c>
      <c r="AF82">
        <f>AF16</f>
        <v>0</v>
      </c>
      <c r="AG82">
        <v>13</v>
      </c>
      <c r="AH82">
        <f>IF(AH17="","",AH16)</f>
        <v>0</v>
      </c>
      <c r="AI82">
        <v>13</v>
      </c>
      <c r="AJ82">
        <f>AJ16</f>
        <v>0</v>
      </c>
      <c r="AK82">
        <v>13</v>
      </c>
      <c r="AL82">
        <f>IF(AL17="","",AL16)</f>
        <v>0</v>
      </c>
      <c r="AM82">
        <v>13</v>
      </c>
      <c r="AN82">
        <f>AN16</f>
        <v>0</v>
      </c>
      <c r="AO82">
        <v>13</v>
      </c>
      <c r="AP82">
        <f>IF(AP17="","",AP16)</f>
        <v>0</v>
      </c>
      <c r="AQ82">
        <v>13</v>
      </c>
      <c r="AR82">
        <f>AR16</f>
        <v>0</v>
      </c>
      <c r="AS82">
        <v>13</v>
      </c>
      <c r="AT82">
        <f>IF(AT17="","",AT16)</f>
        <v>0</v>
      </c>
      <c r="AU82">
        <v>13</v>
      </c>
      <c r="AV82">
        <f>AV16</f>
        <v>0</v>
      </c>
      <c r="AW82">
        <v>13</v>
      </c>
      <c r="AX82">
        <f>IF(AX17="","",AX16)</f>
        <v>0</v>
      </c>
      <c r="AY82">
        <v>13</v>
      </c>
      <c r="AZ82">
        <f>AZ16</f>
        <v>0</v>
      </c>
      <c r="BA82">
        <v>13</v>
      </c>
      <c r="BB82">
        <f>IF(BB17="","",BB16)</f>
        <v>0</v>
      </c>
      <c r="BC82">
        <v>13</v>
      </c>
      <c r="BD82">
        <f>BD16</f>
        <v>0</v>
      </c>
      <c r="BE82">
        <v>13</v>
      </c>
      <c r="BF82">
        <f>IF(BF17="","",BF16)</f>
        <v>0</v>
      </c>
      <c r="BG82">
        <v>13</v>
      </c>
      <c r="BH82">
        <f>BH16</f>
        <v>0</v>
      </c>
      <c r="BI82">
        <v>13</v>
      </c>
      <c r="BJ82">
        <f>IF(BJ17="","",BJ16)</f>
        <v>0</v>
      </c>
      <c r="BK82">
        <v>13</v>
      </c>
      <c r="BL82">
        <f>BL16</f>
        <v>0</v>
      </c>
      <c r="BM82">
        <v>13</v>
      </c>
      <c r="BN82">
        <f>IF(BN17="","",BN16)</f>
        <v>0</v>
      </c>
      <c r="BO82">
        <v>13</v>
      </c>
      <c r="BP82">
        <f>BP16</f>
        <v>0</v>
      </c>
      <c r="BS82">
        <v>13</v>
      </c>
      <c r="BT82">
        <f>IF(BT17="","",BT16)</f>
        <v>0</v>
      </c>
      <c r="BU82">
        <v>13</v>
      </c>
      <c r="BV82">
        <f>BV16</f>
        <v>0</v>
      </c>
      <c r="BW82">
        <v>13</v>
      </c>
      <c r="BX82">
        <f>IF(BX17="","",BX16)</f>
        <v>0</v>
      </c>
      <c r="BY82">
        <v>13</v>
      </c>
      <c r="BZ82">
        <f>BZ16</f>
        <v>0</v>
      </c>
      <c r="CA82">
        <v>13</v>
      </c>
      <c r="CB82">
        <f>IF(CB17="","",CB16)</f>
        <v>0</v>
      </c>
      <c r="CC82">
        <v>13</v>
      </c>
      <c r="CD82">
        <f>CD16</f>
        <v>0</v>
      </c>
      <c r="CE82">
        <v>13</v>
      </c>
      <c r="CF82">
        <f>IF(CF17="","",CF16)</f>
        <v>0</v>
      </c>
      <c r="CG82">
        <v>13</v>
      </c>
      <c r="CH82">
        <f>CH16</f>
        <v>0</v>
      </c>
      <c r="CI82">
        <v>13</v>
      </c>
      <c r="CJ82">
        <f>IF(CJ17="","",CJ16)</f>
        <v>0</v>
      </c>
      <c r="CK82">
        <v>13</v>
      </c>
      <c r="CL82">
        <f>CL16</f>
        <v>0</v>
      </c>
      <c r="CM82">
        <v>13</v>
      </c>
      <c r="CN82">
        <f>IF(CN17="","",CN16)</f>
        <v>0</v>
      </c>
      <c r="CO82">
        <v>13</v>
      </c>
      <c r="CP82">
        <f>CP16</f>
        <v>0</v>
      </c>
      <c r="CQ82">
        <v>13</v>
      </c>
      <c r="CR82">
        <f>IF(CR17="","",CR16)</f>
        <v>0</v>
      </c>
      <c r="CS82">
        <v>13</v>
      </c>
      <c r="CT82">
        <f>CT16</f>
        <v>0</v>
      </c>
      <c r="CU82">
        <v>13</v>
      </c>
      <c r="CV82">
        <f>IF(CV17="","",CV16)</f>
        <v>0</v>
      </c>
      <c r="CW82">
        <v>13</v>
      </c>
      <c r="CX82">
        <f>CX16</f>
        <v>0</v>
      </c>
      <c r="CY82">
        <v>13</v>
      </c>
      <c r="CZ82">
        <f>IF(CZ17="","",CZ16)</f>
        <v>0</v>
      </c>
      <c r="DA82">
        <v>13</v>
      </c>
      <c r="DB82">
        <f>DB16</f>
        <v>0</v>
      </c>
      <c r="DC82">
        <v>13</v>
      </c>
      <c r="DD82">
        <f>IF(DD17="","",DD16)</f>
        <v>0</v>
      </c>
      <c r="DE82">
        <v>13</v>
      </c>
      <c r="DF82">
        <f>DF16</f>
        <v>0</v>
      </c>
      <c r="DG82">
        <v>13</v>
      </c>
      <c r="DH82">
        <f>IF(DH17="","",DH16)</f>
        <v>0</v>
      </c>
      <c r="DI82">
        <v>13</v>
      </c>
      <c r="DJ82">
        <f>DJ16</f>
        <v>0</v>
      </c>
      <c r="DK82">
        <v>13</v>
      </c>
      <c r="DL82">
        <f>IF(DL17="","",DL16)</f>
        <v>0</v>
      </c>
      <c r="DM82">
        <v>13</v>
      </c>
      <c r="DN82">
        <f>DN16</f>
        <v>0</v>
      </c>
      <c r="DO82">
        <v>13</v>
      </c>
      <c r="DP82">
        <f>IF(DP17="","",DP16)</f>
        <v>0</v>
      </c>
      <c r="DQ82">
        <v>13</v>
      </c>
      <c r="DR82">
        <f>DR16</f>
        <v>0</v>
      </c>
      <c r="DS82">
        <v>13</v>
      </c>
      <c r="DT82">
        <f>IF(DT17="","",DT16)</f>
        <v>0</v>
      </c>
      <c r="DU82">
        <v>13</v>
      </c>
      <c r="DV82">
        <f>DV16</f>
        <v>0</v>
      </c>
      <c r="DW82">
        <v>13</v>
      </c>
      <c r="DX82">
        <f>IF(DX17="","",DX16)</f>
        <v>0</v>
      </c>
      <c r="DY82">
        <v>13</v>
      </c>
      <c r="DZ82">
        <f>DZ16</f>
        <v>0</v>
      </c>
      <c r="EA82">
        <v>13</v>
      </c>
      <c r="EB82">
        <f>IF(EB17="","",EB16)</f>
        <v>0</v>
      </c>
      <c r="EC82">
        <v>13</v>
      </c>
      <c r="ED82">
        <f>ED16</f>
        <v>0</v>
      </c>
    </row>
    <row r="83" spans="5:134">
      <c r="E83">
        <v>14</v>
      </c>
      <c r="F83">
        <f>IF(F18="","",F17)</f>
        <v>0</v>
      </c>
      <c r="G83">
        <v>14</v>
      </c>
      <c r="H83">
        <f>H17</f>
        <v>0</v>
      </c>
      <c r="I83">
        <v>14</v>
      </c>
      <c r="J83">
        <f>IF(J18="","",J17)</f>
        <v>0</v>
      </c>
      <c r="K83">
        <v>14</v>
      </c>
      <c r="L83">
        <f>L17</f>
        <v>0</v>
      </c>
      <c r="M83">
        <v>14</v>
      </c>
      <c r="N83">
        <f>IF(N18="","",N17)</f>
        <v>0</v>
      </c>
      <c r="O83">
        <v>14</v>
      </c>
      <c r="P83">
        <f>P17</f>
        <v>0</v>
      </c>
      <c r="Q83">
        <v>14</v>
      </c>
      <c r="R83">
        <f>IF(R18="","",R17)</f>
        <v>0</v>
      </c>
      <c r="S83">
        <v>14</v>
      </c>
      <c r="T83">
        <f>T17</f>
        <v>0</v>
      </c>
      <c r="U83">
        <v>14</v>
      </c>
      <c r="V83">
        <f>IF(V18="","",V17)</f>
        <v>0</v>
      </c>
      <c r="W83">
        <v>14</v>
      </c>
      <c r="X83">
        <f>X17</f>
        <v>0</v>
      </c>
      <c r="Y83">
        <v>14</v>
      </c>
      <c r="Z83">
        <f>IF(Z18="","",Z17)</f>
        <v>0</v>
      </c>
      <c r="AA83">
        <v>14</v>
      </c>
      <c r="AB83">
        <f>AB17</f>
        <v>0</v>
      </c>
      <c r="AC83">
        <v>14</v>
      </c>
      <c r="AD83">
        <f>IF(AD18="","",AD17)</f>
        <v>0</v>
      </c>
      <c r="AE83">
        <v>14</v>
      </c>
      <c r="AF83">
        <f>AF17</f>
        <v>0</v>
      </c>
      <c r="AG83">
        <v>14</v>
      </c>
      <c r="AH83">
        <f>IF(AH18="","",AH17)</f>
        <v>0</v>
      </c>
      <c r="AI83">
        <v>14</v>
      </c>
      <c r="AJ83">
        <f>AJ17</f>
        <v>0</v>
      </c>
      <c r="AK83">
        <v>14</v>
      </c>
      <c r="AL83">
        <f>IF(AL18="","",AL17)</f>
        <v>0</v>
      </c>
      <c r="AM83">
        <v>14</v>
      </c>
      <c r="AN83">
        <f>AN17</f>
        <v>0</v>
      </c>
      <c r="AO83">
        <v>14</v>
      </c>
      <c r="AP83">
        <f>IF(AP18="","",AP17)</f>
        <v>0</v>
      </c>
      <c r="AQ83">
        <v>14</v>
      </c>
      <c r="AR83">
        <f>AR17</f>
        <v>0</v>
      </c>
      <c r="AS83">
        <v>14</v>
      </c>
      <c r="AT83">
        <f>IF(AT18="","",AT17)</f>
        <v>0</v>
      </c>
      <c r="AU83">
        <v>14</v>
      </c>
      <c r="AV83">
        <f>AV17</f>
        <v>0</v>
      </c>
      <c r="AW83">
        <v>14</v>
      </c>
      <c r="AX83">
        <f>IF(AX18="","",AX17)</f>
        <v>0</v>
      </c>
      <c r="AY83">
        <v>14</v>
      </c>
      <c r="AZ83">
        <f>AZ17</f>
        <v>0</v>
      </c>
      <c r="BA83">
        <v>14</v>
      </c>
      <c r="BB83">
        <f>IF(BB18="","",BB17)</f>
        <v>0</v>
      </c>
      <c r="BC83">
        <v>14</v>
      </c>
      <c r="BD83">
        <f>BD17</f>
        <v>0</v>
      </c>
      <c r="BE83">
        <v>14</v>
      </c>
      <c r="BF83">
        <f>IF(BF18="","",BF17)</f>
        <v>0</v>
      </c>
      <c r="BG83">
        <v>14</v>
      </c>
      <c r="BH83">
        <f>BH17</f>
        <v>0</v>
      </c>
      <c r="BI83">
        <v>14</v>
      </c>
      <c r="BJ83">
        <f>IF(BJ18="","",BJ17)</f>
        <v>0</v>
      </c>
      <c r="BK83">
        <v>14</v>
      </c>
      <c r="BL83">
        <f>BL17</f>
        <v>0</v>
      </c>
      <c r="BM83">
        <v>14</v>
      </c>
      <c r="BN83">
        <f>IF(BN18="","",BN17)</f>
        <v>0</v>
      </c>
      <c r="BO83">
        <v>14</v>
      </c>
      <c r="BP83">
        <f>BP17</f>
        <v>0</v>
      </c>
      <c r="BS83">
        <v>14</v>
      </c>
      <c r="BT83">
        <f>IF(BT18="","",BT17)</f>
        <v>0</v>
      </c>
      <c r="BU83">
        <v>14</v>
      </c>
      <c r="BV83">
        <f>BV17</f>
        <v>0</v>
      </c>
      <c r="BW83">
        <v>14</v>
      </c>
      <c r="BX83">
        <f>IF(BX18="","",BX17)</f>
        <v>0</v>
      </c>
      <c r="BY83">
        <v>14</v>
      </c>
      <c r="BZ83">
        <f>BZ17</f>
        <v>0</v>
      </c>
      <c r="CA83">
        <v>14</v>
      </c>
      <c r="CB83">
        <f>IF(CB18="","",CB17)</f>
        <v>0</v>
      </c>
      <c r="CC83">
        <v>14</v>
      </c>
      <c r="CD83">
        <f>CD17</f>
        <v>0</v>
      </c>
      <c r="CE83">
        <v>14</v>
      </c>
      <c r="CF83">
        <f>IF(CF18="","",CF17)</f>
        <v>0</v>
      </c>
      <c r="CG83">
        <v>14</v>
      </c>
      <c r="CH83">
        <f>CH17</f>
        <v>0</v>
      </c>
      <c r="CI83">
        <v>14</v>
      </c>
      <c r="CJ83">
        <f>IF(CJ18="","",CJ17)</f>
        <v>0</v>
      </c>
      <c r="CK83">
        <v>14</v>
      </c>
      <c r="CL83">
        <f>CL17</f>
        <v>0</v>
      </c>
      <c r="CM83">
        <v>14</v>
      </c>
      <c r="CN83">
        <f>IF(CN18="","",CN17)</f>
        <v>0</v>
      </c>
      <c r="CO83">
        <v>14</v>
      </c>
      <c r="CP83">
        <f>CP17</f>
        <v>0</v>
      </c>
      <c r="CQ83">
        <v>14</v>
      </c>
      <c r="CR83">
        <f>IF(CR18="","",CR17)</f>
        <v>0</v>
      </c>
      <c r="CS83">
        <v>14</v>
      </c>
      <c r="CT83">
        <f>CT17</f>
        <v>0</v>
      </c>
      <c r="CU83">
        <v>14</v>
      </c>
      <c r="CV83">
        <f>IF(CV18="","",CV17)</f>
        <v>0</v>
      </c>
      <c r="CW83">
        <v>14</v>
      </c>
      <c r="CX83">
        <f>CX17</f>
        <v>0</v>
      </c>
      <c r="CY83">
        <v>14</v>
      </c>
      <c r="CZ83">
        <f>IF(CZ18="","",CZ17)</f>
        <v>0</v>
      </c>
      <c r="DA83">
        <v>14</v>
      </c>
      <c r="DB83">
        <f>DB17</f>
        <v>0</v>
      </c>
      <c r="DC83">
        <v>14</v>
      </c>
      <c r="DD83">
        <f>IF(DD18="","",DD17)</f>
        <v>0</v>
      </c>
      <c r="DE83">
        <v>14</v>
      </c>
      <c r="DF83">
        <f>DF17</f>
        <v>0</v>
      </c>
      <c r="DG83">
        <v>14</v>
      </c>
      <c r="DH83">
        <f>IF(DH18="","",DH17)</f>
        <v>0</v>
      </c>
      <c r="DI83">
        <v>14</v>
      </c>
      <c r="DJ83">
        <f>DJ17</f>
        <v>0</v>
      </c>
      <c r="DK83">
        <v>14</v>
      </c>
      <c r="DL83">
        <f>IF(DL18="","",DL17)</f>
        <v>0</v>
      </c>
      <c r="DM83">
        <v>14</v>
      </c>
      <c r="DN83">
        <f>DN17</f>
        <v>0</v>
      </c>
      <c r="DO83">
        <v>14</v>
      </c>
      <c r="DP83">
        <f>IF(DP18="","",DP17)</f>
        <v>0</v>
      </c>
      <c r="DQ83">
        <v>14</v>
      </c>
      <c r="DR83">
        <f>DR17</f>
        <v>0</v>
      </c>
      <c r="DS83">
        <v>14</v>
      </c>
      <c r="DT83">
        <f>IF(DT18="","",DT17)</f>
        <v>0</v>
      </c>
      <c r="DU83">
        <v>14</v>
      </c>
      <c r="DV83">
        <f>DV17</f>
        <v>0</v>
      </c>
      <c r="DW83">
        <v>14</v>
      </c>
      <c r="DX83">
        <f>IF(DX18="","",DX17)</f>
        <v>0</v>
      </c>
      <c r="DY83">
        <v>14</v>
      </c>
      <c r="DZ83">
        <f>DZ17</f>
        <v>0</v>
      </c>
      <c r="EA83">
        <v>14</v>
      </c>
      <c r="EB83">
        <f>IF(EB18="","",EB17)</f>
        <v>0</v>
      </c>
      <c r="EC83">
        <v>14</v>
      </c>
      <c r="ED83">
        <f>ED17</f>
        <v>0</v>
      </c>
    </row>
    <row r="84" spans="5:134">
      <c r="E84">
        <v>15</v>
      </c>
      <c r="F84">
        <f>IF(F19="","",F18)</f>
        <v>0</v>
      </c>
      <c r="G84">
        <v>15</v>
      </c>
      <c r="H84">
        <f>H18</f>
        <v>0</v>
      </c>
      <c r="I84">
        <v>15</v>
      </c>
      <c r="J84">
        <f>IF(J19="","",J18)</f>
        <v>0</v>
      </c>
      <c r="K84">
        <v>15</v>
      </c>
      <c r="L84">
        <f>L18</f>
        <v>0</v>
      </c>
      <c r="M84">
        <v>15</v>
      </c>
      <c r="N84">
        <f>IF(N19="","",N18)</f>
        <v>0</v>
      </c>
      <c r="O84">
        <v>15</v>
      </c>
      <c r="P84">
        <f>P18</f>
        <v>0</v>
      </c>
      <c r="Q84">
        <v>15</v>
      </c>
      <c r="R84">
        <f>IF(R19="","",R18)</f>
        <v>0</v>
      </c>
      <c r="S84">
        <v>15</v>
      </c>
      <c r="T84">
        <f>T18</f>
        <v>0</v>
      </c>
      <c r="U84">
        <v>15</v>
      </c>
      <c r="V84">
        <f>IF(V19="","",V18)</f>
        <v>0</v>
      </c>
      <c r="W84">
        <v>15</v>
      </c>
      <c r="X84">
        <f>X18</f>
        <v>0</v>
      </c>
      <c r="Y84">
        <v>15</v>
      </c>
      <c r="Z84">
        <f>IF(Z19="","",Z18)</f>
        <v>0</v>
      </c>
      <c r="AA84">
        <v>15</v>
      </c>
      <c r="AB84">
        <f>AB18</f>
        <v>0</v>
      </c>
      <c r="AC84">
        <v>15</v>
      </c>
      <c r="AD84">
        <f>IF(AD19="","",AD18)</f>
        <v>0</v>
      </c>
      <c r="AE84">
        <v>15</v>
      </c>
      <c r="AF84">
        <f>AF18</f>
        <v>0</v>
      </c>
      <c r="AG84">
        <v>15</v>
      </c>
      <c r="AH84">
        <f>IF(AH19="","",AH18)</f>
        <v>0</v>
      </c>
      <c r="AI84">
        <v>15</v>
      </c>
      <c r="AJ84">
        <f>AJ18</f>
        <v>0</v>
      </c>
      <c r="AK84">
        <v>15</v>
      </c>
      <c r="AL84">
        <f>IF(AL19="","",AL18)</f>
        <v>0</v>
      </c>
      <c r="AM84">
        <v>15</v>
      </c>
      <c r="AN84">
        <f>AN18</f>
        <v>0</v>
      </c>
      <c r="AO84">
        <v>15</v>
      </c>
      <c r="AP84">
        <f>IF(AP19="","",AP18)</f>
        <v>0</v>
      </c>
      <c r="AQ84">
        <v>15</v>
      </c>
      <c r="AR84">
        <f>AR18</f>
        <v>0</v>
      </c>
      <c r="AS84">
        <v>15</v>
      </c>
      <c r="AT84">
        <f>IF(AT19="","",AT18)</f>
        <v>0</v>
      </c>
      <c r="AU84">
        <v>15</v>
      </c>
      <c r="AV84">
        <f>AV18</f>
        <v>0</v>
      </c>
      <c r="AW84">
        <v>15</v>
      </c>
      <c r="AX84">
        <f>IF(AX19="","",AX18)</f>
        <v>0</v>
      </c>
      <c r="AY84">
        <v>15</v>
      </c>
      <c r="AZ84">
        <f>AZ18</f>
        <v>0</v>
      </c>
      <c r="BA84">
        <v>15</v>
      </c>
      <c r="BB84">
        <f>IF(BB19="","",BB18)</f>
        <v>0</v>
      </c>
      <c r="BC84">
        <v>15</v>
      </c>
      <c r="BD84">
        <f>BD18</f>
        <v>0</v>
      </c>
      <c r="BE84">
        <v>15</v>
      </c>
      <c r="BF84">
        <f>IF(BF19="","",BF18)</f>
        <v>0</v>
      </c>
      <c r="BG84">
        <v>15</v>
      </c>
      <c r="BH84">
        <f>BH18</f>
        <v>0</v>
      </c>
      <c r="BI84">
        <v>15</v>
      </c>
      <c r="BJ84">
        <f>IF(BJ19="","",BJ18)</f>
        <v>0</v>
      </c>
      <c r="BK84">
        <v>15</v>
      </c>
      <c r="BL84">
        <f>BL18</f>
        <v>0</v>
      </c>
      <c r="BM84">
        <v>15</v>
      </c>
      <c r="BN84">
        <f>IF(BN19="","",BN18)</f>
        <v>0</v>
      </c>
      <c r="BO84">
        <v>15</v>
      </c>
      <c r="BP84">
        <f>BP18</f>
        <v>0</v>
      </c>
      <c r="BS84">
        <v>15</v>
      </c>
      <c r="BT84">
        <f>IF(BT19="","",BT18)</f>
        <v>0</v>
      </c>
      <c r="BU84">
        <v>15</v>
      </c>
      <c r="BV84">
        <f>BV18</f>
        <v>0</v>
      </c>
      <c r="BW84">
        <v>15</v>
      </c>
      <c r="BX84">
        <f>IF(BX19="","",BX18)</f>
        <v>0</v>
      </c>
      <c r="BY84">
        <v>15</v>
      </c>
      <c r="BZ84">
        <f>BZ18</f>
        <v>0</v>
      </c>
      <c r="CA84">
        <v>15</v>
      </c>
      <c r="CB84">
        <f>IF(CB19="","",CB18)</f>
        <v>0</v>
      </c>
      <c r="CC84">
        <v>15</v>
      </c>
      <c r="CD84">
        <f>CD18</f>
        <v>0</v>
      </c>
      <c r="CE84">
        <v>15</v>
      </c>
      <c r="CF84">
        <f>IF(CF19="","",CF18)</f>
        <v>0</v>
      </c>
      <c r="CG84">
        <v>15</v>
      </c>
      <c r="CH84">
        <f>CH18</f>
        <v>0</v>
      </c>
      <c r="CI84">
        <v>15</v>
      </c>
      <c r="CJ84">
        <f>IF(CJ19="","",CJ18)</f>
        <v>0</v>
      </c>
      <c r="CK84">
        <v>15</v>
      </c>
      <c r="CL84">
        <f>CL18</f>
        <v>0</v>
      </c>
      <c r="CM84">
        <v>15</v>
      </c>
      <c r="CN84">
        <f>IF(CN19="","",CN18)</f>
        <v>0</v>
      </c>
      <c r="CO84">
        <v>15</v>
      </c>
      <c r="CP84">
        <f>CP18</f>
        <v>0</v>
      </c>
      <c r="CQ84">
        <v>15</v>
      </c>
      <c r="CR84">
        <f>IF(CR19="","",CR18)</f>
        <v>0</v>
      </c>
      <c r="CS84">
        <v>15</v>
      </c>
      <c r="CT84">
        <f>CT18</f>
        <v>0</v>
      </c>
      <c r="CU84">
        <v>15</v>
      </c>
      <c r="CV84">
        <f>IF(CV19="","",CV18)</f>
        <v>0</v>
      </c>
      <c r="CW84">
        <v>15</v>
      </c>
      <c r="CX84">
        <f>CX18</f>
        <v>0</v>
      </c>
      <c r="CY84">
        <v>15</v>
      </c>
      <c r="CZ84">
        <f>IF(CZ19="","",CZ18)</f>
        <v>0</v>
      </c>
      <c r="DA84">
        <v>15</v>
      </c>
      <c r="DB84">
        <f>DB18</f>
        <v>0</v>
      </c>
      <c r="DC84">
        <v>15</v>
      </c>
      <c r="DD84">
        <f>IF(DD19="","",DD18)</f>
        <v>0</v>
      </c>
      <c r="DE84">
        <v>15</v>
      </c>
      <c r="DF84">
        <f>DF18</f>
        <v>0</v>
      </c>
      <c r="DG84">
        <v>15</v>
      </c>
      <c r="DH84">
        <f>IF(DH19="","",DH18)</f>
        <v>0</v>
      </c>
      <c r="DI84">
        <v>15</v>
      </c>
      <c r="DJ84">
        <f>DJ18</f>
        <v>0</v>
      </c>
      <c r="DK84">
        <v>15</v>
      </c>
      <c r="DL84">
        <f>IF(DL19="","",DL18)</f>
        <v>0</v>
      </c>
      <c r="DM84">
        <v>15</v>
      </c>
      <c r="DN84">
        <f>DN18</f>
        <v>0</v>
      </c>
      <c r="DO84">
        <v>15</v>
      </c>
      <c r="DP84">
        <f>IF(DP19="","",DP18)</f>
        <v>0</v>
      </c>
      <c r="DQ84">
        <v>15</v>
      </c>
      <c r="DR84">
        <f>DR18</f>
        <v>0</v>
      </c>
      <c r="DS84">
        <v>15</v>
      </c>
      <c r="DT84">
        <f>IF(DT19="","",DT18)</f>
        <v>0</v>
      </c>
      <c r="DU84">
        <v>15</v>
      </c>
      <c r="DV84">
        <f>DV18</f>
        <v>0</v>
      </c>
      <c r="DW84">
        <v>15</v>
      </c>
      <c r="DX84">
        <f>IF(DX19="","",DX18)</f>
        <v>0</v>
      </c>
      <c r="DY84">
        <v>15</v>
      </c>
      <c r="DZ84">
        <f>DZ18</f>
        <v>0</v>
      </c>
      <c r="EA84">
        <v>15</v>
      </c>
      <c r="EB84">
        <f>IF(EB19="","",EB18)</f>
        <v>0</v>
      </c>
      <c r="EC84">
        <v>15</v>
      </c>
      <c r="ED84">
        <f>ED18</f>
        <v>0</v>
      </c>
    </row>
    <row r="85" spans="5:134">
      <c r="E85">
        <v>16</v>
      </c>
      <c r="F85">
        <f>IF(F20="","",F19)</f>
        <v>0</v>
      </c>
      <c r="G85">
        <v>16</v>
      </c>
      <c r="H85">
        <f>H19</f>
        <v>0</v>
      </c>
      <c r="I85">
        <v>16</v>
      </c>
      <c r="J85">
        <f>IF(J20="","",J19)</f>
        <v>0</v>
      </c>
      <c r="K85">
        <v>16</v>
      </c>
      <c r="L85">
        <f>L19</f>
        <v>0</v>
      </c>
      <c r="M85">
        <v>16</v>
      </c>
      <c r="N85">
        <f>IF(N20="","",N19)</f>
        <v>0</v>
      </c>
      <c r="O85">
        <v>16</v>
      </c>
      <c r="P85">
        <f>P19</f>
        <v>0</v>
      </c>
      <c r="Q85">
        <v>16</v>
      </c>
      <c r="R85">
        <f>IF(R20="","",R19)</f>
        <v>0</v>
      </c>
      <c r="S85">
        <v>16</v>
      </c>
      <c r="T85">
        <f>T19</f>
        <v>0</v>
      </c>
      <c r="U85">
        <v>16</v>
      </c>
      <c r="V85">
        <f>IF(V20="","",V19)</f>
        <v>0</v>
      </c>
      <c r="W85">
        <v>16</v>
      </c>
      <c r="X85">
        <f>X19</f>
        <v>0</v>
      </c>
      <c r="Y85">
        <v>16</v>
      </c>
      <c r="Z85">
        <f>IF(Z20="","",Z19)</f>
        <v>0</v>
      </c>
      <c r="AA85">
        <v>16</v>
      </c>
      <c r="AB85">
        <f>AB19</f>
        <v>0</v>
      </c>
      <c r="AC85">
        <v>16</v>
      </c>
      <c r="AD85">
        <f>IF(AD20="","",AD19)</f>
        <v>0</v>
      </c>
      <c r="AE85">
        <v>16</v>
      </c>
      <c r="AF85">
        <f>AF19</f>
        <v>0</v>
      </c>
      <c r="AG85">
        <v>16</v>
      </c>
      <c r="AH85">
        <f>IF(AH20="","",AH19)</f>
        <v>0</v>
      </c>
      <c r="AI85">
        <v>16</v>
      </c>
      <c r="AJ85">
        <f>AJ19</f>
        <v>0</v>
      </c>
      <c r="AK85">
        <v>16</v>
      </c>
      <c r="AL85">
        <f>IF(AL20="","",AL19)</f>
        <v>0</v>
      </c>
      <c r="AM85">
        <v>16</v>
      </c>
      <c r="AN85">
        <f>AN19</f>
        <v>0</v>
      </c>
      <c r="AO85">
        <v>16</v>
      </c>
      <c r="AP85">
        <f>IF(AP20="","",AP19)</f>
        <v>0</v>
      </c>
      <c r="AQ85">
        <v>16</v>
      </c>
      <c r="AR85">
        <f>AR19</f>
        <v>0</v>
      </c>
      <c r="AS85">
        <v>16</v>
      </c>
      <c r="AT85">
        <f>IF(AT20="","",AT19)</f>
        <v>0</v>
      </c>
      <c r="AU85">
        <v>16</v>
      </c>
      <c r="AV85">
        <f>AV19</f>
        <v>0</v>
      </c>
      <c r="AW85">
        <v>16</v>
      </c>
      <c r="AX85">
        <f>IF(AX20="","",AX19)</f>
        <v>0</v>
      </c>
      <c r="AY85">
        <v>16</v>
      </c>
      <c r="AZ85">
        <f>AZ19</f>
        <v>0</v>
      </c>
      <c r="BA85">
        <v>16</v>
      </c>
      <c r="BB85">
        <f>IF(BB20="","",BB19)</f>
        <v>0</v>
      </c>
      <c r="BC85">
        <v>16</v>
      </c>
      <c r="BD85">
        <f>BD19</f>
        <v>0</v>
      </c>
      <c r="BE85">
        <v>16</v>
      </c>
      <c r="BF85">
        <f>IF(BF20="","",BF19)</f>
        <v>0</v>
      </c>
      <c r="BG85">
        <v>16</v>
      </c>
      <c r="BH85">
        <f>BH19</f>
        <v>0</v>
      </c>
      <c r="BI85">
        <v>16</v>
      </c>
      <c r="BJ85">
        <f>IF(BJ20="","",BJ19)</f>
        <v>0</v>
      </c>
      <c r="BK85">
        <v>16</v>
      </c>
      <c r="BL85">
        <f>BL19</f>
        <v>0</v>
      </c>
      <c r="BM85">
        <v>16</v>
      </c>
      <c r="BN85">
        <f>IF(BN20="","",BN19)</f>
        <v>0</v>
      </c>
      <c r="BO85">
        <v>16</v>
      </c>
      <c r="BP85">
        <f>BP19</f>
        <v>0</v>
      </c>
      <c r="BS85">
        <v>16</v>
      </c>
      <c r="BT85">
        <f>IF(BT20="","",BT19)</f>
        <v>0</v>
      </c>
      <c r="BU85">
        <v>16</v>
      </c>
      <c r="BV85">
        <f>BV19</f>
        <v>0</v>
      </c>
      <c r="BW85">
        <v>16</v>
      </c>
      <c r="BX85">
        <f>IF(BX20="","",BX19)</f>
        <v>0</v>
      </c>
      <c r="BY85">
        <v>16</v>
      </c>
      <c r="BZ85">
        <f>BZ19</f>
        <v>0</v>
      </c>
      <c r="CA85">
        <v>16</v>
      </c>
      <c r="CB85">
        <f>IF(CB20="","",CB19)</f>
        <v>0</v>
      </c>
      <c r="CC85">
        <v>16</v>
      </c>
      <c r="CD85">
        <f>CD19</f>
        <v>0</v>
      </c>
      <c r="CE85">
        <v>16</v>
      </c>
      <c r="CF85">
        <f>IF(CF20="","",CF19)</f>
        <v>0</v>
      </c>
      <c r="CG85">
        <v>16</v>
      </c>
      <c r="CH85">
        <f>CH19</f>
        <v>0</v>
      </c>
      <c r="CI85">
        <v>16</v>
      </c>
      <c r="CJ85">
        <f>IF(CJ20="","",CJ19)</f>
        <v>0</v>
      </c>
      <c r="CK85">
        <v>16</v>
      </c>
      <c r="CL85">
        <f>CL19</f>
        <v>0</v>
      </c>
      <c r="CM85">
        <v>16</v>
      </c>
      <c r="CN85">
        <f>IF(CN20="","",CN19)</f>
        <v>0</v>
      </c>
      <c r="CO85">
        <v>16</v>
      </c>
      <c r="CP85">
        <f>CP19</f>
        <v>0</v>
      </c>
      <c r="CQ85">
        <v>16</v>
      </c>
      <c r="CR85">
        <f>IF(CR20="","",CR19)</f>
        <v>0</v>
      </c>
      <c r="CS85">
        <v>16</v>
      </c>
      <c r="CT85">
        <f>CT19</f>
        <v>0</v>
      </c>
      <c r="CU85">
        <v>16</v>
      </c>
      <c r="CV85">
        <f>IF(CV20="","",CV19)</f>
        <v>0</v>
      </c>
      <c r="CW85">
        <v>16</v>
      </c>
      <c r="CX85">
        <f>CX19</f>
        <v>0</v>
      </c>
      <c r="CY85">
        <v>16</v>
      </c>
      <c r="CZ85">
        <f>IF(CZ20="","",CZ19)</f>
        <v>0</v>
      </c>
      <c r="DA85">
        <v>16</v>
      </c>
      <c r="DB85">
        <f>DB19</f>
        <v>0</v>
      </c>
      <c r="DC85">
        <v>16</v>
      </c>
      <c r="DD85">
        <f>IF(DD20="","",DD19)</f>
        <v>0</v>
      </c>
      <c r="DE85">
        <v>16</v>
      </c>
      <c r="DF85">
        <f>DF19</f>
        <v>0</v>
      </c>
      <c r="DG85">
        <v>16</v>
      </c>
      <c r="DH85">
        <f>IF(DH20="","",DH19)</f>
        <v>0</v>
      </c>
      <c r="DI85">
        <v>16</v>
      </c>
      <c r="DJ85">
        <f>DJ19</f>
        <v>0</v>
      </c>
      <c r="DK85">
        <v>16</v>
      </c>
      <c r="DL85">
        <f>IF(DL20="","",DL19)</f>
        <v>0</v>
      </c>
      <c r="DM85">
        <v>16</v>
      </c>
      <c r="DN85">
        <f>DN19</f>
        <v>0</v>
      </c>
      <c r="DO85">
        <v>16</v>
      </c>
      <c r="DP85">
        <f>IF(DP20="","",DP19)</f>
        <v>0</v>
      </c>
      <c r="DQ85">
        <v>16</v>
      </c>
      <c r="DR85">
        <f>DR19</f>
        <v>0</v>
      </c>
      <c r="DS85">
        <v>16</v>
      </c>
      <c r="DT85">
        <f>IF(DT20="","",DT19)</f>
        <v>0</v>
      </c>
      <c r="DU85">
        <v>16</v>
      </c>
      <c r="DV85">
        <f>DV19</f>
        <v>0</v>
      </c>
      <c r="DW85">
        <v>16</v>
      </c>
      <c r="DX85">
        <f>IF(DX20="","",DX19)</f>
        <v>0</v>
      </c>
      <c r="DY85">
        <v>16</v>
      </c>
      <c r="DZ85">
        <f>DZ19</f>
        <v>0</v>
      </c>
      <c r="EA85">
        <v>16</v>
      </c>
      <c r="EB85">
        <f>IF(EB20="","",EB19)</f>
        <v>0</v>
      </c>
      <c r="EC85">
        <v>16</v>
      </c>
      <c r="ED85">
        <f>ED19</f>
        <v>0</v>
      </c>
    </row>
    <row r="86" spans="5:134">
      <c r="E86">
        <v>17</v>
      </c>
      <c r="F86">
        <f>IF(F21="","",F20)</f>
        <v>0</v>
      </c>
      <c r="G86">
        <v>17</v>
      </c>
      <c r="H86">
        <f>H20</f>
        <v>0</v>
      </c>
      <c r="I86">
        <v>17</v>
      </c>
      <c r="J86">
        <f>IF(J21="","",J20)</f>
        <v>0</v>
      </c>
      <c r="K86">
        <v>17</v>
      </c>
      <c r="L86">
        <f>L20</f>
        <v>0</v>
      </c>
      <c r="M86">
        <v>17</v>
      </c>
      <c r="N86">
        <f>IF(N21="","",N20)</f>
        <v>0</v>
      </c>
      <c r="O86">
        <v>17</v>
      </c>
      <c r="P86">
        <f>P20</f>
        <v>0</v>
      </c>
      <c r="Q86">
        <v>17</v>
      </c>
      <c r="R86">
        <f>IF(R21="","",R20)</f>
        <v>0</v>
      </c>
      <c r="S86">
        <v>17</v>
      </c>
      <c r="T86">
        <f>T20</f>
        <v>0</v>
      </c>
      <c r="U86">
        <v>17</v>
      </c>
      <c r="V86">
        <f>IF(V21="","",V20)</f>
        <v>0</v>
      </c>
      <c r="W86">
        <v>17</v>
      </c>
      <c r="X86">
        <f>X20</f>
        <v>0</v>
      </c>
      <c r="Y86">
        <v>17</v>
      </c>
      <c r="Z86">
        <f>IF(Z21="","",Z20)</f>
        <v>0</v>
      </c>
      <c r="AA86">
        <v>17</v>
      </c>
      <c r="AB86">
        <f>AB20</f>
        <v>0</v>
      </c>
      <c r="AC86">
        <v>17</v>
      </c>
      <c r="AD86">
        <f>IF(AD21="","",AD20)</f>
        <v>0</v>
      </c>
      <c r="AE86">
        <v>17</v>
      </c>
      <c r="AF86">
        <f>AF20</f>
        <v>0</v>
      </c>
      <c r="AG86">
        <v>17</v>
      </c>
      <c r="AH86">
        <f>IF(AH21="","",AH20)</f>
        <v>0</v>
      </c>
      <c r="AI86">
        <v>17</v>
      </c>
      <c r="AJ86">
        <f>AJ20</f>
        <v>0</v>
      </c>
      <c r="AK86">
        <v>17</v>
      </c>
      <c r="AL86">
        <f>IF(AL21="","",AL20)</f>
        <v>0</v>
      </c>
      <c r="AM86">
        <v>17</v>
      </c>
      <c r="AN86">
        <f>AN20</f>
        <v>0</v>
      </c>
      <c r="AO86">
        <v>17</v>
      </c>
      <c r="AP86">
        <f>IF(AP21="","",AP20)</f>
        <v>0</v>
      </c>
      <c r="AQ86">
        <v>17</v>
      </c>
      <c r="AR86">
        <f>AR20</f>
        <v>0</v>
      </c>
      <c r="AS86">
        <v>17</v>
      </c>
      <c r="AT86">
        <f>IF(AT21="","",AT20)</f>
        <v>0</v>
      </c>
      <c r="AU86">
        <v>17</v>
      </c>
      <c r="AV86">
        <f>AV20</f>
        <v>0</v>
      </c>
      <c r="AW86">
        <v>17</v>
      </c>
      <c r="AX86">
        <f>IF(AX21="","",AX20)</f>
        <v>0</v>
      </c>
      <c r="AY86">
        <v>17</v>
      </c>
      <c r="AZ86">
        <f>AZ20</f>
        <v>0</v>
      </c>
      <c r="BA86">
        <v>17</v>
      </c>
      <c r="BB86">
        <f>IF(BB21="","",BB20)</f>
        <v>0</v>
      </c>
      <c r="BC86">
        <v>17</v>
      </c>
      <c r="BD86">
        <f>BD20</f>
        <v>0</v>
      </c>
      <c r="BE86">
        <v>17</v>
      </c>
      <c r="BF86">
        <f>IF(BF21="","",BF20)</f>
        <v>0</v>
      </c>
      <c r="BG86">
        <v>17</v>
      </c>
      <c r="BH86">
        <f>BH20</f>
        <v>0</v>
      </c>
      <c r="BI86">
        <v>17</v>
      </c>
      <c r="BJ86">
        <f>IF(BJ21="","",BJ20)</f>
        <v>0</v>
      </c>
      <c r="BK86">
        <v>17</v>
      </c>
      <c r="BL86">
        <f>BL20</f>
        <v>0</v>
      </c>
      <c r="BM86">
        <v>17</v>
      </c>
      <c r="BN86">
        <f>IF(BN21="","",BN20)</f>
        <v>0</v>
      </c>
      <c r="BO86">
        <v>17</v>
      </c>
      <c r="BP86">
        <f>BP20</f>
        <v>0</v>
      </c>
      <c r="BS86">
        <v>17</v>
      </c>
      <c r="BT86">
        <f>IF(BT21="","",BT20)</f>
        <v>0</v>
      </c>
      <c r="BU86">
        <v>17</v>
      </c>
      <c r="BV86">
        <f>BV20</f>
        <v>0</v>
      </c>
      <c r="BW86">
        <v>17</v>
      </c>
      <c r="BX86">
        <f>IF(BX21="","",BX20)</f>
        <v>0</v>
      </c>
      <c r="BY86">
        <v>17</v>
      </c>
      <c r="BZ86">
        <f>BZ20</f>
        <v>0</v>
      </c>
      <c r="CA86">
        <v>17</v>
      </c>
      <c r="CB86">
        <f>IF(CB21="","",CB20)</f>
        <v>0</v>
      </c>
      <c r="CC86">
        <v>17</v>
      </c>
      <c r="CD86">
        <f>CD20</f>
        <v>0</v>
      </c>
      <c r="CE86">
        <v>17</v>
      </c>
      <c r="CF86">
        <f>IF(CF21="","",CF20)</f>
        <v>0</v>
      </c>
      <c r="CG86">
        <v>17</v>
      </c>
      <c r="CH86">
        <f>CH20</f>
        <v>0</v>
      </c>
      <c r="CI86">
        <v>17</v>
      </c>
      <c r="CJ86">
        <f>IF(CJ21="","",CJ20)</f>
        <v>0</v>
      </c>
      <c r="CK86">
        <v>17</v>
      </c>
      <c r="CL86">
        <f>CL20</f>
        <v>0</v>
      </c>
      <c r="CM86">
        <v>17</v>
      </c>
      <c r="CN86">
        <f>IF(CN21="","",CN20)</f>
        <v>0</v>
      </c>
      <c r="CO86">
        <v>17</v>
      </c>
      <c r="CP86">
        <f>CP20</f>
        <v>0</v>
      </c>
      <c r="CQ86">
        <v>17</v>
      </c>
      <c r="CR86">
        <f>IF(CR21="","",CR20)</f>
        <v>0</v>
      </c>
      <c r="CS86">
        <v>17</v>
      </c>
      <c r="CT86">
        <f>CT20</f>
        <v>0</v>
      </c>
      <c r="CU86">
        <v>17</v>
      </c>
      <c r="CV86">
        <f>IF(CV21="","",CV20)</f>
        <v>0</v>
      </c>
      <c r="CW86">
        <v>17</v>
      </c>
      <c r="CX86">
        <f>CX20</f>
        <v>0</v>
      </c>
      <c r="CY86">
        <v>17</v>
      </c>
      <c r="CZ86">
        <f>IF(CZ21="","",CZ20)</f>
        <v>0</v>
      </c>
      <c r="DA86">
        <v>17</v>
      </c>
      <c r="DB86">
        <f>DB20</f>
        <v>0</v>
      </c>
      <c r="DC86">
        <v>17</v>
      </c>
      <c r="DD86">
        <f>IF(DD21="","",DD20)</f>
        <v>0</v>
      </c>
      <c r="DE86">
        <v>17</v>
      </c>
      <c r="DF86">
        <f>DF20</f>
        <v>0</v>
      </c>
      <c r="DG86">
        <v>17</v>
      </c>
      <c r="DH86">
        <f>IF(DH21="","",DH20)</f>
        <v>0</v>
      </c>
      <c r="DI86">
        <v>17</v>
      </c>
      <c r="DJ86">
        <f>DJ20</f>
        <v>0</v>
      </c>
      <c r="DK86">
        <v>17</v>
      </c>
      <c r="DL86">
        <f>IF(DL21="","",DL20)</f>
        <v>0</v>
      </c>
      <c r="DM86">
        <v>17</v>
      </c>
      <c r="DN86">
        <f>DN20</f>
        <v>0</v>
      </c>
      <c r="DO86">
        <v>17</v>
      </c>
      <c r="DP86">
        <f>IF(DP21="","",DP20)</f>
        <v>0</v>
      </c>
      <c r="DQ86">
        <v>17</v>
      </c>
      <c r="DR86">
        <f>DR20</f>
        <v>0</v>
      </c>
      <c r="DS86">
        <v>17</v>
      </c>
      <c r="DT86">
        <f>IF(DT21="","",DT20)</f>
        <v>0</v>
      </c>
      <c r="DU86">
        <v>17</v>
      </c>
      <c r="DV86">
        <f>DV20</f>
        <v>0</v>
      </c>
      <c r="DW86">
        <v>17</v>
      </c>
      <c r="DX86">
        <f>IF(DX21="","",DX20)</f>
        <v>0</v>
      </c>
      <c r="DY86">
        <v>17</v>
      </c>
      <c r="DZ86">
        <f>DZ20</f>
        <v>0</v>
      </c>
      <c r="EA86">
        <v>17</v>
      </c>
      <c r="EB86">
        <f>IF(EB21="","",EB20)</f>
        <v>0</v>
      </c>
      <c r="EC86">
        <v>17</v>
      </c>
      <c r="ED86">
        <f>ED20</f>
        <v>0</v>
      </c>
    </row>
    <row r="87" spans="5:134">
      <c r="E87">
        <v>18</v>
      </c>
      <c r="F87">
        <f>IF(F22="","",F21)</f>
        <v>0</v>
      </c>
      <c r="G87">
        <v>18</v>
      </c>
      <c r="H87">
        <f>H21</f>
        <v>0</v>
      </c>
      <c r="I87">
        <v>18</v>
      </c>
      <c r="J87">
        <f>IF(J22="","",J21)</f>
        <v>0</v>
      </c>
      <c r="K87">
        <v>18</v>
      </c>
      <c r="L87">
        <f>L21</f>
        <v>0</v>
      </c>
      <c r="M87">
        <v>18</v>
      </c>
      <c r="N87">
        <f>IF(N22="","",N21)</f>
        <v>0</v>
      </c>
      <c r="O87">
        <v>18</v>
      </c>
      <c r="P87">
        <f>P21</f>
        <v>0</v>
      </c>
      <c r="Q87">
        <v>18</v>
      </c>
      <c r="R87">
        <f>IF(R22="","",R21)</f>
        <v>0</v>
      </c>
      <c r="S87">
        <v>18</v>
      </c>
      <c r="T87">
        <f>T21</f>
        <v>0</v>
      </c>
      <c r="U87">
        <v>18</v>
      </c>
      <c r="V87">
        <f>IF(V22="","",V21)</f>
        <v>0</v>
      </c>
      <c r="W87">
        <v>18</v>
      </c>
      <c r="X87">
        <f>X21</f>
        <v>0</v>
      </c>
      <c r="Y87">
        <v>18</v>
      </c>
      <c r="Z87">
        <f>IF(Z22="","",Z21)</f>
        <v>0</v>
      </c>
      <c r="AA87">
        <v>18</v>
      </c>
      <c r="AB87">
        <f>AB21</f>
        <v>0</v>
      </c>
      <c r="AC87">
        <v>18</v>
      </c>
      <c r="AD87">
        <f>IF(AD22="","",AD21)</f>
        <v>0</v>
      </c>
      <c r="AE87">
        <v>18</v>
      </c>
      <c r="AF87">
        <f>AF21</f>
        <v>0</v>
      </c>
      <c r="AG87">
        <v>18</v>
      </c>
      <c r="AH87">
        <f>IF(AH22="","",AH21)</f>
        <v>0</v>
      </c>
      <c r="AI87">
        <v>18</v>
      </c>
      <c r="AJ87">
        <f>AJ21</f>
        <v>0</v>
      </c>
      <c r="AK87">
        <v>18</v>
      </c>
      <c r="AL87">
        <f>IF(AL22="","",AL21)</f>
        <v>0</v>
      </c>
      <c r="AM87">
        <v>18</v>
      </c>
      <c r="AN87">
        <f>AN21</f>
        <v>0</v>
      </c>
      <c r="AO87">
        <v>18</v>
      </c>
      <c r="AP87">
        <f>IF(AP22="","",AP21)</f>
        <v>0</v>
      </c>
      <c r="AQ87">
        <v>18</v>
      </c>
      <c r="AR87">
        <f>AR21</f>
        <v>0</v>
      </c>
      <c r="AS87">
        <v>18</v>
      </c>
      <c r="AT87">
        <f>IF(AT22="","",AT21)</f>
        <v>0</v>
      </c>
      <c r="AU87">
        <v>18</v>
      </c>
      <c r="AV87">
        <f>AV21</f>
        <v>0</v>
      </c>
      <c r="AW87">
        <v>18</v>
      </c>
      <c r="AX87">
        <f>IF(AX22="","",AX21)</f>
        <v>0</v>
      </c>
      <c r="AY87">
        <v>18</v>
      </c>
      <c r="AZ87">
        <f>AZ21</f>
        <v>0</v>
      </c>
      <c r="BA87">
        <v>18</v>
      </c>
      <c r="BB87">
        <f>IF(BB22="","",BB21)</f>
        <v>0</v>
      </c>
      <c r="BC87">
        <v>18</v>
      </c>
      <c r="BD87">
        <f>BD21</f>
        <v>0</v>
      </c>
      <c r="BE87">
        <v>18</v>
      </c>
      <c r="BF87">
        <f>IF(BF22="","",BF21)</f>
        <v>0</v>
      </c>
      <c r="BG87">
        <v>18</v>
      </c>
      <c r="BH87">
        <f>BH21</f>
        <v>0</v>
      </c>
      <c r="BI87">
        <v>18</v>
      </c>
      <c r="BJ87">
        <f>IF(BJ22="","",BJ21)</f>
        <v>0</v>
      </c>
      <c r="BK87">
        <v>18</v>
      </c>
      <c r="BL87">
        <f>BL21</f>
        <v>0</v>
      </c>
      <c r="BM87">
        <v>18</v>
      </c>
      <c r="BN87">
        <f>IF(BN22="","",BN21)</f>
        <v>0</v>
      </c>
      <c r="BO87">
        <v>18</v>
      </c>
      <c r="BP87">
        <f>BP21</f>
        <v>0</v>
      </c>
      <c r="BS87">
        <v>18</v>
      </c>
      <c r="BT87">
        <f>IF(BT22="","",BT21)</f>
        <v>0</v>
      </c>
      <c r="BU87">
        <v>18</v>
      </c>
      <c r="BV87">
        <f>BV21</f>
        <v>0</v>
      </c>
      <c r="BW87">
        <v>18</v>
      </c>
      <c r="BX87">
        <f>IF(BX22="","",BX21)</f>
        <v>0</v>
      </c>
      <c r="BY87">
        <v>18</v>
      </c>
      <c r="BZ87">
        <f>BZ21</f>
        <v>0</v>
      </c>
      <c r="CA87">
        <v>18</v>
      </c>
      <c r="CB87">
        <f>IF(CB22="","",CB21)</f>
        <v>0</v>
      </c>
      <c r="CC87">
        <v>18</v>
      </c>
      <c r="CD87">
        <f>CD21</f>
        <v>0</v>
      </c>
      <c r="CE87">
        <v>18</v>
      </c>
      <c r="CF87">
        <f>IF(CF22="","",CF21)</f>
        <v>0</v>
      </c>
      <c r="CG87">
        <v>18</v>
      </c>
      <c r="CH87">
        <f>CH21</f>
        <v>0</v>
      </c>
      <c r="CI87">
        <v>18</v>
      </c>
      <c r="CJ87">
        <f>IF(CJ22="","",CJ21)</f>
        <v>0</v>
      </c>
      <c r="CK87">
        <v>18</v>
      </c>
      <c r="CL87">
        <f>CL21</f>
        <v>0</v>
      </c>
      <c r="CM87">
        <v>18</v>
      </c>
      <c r="CN87">
        <f>IF(CN22="","",CN21)</f>
        <v>0</v>
      </c>
      <c r="CO87">
        <v>18</v>
      </c>
      <c r="CP87">
        <f>CP21</f>
        <v>0</v>
      </c>
      <c r="CQ87">
        <v>18</v>
      </c>
      <c r="CR87">
        <f>IF(CR22="","",CR21)</f>
        <v>0</v>
      </c>
      <c r="CS87">
        <v>18</v>
      </c>
      <c r="CT87">
        <f>CT21</f>
        <v>0</v>
      </c>
      <c r="CU87">
        <v>18</v>
      </c>
      <c r="CV87">
        <f>IF(CV22="","",CV21)</f>
        <v>0</v>
      </c>
      <c r="CW87">
        <v>18</v>
      </c>
      <c r="CX87">
        <f>CX21</f>
        <v>0</v>
      </c>
      <c r="CY87">
        <v>18</v>
      </c>
      <c r="CZ87">
        <f>IF(CZ22="","",CZ21)</f>
        <v>0</v>
      </c>
      <c r="DA87">
        <v>18</v>
      </c>
      <c r="DB87">
        <f>DB21</f>
        <v>0</v>
      </c>
      <c r="DC87">
        <v>18</v>
      </c>
      <c r="DD87">
        <f>IF(DD22="","",DD21)</f>
        <v>0</v>
      </c>
      <c r="DE87">
        <v>18</v>
      </c>
      <c r="DF87">
        <f>DF21</f>
        <v>0</v>
      </c>
      <c r="DG87">
        <v>18</v>
      </c>
      <c r="DH87">
        <f>IF(DH22="","",DH21)</f>
        <v>0</v>
      </c>
      <c r="DI87">
        <v>18</v>
      </c>
      <c r="DJ87">
        <f>DJ21</f>
        <v>0</v>
      </c>
      <c r="DK87">
        <v>18</v>
      </c>
      <c r="DL87">
        <f>IF(DL22="","",DL21)</f>
        <v>0</v>
      </c>
      <c r="DM87">
        <v>18</v>
      </c>
      <c r="DN87">
        <f>DN21</f>
        <v>0</v>
      </c>
      <c r="DO87">
        <v>18</v>
      </c>
      <c r="DP87">
        <f>IF(DP22="","",DP21)</f>
        <v>0</v>
      </c>
      <c r="DQ87">
        <v>18</v>
      </c>
      <c r="DR87">
        <f>DR21</f>
        <v>0</v>
      </c>
      <c r="DS87">
        <v>18</v>
      </c>
      <c r="DT87">
        <f>IF(DT22="","",DT21)</f>
        <v>0</v>
      </c>
      <c r="DU87">
        <v>18</v>
      </c>
      <c r="DV87">
        <f>DV21</f>
        <v>0</v>
      </c>
      <c r="DW87">
        <v>18</v>
      </c>
      <c r="DX87">
        <f>IF(DX22="","",DX21)</f>
        <v>0</v>
      </c>
      <c r="DY87">
        <v>18</v>
      </c>
      <c r="DZ87">
        <f>DZ21</f>
        <v>0</v>
      </c>
      <c r="EA87">
        <v>18</v>
      </c>
      <c r="EB87">
        <f>IF(EB22="","",EB21)</f>
        <v>0</v>
      </c>
      <c r="EC87">
        <v>18</v>
      </c>
      <c r="ED87">
        <f>ED21</f>
        <v>0</v>
      </c>
    </row>
    <row r="88" spans="5:134">
      <c r="E88">
        <v>19</v>
      </c>
      <c r="F88">
        <f>IF(F23="","",F22)</f>
        <v>0</v>
      </c>
      <c r="G88">
        <v>19</v>
      </c>
      <c r="H88">
        <f>H22</f>
        <v>0</v>
      </c>
      <c r="I88">
        <v>19</v>
      </c>
      <c r="J88">
        <f>IF(J23="","",J22)</f>
        <v>0</v>
      </c>
      <c r="K88">
        <v>19</v>
      </c>
      <c r="L88">
        <f>L22</f>
        <v>0</v>
      </c>
      <c r="M88">
        <v>19</v>
      </c>
      <c r="N88">
        <f>IF(N23="","",N22)</f>
        <v>0</v>
      </c>
      <c r="O88">
        <v>19</v>
      </c>
      <c r="P88">
        <f>P22</f>
        <v>0</v>
      </c>
      <c r="Q88">
        <v>19</v>
      </c>
      <c r="R88">
        <f>IF(R23="","",R22)</f>
        <v>0</v>
      </c>
      <c r="S88">
        <v>19</v>
      </c>
      <c r="T88">
        <f>T22</f>
        <v>0</v>
      </c>
      <c r="U88">
        <v>19</v>
      </c>
      <c r="V88">
        <f>IF(V23="","",V22)</f>
        <v>0</v>
      </c>
      <c r="W88">
        <v>19</v>
      </c>
      <c r="X88">
        <f>X22</f>
        <v>0</v>
      </c>
      <c r="Y88">
        <v>19</v>
      </c>
      <c r="Z88">
        <f>IF(Z23="","",Z22)</f>
        <v>0</v>
      </c>
      <c r="AA88">
        <v>19</v>
      </c>
      <c r="AB88">
        <f>AB22</f>
        <v>0</v>
      </c>
      <c r="AC88">
        <v>19</v>
      </c>
      <c r="AD88">
        <f>IF(AD23="","",AD22)</f>
        <v>0</v>
      </c>
      <c r="AE88">
        <v>19</v>
      </c>
      <c r="AF88">
        <f>AF22</f>
        <v>0</v>
      </c>
      <c r="AG88">
        <v>19</v>
      </c>
      <c r="AH88">
        <f>IF(AH23="","",AH22)</f>
        <v>0</v>
      </c>
      <c r="AI88">
        <v>19</v>
      </c>
      <c r="AJ88">
        <f>AJ22</f>
        <v>0</v>
      </c>
      <c r="AK88">
        <v>19</v>
      </c>
      <c r="AL88">
        <f>IF(AL23="","",AL22)</f>
        <v>0</v>
      </c>
      <c r="AM88">
        <v>19</v>
      </c>
      <c r="AN88">
        <f>AN22</f>
        <v>0</v>
      </c>
      <c r="AO88">
        <v>19</v>
      </c>
      <c r="AP88">
        <f>IF(AP23="","",AP22)</f>
        <v>0</v>
      </c>
      <c r="AQ88">
        <v>19</v>
      </c>
      <c r="AR88">
        <f>AR22</f>
        <v>0</v>
      </c>
      <c r="AS88">
        <v>19</v>
      </c>
      <c r="AT88">
        <f>IF(AT23="","",AT22)</f>
        <v>0</v>
      </c>
      <c r="AU88">
        <v>19</v>
      </c>
      <c r="AV88">
        <f>AV22</f>
        <v>0</v>
      </c>
      <c r="AW88">
        <v>19</v>
      </c>
      <c r="AX88">
        <f>IF(AX23="","",AX22)</f>
        <v>0</v>
      </c>
      <c r="AY88">
        <v>19</v>
      </c>
      <c r="AZ88">
        <f>AZ22</f>
        <v>0</v>
      </c>
      <c r="BA88">
        <v>19</v>
      </c>
      <c r="BB88">
        <f>IF(BB23="","",BB22)</f>
        <v>0</v>
      </c>
      <c r="BC88">
        <v>19</v>
      </c>
      <c r="BD88">
        <f>BD22</f>
        <v>0</v>
      </c>
      <c r="BE88">
        <v>19</v>
      </c>
      <c r="BF88">
        <f>IF(BF23="","",BF22)</f>
        <v>0</v>
      </c>
      <c r="BG88">
        <v>19</v>
      </c>
      <c r="BH88">
        <f>BH22</f>
        <v>0</v>
      </c>
      <c r="BI88">
        <v>19</v>
      </c>
      <c r="BJ88">
        <f>IF(BJ23="","",BJ22)</f>
        <v>0</v>
      </c>
      <c r="BK88">
        <v>19</v>
      </c>
      <c r="BL88">
        <f>BL22</f>
        <v>0</v>
      </c>
      <c r="BM88">
        <v>19</v>
      </c>
      <c r="BN88">
        <f>IF(BN23="","",BN22)</f>
        <v>0</v>
      </c>
      <c r="BO88">
        <v>19</v>
      </c>
      <c r="BP88">
        <f>BP22</f>
        <v>0</v>
      </c>
      <c r="BS88">
        <v>19</v>
      </c>
      <c r="BT88">
        <f>IF(BT23="","",BT22)</f>
        <v>0</v>
      </c>
      <c r="BU88">
        <v>19</v>
      </c>
      <c r="BV88">
        <f>BV22</f>
        <v>0</v>
      </c>
      <c r="BW88">
        <v>19</v>
      </c>
      <c r="BX88">
        <f>IF(BX23="","",BX22)</f>
        <v>0</v>
      </c>
      <c r="BY88">
        <v>19</v>
      </c>
      <c r="BZ88">
        <f>BZ22</f>
        <v>0</v>
      </c>
      <c r="CA88">
        <v>19</v>
      </c>
      <c r="CB88">
        <f>IF(CB23="","",CB22)</f>
        <v>0</v>
      </c>
      <c r="CC88">
        <v>19</v>
      </c>
      <c r="CD88">
        <f>CD22</f>
        <v>0</v>
      </c>
      <c r="CE88">
        <v>19</v>
      </c>
      <c r="CF88">
        <f>IF(CF23="","",CF22)</f>
        <v>0</v>
      </c>
      <c r="CG88">
        <v>19</v>
      </c>
      <c r="CH88">
        <f>CH22</f>
        <v>0</v>
      </c>
      <c r="CI88">
        <v>19</v>
      </c>
      <c r="CJ88">
        <f>IF(CJ23="","",CJ22)</f>
        <v>0</v>
      </c>
      <c r="CK88">
        <v>19</v>
      </c>
      <c r="CL88">
        <f>CL22</f>
        <v>0</v>
      </c>
      <c r="CM88">
        <v>19</v>
      </c>
      <c r="CN88">
        <f>IF(CN23="","",CN22)</f>
        <v>0</v>
      </c>
      <c r="CO88">
        <v>19</v>
      </c>
      <c r="CP88">
        <f>CP22</f>
        <v>0</v>
      </c>
      <c r="CQ88">
        <v>19</v>
      </c>
      <c r="CR88">
        <f>IF(CR23="","",CR22)</f>
        <v>0</v>
      </c>
      <c r="CS88">
        <v>19</v>
      </c>
      <c r="CT88">
        <f>CT22</f>
        <v>0</v>
      </c>
      <c r="CU88">
        <v>19</v>
      </c>
      <c r="CV88">
        <f>IF(CV23="","",CV22)</f>
        <v>0</v>
      </c>
      <c r="CW88">
        <v>19</v>
      </c>
      <c r="CX88">
        <f>CX22</f>
        <v>0</v>
      </c>
      <c r="CY88">
        <v>19</v>
      </c>
      <c r="CZ88">
        <f>IF(CZ23="","",CZ22)</f>
        <v>0</v>
      </c>
      <c r="DA88">
        <v>19</v>
      </c>
      <c r="DB88">
        <f>DB22</f>
        <v>0</v>
      </c>
      <c r="DC88">
        <v>19</v>
      </c>
      <c r="DD88">
        <f>IF(DD23="","",DD22)</f>
        <v>0</v>
      </c>
      <c r="DE88">
        <v>19</v>
      </c>
      <c r="DF88">
        <f>DF22</f>
        <v>0</v>
      </c>
      <c r="DG88">
        <v>19</v>
      </c>
      <c r="DH88">
        <f>IF(DH23="","",DH22)</f>
        <v>0</v>
      </c>
      <c r="DI88">
        <v>19</v>
      </c>
      <c r="DJ88">
        <f>DJ22</f>
        <v>0</v>
      </c>
      <c r="DK88">
        <v>19</v>
      </c>
      <c r="DL88">
        <f>IF(DL23="","",DL22)</f>
        <v>0</v>
      </c>
      <c r="DM88">
        <v>19</v>
      </c>
      <c r="DN88">
        <f>DN22</f>
        <v>0</v>
      </c>
      <c r="DO88">
        <v>19</v>
      </c>
      <c r="DP88">
        <f>IF(DP23="","",DP22)</f>
        <v>0</v>
      </c>
      <c r="DQ88">
        <v>19</v>
      </c>
      <c r="DR88">
        <f>DR22</f>
        <v>0</v>
      </c>
      <c r="DS88">
        <v>19</v>
      </c>
      <c r="DT88">
        <f>IF(DT23="","",DT22)</f>
        <v>0</v>
      </c>
      <c r="DU88">
        <v>19</v>
      </c>
      <c r="DV88">
        <f>DV22</f>
        <v>0</v>
      </c>
      <c r="DW88">
        <v>19</v>
      </c>
      <c r="DX88">
        <f>IF(DX23="","",DX22)</f>
        <v>0</v>
      </c>
      <c r="DY88">
        <v>19</v>
      </c>
      <c r="DZ88">
        <f>DZ22</f>
        <v>0</v>
      </c>
      <c r="EA88">
        <v>19</v>
      </c>
      <c r="EB88">
        <f>IF(EB23="","",EB22)</f>
        <v>0</v>
      </c>
      <c r="EC88">
        <v>19</v>
      </c>
      <c r="ED88">
        <f>ED22</f>
        <v>0</v>
      </c>
    </row>
    <row r="89" spans="5:134">
      <c r="E89">
        <v>20</v>
      </c>
      <c r="F89">
        <f>IF(F24="","",F23)</f>
        <v>0</v>
      </c>
      <c r="G89">
        <v>20</v>
      </c>
      <c r="H89">
        <f>H23</f>
        <v>0</v>
      </c>
      <c r="I89">
        <v>20</v>
      </c>
      <c r="J89">
        <f>IF(J24="","",J23)</f>
        <v>0</v>
      </c>
      <c r="K89">
        <v>20</v>
      </c>
      <c r="L89">
        <f>L23</f>
        <v>0</v>
      </c>
      <c r="M89">
        <v>20</v>
      </c>
      <c r="N89">
        <f>IF(N24="","",N23)</f>
        <v>0</v>
      </c>
      <c r="O89">
        <v>20</v>
      </c>
      <c r="P89">
        <f>P23</f>
        <v>0</v>
      </c>
      <c r="Q89">
        <v>20</v>
      </c>
      <c r="R89">
        <f>IF(R24="","",R23)</f>
        <v>0</v>
      </c>
      <c r="S89">
        <v>20</v>
      </c>
      <c r="T89">
        <f>T23</f>
        <v>0</v>
      </c>
      <c r="U89">
        <v>20</v>
      </c>
      <c r="V89">
        <f>IF(V24="","",V23)</f>
        <v>0</v>
      </c>
      <c r="W89">
        <v>20</v>
      </c>
      <c r="X89">
        <f>X23</f>
        <v>0</v>
      </c>
      <c r="Y89">
        <v>20</v>
      </c>
      <c r="Z89">
        <f>IF(Z24="","",Z23)</f>
        <v>0</v>
      </c>
      <c r="AA89">
        <v>20</v>
      </c>
      <c r="AB89">
        <f>AB23</f>
        <v>0</v>
      </c>
      <c r="AC89">
        <v>20</v>
      </c>
      <c r="AD89">
        <f>IF(AD24="","",AD23)</f>
        <v>0</v>
      </c>
      <c r="AE89">
        <v>20</v>
      </c>
      <c r="AF89">
        <f>AF23</f>
        <v>0</v>
      </c>
      <c r="AG89">
        <v>20</v>
      </c>
      <c r="AH89">
        <f>IF(AH24="","",AH23)</f>
        <v>0</v>
      </c>
      <c r="AI89">
        <v>20</v>
      </c>
      <c r="AJ89">
        <f>AJ23</f>
        <v>0</v>
      </c>
      <c r="AK89">
        <v>20</v>
      </c>
      <c r="AL89">
        <f>IF(AL24="","",AL23)</f>
        <v>0</v>
      </c>
      <c r="AM89">
        <v>20</v>
      </c>
      <c r="AN89">
        <f>AN23</f>
        <v>0</v>
      </c>
      <c r="AO89">
        <v>20</v>
      </c>
      <c r="AP89">
        <f>IF(AP24="","",AP23)</f>
        <v>0</v>
      </c>
      <c r="AQ89">
        <v>20</v>
      </c>
      <c r="AR89">
        <f>AR23</f>
        <v>0</v>
      </c>
      <c r="AS89">
        <v>20</v>
      </c>
      <c r="AT89">
        <f>IF(AT24="","",AT23)</f>
        <v>0</v>
      </c>
      <c r="AU89">
        <v>20</v>
      </c>
      <c r="AV89">
        <f>AV23</f>
        <v>0</v>
      </c>
      <c r="AW89">
        <v>20</v>
      </c>
      <c r="AX89">
        <f>IF(AX24="","",AX23)</f>
        <v>0</v>
      </c>
      <c r="AY89">
        <v>20</v>
      </c>
      <c r="AZ89">
        <f>AZ23</f>
        <v>0</v>
      </c>
      <c r="BA89">
        <v>20</v>
      </c>
      <c r="BB89">
        <f>IF(BB24="","",BB23)</f>
        <v>0</v>
      </c>
      <c r="BC89">
        <v>20</v>
      </c>
      <c r="BD89">
        <f>BD23</f>
        <v>0</v>
      </c>
      <c r="BE89">
        <v>20</v>
      </c>
      <c r="BF89">
        <f>IF(BF24="","",BF23)</f>
        <v>0</v>
      </c>
      <c r="BG89">
        <v>20</v>
      </c>
      <c r="BH89">
        <f>BH23</f>
        <v>0</v>
      </c>
      <c r="BI89">
        <v>20</v>
      </c>
      <c r="BJ89">
        <f>IF(BJ24="","",BJ23)</f>
        <v>0</v>
      </c>
      <c r="BK89">
        <v>20</v>
      </c>
      <c r="BL89">
        <f>BL23</f>
        <v>0</v>
      </c>
      <c r="BM89">
        <v>20</v>
      </c>
      <c r="BN89">
        <f>IF(BN24="","",BN23)</f>
        <v>0</v>
      </c>
      <c r="BO89">
        <v>20</v>
      </c>
      <c r="BP89">
        <f>BP23</f>
        <v>0</v>
      </c>
      <c r="BS89">
        <v>20</v>
      </c>
      <c r="BT89">
        <f>IF(BT24="","",BT23)</f>
        <v>0</v>
      </c>
      <c r="BU89">
        <v>20</v>
      </c>
      <c r="BV89">
        <f>BV23</f>
        <v>0</v>
      </c>
      <c r="BW89">
        <v>20</v>
      </c>
      <c r="BX89">
        <f>IF(BX24="","",BX23)</f>
        <v>0</v>
      </c>
      <c r="BY89">
        <v>20</v>
      </c>
      <c r="BZ89">
        <f>BZ23</f>
        <v>0</v>
      </c>
      <c r="CA89">
        <v>20</v>
      </c>
      <c r="CB89">
        <f>IF(CB24="","",CB23)</f>
        <v>0</v>
      </c>
      <c r="CC89">
        <v>20</v>
      </c>
      <c r="CD89">
        <f>CD23</f>
        <v>0</v>
      </c>
      <c r="CE89">
        <v>20</v>
      </c>
      <c r="CF89">
        <f>IF(CF24="","",CF23)</f>
        <v>0</v>
      </c>
      <c r="CG89">
        <v>20</v>
      </c>
      <c r="CH89">
        <f>CH23</f>
        <v>0</v>
      </c>
      <c r="CI89">
        <v>20</v>
      </c>
      <c r="CJ89">
        <f>IF(CJ24="","",CJ23)</f>
        <v>0</v>
      </c>
      <c r="CK89">
        <v>20</v>
      </c>
      <c r="CL89">
        <f>CL23</f>
        <v>0</v>
      </c>
      <c r="CM89">
        <v>20</v>
      </c>
      <c r="CN89">
        <f>IF(CN24="","",CN23)</f>
        <v>0</v>
      </c>
      <c r="CO89">
        <v>20</v>
      </c>
      <c r="CP89">
        <f>CP23</f>
        <v>0</v>
      </c>
      <c r="CQ89">
        <v>20</v>
      </c>
      <c r="CR89">
        <f>IF(CR24="","",CR23)</f>
        <v>0</v>
      </c>
      <c r="CS89">
        <v>20</v>
      </c>
      <c r="CT89">
        <f>CT23</f>
        <v>0</v>
      </c>
      <c r="CU89">
        <v>20</v>
      </c>
      <c r="CV89">
        <f>IF(CV24="","",CV23)</f>
        <v>0</v>
      </c>
      <c r="CW89">
        <v>20</v>
      </c>
      <c r="CX89">
        <f>CX23</f>
        <v>0</v>
      </c>
      <c r="CY89">
        <v>20</v>
      </c>
      <c r="CZ89">
        <f>IF(CZ24="","",CZ23)</f>
        <v>0</v>
      </c>
      <c r="DA89">
        <v>20</v>
      </c>
      <c r="DB89">
        <f>DB23</f>
        <v>0</v>
      </c>
      <c r="DC89">
        <v>20</v>
      </c>
      <c r="DD89">
        <f>IF(DD24="","",DD23)</f>
        <v>0</v>
      </c>
      <c r="DE89">
        <v>20</v>
      </c>
      <c r="DF89">
        <f>DF23</f>
        <v>0</v>
      </c>
      <c r="DG89">
        <v>20</v>
      </c>
      <c r="DH89">
        <f>IF(DH24="","",DH23)</f>
        <v>0</v>
      </c>
      <c r="DI89">
        <v>20</v>
      </c>
      <c r="DJ89">
        <f>DJ23</f>
        <v>0</v>
      </c>
      <c r="DK89">
        <v>20</v>
      </c>
      <c r="DL89">
        <f>IF(DL24="","",DL23)</f>
        <v>0</v>
      </c>
      <c r="DM89">
        <v>20</v>
      </c>
      <c r="DN89">
        <f>DN23</f>
        <v>0</v>
      </c>
      <c r="DO89">
        <v>20</v>
      </c>
      <c r="DP89">
        <f>IF(DP24="","",DP23)</f>
        <v>0</v>
      </c>
      <c r="DQ89">
        <v>20</v>
      </c>
      <c r="DR89">
        <f>DR23</f>
        <v>0</v>
      </c>
      <c r="DS89">
        <v>20</v>
      </c>
      <c r="DT89">
        <f>IF(DT24="","",DT23)</f>
        <v>0</v>
      </c>
      <c r="DU89">
        <v>20</v>
      </c>
      <c r="DV89">
        <f>DV23</f>
        <v>0</v>
      </c>
      <c r="DW89">
        <v>20</v>
      </c>
      <c r="DX89">
        <f>IF(DX24="","",DX23)</f>
        <v>0</v>
      </c>
      <c r="DY89">
        <v>20</v>
      </c>
      <c r="DZ89">
        <f>DZ23</f>
        <v>0</v>
      </c>
      <c r="EA89">
        <v>20</v>
      </c>
      <c r="EB89">
        <f>IF(EB24="","",EB23)</f>
        <v>0</v>
      </c>
      <c r="EC89">
        <v>20</v>
      </c>
      <c r="ED89">
        <f>ED23</f>
        <v>0</v>
      </c>
    </row>
    <row r="90" spans="5:134">
      <c r="E90">
        <v>21</v>
      </c>
      <c r="F90">
        <f>IF(F25="","",F24)</f>
        <v>0</v>
      </c>
      <c r="G90">
        <v>21</v>
      </c>
      <c r="H90">
        <f>H24</f>
        <v>0</v>
      </c>
      <c r="I90">
        <v>21</v>
      </c>
      <c r="J90">
        <f>IF(J25="","",J24)</f>
        <v>0</v>
      </c>
      <c r="K90">
        <v>21</v>
      </c>
      <c r="L90">
        <f>L24</f>
        <v>0</v>
      </c>
      <c r="M90">
        <v>21</v>
      </c>
      <c r="N90">
        <f>IF(N25="","",N24)</f>
        <v>0</v>
      </c>
      <c r="O90">
        <v>21</v>
      </c>
      <c r="P90">
        <f>P24</f>
        <v>0</v>
      </c>
      <c r="Q90">
        <v>21</v>
      </c>
      <c r="R90">
        <f>IF(R25="","",R24)</f>
        <v>0</v>
      </c>
      <c r="S90">
        <v>21</v>
      </c>
      <c r="T90">
        <f>T24</f>
        <v>0</v>
      </c>
      <c r="U90">
        <v>21</v>
      </c>
      <c r="V90">
        <f>IF(V25="","",V24)</f>
        <v>0</v>
      </c>
      <c r="W90">
        <v>21</v>
      </c>
      <c r="X90">
        <f>X24</f>
        <v>0</v>
      </c>
      <c r="Y90">
        <v>21</v>
      </c>
      <c r="Z90">
        <f>IF(Z25="","",Z24)</f>
        <v>0</v>
      </c>
      <c r="AA90">
        <v>21</v>
      </c>
      <c r="AB90">
        <f>AB24</f>
        <v>0</v>
      </c>
      <c r="AC90">
        <v>21</v>
      </c>
      <c r="AD90">
        <f>IF(AD25="","",AD24)</f>
        <v>0</v>
      </c>
      <c r="AE90">
        <v>21</v>
      </c>
      <c r="AF90">
        <f>AF24</f>
        <v>0</v>
      </c>
      <c r="AG90">
        <v>21</v>
      </c>
      <c r="AH90">
        <f>IF(AH25="","",AH24)</f>
        <v>0</v>
      </c>
      <c r="AI90">
        <v>21</v>
      </c>
      <c r="AJ90">
        <f>AJ24</f>
        <v>0</v>
      </c>
      <c r="AK90">
        <v>21</v>
      </c>
      <c r="AL90">
        <f>IF(AL25="","",AL24)</f>
        <v>0</v>
      </c>
      <c r="AM90">
        <v>21</v>
      </c>
      <c r="AN90">
        <f>AN24</f>
        <v>0</v>
      </c>
      <c r="AO90">
        <v>21</v>
      </c>
      <c r="AP90">
        <f>IF(AP25="","",AP24)</f>
        <v>0</v>
      </c>
      <c r="AQ90">
        <v>21</v>
      </c>
      <c r="AR90">
        <f>AR24</f>
        <v>0</v>
      </c>
      <c r="AS90">
        <v>21</v>
      </c>
      <c r="AT90">
        <f>IF(AT25="","",AT24)</f>
        <v>0</v>
      </c>
      <c r="AU90">
        <v>21</v>
      </c>
      <c r="AV90">
        <f>AV24</f>
        <v>0</v>
      </c>
      <c r="AW90">
        <v>21</v>
      </c>
      <c r="AX90">
        <f>IF(AX25="","",AX24)</f>
        <v>0</v>
      </c>
      <c r="AY90">
        <v>21</v>
      </c>
      <c r="AZ90">
        <f>AZ24</f>
        <v>0</v>
      </c>
      <c r="BA90">
        <v>21</v>
      </c>
      <c r="BB90">
        <f>IF(BB25="","",BB24)</f>
        <v>0</v>
      </c>
      <c r="BC90">
        <v>21</v>
      </c>
      <c r="BD90">
        <f>BD24</f>
        <v>0</v>
      </c>
      <c r="BE90">
        <v>21</v>
      </c>
      <c r="BF90">
        <f>IF(BF25="","",BF24)</f>
        <v>0</v>
      </c>
      <c r="BG90">
        <v>21</v>
      </c>
      <c r="BH90">
        <f>BH24</f>
        <v>0</v>
      </c>
      <c r="BI90">
        <v>21</v>
      </c>
      <c r="BJ90">
        <f>IF(BJ25="","",BJ24)</f>
        <v>0</v>
      </c>
      <c r="BK90">
        <v>21</v>
      </c>
      <c r="BL90">
        <f>BL24</f>
        <v>0</v>
      </c>
      <c r="BM90">
        <v>21</v>
      </c>
      <c r="BN90">
        <f>IF(BN25="","",BN24)</f>
        <v>0</v>
      </c>
      <c r="BO90">
        <v>21</v>
      </c>
      <c r="BP90">
        <f>BP24</f>
        <v>0</v>
      </c>
      <c r="BS90">
        <v>21</v>
      </c>
      <c r="BT90">
        <f>IF(BT25="","",BT24)</f>
        <v>0</v>
      </c>
      <c r="BU90">
        <v>21</v>
      </c>
      <c r="BV90">
        <f>BV24</f>
        <v>0</v>
      </c>
      <c r="BW90">
        <v>21</v>
      </c>
      <c r="BX90">
        <f>IF(BX25="","",BX24)</f>
        <v>0</v>
      </c>
      <c r="BY90">
        <v>21</v>
      </c>
      <c r="BZ90">
        <f>BZ24</f>
        <v>0</v>
      </c>
      <c r="CA90">
        <v>21</v>
      </c>
      <c r="CB90">
        <f>IF(CB25="","",CB24)</f>
        <v>0</v>
      </c>
      <c r="CC90">
        <v>21</v>
      </c>
      <c r="CD90">
        <f>CD24</f>
        <v>0</v>
      </c>
      <c r="CE90">
        <v>21</v>
      </c>
      <c r="CF90">
        <f>IF(CF25="","",CF24)</f>
        <v>0</v>
      </c>
      <c r="CG90">
        <v>21</v>
      </c>
      <c r="CH90">
        <f>CH24</f>
        <v>0</v>
      </c>
      <c r="CI90">
        <v>21</v>
      </c>
      <c r="CJ90">
        <f>IF(CJ25="","",CJ24)</f>
        <v>0</v>
      </c>
      <c r="CK90">
        <v>21</v>
      </c>
      <c r="CL90">
        <f>CL24</f>
        <v>0</v>
      </c>
      <c r="CM90">
        <v>21</v>
      </c>
      <c r="CN90">
        <f>IF(CN25="","",CN24)</f>
        <v>0</v>
      </c>
      <c r="CO90">
        <v>21</v>
      </c>
      <c r="CP90">
        <f>CP24</f>
        <v>0</v>
      </c>
      <c r="CQ90">
        <v>21</v>
      </c>
      <c r="CR90">
        <f>IF(CR25="","",CR24)</f>
        <v>0</v>
      </c>
      <c r="CS90">
        <v>21</v>
      </c>
      <c r="CT90">
        <f>CT24</f>
        <v>0</v>
      </c>
      <c r="CU90">
        <v>21</v>
      </c>
      <c r="CV90">
        <f>IF(CV25="","",CV24)</f>
        <v>0</v>
      </c>
      <c r="CW90">
        <v>21</v>
      </c>
      <c r="CX90">
        <f>CX24</f>
        <v>0</v>
      </c>
      <c r="CY90">
        <v>21</v>
      </c>
      <c r="CZ90">
        <f>IF(CZ25="","",CZ24)</f>
        <v>0</v>
      </c>
      <c r="DA90">
        <v>21</v>
      </c>
      <c r="DB90">
        <f>DB24</f>
        <v>0</v>
      </c>
      <c r="DC90">
        <v>21</v>
      </c>
      <c r="DD90">
        <f>IF(DD25="","",DD24)</f>
        <v>0</v>
      </c>
      <c r="DE90">
        <v>21</v>
      </c>
      <c r="DF90">
        <f>DF24</f>
        <v>0</v>
      </c>
      <c r="DG90">
        <v>21</v>
      </c>
      <c r="DH90">
        <f>IF(DH25="","",DH24)</f>
        <v>0</v>
      </c>
      <c r="DI90">
        <v>21</v>
      </c>
      <c r="DJ90">
        <f>DJ24</f>
        <v>0</v>
      </c>
      <c r="DK90">
        <v>21</v>
      </c>
      <c r="DL90">
        <f>IF(DL25="","",DL24)</f>
        <v>0</v>
      </c>
      <c r="DM90">
        <v>21</v>
      </c>
      <c r="DN90">
        <f>DN24</f>
        <v>0</v>
      </c>
      <c r="DO90">
        <v>21</v>
      </c>
      <c r="DP90">
        <f>IF(DP25="","",DP24)</f>
        <v>0</v>
      </c>
      <c r="DQ90">
        <v>21</v>
      </c>
      <c r="DR90">
        <f>DR24</f>
        <v>0</v>
      </c>
      <c r="DS90">
        <v>21</v>
      </c>
      <c r="DT90">
        <f>IF(DT25="","",DT24)</f>
        <v>0</v>
      </c>
      <c r="DU90">
        <v>21</v>
      </c>
      <c r="DV90">
        <f>DV24</f>
        <v>0</v>
      </c>
      <c r="DW90">
        <v>21</v>
      </c>
      <c r="DX90">
        <f>IF(DX25="","",DX24)</f>
        <v>0</v>
      </c>
      <c r="DY90">
        <v>21</v>
      </c>
      <c r="DZ90">
        <f>DZ24</f>
        <v>0</v>
      </c>
      <c r="EA90">
        <v>21</v>
      </c>
      <c r="EB90">
        <f>IF(EB25="","",EB24)</f>
        <v>0</v>
      </c>
      <c r="EC90">
        <v>21</v>
      </c>
      <c r="ED90">
        <f>ED24</f>
        <v>0</v>
      </c>
    </row>
    <row r="91" spans="5:134">
      <c r="E91">
        <v>22</v>
      </c>
      <c r="F91">
        <f>IF(F26="","",F25)</f>
        <v>0</v>
      </c>
      <c r="G91">
        <v>22</v>
      </c>
      <c r="H91">
        <f>H25</f>
        <v>0</v>
      </c>
      <c r="I91">
        <v>22</v>
      </c>
      <c r="J91">
        <f>IF(J26="","",J25)</f>
        <v>0</v>
      </c>
      <c r="K91">
        <v>22</v>
      </c>
      <c r="L91">
        <f>L25</f>
        <v>0</v>
      </c>
      <c r="M91">
        <v>22</v>
      </c>
      <c r="N91">
        <f>IF(N26="","",N25)</f>
        <v>0</v>
      </c>
      <c r="O91">
        <v>22</v>
      </c>
      <c r="P91">
        <f>P25</f>
        <v>0</v>
      </c>
      <c r="Q91">
        <v>22</v>
      </c>
      <c r="R91">
        <f>IF(R26="","",R25)</f>
        <v>0</v>
      </c>
      <c r="S91">
        <v>22</v>
      </c>
      <c r="T91">
        <f>T25</f>
        <v>0</v>
      </c>
      <c r="U91">
        <v>22</v>
      </c>
      <c r="V91">
        <f>IF(V26="","",V25)</f>
        <v>0</v>
      </c>
      <c r="W91">
        <v>22</v>
      </c>
      <c r="X91">
        <f>X25</f>
        <v>0</v>
      </c>
      <c r="Y91">
        <v>22</v>
      </c>
      <c r="Z91">
        <f>IF(Z26="","",Z25)</f>
        <v>0</v>
      </c>
      <c r="AA91">
        <v>22</v>
      </c>
      <c r="AB91">
        <f>AB25</f>
        <v>0</v>
      </c>
      <c r="AC91">
        <v>22</v>
      </c>
      <c r="AD91">
        <f>IF(AD26="","",AD25)</f>
        <v>0</v>
      </c>
      <c r="AE91">
        <v>22</v>
      </c>
      <c r="AF91">
        <f>AF25</f>
        <v>0</v>
      </c>
      <c r="AG91">
        <v>22</v>
      </c>
      <c r="AH91">
        <f>IF(AH26="","",AH25)</f>
        <v>0</v>
      </c>
      <c r="AI91">
        <v>22</v>
      </c>
      <c r="AJ91">
        <f>AJ25</f>
        <v>0</v>
      </c>
      <c r="AK91">
        <v>22</v>
      </c>
      <c r="AL91">
        <f>IF(AL26="","",AL25)</f>
        <v>0</v>
      </c>
      <c r="AM91">
        <v>22</v>
      </c>
      <c r="AN91">
        <f>AN25</f>
        <v>0</v>
      </c>
      <c r="AO91">
        <v>22</v>
      </c>
      <c r="AP91">
        <f>IF(AP26="","",AP25)</f>
        <v>0</v>
      </c>
      <c r="AQ91">
        <v>22</v>
      </c>
      <c r="AR91">
        <f>AR25</f>
        <v>0</v>
      </c>
      <c r="AS91">
        <v>22</v>
      </c>
      <c r="AT91">
        <f>IF(AT26="","",AT25)</f>
        <v>0</v>
      </c>
      <c r="AU91">
        <v>22</v>
      </c>
      <c r="AV91">
        <f>AV25</f>
        <v>0</v>
      </c>
      <c r="AW91">
        <v>22</v>
      </c>
      <c r="AX91">
        <f>IF(AX26="","",AX25)</f>
        <v>0</v>
      </c>
      <c r="AY91">
        <v>22</v>
      </c>
      <c r="AZ91">
        <f>AZ25</f>
        <v>0</v>
      </c>
      <c r="BA91">
        <v>22</v>
      </c>
      <c r="BB91">
        <f>IF(BB26="","",BB25)</f>
        <v>0</v>
      </c>
      <c r="BC91">
        <v>22</v>
      </c>
      <c r="BD91">
        <f>BD25</f>
        <v>0</v>
      </c>
      <c r="BE91">
        <v>22</v>
      </c>
      <c r="BF91">
        <f>IF(BF26="","",BF25)</f>
        <v>0</v>
      </c>
      <c r="BG91">
        <v>22</v>
      </c>
      <c r="BH91">
        <f>BH25</f>
        <v>0</v>
      </c>
      <c r="BI91">
        <v>22</v>
      </c>
      <c r="BJ91">
        <f>IF(BJ26="","",BJ25)</f>
        <v>0</v>
      </c>
      <c r="BK91">
        <v>22</v>
      </c>
      <c r="BL91">
        <f>BL25</f>
        <v>0</v>
      </c>
      <c r="BM91">
        <v>22</v>
      </c>
      <c r="BN91">
        <f>IF(BN26="","",BN25)</f>
        <v>0</v>
      </c>
      <c r="BO91">
        <v>22</v>
      </c>
      <c r="BP91">
        <f>BP25</f>
        <v>0</v>
      </c>
      <c r="BS91">
        <v>22</v>
      </c>
      <c r="BT91">
        <f>IF(BT26="","",BT25)</f>
        <v>0</v>
      </c>
      <c r="BU91">
        <v>22</v>
      </c>
      <c r="BV91">
        <f>BV25</f>
        <v>0</v>
      </c>
      <c r="BW91">
        <v>22</v>
      </c>
      <c r="BX91">
        <f>IF(BX26="","",BX25)</f>
        <v>0</v>
      </c>
      <c r="BY91">
        <v>22</v>
      </c>
      <c r="BZ91">
        <f>BZ25</f>
        <v>0</v>
      </c>
      <c r="CA91">
        <v>22</v>
      </c>
      <c r="CB91">
        <f>IF(CB26="","",CB25)</f>
        <v>0</v>
      </c>
      <c r="CC91">
        <v>22</v>
      </c>
      <c r="CD91">
        <f>CD25</f>
        <v>0</v>
      </c>
      <c r="CE91">
        <v>22</v>
      </c>
      <c r="CF91">
        <f>IF(CF26="","",CF25)</f>
        <v>0</v>
      </c>
      <c r="CG91">
        <v>22</v>
      </c>
      <c r="CH91">
        <f>CH25</f>
        <v>0</v>
      </c>
      <c r="CI91">
        <v>22</v>
      </c>
      <c r="CJ91">
        <f>IF(CJ26="","",CJ25)</f>
        <v>0</v>
      </c>
      <c r="CK91">
        <v>22</v>
      </c>
      <c r="CL91">
        <f>CL25</f>
        <v>0</v>
      </c>
      <c r="CM91">
        <v>22</v>
      </c>
      <c r="CN91">
        <f>IF(CN26="","",CN25)</f>
        <v>0</v>
      </c>
      <c r="CO91">
        <v>22</v>
      </c>
      <c r="CP91">
        <f>CP25</f>
        <v>0</v>
      </c>
      <c r="CQ91">
        <v>22</v>
      </c>
      <c r="CR91">
        <f>IF(CR26="","",CR25)</f>
        <v>0</v>
      </c>
      <c r="CS91">
        <v>22</v>
      </c>
      <c r="CT91">
        <f>CT25</f>
        <v>0</v>
      </c>
      <c r="CU91">
        <v>22</v>
      </c>
      <c r="CV91">
        <f>IF(CV26="","",CV25)</f>
        <v>0</v>
      </c>
      <c r="CW91">
        <v>22</v>
      </c>
      <c r="CX91">
        <f>CX25</f>
        <v>0</v>
      </c>
      <c r="CY91">
        <v>22</v>
      </c>
      <c r="CZ91">
        <f>IF(CZ26="","",CZ25)</f>
        <v>0</v>
      </c>
      <c r="DA91">
        <v>22</v>
      </c>
      <c r="DB91">
        <f>DB25</f>
        <v>0</v>
      </c>
      <c r="DC91">
        <v>22</v>
      </c>
      <c r="DD91">
        <f>IF(DD26="","",DD25)</f>
        <v>0</v>
      </c>
      <c r="DE91">
        <v>22</v>
      </c>
      <c r="DF91">
        <f>DF25</f>
        <v>0</v>
      </c>
      <c r="DG91">
        <v>22</v>
      </c>
      <c r="DH91">
        <f>IF(DH26="","",DH25)</f>
        <v>0</v>
      </c>
      <c r="DI91">
        <v>22</v>
      </c>
      <c r="DJ91">
        <f>DJ25</f>
        <v>0</v>
      </c>
      <c r="DK91">
        <v>22</v>
      </c>
      <c r="DL91">
        <f>IF(DL26="","",DL25)</f>
        <v>0</v>
      </c>
      <c r="DM91">
        <v>22</v>
      </c>
      <c r="DN91">
        <f>DN25</f>
        <v>0</v>
      </c>
      <c r="DO91">
        <v>22</v>
      </c>
      <c r="DP91">
        <f>IF(DP26="","",DP25)</f>
        <v>0</v>
      </c>
      <c r="DQ91">
        <v>22</v>
      </c>
      <c r="DR91">
        <f>DR25</f>
        <v>0</v>
      </c>
      <c r="DS91">
        <v>22</v>
      </c>
      <c r="DT91">
        <f>IF(DT26="","",DT25)</f>
        <v>0</v>
      </c>
      <c r="DU91">
        <v>22</v>
      </c>
      <c r="DV91">
        <f>DV25</f>
        <v>0</v>
      </c>
      <c r="DW91">
        <v>22</v>
      </c>
      <c r="DX91">
        <f>IF(DX26="","",DX25)</f>
        <v>0</v>
      </c>
      <c r="DY91">
        <v>22</v>
      </c>
      <c r="DZ91">
        <f>DZ25</f>
        <v>0</v>
      </c>
      <c r="EA91">
        <v>22</v>
      </c>
      <c r="EB91">
        <f>IF(EB26="","",EB25)</f>
        <v>0</v>
      </c>
      <c r="EC91">
        <v>22</v>
      </c>
      <c r="ED91">
        <f>ED25</f>
        <v>0</v>
      </c>
    </row>
    <row r="92" spans="5:134">
      <c r="E92">
        <v>23</v>
      </c>
      <c r="F92">
        <f>IF(F27="","",F26)</f>
        <v>0</v>
      </c>
      <c r="G92">
        <v>23</v>
      </c>
      <c r="H92">
        <f>H26</f>
        <v>0</v>
      </c>
      <c r="I92">
        <v>23</v>
      </c>
      <c r="J92">
        <f>IF(J27="","",J26)</f>
        <v>0</v>
      </c>
      <c r="K92">
        <v>23</v>
      </c>
      <c r="L92">
        <f>L26</f>
        <v>0</v>
      </c>
      <c r="M92">
        <v>23</v>
      </c>
      <c r="N92">
        <f>IF(N27="","",N26)</f>
        <v>0</v>
      </c>
      <c r="O92">
        <v>23</v>
      </c>
      <c r="P92">
        <f>P26</f>
        <v>0</v>
      </c>
      <c r="Q92">
        <v>23</v>
      </c>
      <c r="R92">
        <f>IF(R27="","",R26)</f>
        <v>0</v>
      </c>
      <c r="S92">
        <v>23</v>
      </c>
      <c r="T92">
        <f>T26</f>
        <v>0</v>
      </c>
      <c r="U92">
        <v>23</v>
      </c>
      <c r="V92">
        <f>IF(V27="","",V26)</f>
        <v>0</v>
      </c>
      <c r="W92">
        <v>23</v>
      </c>
      <c r="X92">
        <f>X26</f>
        <v>0</v>
      </c>
      <c r="Y92">
        <v>23</v>
      </c>
      <c r="Z92">
        <f>IF(Z27="","",Z26)</f>
        <v>0</v>
      </c>
      <c r="AA92">
        <v>23</v>
      </c>
      <c r="AB92">
        <f>AB26</f>
        <v>0</v>
      </c>
      <c r="AC92">
        <v>23</v>
      </c>
      <c r="AD92">
        <f>IF(AD27="","",AD26)</f>
        <v>0</v>
      </c>
      <c r="AE92">
        <v>23</v>
      </c>
      <c r="AF92">
        <f>AF26</f>
        <v>0</v>
      </c>
      <c r="AG92">
        <v>23</v>
      </c>
      <c r="AH92">
        <f>IF(AH27="","",AH26)</f>
        <v>0</v>
      </c>
      <c r="AI92">
        <v>23</v>
      </c>
      <c r="AJ92">
        <f>AJ26</f>
        <v>0</v>
      </c>
      <c r="AK92">
        <v>23</v>
      </c>
      <c r="AL92">
        <f>IF(AL27="","",AL26)</f>
        <v>0</v>
      </c>
      <c r="AM92">
        <v>23</v>
      </c>
      <c r="AN92">
        <f>AN26</f>
        <v>0</v>
      </c>
      <c r="AO92">
        <v>23</v>
      </c>
      <c r="AP92">
        <f>IF(AP27="","",AP26)</f>
        <v>0</v>
      </c>
      <c r="AQ92">
        <v>23</v>
      </c>
      <c r="AR92">
        <f>AR26</f>
        <v>0</v>
      </c>
      <c r="AS92">
        <v>23</v>
      </c>
      <c r="AT92">
        <f>IF(AT27="","",AT26)</f>
        <v>0</v>
      </c>
      <c r="AU92">
        <v>23</v>
      </c>
      <c r="AV92">
        <f>AV26</f>
        <v>0</v>
      </c>
      <c r="AW92">
        <v>23</v>
      </c>
      <c r="AX92">
        <f>IF(AX27="","",AX26)</f>
        <v>0</v>
      </c>
      <c r="AY92">
        <v>23</v>
      </c>
      <c r="AZ92">
        <f>AZ26</f>
        <v>0</v>
      </c>
      <c r="BA92">
        <v>23</v>
      </c>
      <c r="BB92">
        <f>IF(BB27="","",BB26)</f>
        <v>0</v>
      </c>
      <c r="BC92">
        <v>23</v>
      </c>
      <c r="BD92">
        <f>BD26</f>
        <v>0</v>
      </c>
      <c r="BE92">
        <v>23</v>
      </c>
      <c r="BF92">
        <f>IF(BF27="","",BF26)</f>
        <v>0</v>
      </c>
      <c r="BG92">
        <v>23</v>
      </c>
      <c r="BH92">
        <f>BH26</f>
        <v>0</v>
      </c>
      <c r="BI92">
        <v>23</v>
      </c>
      <c r="BJ92">
        <f>IF(BJ27="","",BJ26)</f>
        <v>0</v>
      </c>
      <c r="BK92">
        <v>23</v>
      </c>
      <c r="BL92">
        <f>BL26</f>
        <v>0</v>
      </c>
      <c r="BM92">
        <v>23</v>
      </c>
      <c r="BN92">
        <f>IF(BN27="","",BN26)</f>
        <v>0</v>
      </c>
      <c r="BO92">
        <v>23</v>
      </c>
      <c r="BP92">
        <f>BP26</f>
        <v>0</v>
      </c>
      <c r="BS92">
        <v>23</v>
      </c>
      <c r="BT92">
        <f>IF(BT27="","",BT26)</f>
        <v>0</v>
      </c>
      <c r="BU92">
        <v>23</v>
      </c>
      <c r="BV92">
        <f>BV26</f>
        <v>0</v>
      </c>
      <c r="BW92">
        <v>23</v>
      </c>
      <c r="BX92">
        <f>IF(BX27="","",BX26)</f>
        <v>0</v>
      </c>
      <c r="BY92">
        <v>23</v>
      </c>
      <c r="BZ92">
        <f>BZ26</f>
        <v>0</v>
      </c>
      <c r="CA92">
        <v>23</v>
      </c>
      <c r="CB92">
        <f>IF(CB27="","",CB26)</f>
        <v>0</v>
      </c>
      <c r="CC92">
        <v>23</v>
      </c>
      <c r="CD92">
        <f>CD26</f>
        <v>0</v>
      </c>
      <c r="CE92">
        <v>23</v>
      </c>
      <c r="CF92">
        <f>IF(CF27="","",CF26)</f>
        <v>0</v>
      </c>
      <c r="CG92">
        <v>23</v>
      </c>
      <c r="CH92">
        <f>CH26</f>
        <v>0</v>
      </c>
      <c r="CI92">
        <v>23</v>
      </c>
      <c r="CJ92">
        <f>IF(CJ27="","",CJ26)</f>
        <v>0</v>
      </c>
      <c r="CK92">
        <v>23</v>
      </c>
      <c r="CL92">
        <f>CL26</f>
        <v>0</v>
      </c>
      <c r="CM92">
        <v>23</v>
      </c>
      <c r="CN92">
        <f>IF(CN27="","",CN26)</f>
        <v>0</v>
      </c>
      <c r="CO92">
        <v>23</v>
      </c>
      <c r="CP92">
        <f>CP26</f>
        <v>0</v>
      </c>
      <c r="CQ92">
        <v>23</v>
      </c>
      <c r="CR92">
        <f>IF(CR27="","",CR26)</f>
        <v>0</v>
      </c>
      <c r="CS92">
        <v>23</v>
      </c>
      <c r="CT92">
        <f>CT26</f>
        <v>0</v>
      </c>
      <c r="CU92">
        <v>23</v>
      </c>
      <c r="CV92">
        <f>IF(CV27="","",CV26)</f>
        <v>0</v>
      </c>
      <c r="CW92">
        <v>23</v>
      </c>
      <c r="CX92">
        <f>CX26</f>
        <v>0</v>
      </c>
      <c r="CY92">
        <v>23</v>
      </c>
      <c r="CZ92">
        <f>IF(CZ27="","",CZ26)</f>
        <v>0</v>
      </c>
      <c r="DA92">
        <v>23</v>
      </c>
      <c r="DB92">
        <f>DB26</f>
        <v>0</v>
      </c>
      <c r="DC92">
        <v>23</v>
      </c>
      <c r="DD92">
        <f>IF(DD27="","",DD26)</f>
        <v>0</v>
      </c>
      <c r="DE92">
        <v>23</v>
      </c>
      <c r="DF92">
        <f>DF26</f>
        <v>0</v>
      </c>
      <c r="DG92">
        <v>23</v>
      </c>
      <c r="DH92">
        <f>IF(DH27="","",DH26)</f>
        <v>0</v>
      </c>
      <c r="DI92">
        <v>23</v>
      </c>
      <c r="DJ92">
        <f>DJ26</f>
        <v>0</v>
      </c>
      <c r="DK92">
        <v>23</v>
      </c>
      <c r="DL92">
        <f>IF(DL27="","",DL26)</f>
        <v>0</v>
      </c>
      <c r="DM92">
        <v>23</v>
      </c>
      <c r="DN92">
        <f>DN26</f>
        <v>0</v>
      </c>
      <c r="DO92">
        <v>23</v>
      </c>
      <c r="DP92">
        <f>IF(DP27="","",DP26)</f>
        <v>0</v>
      </c>
      <c r="DQ92">
        <v>23</v>
      </c>
      <c r="DR92">
        <f>DR26</f>
        <v>0</v>
      </c>
      <c r="DS92">
        <v>23</v>
      </c>
      <c r="DT92">
        <f>IF(DT27="","",DT26)</f>
        <v>0</v>
      </c>
      <c r="DU92">
        <v>23</v>
      </c>
      <c r="DV92">
        <f>DV26</f>
        <v>0</v>
      </c>
      <c r="DW92">
        <v>23</v>
      </c>
      <c r="DX92">
        <f>IF(DX27="","",DX26)</f>
        <v>0</v>
      </c>
      <c r="DY92">
        <v>23</v>
      </c>
      <c r="DZ92">
        <f>DZ26</f>
        <v>0</v>
      </c>
      <c r="EA92">
        <v>23</v>
      </c>
      <c r="EB92">
        <f>IF(EB27="","",EB26)</f>
        <v>0</v>
      </c>
      <c r="EC92">
        <v>23</v>
      </c>
      <c r="ED92">
        <f>ED26</f>
        <v>0</v>
      </c>
    </row>
    <row r="93" spans="5:134">
      <c r="E93">
        <v>24</v>
      </c>
      <c r="F93">
        <f>IF(F28="","",F27)</f>
        <v>0</v>
      </c>
      <c r="G93">
        <v>24</v>
      </c>
      <c r="H93">
        <f>H27</f>
        <v>0</v>
      </c>
      <c r="I93">
        <v>24</v>
      </c>
      <c r="J93">
        <f>IF(J28="","",J27)</f>
        <v>0</v>
      </c>
      <c r="K93">
        <v>24</v>
      </c>
      <c r="L93">
        <f>L27</f>
        <v>0</v>
      </c>
      <c r="M93">
        <v>24</v>
      </c>
      <c r="N93">
        <f>IF(N28="","",N27)</f>
        <v>0</v>
      </c>
      <c r="O93">
        <v>24</v>
      </c>
      <c r="P93">
        <f>P27</f>
        <v>0</v>
      </c>
      <c r="Q93">
        <v>24</v>
      </c>
      <c r="R93">
        <f>IF(R28="","",R27)</f>
        <v>0</v>
      </c>
      <c r="S93">
        <v>24</v>
      </c>
      <c r="T93">
        <f>T27</f>
        <v>0</v>
      </c>
      <c r="U93">
        <v>24</v>
      </c>
      <c r="V93">
        <f>IF(V28="","",V27)</f>
        <v>0</v>
      </c>
      <c r="W93">
        <v>24</v>
      </c>
      <c r="X93">
        <f>X27</f>
        <v>0</v>
      </c>
      <c r="Y93">
        <v>24</v>
      </c>
      <c r="Z93">
        <f>IF(Z28="","",Z27)</f>
        <v>0</v>
      </c>
      <c r="AA93">
        <v>24</v>
      </c>
      <c r="AB93">
        <f>AB27</f>
        <v>0</v>
      </c>
      <c r="AC93">
        <v>24</v>
      </c>
      <c r="AD93">
        <f>IF(AD28="","",AD27)</f>
        <v>0</v>
      </c>
      <c r="AE93">
        <v>24</v>
      </c>
      <c r="AF93">
        <f>AF27</f>
        <v>0</v>
      </c>
      <c r="AG93">
        <v>24</v>
      </c>
      <c r="AH93">
        <f>IF(AH28="","",AH27)</f>
        <v>0</v>
      </c>
      <c r="AI93">
        <v>24</v>
      </c>
      <c r="AJ93">
        <f>AJ27</f>
        <v>0</v>
      </c>
      <c r="AK93">
        <v>24</v>
      </c>
      <c r="AL93">
        <f>IF(AL28="","",AL27)</f>
        <v>0</v>
      </c>
      <c r="AM93">
        <v>24</v>
      </c>
      <c r="AN93">
        <f>AN27</f>
        <v>0</v>
      </c>
      <c r="AO93">
        <v>24</v>
      </c>
      <c r="AP93">
        <f>IF(AP28="","",AP27)</f>
        <v>0</v>
      </c>
      <c r="AQ93">
        <v>24</v>
      </c>
      <c r="AR93">
        <f>AR27</f>
        <v>0</v>
      </c>
      <c r="AS93">
        <v>24</v>
      </c>
      <c r="AT93">
        <f>IF(AT28="","",AT27)</f>
        <v>0</v>
      </c>
      <c r="AU93">
        <v>24</v>
      </c>
      <c r="AV93">
        <f>AV27</f>
        <v>0</v>
      </c>
      <c r="AW93">
        <v>24</v>
      </c>
      <c r="AX93">
        <f>IF(AX28="","",AX27)</f>
        <v>0</v>
      </c>
      <c r="AY93">
        <v>24</v>
      </c>
      <c r="AZ93">
        <f>AZ27</f>
        <v>0</v>
      </c>
      <c r="BA93">
        <v>24</v>
      </c>
      <c r="BB93">
        <f>IF(BB28="","",BB27)</f>
        <v>0</v>
      </c>
      <c r="BC93">
        <v>24</v>
      </c>
      <c r="BD93">
        <f>BD27</f>
        <v>0</v>
      </c>
      <c r="BE93">
        <v>24</v>
      </c>
      <c r="BF93">
        <f>IF(BF28="","",BF27)</f>
        <v>0</v>
      </c>
      <c r="BG93">
        <v>24</v>
      </c>
      <c r="BH93">
        <f>BH27</f>
        <v>0</v>
      </c>
      <c r="BI93">
        <v>24</v>
      </c>
      <c r="BJ93">
        <f>IF(BJ28="","",BJ27)</f>
        <v>0</v>
      </c>
      <c r="BK93">
        <v>24</v>
      </c>
      <c r="BL93">
        <f>BL27</f>
        <v>0</v>
      </c>
      <c r="BM93">
        <v>24</v>
      </c>
      <c r="BN93">
        <f>IF(BN28="","",BN27)</f>
        <v>0</v>
      </c>
      <c r="BO93">
        <v>24</v>
      </c>
      <c r="BP93">
        <f>BP27</f>
        <v>0</v>
      </c>
      <c r="BS93">
        <v>24</v>
      </c>
      <c r="BT93">
        <f>IF(BT28="","",BT27)</f>
        <v>0</v>
      </c>
      <c r="BU93">
        <v>24</v>
      </c>
      <c r="BV93">
        <f>BV27</f>
        <v>0</v>
      </c>
      <c r="BW93">
        <v>24</v>
      </c>
      <c r="BX93">
        <f>IF(BX28="","",BX27)</f>
        <v>0</v>
      </c>
      <c r="BY93">
        <v>24</v>
      </c>
      <c r="BZ93">
        <f>BZ27</f>
        <v>0</v>
      </c>
      <c r="CA93">
        <v>24</v>
      </c>
      <c r="CB93">
        <f>IF(CB28="","",CB27)</f>
        <v>0</v>
      </c>
      <c r="CC93">
        <v>24</v>
      </c>
      <c r="CD93">
        <f>CD27</f>
        <v>0</v>
      </c>
      <c r="CE93">
        <v>24</v>
      </c>
      <c r="CF93">
        <f>IF(CF28="","",CF27)</f>
        <v>0</v>
      </c>
      <c r="CG93">
        <v>24</v>
      </c>
      <c r="CH93">
        <f>CH27</f>
        <v>0</v>
      </c>
      <c r="CI93">
        <v>24</v>
      </c>
      <c r="CJ93">
        <f>IF(CJ28="","",CJ27)</f>
        <v>0</v>
      </c>
      <c r="CK93">
        <v>24</v>
      </c>
      <c r="CL93">
        <f>CL27</f>
        <v>0</v>
      </c>
      <c r="CM93">
        <v>24</v>
      </c>
      <c r="CN93">
        <f>IF(CN28="","",CN27)</f>
        <v>0</v>
      </c>
      <c r="CO93">
        <v>24</v>
      </c>
      <c r="CP93">
        <f>CP27</f>
        <v>0</v>
      </c>
      <c r="CQ93">
        <v>24</v>
      </c>
      <c r="CR93">
        <f>IF(CR28="","",CR27)</f>
        <v>0</v>
      </c>
      <c r="CS93">
        <v>24</v>
      </c>
      <c r="CT93">
        <f>CT27</f>
        <v>0</v>
      </c>
      <c r="CU93">
        <v>24</v>
      </c>
      <c r="CV93">
        <f>IF(CV28="","",CV27)</f>
        <v>0</v>
      </c>
      <c r="CW93">
        <v>24</v>
      </c>
      <c r="CX93">
        <f>CX27</f>
        <v>0</v>
      </c>
      <c r="CY93">
        <v>24</v>
      </c>
      <c r="CZ93">
        <f>IF(CZ28="","",CZ27)</f>
        <v>0</v>
      </c>
      <c r="DA93">
        <v>24</v>
      </c>
      <c r="DB93">
        <f>DB27</f>
        <v>0</v>
      </c>
      <c r="DC93">
        <v>24</v>
      </c>
      <c r="DD93">
        <f>IF(DD28="","",DD27)</f>
        <v>0</v>
      </c>
      <c r="DE93">
        <v>24</v>
      </c>
      <c r="DF93">
        <f>DF27</f>
        <v>0</v>
      </c>
      <c r="DG93">
        <v>24</v>
      </c>
      <c r="DH93">
        <f>IF(DH28="","",DH27)</f>
        <v>0</v>
      </c>
      <c r="DI93">
        <v>24</v>
      </c>
      <c r="DJ93">
        <f>DJ27</f>
        <v>0</v>
      </c>
      <c r="DK93">
        <v>24</v>
      </c>
      <c r="DL93">
        <f>IF(DL28="","",DL27)</f>
        <v>0</v>
      </c>
      <c r="DM93">
        <v>24</v>
      </c>
      <c r="DN93">
        <f>DN27</f>
        <v>0</v>
      </c>
      <c r="DO93">
        <v>24</v>
      </c>
      <c r="DP93">
        <f>IF(DP28="","",DP27)</f>
        <v>0</v>
      </c>
      <c r="DQ93">
        <v>24</v>
      </c>
      <c r="DR93">
        <f>DR27</f>
        <v>0</v>
      </c>
      <c r="DS93">
        <v>24</v>
      </c>
      <c r="DT93">
        <f>IF(DT28="","",DT27)</f>
        <v>0</v>
      </c>
      <c r="DU93">
        <v>24</v>
      </c>
      <c r="DV93">
        <f>DV27</f>
        <v>0</v>
      </c>
      <c r="DW93">
        <v>24</v>
      </c>
      <c r="DX93">
        <f>IF(DX28="","",DX27)</f>
        <v>0</v>
      </c>
      <c r="DY93">
        <v>24</v>
      </c>
      <c r="DZ93">
        <f>DZ27</f>
        <v>0</v>
      </c>
      <c r="EA93">
        <v>24</v>
      </c>
      <c r="EB93">
        <f>IF(EB28="","",EB27)</f>
        <v>0</v>
      </c>
      <c r="EC93">
        <v>24</v>
      </c>
      <c r="ED93">
        <f>ED27</f>
        <v>0</v>
      </c>
    </row>
    <row r="94" spans="5:134">
      <c r="E94">
        <v>25</v>
      </c>
      <c r="F94">
        <f>IF(F29="","",F28)</f>
        <v>0</v>
      </c>
      <c r="G94">
        <v>25</v>
      </c>
      <c r="H94">
        <f>H28</f>
        <v>0</v>
      </c>
      <c r="I94">
        <v>25</v>
      </c>
      <c r="J94">
        <f>IF(J29="","",J28)</f>
        <v>0</v>
      </c>
      <c r="K94">
        <v>25</v>
      </c>
      <c r="L94">
        <f>L28</f>
        <v>0</v>
      </c>
      <c r="M94">
        <v>25</v>
      </c>
      <c r="N94">
        <f>IF(N29="","",N28)</f>
        <v>0</v>
      </c>
      <c r="O94">
        <v>25</v>
      </c>
      <c r="P94">
        <f>P28</f>
        <v>0</v>
      </c>
      <c r="Q94">
        <v>25</v>
      </c>
      <c r="R94">
        <f>IF(R29="","",R28)</f>
        <v>0</v>
      </c>
      <c r="S94">
        <v>25</v>
      </c>
      <c r="T94">
        <f>T28</f>
        <v>0</v>
      </c>
      <c r="U94">
        <v>25</v>
      </c>
      <c r="V94">
        <f>IF(V29="","",V28)</f>
        <v>0</v>
      </c>
      <c r="W94">
        <v>25</v>
      </c>
      <c r="X94">
        <f>X28</f>
        <v>0</v>
      </c>
      <c r="Y94">
        <v>25</v>
      </c>
      <c r="Z94">
        <f>IF(Z29="","",Z28)</f>
        <v>0</v>
      </c>
      <c r="AA94">
        <v>25</v>
      </c>
      <c r="AB94">
        <f>AB28</f>
        <v>0</v>
      </c>
      <c r="AC94">
        <v>25</v>
      </c>
      <c r="AD94">
        <f>IF(AD29="","",AD28)</f>
        <v>0</v>
      </c>
      <c r="AE94">
        <v>25</v>
      </c>
      <c r="AF94">
        <f>AF28</f>
        <v>0</v>
      </c>
      <c r="AG94">
        <v>25</v>
      </c>
      <c r="AH94">
        <f>IF(AH29="","",AH28)</f>
        <v>0</v>
      </c>
      <c r="AI94">
        <v>25</v>
      </c>
      <c r="AJ94">
        <f>AJ28</f>
        <v>0</v>
      </c>
      <c r="AK94">
        <v>25</v>
      </c>
      <c r="AL94">
        <f>IF(AL29="","",AL28)</f>
        <v>0</v>
      </c>
      <c r="AM94">
        <v>25</v>
      </c>
      <c r="AN94">
        <f>AN28</f>
        <v>0</v>
      </c>
      <c r="AO94">
        <v>25</v>
      </c>
      <c r="AP94">
        <f>IF(AP29="","",AP28)</f>
        <v>0</v>
      </c>
      <c r="AQ94">
        <v>25</v>
      </c>
      <c r="AR94">
        <f>AR28</f>
        <v>0</v>
      </c>
      <c r="AS94">
        <v>25</v>
      </c>
      <c r="AT94">
        <f>IF(AT29="","",AT28)</f>
        <v>0</v>
      </c>
      <c r="AU94">
        <v>25</v>
      </c>
      <c r="AV94">
        <f>AV28</f>
        <v>0</v>
      </c>
      <c r="AW94">
        <v>25</v>
      </c>
      <c r="AX94">
        <f>IF(AX29="","",AX28)</f>
        <v>0</v>
      </c>
      <c r="AY94">
        <v>25</v>
      </c>
      <c r="AZ94">
        <f>AZ28</f>
        <v>0</v>
      </c>
      <c r="BA94">
        <v>25</v>
      </c>
      <c r="BB94">
        <f>IF(BB29="","",BB28)</f>
        <v>0</v>
      </c>
      <c r="BC94">
        <v>25</v>
      </c>
      <c r="BD94">
        <f>BD28</f>
        <v>0</v>
      </c>
      <c r="BE94">
        <v>25</v>
      </c>
      <c r="BF94">
        <f>IF(BF29="","",BF28)</f>
        <v>0</v>
      </c>
      <c r="BG94">
        <v>25</v>
      </c>
      <c r="BH94">
        <f>BH28</f>
        <v>0</v>
      </c>
      <c r="BI94">
        <v>25</v>
      </c>
      <c r="BJ94">
        <f>IF(BJ29="","",BJ28)</f>
        <v>0</v>
      </c>
      <c r="BK94">
        <v>25</v>
      </c>
      <c r="BL94">
        <f>BL28</f>
        <v>0</v>
      </c>
      <c r="BM94">
        <v>25</v>
      </c>
      <c r="BN94">
        <f>IF(BN29="","",BN28)</f>
        <v>0</v>
      </c>
      <c r="BO94">
        <v>25</v>
      </c>
      <c r="BP94">
        <f>BP28</f>
        <v>0</v>
      </c>
      <c r="BS94">
        <v>25</v>
      </c>
      <c r="BT94">
        <f>IF(BT29="","",BT28)</f>
        <v>0</v>
      </c>
      <c r="BU94">
        <v>25</v>
      </c>
      <c r="BV94">
        <f>BV28</f>
        <v>0</v>
      </c>
      <c r="BW94">
        <v>25</v>
      </c>
      <c r="BX94">
        <f>IF(BX29="","",BX28)</f>
        <v>0</v>
      </c>
      <c r="BY94">
        <v>25</v>
      </c>
      <c r="BZ94">
        <f>BZ28</f>
        <v>0</v>
      </c>
      <c r="CA94">
        <v>25</v>
      </c>
      <c r="CB94">
        <f>IF(CB29="","",CB28)</f>
        <v>0</v>
      </c>
      <c r="CC94">
        <v>25</v>
      </c>
      <c r="CD94">
        <f>CD28</f>
        <v>0</v>
      </c>
      <c r="CE94">
        <v>25</v>
      </c>
      <c r="CF94">
        <f>IF(CF29="","",CF28)</f>
        <v>0</v>
      </c>
      <c r="CG94">
        <v>25</v>
      </c>
      <c r="CH94">
        <f>CH28</f>
        <v>0</v>
      </c>
      <c r="CI94">
        <v>25</v>
      </c>
      <c r="CJ94">
        <f>IF(CJ29="","",CJ28)</f>
        <v>0</v>
      </c>
      <c r="CK94">
        <v>25</v>
      </c>
      <c r="CL94">
        <f>CL28</f>
        <v>0</v>
      </c>
      <c r="CM94">
        <v>25</v>
      </c>
      <c r="CN94">
        <f>IF(CN29="","",CN28)</f>
        <v>0</v>
      </c>
      <c r="CO94">
        <v>25</v>
      </c>
      <c r="CP94">
        <f>CP28</f>
        <v>0</v>
      </c>
      <c r="CQ94">
        <v>25</v>
      </c>
      <c r="CR94">
        <f>IF(CR29="","",CR28)</f>
        <v>0</v>
      </c>
      <c r="CS94">
        <v>25</v>
      </c>
      <c r="CT94">
        <f>CT28</f>
        <v>0</v>
      </c>
      <c r="CU94">
        <v>25</v>
      </c>
      <c r="CV94">
        <f>IF(CV29="","",CV28)</f>
        <v>0</v>
      </c>
      <c r="CW94">
        <v>25</v>
      </c>
      <c r="CX94">
        <f>CX28</f>
        <v>0</v>
      </c>
      <c r="CY94">
        <v>25</v>
      </c>
      <c r="CZ94">
        <f>IF(CZ29="","",CZ28)</f>
        <v>0</v>
      </c>
      <c r="DA94">
        <v>25</v>
      </c>
      <c r="DB94">
        <f>DB28</f>
        <v>0</v>
      </c>
      <c r="DC94">
        <v>25</v>
      </c>
      <c r="DD94">
        <f>IF(DD29="","",DD28)</f>
        <v>0</v>
      </c>
      <c r="DE94">
        <v>25</v>
      </c>
      <c r="DF94">
        <f>DF28</f>
        <v>0</v>
      </c>
      <c r="DG94">
        <v>25</v>
      </c>
      <c r="DH94">
        <f>IF(DH29="","",DH28)</f>
        <v>0</v>
      </c>
      <c r="DI94">
        <v>25</v>
      </c>
      <c r="DJ94">
        <f>DJ28</f>
        <v>0</v>
      </c>
      <c r="DK94">
        <v>25</v>
      </c>
      <c r="DL94">
        <f>IF(DL29="","",DL28)</f>
        <v>0</v>
      </c>
      <c r="DM94">
        <v>25</v>
      </c>
      <c r="DN94">
        <f>DN28</f>
        <v>0</v>
      </c>
      <c r="DO94">
        <v>25</v>
      </c>
      <c r="DP94">
        <f>IF(DP29="","",DP28)</f>
        <v>0</v>
      </c>
      <c r="DQ94">
        <v>25</v>
      </c>
      <c r="DR94">
        <f>DR28</f>
        <v>0</v>
      </c>
      <c r="DS94">
        <v>25</v>
      </c>
      <c r="DT94">
        <f>IF(DT29="","",DT28)</f>
        <v>0</v>
      </c>
      <c r="DU94">
        <v>25</v>
      </c>
      <c r="DV94">
        <f>DV28</f>
        <v>0</v>
      </c>
      <c r="DW94">
        <v>25</v>
      </c>
      <c r="DX94">
        <f>IF(DX29="","",DX28)</f>
        <v>0</v>
      </c>
      <c r="DY94">
        <v>25</v>
      </c>
      <c r="DZ94">
        <f>DZ28</f>
        <v>0</v>
      </c>
      <c r="EA94">
        <v>25</v>
      </c>
      <c r="EB94">
        <f>IF(EB29="","",EB28)</f>
        <v>0</v>
      </c>
      <c r="EC94">
        <v>25</v>
      </c>
      <c r="ED94">
        <f>ED28</f>
        <v>0</v>
      </c>
    </row>
    <row r="95" spans="5:134">
      <c r="E95">
        <v>26</v>
      </c>
      <c r="F95">
        <f>IF(F30="","",F29)</f>
        <v>0</v>
      </c>
      <c r="G95">
        <v>26</v>
      </c>
      <c r="H95">
        <f>H29</f>
        <v>0</v>
      </c>
      <c r="I95">
        <v>26</v>
      </c>
      <c r="J95">
        <f>IF(J30="","",J29)</f>
        <v>0</v>
      </c>
      <c r="K95">
        <v>26</v>
      </c>
      <c r="L95">
        <f>L29</f>
        <v>0</v>
      </c>
      <c r="M95">
        <v>26</v>
      </c>
      <c r="N95">
        <f>IF(N30="","",N29)</f>
        <v>0</v>
      </c>
      <c r="O95">
        <v>26</v>
      </c>
      <c r="P95">
        <f>P29</f>
        <v>0</v>
      </c>
      <c r="Q95">
        <v>26</v>
      </c>
      <c r="R95">
        <f>IF(R30="","",R29)</f>
        <v>0</v>
      </c>
      <c r="S95">
        <v>26</v>
      </c>
      <c r="T95">
        <f>T29</f>
        <v>0</v>
      </c>
      <c r="U95">
        <v>26</v>
      </c>
      <c r="V95">
        <f>IF(V30="","",V29)</f>
        <v>0</v>
      </c>
      <c r="W95">
        <v>26</v>
      </c>
      <c r="X95">
        <f>X29</f>
        <v>0</v>
      </c>
      <c r="Y95">
        <v>26</v>
      </c>
      <c r="Z95">
        <f>IF(Z30="","",Z29)</f>
        <v>0</v>
      </c>
      <c r="AA95">
        <v>26</v>
      </c>
      <c r="AB95">
        <f>AB29</f>
        <v>0</v>
      </c>
      <c r="AC95">
        <v>26</v>
      </c>
      <c r="AD95">
        <f>IF(AD30="","",AD29)</f>
        <v>0</v>
      </c>
      <c r="AE95">
        <v>26</v>
      </c>
      <c r="AF95">
        <f>AF29</f>
        <v>0</v>
      </c>
      <c r="AG95">
        <v>26</v>
      </c>
      <c r="AH95">
        <f>IF(AH30="","",AH29)</f>
        <v>0</v>
      </c>
      <c r="AI95">
        <v>26</v>
      </c>
      <c r="AJ95">
        <f>AJ29</f>
        <v>0</v>
      </c>
      <c r="AK95">
        <v>26</v>
      </c>
      <c r="AL95">
        <f>IF(AL30="","",AL29)</f>
        <v>0</v>
      </c>
      <c r="AM95">
        <v>26</v>
      </c>
      <c r="AN95">
        <f>AN29</f>
        <v>0</v>
      </c>
      <c r="AO95">
        <v>26</v>
      </c>
      <c r="AP95">
        <f>IF(AP30="","",AP29)</f>
        <v>0</v>
      </c>
      <c r="AQ95">
        <v>26</v>
      </c>
      <c r="AR95">
        <f>AR29</f>
        <v>0</v>
      </c>
      <c r="AS95">
        <v>26</v>
      </c>
      <c r="AT95">
        <f>IF(AT30="","",AT29)</f>
        <v>0</v>
      </c>
      <c r="AU95">
        <v>26</v>
      </c>
      <c r="AV95">
        <f>AV29</f>
        <v>0</v>
      </c>
      <c r="AW95">
        <v>26</v>
      </c>
      <c r="AX95">
        <f>IF(AX30="","",AX29)</f>
        <v>0</v>
      </c>
      <c r="AY95">
        <v>26</v>
      </c>
      <c r="AZ95">
        <f>AZ29</f>
        <v>0</v>
      </c>
      <c r="BA95">
        <v>26</v>
      </c>
      <c r="BB95">
        <f>IF(BB30="","",BB29)</f>
        <v>0</v>
      </c>
      <c r="BC95">
        <v>26</v>
      </c>
      <c r="BD95">
        <f>BD29</f>
        <v>0</v>
      </c>
      <c r="BE95">
        <v>26</v>
      </c>
      <c r="BF95">
        <f>IF(BF30="","",BF29)</f>
        <v>0</v>
      </c>
      <c r="BG95">
        <v>26</v>
      </c>
      <c r="BH95">
        <f>BH29</f>
        <v>0</v>
      </c>
      <c r="BI95">
        <v>26</v>
      </c>
      <c r="BJ95">
        <f>IF(BJ30="","",BJ29)</f>
        <v>0</v>
      </c>
      <c r="BK95">
        <v>26</v>
      </c>
      <c r="BL95">
        <f>BL29</f>
        <v>0</v>
      </c>
      <c r="BM95">
        <v>26</v>
      </c>
      <c r="BN95">
        <f>IF(BN30="","",BN29)</f>
        <v>0</v>
      </c>
      <c r="BO95">
        <v>26</v>
      </c>
      <c r="BP95">
        <f>BP29</f>
        <v>0</v>
      </c>
      <c r="BS95">
        <v>26</v>
      </c>
      <c r="BT95">
        <f>IF(BT30="","",BT29)</f>
        <v>0</v>
      </c>
      <c r="BU95">
        <v>26</v>
      </c>
      <c r="BV95">
        <f>BV29</f>
        <v>0</v>
      </c>
      <c r="BW95">
        <v>26</v>
      </c>
      <c r="BX95">
        <f>IF(BX30="","",BX29)</f>
        <v>0</v>
      </c>
      <c r="BY95">
        <v>26</v>
      </c>
      <c r="BZ95">
        <f>BZ29</f>
        <v>0</v>
      </c>
      <c r="CA95">
        <v>26</v>
      </c>
      <c r="CB95">
        <f>IF(CB30="","",CB29)</f>
        <v>0</v>
      </c>
      <c r="CC95">
        <v>26</v>
      </c>
      <c r="CD95">
        <f>CD29</f>
        <v>0</v>
      </c>
      <c r="CE95">
        <v>26</v>
      </c>
      <c r="CF95">
        <f>IF(CF30="","",CF29)</f>
        <v>0</v>
      </c>
      <c r="CG95">
        <v>26</v>
      </c>
      <c r="CH95">
        <f>CH29</f>
        <v>0</v>
      </c>
      <c r="CI95">
        <v>26</v>
      </c>
      <c r="CJ95">
        <f>IF(CJ30="","",CJ29)</f>
        <v>0</v>
      </c>
      <c r="CK95">
        <v>26</v>
      </c>
      <c r="CL95">
        <f>CL29</f>
        <v>0</v>
      </c>
      <c r="CM95">
        <v>26</v>
      </c>
      <c r="CN95">
        <f>IF(CN30="","",CN29)</f>
        <v>0</v>
      </c>
      <c r="CO95">
        <v>26</v>
      </c>
      <c r="CP95">
        <f>CP29</f>
        <v>0</v>
      </c>
      <c r="CQ95">
        <v>26</v>
      </c>
      <c r="CR95">
        <f>IF(CR30="","",CR29)</f>
        <v>0</v>
      </c>
      <c r="CS95">
        <v>26</v>
      </c>
      <c r="CT95">
        <f>CT29</f>
        <v>0</v>
      </c>
      <c r="CU95">
        <v>26</v>
      </c>
      <c r="CV95">
        <f>IF(CV30="","",CV29)</f>
        <v>0</v>
      </c>
      <c r="CW95">
        <v>26</v>
      </c>
      <c r="CX95">
        <f>CX29</f>
        <v>0</v>
      </c>
      <c r="CY95">
        <v>26</v>
      </c>
      <c r="CZ95">
        <f>IF(CZ30="","",CZ29)</f>
        <v>0</v>
      </c>
      <c r="DA95">
        <v>26</v>
      </c>
      <c r="DB95">
        <f>DB29</f>
        <v>0</v>
      </c>
      <c r="DC95">
        <v>26</v>
      </c>
      <c r="DD95">
        <f>IF(DD30="","",DD29)</f>
        <v>0</v>
      </c>
      <c r="DE95">
        <v>26</v>
      </c>
      <c r="DF95">
        <f>DF29</f>
        <v>0</v>
      </c>
      <c r="DG95">
        <v>26</v>
      </c>
      <c r="DH95">
        <f>IF(DH30="","",DH29)</f>
        <v>0</v>
      </c>
      <c r="DI95">
        <v>26</v>
      </c>
      <c r="DJ95">
        <f>DJ29</f>
        <v>0</v>
      </c>
      <c r="DK95">
        <v>26</v>
      </c>
      <c r="DL95">
        <f>IF(DL30="","",DL29)</f>
        <v>0</v>
      </c>
      <c r="DM95">
        <v>26</v>
      </c>
      <c r="DN95">
        <f>DN29</f>
        <v>0</v>
      </c>
      <c r="DO95">
        <v>26</v>
      </c>
      <c r="DP95">
        <f>IF(DP30="","",DP29)</f>
        <v>0</v>
      </c>
      <c r="DQ95">
        <v>26</v>
      </c>
      <c r="DR95">
        <f>DR29</f>
        <v>0</v>
      </c>
      <c r="DS95">
        <v>26</v>
      </c>
      <c r="DT95">
        <f>IF(DT30="","",DT29)</f>
        <v>0</v>
      </c>
      <c r="DU95">
        <v>26</v>
      </c>
      <c r="DV95">
        <f>DV29</f>
        <v>0</v>
      </c>
      <c r="DW95">
        <v>26</v>
      </c>
      <c r="DX95">
        <f>IF(DX30="","",DX29)</f>
        <v>0</v>
      </c>
      <c r="DY95">
        <v>26</v>
      </c>
      <c r="DZ95">
        <f>DZ29</f>
        <v>0</v>
      </c>
      <c r="EA95">
        <v>26</v>
      </c>
      <c r="EB95">
        <f>IF(EB30="","",EB29)</f>
        <v>0</v>
      </c>
      <c r="EC95">
        <v>26</v>
      </c>
      <c r="ED95">
        <f>ED29</f>
        <v>0</v>
      </c>
    </row>
    <row r="96" spans="5:134">
      <c r="E96">
        <v>27</v>
      </c>
      <c r="F96">
        <f>IF(F31="","",F30)</f>
        <v>0</v>
      </c>
      <c r="G96">
        <v>27</v>
      </c>
      <c r="H96">
        <f>H30</f>
        <v>0</v>
      </c>
      <c r="I96">
        <v>27</v>
      </c>
      <c r="J96">
        <f>IF(J31="","",J30)</f>
        <v>0</v>
      </c>
      <c r="K96">
        <v>27</v>
      </c>
      <c r="L96">
        <f>L30</f>
        <v>0</v>
      </c>
      <c r="M96">
        <v>27</v>
      </c>
      <c r="N96">
        <f>IF(N31="","",N30)</f>
        <v>0</v>
      </c>
      <c r="O96">
        <v>27</v>
      </c>
      <c r="P96">
        <f>P30</f>
        <v>0</v>
      </c>
      <c r="Q96">
        <v>27</v>
      </c>
      <c r="R96">
        <f>IF(R31="","",R30)</f>
        <v>0</v>
      </c>
      <c r="S96">
        <v>27</v>
      </c>
      <c r="T96">
        <f>T30</f>
        <v>0</v>
      </c>
      <c r="U96">
        <v>27</v>
      </c>
      <c r="V96">
        <f>IF(V31="","",V30)</f>
        <v>0</v>
      </c>
      <c r="W96">
        <v>27</v>
      </c>
      <c r="X96">
        <f>X30</f>
        <v>0</v>
      </c>
      <c r="Y96">
        <v>27</v>
      </c>
      <c r="Z96">
        <f>IF(Z31="","",Z30)</f>
        <v>0</v>
      </c>
      <c r="AA96">
        <v>27</v>
      </c>
      <c r="AB96">
        <f>AB30</f>
        <v>0</v>
      </c>
      <c r="AC96">
        <v>27</v>
      </c>
      <c r="AD96">
        <f>IF(AD31="","",AD30)</f>
        <v>0</v>
      </c>
      <c r="AE96">
        <v>27</v>
      </c>
      <c r="AF96">
        <f>AF30</f>
        <v>0</v>
      </c>
      <c r="AG96">
        <v>27</v>
      </c>
      <c r="AH96">
        <f>IF(AH31="","",AH30)</f>
        <v>0</v>
      </c>
      <c r="AI96">
        <v>27</v>
      </c>
      <c r="AJ96">
        <f>AJ30</f>
        <v>0</v>
      </c>
      <c r="AK96">
        <v>27</v>
      </c>
      <c r="AL96">
        <f>IF(AL31="","",AL30)</f>
        <v>0</v>
      </c>
      <c r="AM96">
        <v>27</v>
      </c>
      <c r="AN96">
        <f>AN30</f>
        <v>0</v>
      </c>
      <c r="AO96">
        <v>27</v>
      </c>
      <c r="AP96">
        <f>IF(AP31="","",AP30)</f>
        <v>0</v>
      </c>
      <c r="AQ96">
        <v>27</v>
      </c>
      <c r="AR96">
        <f>AR30</f>
        <v>0</v>
      </c>
      <c r="AS96">
        <v>27</v>
      </c>
      <c r="AT96">
        <f>IF(AT31="","",AT30)</f>
        <v>0</v>
      </c>
      <c r="AU96">
        <v>27</v>
      </c>
      <c r="AV96">
        <f>AV30</f>
        <v>0</v>
      </c>
      <c r="AW96">
        <v>27</v>
      </c>
      <c r="AX96">
        <f>IF(AX31="","",AX30)</f>
        <v>0</v>
      </c>
      <c r="AY96">
        <v>27</v>
      </c>
      <c r="AZ96">
        <f>AZ30</f>
        <v>0</v>
      </c>
      <c r="BA96">
        <v>27</v>
      </c>
      <c r="BB96">
        <f>IF(BB31="","",BB30)</f>
        <v>0</v>
      </c>
      <c r="BC96">
        <v>27</v>
      </c>
      <c r="BD96">
        <f>BD30</f>
        <v>0</v>
      </c>
      <c r="BE96">
        <v>27</v>
      </c>
      <c r="BF96">
        <f>IF(BF31="","",BF30)</f>
        <v>0</v>
      </c>
      <c r="BG96">
        <v>27</v>
      </c>
      <c r="BH96">
        <f>BH30</f>
        <v>0</v>
      </c>
      <c r="BI96">
        <v>27</v>
      </c>
      <c r="BJ96">
        <f>IF(BJ31="","",BJ30)</f>
        <v>0</v>
      </c>
      <c r="BK96">
        <v>27</v>
      </c>
      <c r="BL96">
        <f>BL30</f>
        <v>0</v>
      </c>
      <c r="BM96">
        <v>27</v>
      </c>
      <c r="BN96">
        <f>IF(BN31="","",BN30)</f>
        <v>0</v>
      </c>
      <c r="BO96">
        <v>27</v>
      </c>
      <c r="BP96">
        <f>BP30</f>
        <v>0</v>
      </c>
      <c r="BS96">
        <v>27</v>
      </c>
      <c r="BT96">
        <f>IF(BT31="","",BT30)</f>
        <v>0</v>
      </c>
      <c r="BU96">
        <v>27</v>
      </c>
      <c r="BV96">
        <f>BV30</f>
        <v>0</v>
      </c>
      <c r="BW96">
        <v>27</v>
      </c>
      <c r="BX96">
        <f>IF(BX31="","",BX30)</f>
        <v>0</v>
      </c>
      <c r="BY96">
        <v>27</v>
      </c>
      <c r="BZ96">
        <f>BZ30</f>
        <v>0</v>
      </c>
      <c r="CA96">
        <v>27</v>
      </c>
      <c r="CB96">
        <f>IF(CB31="","",CB30)</f>
        <v>0</v>
      </c>
      <c r="CC96">
        <v>27</v>
      </c>
      <c r="CD96">
        <f>CD30</f>
        <v>0</v>
      </c>
      <c r="CE96">
        <v>27</v>
      </c>
      <c r="CF96">
        <f>IF(CF31="","",CF30)</f>
        <v>0</v>
      </c>
      <c r="CG96">
        <v>27</v>
      </c>
      <c r="CH96">
        <f>CH30</f>
        <v>0</v>
      </c>
      <c r="CI96">
        <v>27</v>
      </c>
      <c r="CJ96">
        <f>IF(CJ31="","",CJ30)</f>
        <v>0</v>
      </c>
      <c r="CK96">
        <v>27</v>
      </c>
      <c r="CL96">
        <f>CL30</f>
        <v>0</v>
      </c>
      <c r="CM96">
        <v>27</v>
      </c>
      <c r="CN96">
        <f>IF(CN31="","",CN30)</f>
        <v>0</v>
      </c>
      <c r="CO96">
        <v>27</v>
      </c>
      <c r="CP96">
        <f>CP30</f>
        <v>0</v>
      </c>
      <c r="CQ96">
        <v>27</v>
      </c>
      <c r="CR96">
        <f>IF(CR31="","",CR30)</f>
        <v>0</v>
      </c>
      <c r="CS96">
        <v>27</v>
      </c>
      <c r="CT96">
        <f>CT30</f>
        <v>0</v>
      </c>
      <c r="CU96">
        <v>27</v>
      </c>
      <c r="CV96">
        <f>IF(CV31="","",CV30)</f>
        <v>0</v>
      </c>
      <c r="CW96">
        <v>27</v>
      </c>
      <c r="CX96">
        <f>CX30</f>
        <v>0</v>
      </c>
      <c r="CY96">
        <v>27</v>
      </c>
      <c r="CZ96">
        <f>IF(CZ31="","",CZ30)</f>
        <v>0</v>
      </c>
      <c r="DA96">
        <v>27</v>
      </c>
      <c r="DB96">
        <f>DB30</f>
        <v>0</v>
      </c>
      <c r="DC96">
        <v>27</v>
      </c>
      <c r="DD96">
        <f>IF(DD31="","",DD30)</f>
        <v>0</v>
      </c>
      <c r="DE96">
        <v>27</v>
      </c>
      <c r="DF96">
        <f>DF30</f>
        <v>0</v>
      </c>
      <c r="DG96">
        <v>27</v>
      </c>
      <c r="DH96">
        <f>IF(DH31="","",DH30)</f>
        <v>0</v>
      </c>
      <c r="DI96">
        <v>27</v>
      </c>
      <c r="DJ96">
        <f>DJ30</f>
        <v>0</v>
      </c>
      <c r="DK96">
        <v>27</v>
      </c>
      <c r="DL96">
        <f>IF(DL31="","",DL30)</f>
        <v>0</v>
      </c>
      <c r="DM96">
        <v>27</v>
      </c>
      <c r="DN96">
        <f>DN30</f>
        <v>0</v>
      </c>
      <c r="DO96">
        <v>27</v>
      </c>
      <c r="DP96">
        <f>IF(DP31="","",DP30)</f>
        <v>0</v>
      </c>
      <c r="DQ96">
        <v>27</v>
      </c>
      <c r="DR96">
        <f>DR30</f>
        <v>0</v>
      </c>
      <c r="DS96">
        <v>27</v>
      </c>
      <c r="DT96">
        <f>IF(DT31="","",DT30)</f>
        <v>0</v>
      </c>
      <c r="DU96">
        <v>27</v>
      </c>
      <c r="DV96">
        <f>DV30</f>
        <v>0</v>
      </c>
      <c r="DW96">
        <v>27</v>
      </c>
      <c r="DX96">
        <f>IF(DX31="","",DX30)</f>
        <v>0</v>
      </c>
      <c r="DY96">
        <v>27</v>
      </c>
      <c r="DZ96">
        <f>DZ30</f>
        <v>0</v>
      </c>
      <c r="EA96">
        <v>27</v>
      </c>
      <c r="EB96">
        <f>IF(EB31="","",EB30)</f>
        <v>0</v>
      </c>
      <c r="EC96">
        <v>27</v>
      </c>
      <c r="ED96">
        <f>ED30</f>
        <v>0</v>
      </c>
    </row>
    <row r="97" spans="4:134">
      <c r="E97">
        <v>28</v>
      </c>
      <c r="F97">
        <f>IF(F32="","",F31)</f>
        <v>0</v>
      </c>
      <c r="G97">
        <v>28</v>
      </c>
      <c r="H97">
        <f>H31</f>
        <v>0</v>
      </c>
      <c r="I97">
        <v>28</v>
      </c>
      <c r="J97">
        <f>IF(J32="","",J31)</f>
        <v>0</v>
      </c>
      <c r="K97">
        <v>28</v>
      </c>
      <c r="L97">
        <f>L31</f>
        <v>0</v>
      </c>
      <c r="M97">
        <v>28</v>
      </c>
      <c r="N97">
        <f>IF(N32="","",N31)</f>
        <v>0</v>
      </c>
      <c r="O97">
        <v>28</v>
      </c>
      <c r="P97">
        <f>P31</f>
        <v>0</v>
      </c>
      <c r="Q97">
        <v>28</v>
      </c>
      <c r="R97">
        <f>IF(R32="","",R31)</f>
        <v>0</v>
      </c>
      <c r="S97">
        <v>28</v>
      </c>
      <c r="T97">
        <f>T31</f>
        <v>0</v>
      </c>
      <c r="U97">
        <v>28</v>
      </c>
      <c r="V97">
        <f>IF(V32="","",V31)</f>
        <v>0</v>
      </c>
      <c r="W97">
        <v>28</v>
      </c>
      <c r="X97">
        <f>X31</f>
        <v>0</v>
      </c>
      <c r="Y97">
        <v>28</v>
      </c>
      <c r="Z97">
        <f>IF(Z32="","",Z31)</f>
        <v>0</v>
      </c>
      <c r="AA97">
        <v>28</v>
      </c>
      <c r="AB97">
        <f>AB31</f>
        <v>0</v>
      </c>
      <c r="AC97">
        <v>28</v>
      </c>
      <c r="AD97">
        <f>IF(AD32="","",AD31)</f>
        <v>0</v>
      </c>
      <c r="AE97">
        <v>28</v>
      </c>
      <c r="AF97">
        <f>AF31</f>
        <v>0</v>
      </c>
      <c r="AG97">
        <v>28</v>
      </c>
      <c r="AH97">
        <f>IF(AH32="","",AH31)</f>
        <v>0</v>
      </c>
      <c r="AI97">
        <v>28</v>
      </c>
      <c r="AJ97">
        <f>AJ31</f>
        <v>0</v>
      </c>
      <c r="AK97">
        <v>28</v>
      </c>
      <c r="AL97">
        <f>IF(AL32="","",AL31)</f>
        <v>0</v>
      </c>
      <c r="AM97">
        <v>28</v>
      </c>
      <c r="AN97">
        <f>AN31</f>
        <v>0</v>
      </c>
      <c r="AO97">
        <v>28</v>
      </c>
      <c r="AP97">
        <f>IF(AP32="","",AP31)</f>
        <v>0</v>
      </c>
      <c r="AQ97">
        <v>28</v>
      </c>
      <c r="AR97">
        <f>AR31</f>
        <v>0</v>
      </c>
      <c r="AS97">
        <v>28</v>
      </c>
      <c r="AT97">
        <f>IF(AT32="","",AT31)</f>
        <v>0</v>
      </c>
      <c r="AU97">
        <v>28</v>
      </c>
      <c r="AV97">
        <f>AV31</f>
        <v>0</v>
      </c>
      <c r="AW97">
        <v>28</v>
      </c>
      <c r="AX97">
        <f>IF(AX32="","",AX31)</f>
        <v>0</v>
      </c>
      <c r="AY97">
        <v>28</v>
      </c>
      <c r="AZ97">
        <f>AZ31</f>
        <v>0</v>
      </c>
      <c r="BA97">
        <v>28</v>
      </c>
      <c r="BB97">
        <f>IF(BB32="","",BB31)</f>
        <v>0</v>
      </c>
      <c r="BC97">
        <v>28</v>
      </c>
      <c r="BD97">
        <f>BD31</f>
        <v>0</v>
      </c>
      <c r="BE97">
        <v>28</v>
      </c>
      <c r="BF97">
        <f>IF(BF32="","",BF31)</f>
        <v>0</v>
      </c>
      <c r="BG97">
        <v>28</v>
      </c>
      <c r="BH97">
        <f>BH31</f>
        <v>0</v>
      </c>
      <c r="BI97">
        <v>28</v>
      </c>
      <c r="BJ97">
        <f>IF(BJ32="","",BJ31)</f>
        <v>0</v>
      </c>
      <c r="BK97">
        <v>28</v>
      </c>
      <c r="BL97">
        <f>BL31</f>
        <v>0</v>
      </c>
      <c r="BM97">
        <v>28</v>
      </c>
      <c r="BN97">
        <f>IF(BN32="","",BN31)</f>
        <v>0</v>
      </c>
      <c r="BO97">
        <v>28</v>
      </c>
      <c r="BP97">
        <f>BP31</f>
        <v>0</v>
      </c>
      <c r="BS97">
        <v>28</v>
      </c>
      <c r="BT97">
        <f>IF(BT32="","",BT31)</f>
        <v>0</v>
      </c>
      <c r="BU97">
        <v>28</v>
      </c>
      <c r="BV97">
        <f>BV31</f>
        <v>0</v>
      </c>
      <c r="BW97">
        <v>28</v>
      </c>
      <c r="BX97">
        <f>IF(BX32="","",BX31)</f>
        <v>0</v>
      </c>
      <c r="BY97">
        <v>28</v>
      </c>
      <c r="BZ97">
        <f>BZ31</f>
        <v>0</v>
      </c>
      <c r="CA97">
        <v>28</v>
      </c>
      <c r="CB97">
        <f>IF(CB32="","",CB31)</f>
        <v>0</v>
      </c>
      <c r="CC97">
        <v>28</v>
      </c>
      <c r="CD97">
        <f>CD31</f>
        <v>0</v>
      </c>
      <c r="CE97">
        <v>28</v>
      </c>
      <c r="CF97">
        <f>IF(CF32="","",CF31)</f>
        <v>0</v>
      </c>
      <c r="CG97">
        <v>28</v>
      </c>
      <c r="CH97">
        <f>CH31</f>
        <v>0</v>
      </c>
      <c r="CI97">
        <v>28</v>
      </c>
      <c r="CJ97">
        <f>IF(CJ32="","",CJ31)</f>
        <v>0</v>
      </c>
      <c r="CK97">
        <v>28</v>
      </c>
      <c r="CL97">
        <f>CL31</f>
        <v>0</v>
      </c>
      <c r="CM97">
        <v>28</v>
      </c>
      <c r="CN97">
        <f>IF(CN32="","",CN31)</f>
        <v>0</v>
      </c>
      <c r="CO97">
        <v>28</v>
      </c>
      <c r="CP97">
        <f>CP31</f>
        <v>0</v>
      </c>
      <c r="CQ97">
        <v>28</v>
      </c>
      <c r="CR97">
        <f>IF(CR32="","",CR31)</f>
        <v>0</v>
      </c>
      <c r="CS97">
        <v>28</v>
      </c>
      <c r="CT97">
        <f>CT31</f>
        <v>0</v>
      </c>
      <c r="CU97">
        <v>28</v>
      </c>
      <c r="CV97">
        <f>IF(CV32="","",CV31)</f>
        <v>0</v>
      </c>
      <c r="CW97">
        <v>28</v>
      </c>
      <c r="CX97">
        <f>CX31</f>
        <v>0</v>
      </c>
      <c r="CY97">
        <v>28</v>
      </c>
      <c r="CZ97">
        <f>IF(CZ32="","",CZ31)</f>
        <v>0</v>
      </c>
      <c r="DA97">
        <v>28</v>
      </c>
      <c r="DB97">
        <f>DB31</f>
        <v>0</v>
      </c>
      <c r="DC97">
        <v>28</v>
      </c>
      <c r="DD97">
        <f>IF(DD32="","",DD31)</f>
        <v>0</v>
      </c>
      <c r="DE97">
        <v>28</v>
      </c>
      <c r="DF97">
        <f>DF31</f>
        <v>0</v>
      </c>
      <c r="DG97">
        <v>28</v>
      </c>
      <c r="DH97">
        <f>IF(DH32="","",DH31)</f>
        <v>0</v>
      </c>
      <c r="DI97">
        <v>28</v>
      </c>
      <c r="DJ97">
        <f>DJ31</f>
        <v>0</v>
      </c>
      <c r="DK97">
        <v>28</v>
      </c>
      <c r="DL97">
        <f>IF(DL32="","",DL31)</f>
        <v>0</v>
      </c>
      <c r="DM97">
        <v>28</v>
      </c>
      <c r="DN97">
        <f>DN31</f>
        <v>0</v>
      </c>
      <c r="DO97">
        <v>28</v>
      </c>
      <c r="DP97">
        <f>IF(DP32="","",DP31)</f>
        <v>0</v>
      </c>
      <c r="DQ97">
        <v>28</v>
      </c>
      <c r="DR97">
        <f>DR31</f>
        <v>0</v>
      </c>
      <c r="DS97">
        <v>28</v>
      </c>
      <c r="DT97">
        <f>IF(DT32="","",DT31)</f>
        <v>0</v>
      </c>
      <c r="DU97">
        <v>28</v>
      </c>
      <c r="DV97">
        <f>DV31</f>
        <v>0</v>
      </c>
      <c r="DW97">
        <v>28</v>
      </c>
      <c r="DX97">
        <f>IF(DX32="","",DX31)</f>
        <v>0</v>
      </c>
      <c r="DY97">
        <v>28</v>
      </c>
      <c r="DZ97">
        <f>DZ31</f>
        <v>0</v>
      </c>
      <c r="EA97">
        <v>28</v>
      </c>
      <c r="EB97">
        <f>IF(EB32="","",EB31)</f>
        <v>0</v>
      </c>
      <c r="EC97">
        <v>28</v>
      </c>
      <c r="ED97">
        <f>ED31</f>
        <v>0</v>
      </c>
    </row>
    <row r="98" spans="4:134">
      <c r="E98">
        <v>29</v>
      </c>
      <c r="F98">
        <f>IF(F33="","",F32)</f>
        <v>0</v>
      </c>
      <c r="G98">
        <v>29</v>
      </c>
      <c r="H98">
        <f>H32</f>
        <v>0</v>
      </c>
      <c r="I98">
        <v>29</v>
      </c>
      <c r="J98">
        <f>IF(J33="","",J32)</f>
        <v>0</v>
      </c>
      <c r="K98">
        <v>29</v>
      </c>
      <c r="L98">
        <f>L32</f>
        <v>0</v>
      </c>
      <c r="M98">
        <v>29</v>
      </c>
      <c r="N98">
        <f>IF(N33="","",N32)</f>
        <v>0</v>
      </c>
      <c r="O98">
        <v>29</v>
      </c>
      <c r="P98">
        <f>P32</f>
        <v>0</v>
      </c>
      <c r="Q98">
        <v>29</v>
      </c>
      <c r="R98">
        <f>IF(R33="","",R32)</f>
        <v>0</v>
      </c>
      <c r="S98">
        <v>29</v>
      </c>
      <c r="T98">
        <f>T32</f>
        <v>0</v>
      </c>
      <c r="U98">
        <v>29</v>
      </c>
      <c r="V98">
        <f>IF(V33="","",V32)</f>
        <v>0</v>
      </c>
      <c r="W98">
        <v>29</v>
      </c>
      <c r="X98">
        <f>X32</f>
        <v>0</v>
      </c>
      <c r="Y98">
        <v>29</v>
      </c>
      <c r="Z98">
        <f>IF(Z33="","",Z32)</f>
        <v>0</v>
      </c>
      <c r="AA98">
        <v>29</v>
      </c>
      <c r="AB98">
        <f>AB32</f>
        <v>0</v>
      </c>
      <c r="AC98">
        <v>29</v>
      </c>
      <c r="AD98">
        <f>IF(AD33="","",AD32)</f>
        <v>0</v>
      </c>
      <c r="AE98">
        <v>29</v>
      </c>
      <c r="AF98">
        <f>AF32</f>
        <v>0</v>
      </c>
      <c r="AG98">
        <v>29</v>
      </c>
      <c r="AH98">
        <f>IF(AH33="","",AH32)</f>
        <v>0</v>
      </c>
      <c r="AI98">
        <v>29</v>
      </c>
      <c r="AJ98">
        <f>AJ32</f>
        <v>0</v>
      </c>
      <c r="AK98">
        <v>29</v>
      </c>
      <c r="AL98">
        <f>IF(AL33="","",AL32)</f>
        <v>0</v>
      </c>
      <c r="AM98">
        <v>29</v>
      </c>
      <c r="AN98">
        <f>AN32</f>
        <v>0</v>
      </c>
      <c r="AO98">
        <v>29</v>
      </c>
      <c r="AP98">
        <f>IF(AP33="","",AP32)</f>
        <v>0</v>
      </c>
      <c r="AQ98">
        <v>29</v>
      </c>
      <c r="AR98">
        <f>AR32</f>
        <v>0</v>
      </c>
      <c r="AS98">
        <v>29</v>
      </c>
      <c r="AT98">
        <f>IF(AT33="","",AT32)</f>
        <v>0</v>
      </c>
      <c r="AU98">
        <v>29</v>
      </c>
      <c r="AV98">
        <f>AV32</f>
        <v>0</v>
      </c>
      <c r="AW98">
        <v>29</v>
      </c>
      <c r="AX98">
        <f>IF(AX33="","",AX32)</f>
        <v>0</v>
      </c>
      <c r="AY98">
        <v>29</v>
      </c>
      <c r="AZ98">
        <f>AZ32</f>
        <v>0</v>
      </c>
      <c r="BA98">
        <v>29</v>
      </c>
      <c r="BB98">
        <f>IF(BB33="","",BB32)</f>
        <v>0</v>
      </c>
      <c r="BC98">
        <v>29</v>
      </c>
      <c r="BD98">
        <f>BD32</f>
        <v>0</v>
      </c>
      <c r="BE98">
        <v>29</v>
      </c>
      <c r="BF98">
        <f>IF(BF33="","",BF32)</f>
        <v>0</v>
      </c>
      <c r="BG98">
        <v>29</v>
      </c>
      <c r="BH98">
        <f>BH32</f>
        <v>0</v>
      </c>
      <c r="BI98">
        <v>29</v>
      </c>
      <c r="BJ98">
        <f>IF(BJ33="","",BJ32)</f>
        <v>0</v>
      </c>
      <c r="BK98">
        <v>29</v>
      </c>
      <c r="BL98">
        <f>BL32</f>
        <v>0</v>
      </c>
      <c r="BM98">
        <v>29</v>
      </c>
      <c r="BN98">
        <f>IF(BN33="","",BN32)</f>
        <v>0</v>
      </c>
      <c r="BO98">
        <v>29</v>
      </c>
      <c r="BP98">
        <f>BP32</f>
        <v>0</v>
      </c>
      <c r="BS98">
        <v>29</v>
      </c>
      <c r="BT98">
        <f>IF(BT33="","",BT32)</f>
        <v>0</v>
      </c>
      <c r="BU98">
        <v>29</v>
      </c>
      <c r="BV98">
        <f>BV32</f>
        <v>0</v>
      </c>
      <c r="BW98">
        <v>29</v>
      </c>
      <c r="BX98">
        <f>IF(BX33="","",BX32)</f>
        <v>0</v>
      </c>
      <c r="BY98">
        <v>29</v>
      </c>
      <c r="BZ98">
        <f>BZ32</f>
        <v>0</v>
      </c>
      <c r="CA98">
        <v>29</v>
      </c>
      <c r="CB98">
        <f>IF(CB33="","",CB32)</f>
        <v>0</v>
      </c>
      <c r="CC98">
        <v>29</v>
      </c>
      <c r="CD98">
        <f>CD32</f>
        <v>0</v>
      </c>
      <c r="CE98">
        <v>29</v>
      </c>
      <c r="CF98">
        <f>IF(CF33="","",CF32)</f>
        <v>0</v>
      </c>
      <c r="CG98">
        <v>29</v>
      </c>
      <c r="CH98">
        <f>CH32</f>
        <v>0</v>
      </c>
      <c r="CI98">
        <v>29</v>
      </c>
      <c r="CJ98">
        <f>IF(CJ33="","",CJ32)</f>
        <v>0</v>
      </c>
      <c r="CK98">
        <v>29</v>
      </c>
      <c r="CL98">
        <f>CL32</f>
        <v>0</v>
      </c>
      <c r="CM98">
        <v>29</v>
      </c>
      <c r="CN98">
        <f>IF(CN33="","",CN32)</f>
        <v>0</v>
      </c>
      <c r="CO98">
        <v>29</v>
      </c>
      <c r="CP98">
        <f>CP32</f>
        <v>0</v>
      </c>
      <c r="CQ98">
        <v>29</v>
      </c>
      <c r="CR98">
        <f>IF(CR33="","",CR32)</f>
        <v>0</v>
      </c>
      <c r="CS98">
        <v>29</v>
      </c>
      <c r="CT98">
        <f>CT32</f>
        <v>0</v>
      </c>
      <c r="CU98">
        <v>29</v>
      </c>
      <c r="CV98">
        <f>IF(CV33="","",CV32)</f>
        <v>0</v>
      </c>
      <c r="CW98">
        <v>29</v>
      </c>
      <c r="CX98">
        <f>CX32</f>
        <v>0</v>
      </c>
      <c r="CY98">
        <v>29</v>
      </c>
      <c r="CZ98">
        <f>IF(CZ33="","",CZ32)</f>
        <v>0</v>
      </c>
      <c r="DA98">
        <v>29</v>
      </c>
      <c r="DB98">
        <f>DB32</f>
        <v>0</v>
      </c>
      <c r="DC98">
        <v>29</v>
      </c>
      <c r="DD98">
        <f>IF(DD33="","",DD32)</f>
        <v>0</v>
      </c>
      <c r="DE98">
        <v>29</v>
      </c>
      <c r="DF98">
        <f>DF32</f>
        <v>0</v>
      </c>
      <c r="DG98">
        <v>29</v>
      </c>
      <c r="DH98">
        <f>IF(DH33="","",DH32)</f>
        <v>0</v>
      </c>
      <c r="DI98">
        <v>29</v>
      </c>
      <c r="DJ98">
        <f>DJ32</f>
        <v>0</v>
      </c>
      <c r="DK98">
        <v>29</v>
      </c>
      <c r="DL98">
        <f>IF(DL33="","",DL32)</f>
        <v>0</v>
      </c>
      <c r="DM98">
        <v>29</v>
      </c>
      <c r="DN98">
        <f>DN32</f>
        <v>0</v>
      </c>
      <c r="DO98">
        <v>29</v>
      </c>
      <c r="DP98">
        <f>IF(DP33="","",DP32)</f>
        <v>0</v>
      </c>
      <c r="DQ98">
        <v>29</v>
      </c>
      <c r="DR98">
        <f>DR32</f>
        <v>0</v>
      </c>
      <c r="DS98">
        <v>29</v>
      </c>
      <c r="DT98">
        <f>IF(DT33="","",DT32)</f>
        <v>0</v>
      </c>
      <c r="DU98">
        <v>29</v>
      </c>
      <c r="DV98">
        <f>DV32</f>
        <v>0</v>
      </c>
      <c r="DW98">
        <v>29</v>
      </c>
      <c r="DX98">
        <f>IF(DX33="","",DX32)</f>
        <v>0</v>
      </c>
      <c r="DY98">
        <v>29</v>
      </c>
      <c r="DZ98">
        <f>DZ32</f>
        <v>0</v>
      </c>
      <c r="EA98">
        <v>29</v>
      </c>
      <c r="EB98">
        <f>IF(EB33="","",EB32)</f>
        <v>0</v>
      </c>
      <c r="EC98">
        <v>29</v>
      </c>
      <c r="ED98">
        <f>ED32</f>
        <v>0</v>
      </c>
    </row>
    <row r="99" spans="4:134">
      <c r="E99">
        <v>30</v>
      </c>
      <c r="F99">
        <f>IF(F34="","",F33)</f>
        <v>0</v>
      </c>
      <c r="G99">
        <v>30</v>
      </c>
      <c r="H99">
        <f>H33</f>
        <v>0</v>
      </c>
      <c r="I99">
        <v>30</v>
      </c>
      <c r="J99">
        <f>IF(J34="","",J33)</f>
        <v>0</v>
      </c>
      <c r="K99">
        <v>30</v>
      </c>
      <c r="L99">
        <f>L33</f>
        <v>0</v>
      </c>
      <c r="M99">
        <v>30</v>
      </c>
      <c r="N99">
        <f>IF(N34="","",N33)</f>
        <v>0</v>
      </c>
      <c r="O99">
        <v>30</v>
      </c>
      <c r="P99">
        <f>P33</f>
        <v>0</v>
      </c>
      <c r="Q99">
        <v>30</v>
      </c>
      <c r="R99">
        <f>IF(R34="","",R33)</f>
        <v>0</v>
      </c>
      <c r="S99">
        <v>30</v>
      </c>
      <c r="T99">
        <f>T33</f>
        <v>0</v>
      </c>
      <c r="U99">
        <v>30</v>
      </c>
      <c r="V99">
        <f>IF(V34="","",V33)</f>
        <v>0</v>
      </c>
      <c r="W99">
        <v>30</v>
      </c>
      <c r="X99">
        <f>X33</f>
        <v>0</v>
      </c>
      <c r="Y99">
        <v>30</v>
      </c>
      <c r="Z99">
        <f>IF(Z34="","",Z33)</f>
        <v>0</v>
      </c>
      <c r="AA99">
        <v>30</v>
      </c>
      <c r="AB99">
        <f>AB33</f>
        <v>0</v>
      </c>
      <c r="AC99">
        <v>30</v>
      </c>
      <c r="AD99">
        <f>IF(AD34="","",AD33)</f>
        <v>0</v>
      </c>
      <c r="AE99">
        <v>30</v>
      </c>
      <c r="AF99">
        <f>AF33</f>
        <v>0</v>
      </c>
      <c r="AG99">
        <v>30</v>
      </c>
      <c r="AH99">
        <f>IF(AH34="","",AH33)</f>
        <v>0</v>
      </c>
      <c r="AI99">
        <v>30</v>
      </c>
      <c r="AJ99">
        <f>AJ33</f>
        <v>0</v>
      </c>
      <c r="AK99">
        <v>30</v>
      </c>
      <c r="AL99">
        <f>IF(AL34="","",AL33)</f>
        <v>0</v>
      </c>
      <c r="AM99">
        <v>30</v>
      </c>
      <c r="AN99">
        <f>AN33</f>
        <v>0</v>
      </c>
      <c r="AO99">
        <v>30</v>
      </c>
      <c r="AP99">
        <f>IF(AP34="","",AP33)</f>
        <v>0</v>
      </c>
      <c r="AQ99">
        <v>30</v>
      </c>
      <c r="AR99">
        <f>AR33</f>
        <v>0</v>
      </c>
      <c r="AS99">
        <v>30</v>
      </c>
      <c r="AT99">
        <f>IF(AT34="","",AT33)</f>
        <v>0</v>
      </c>
      <c r="AU99">
        <v>30</v>
      </c>
      <c r="AV99">
        <f>AV33</f>
        <v>0</v>
      </c>
      <c r="AW99">
        <v>30</v>
      </c>
      <c r="AX99">
        <f>IF(AX34="","",AX33)</f>
        <v>0</v>
      </c>
      <c r="AY99">
        <v>30</v>
      </c>
      <c r="AZ99">
        <f>AZ33</f>
        <v>0</v>
      </c>
      <c r="BA99">
        <v>30</v>
      </c>
      <c r="BB99">
        <f>IF(BB34="","",BB33)</f>
        <v>0</v>
      </c>
      <c r="BC99">
        <v>30</v>
      </c>
      <c r="BD99">
        <f>BD33</f>
        <v>0</v>
      </c>
      <c r="BE99">
        <v>30</v>
      </c>
      <c r="BF99">
        <f>IF(BF34="","",BF33)</f>
        <v>0</v>
      </c>
      <c r="BG99">
        <v>30</v>
      </c>
      <c r="BH99">
        <f>BH33</f>
        <v>0</v>
      </c>
      <c r="BI99">
        <v>30</v>
      </c>
      <c r="BJ99">
        <f>IF(BJ34="","",BJ33)</f>
        <v>0</v>
      </c>
      <c r="BK99">
        <v>30</v>
      </c>
      <c r="BL99">
        <f>BL33</f>
        <v>0</v>
      </c>
      <c r="BM99">
        <v>30</v>
      </c>
      <c r="BN99">
        <f>IF(BN34="","",BN33)</f>
        <v>0</v>
      </c>
      <c r="BO99">
        <v>30</v>
      </c>
      <c r="BP99">
        <f>BP33</f>
        <v>0</v>
      </c>
      <c r="BS99">
        <v>30</v>
      </c>
      <c r="BT99">
        <f>IF(BT34="","",BT33)</f>
        <v>0</v>
      </c>
      <c r="BU99">
        <v>30</v>
      </c>
      <c r="BV99">
        <f>BV33</f>
        <v>0</v>
      </c>
      <c r="BW99">
        <v>30</v>
      </c>
      <c r="BX99">
        <f>IF(BX34="","",BX33)</f>
        <v>0</v>
      </c>
      <c r="BY99">
        <v>30</v>
      </c>
      <c r="BZ99">
        <f>BZ33</f>
        <v>0</v>
      </c>
      <c r="CA99">
        <v>30</v>
      </c>
      <c r="CB99">
        <f>IF(CB34="","",CB33)</f>
        <v>0</v>
      </c>
      <c r="CC99">
        <v>30</v>
      </c>
      <c r="CD99">
        <f>CD33</f>
        <v>0</v>
      </c>
      <c r="CE99">
        <v>30</v>
      </c>
      <c r="CF99">
        <f>IF(CF34="","",CF33)</f>
        <v>0</v>
      </c>
      <c r="CG99">
        <v>30</v>
      </c>
      <c r="CH99">
        <f>CH33</f>
        <v>0</v>
      </c>
      <c r="CI99">
        <v>30</v>
      </c>
      <c r="CJ99">
        <f>IF(CJ34="","",CJ33)</f>
        <v>0</v>
      </c>
      <c r="CK99">
        <v>30</v>
      </c>
      <c r="CL99">
        <f>CL33</f>
        <v>0</v>
      </c>
      <c r="CM99">
        <v>30</v>
      </c>
      <c r="CN99">
        <f>IF(CN34="","",CN33)</f>
        <v>0</v>
      </c>
      <c r="CO99">
        <v>30</v>
      </c>
      <c r="CP99">
        <f>CP33</f>
        <v>0</v>
      </c>
      <c r="CQ99">
        <v>30</v>
      </c>
      <c r="CR99">
        <f>IF(CR34="","",CR33)</f>
        <v>0</v>
      </c>
      <c r="CS99">
        <v>30</v>
      </c>
      <c r="CT99">
        <f>CT33</f>
        <v>0</v>
      </c>
      <c r="CU99">
        <v>30</v>
      </c>
      <c r="CV99">
        <f>IF(CV34="","",CV33)</f>
        <v>0</v>
      </c>
      <c r="CW99">
        <v>30</v>
      </c>
      <c r="CX99">
        <f>CX33</f>
        <v>0</v>
      </c>
      <c r="CY99">
        <v>30</v>
      </c>
      <c r="CZ99">
        <f>IF(CZ34="","",CZ33)</f>
        <v>0</v>
      </c>
      <c r="DA99">
        <v>30</v>
      </c>
      <c r="DB99">
        <f>DB33</f>
        <v>0</v>
      </c>
      <c r="DC99">
        <v>30</v>
      </c>
      <c r="DD99">
        <f>IF(DD34="","",DD33)</f>
        <v>0</v>
      </c>
      <c r="DE99">
        <v>30</v>
      </c>
      <c r="DF99">
        <f>DF33</f>
        <v>0</v>
      </c>
      <c r="DG99">
        <v>30</v>
      </c>
      <c r="DH99">
        <f>IF(DH34="","",DH33)</f>
        <v>0</v>
      </c>
      <c r="DI99">
        <v>30</v>
      </c>
      <c r="DJ99">
        <f>DJ33</f>
        <v>0</v>
      </c>
      <c r="DK99">
        <v>30</v>
      </c>
      <c r="DL99">
        <f>IF(DL34="","",DL33)</f>
        <v>0</v>
      </c>
      <c r="DM99">
        <v>30</v>
      </c>
      <c r="DN99">
        <f>DN33</f>
        <v>0</v>
      </c>
      <c r="DO99">
        <v>30</v>
      </c>
      <c r="DP99">
        <f>IF(DP34="","",DP33)</f>
        <v>0</v>
      </c>
      <c r="DQ99">
        <v>30</v>
      </c>
      <c r="DR99">
        <f>DR33</f>
        <v>0</v>
      </c>
      <c r="DS99">
        <v>30</v>
      </c>
      <c r="DT99">
        <f>IF(DT34="","",DT33)</f>
        <v>0</v>
      </c>
      <c r="DU99">
        <v>30</v>
      </c>
      <c r="DV99">
        <f>DV33</f>
        <v>0</v>
      </c>
      <c r="DW99">
        <v>30</v>
      </c>
      <c r="DX99">
        <f>IF(DX34="","",DX33)</f>
        <v>0</v>
      </c>
      <c r="DY99">
        <v>30</v>
      </c>
      <c r="DZ99">
        <f>DZ33</f>
        <v>0</v>
      </c>
      <c r="EA99">
        <v>30</v>
      </c>
      <c r="EB99">
        <f>IF(EB34="","",EB33)</f>
        <v>0</v>
      </c>
      <c r="EC99">
        <v>30</v>
      </c>
      <c r="ED99">
        <f>ED33</f>
        <v>0</v>
      </c>
    </row>
    <row r="100" spans="4:134">
      <c r="E100">
        <v>31</v>
      </c>
      <c r="F100">
        <f>IF(F35="","",F34)</f>
        <v>0</v>
      </c>
      <c r="G100">
        <v>31</v>
      </c>
      <c r="H100">
        <f>H34</f>
        <v>0</v>
      </c>
      <c r="I100">
        <v>31</v>
      </c>
      <c r="J100">
        <f>IF(J35="","",J34)</f>
        <v>0</v>
      </c>
      <c r="K100">
        <v>31</v>
      </c>
      <c r="L100">
        <f>L34</f>
        <v>0</v>
      </c>
      <c r="M100">
        <v>31</v>
      </c>
      <c r="N100">
        <f>IF(N35="","",N34)</f>
        <v>0</v>
      </c>
      <c r="O100">
        <v>31</v>
      </c>
      <c r="P100">
        <f>P34</f>
        <v>0</v>
      </c>
      <c r="Q100">
        <v>31</v>
      </c>
      <c r="R100">
        <f>IF(R35="","",R34)</f>
        <v>0</v>
      </c>
      <c r="S100">
        <v>31</v>
      </c>
      <c r="T100">
        <f>T34</f>
        <v>0</v>
      </c>
      <c r="U100">
        <v>31</v>
      </c>
      <c r="V100">
        <f>IF(V35="","",V34)</f>
        <v>0</v>
      </c>
      <c r="W100">
        <v>31</v>
      </c>
      <c r="X100">
        <f>X34</f>
        <v>0</v>
      </c>
      <c r="Y100">
        <v>31</v>
      </c>
      <c r="Z100">
        <f>IF(Z35="","",Z34)</f>
        <v>0</v>
      </c>
      <c r="AA100">
        <v>31</v>
      </c>
      <c r="AB100">
        <f>AB34</f>
        <v>0</v>
      </c>
      <c r="AC100">
        <v>31</v>
      </c>
      <c r="AD100">
        <f>IF(AD35="","",AD34)</f>
        <v>0</v>
      </c>
      <c r="AE100">
        <v>31</v>
      </c>
      <c r="AF100">
        <f>AF34</f>
        <v>0</v>
      </c>
      <c r="AG100">
        <v>31</v>
      </c>
      <c r="AH100">
        <f>IF(AH35="","",AH34)</f>
        <v>0</v>
      </c>
      <c r="AI100">
        <v>31</v>
      </c>
      <c r="AJ100">
        <f>AJ34</f>
        <v>0</v>
      </c>
      <c r="AK100">
        <v>31</v>
      </c>
      <c r="AL100">
        <f>IF(AL35="","",AL34)</f>
        <v>0</v>
      </c>
      <c r="AM100">
        <v>31</v>
      </c>
      <c r="AN100">
        <f>AN34</f>
        <v>0</v>
      </c>
      <c r="AO100">
        <v>31</v>
      </c>
      <c r="AP100">
        <f>IF(AP35="","",AP34)</f>
        <v>0</v>
      </c>
      <c r="AQ100">
        <v>31</v>
      </c>
      <c r="AR100">
        <f>AR34</f>
        <v>0</v>
      </c>
      <c r="AS100">
        <v>31</v>
      </c>
      <c r="AT100">
        <f>IF(AT35="","",AT34)</f>
        <v>0</v>
      </c>
      <c r="AU100">
        <v>31</v>
      </c>
      <c r="AV100">
        <f>AV34</f>
        <v>0</v>
      </c>
      <c r="AW100">
        <v>31</v>
      </c>
      <c r="AX100">
        <f>IF(AX35="","",AX34)</f>
        <v>0</v>
      </c>
      <c r="AY100">
        <v>31</v>
      </c>
      <c r="AZ100">
        <f>AZ34</f>
        <v>0</v>
      </c>
      <c r="BA100">
        <v>31</v>
      </c>
      <c r="BB100">
        <f>IF(BB35="","",BB34)</f>
        <v>0</v>
      </c>
      <c r="BC100">
        <v>31</v>
      </c>
      <c r="BD100">
        <f>BD34</f>
        <v>0</v>
      </c>
      <c r="BE100">
        <v>31</v>
      </c>
      <c r="BF100">
        <f>IF(BF35="","",BF34)</f>
        <v>0</v>
      </c>
      <c r="BG100">
        <v>31</v>
      </c>
      <c r="BH100">
        <f>BH34</f>
        <v>0</v>
      </c>
      <c r="BI100">
        <v>31</v>
      </c>
      <c r="BJ100">
        <f>IF(BJ35="","",BJ34)</f>
        <v>0</v>
      </c>
      <c r="BK100">
        <v>31</v>
      </c>
      <c r="BL100">
        <f>BL34</f>
        <v>0</v>
      </c>
      <c r="BM100">
        <v>31</v>
      </c>
      <c r="BN100">
        <f>IF(BN35="","",BN34)</f>
        <v>0</v>
      </c>
      <c r="BO100">
        <v>31</v>
      </c>
      <c r="BP100">
        <f>BP34</f>
        <v>0</v>
      </c>
      <c r="BS100">
        <v>31</v>
      </c>
      <c r="BT100">
        <f>IF(BT35="","",BT34)</f>
        <v>0</v>
      </c>
      <c r="BU100">
        <v>31</v>
      </c>
      <c r="BV100">
        <f>BV34</f>
        <v>0</v>
      </c>
      <c r="BW100">
        <v>31</v>
      </c>
      <c r="BX100">
        <f>IF(BX35="","",BX34)</f>
        <v>0</v>
      </c>
      <c r="BY100">
        <v>31</v>
      </c>
      <c r="BZ100">
        <f>BZ34</f>
        <v>0</v>
      </c>
      <c r="CA100">
        <v>31</v>
      </c>
      <c r="CB100">
        <f>IF(CB35="","",CB34)</f>
        <v>0</v>
      </c>
      <c r="CC100">
        <v>31</v>
      </c>
      <c r="CD100">
        <f>CD34</f>
        <v>0</v>
      </c>
      <c r="CE100">
        <v>31</v>
      </c>
      <c r="CF100">
        <f>IF(CF35="","",CF34)</f>
        <v>0</v>
      </c>
      <c r="CG100">
        <v>31</v>
      </c>
      <c r="CH100">
        <f>CH34</f>
        <v>0</v>
      </c>
      <c r="CI100">
        <v>31</v>
      </c>
      <c r="CJ100">
        <f>IF(CJ35="","",CJ34)</f>
        <v>0</v>
      </c>
      <c r="CK100">
        <v>31</v>
      </c>
      <c r="CL100">
        <f>CL34</f>
        <v>0</v>
      </c>
      <c r="CM100">
        <v>31</v>
      </c>
      <c r="CN100">
        <f>IF(CN35="","",CN34)</f>
        <v>0</v>
      </c>
      <c r="CO100">
        <v>31</v>
      </c>
      <c r="CP100">
        <f>CP34</f>
        <v>0</v>
      </c>
      <c r="CQ100">
        <v>31</v>
      </c>
      <c r="CR100">
        <f>IF(CR35="","",CR34)</f>
        <v>0</v>
      </c>
      <c r="CS100">
        <v>31</v>
      </c>
      <c r="CT100">
        <f>CT34</f>
        <v>0</v>
      </c>
      <c r="CU100">
        <v>31</v>
      </c>
      <c r="CV100">
        <f>IF(CV35="","",CV34)</f>
        <v>0</v>
      </c>
      <c r="CW100">
        <v>31</v>
      </c>
      <c r="CX100">
        <f>CX34</f>
        <v>0</v>
      </c>
      <c r="CY100">
        <v>31</v>
      </c>
      <c r="CZ100">
        <f>IF(CZ35="","",CZ34)</f>
        <v>0</v>
      </c>
      <c r="DA100">
        <v>31</v>
      </c>
      <c r="DB100">
        <f>DB34</f>
        <v>0</v>
      </c>
      <c r="DC100">
        <v>31</v>
      </c>
      <c r="DD100">
        <f>IF(DD35="","",DD34)</f>
        <v>0</v>
      </c>
      <c r="DE100">
        <v>31</v>
      </c>
      <c r="DF100">
        <f>DF34</f>
        <v>0</v>
      </c>
      <c r="DG100">
        <v>31</v>
      </c>
      <c r="DH100">
        <f>IF(DH35="","",DH34)</f>
        <v>0</v>
      </c>
      <c r="DI100">
        <v>31</v>
      </c>
      <c r="DJ100">
        <f>DJ34</f>
        <v>0</v>
      </c>
      <c r="DK100">
        <v>31</v>
      </c>
      <c r="DL100">
        <f>IF(DL35="","",DL34)</f>
        <v>0</v>
      </c>
      <c r="DM100">
        <v>31</v>
      </c>
      <c r="DN100">
        <f>DN34</f>
        <v>0</v>
      </c>
      <c r="DO100">
        <v>31</v>
      </c>
      <c r="DP100">
        <f>IF(DP35="","",DP34)</f>
        <v>0</v>
      </c>
      <c r="DQ100">
        <v>31</v>
      </c>
      <c r="DR100">
        <f>DR34</f>
        <v>0</v>
      </c>
      <c r="DS100">
        <v>31</v>
      </c>
      <c r="DT100">
        <f>IF(DT35="","",DT34)</f>
        <v>0</v>
      </c>
      <c r="DU100">
        <v>31</v>
      </c>
      <c r="DV100">
        <f>DV34</f>
        <v>0</v>
      </c>
      <c r="DW100">
        <v>31</v>
      </c>
      <c r="DX100">
        <f>IF(DX35="","",DX34)</f>
        <v>0</v>
      </c>
      <c r="DY100">
        <v>31</v>
      </c>
      <c r="DZ100">
        <f>DZ34</f>
        <v>0</v>
      </c>
      <c r="EA100">
        <v>31</v>
      </c>
      <c r="EB100">
        <f>IF(EB35="","",EB34)</f>
        <v>0</v>
      </c>
      <c r="EC100">
        <v>31</v>
      </c>
      <c r="ED100">
        <f>ED34</f>
        <v>0</v>
      </c>
    </row>
    <row r="101" spans="4:134">
      <c r="E101">
        <v>32</v>
      </c>
      <c r="F101">
        <f>IF(F36="","",F35)</f>
        <v>0</v>
      </c>
      <c r="G101">
        <v>32</v>
      </c>
      <c r="H101">
        <f>H35</f>
        <v>0</v>
      </c>
      <c r="I101">
        <v>32</v>
      </c>
      <c r="J101">
        <f>IF(J36="","",J35)</f>
        <v>0</v>
      </c>
      <c r="K101">
        <v>32</v>
      </c>
      <c r="L101">
        <f>L35</f>
        <v>0</v>
      </c>
      <c r="M101">
        <v>32</v>
      </c>
      <c r="N101">
        <f>IF(N36="","",N35)</f>
        <v>0</v>
      </c>
      <c r="O101">
        <v>32</v>
      </c>
      <c r="P101">
        <f>P35</f>
        <v>0</v>
      </c>
      <c r="Q101">
        <v>32</v>
      </c>
      <c r="R101">
        <f>IF(R36="","",R35)</f>
        <v>0</v>
      </c>
      <c r="S101">
        <v>32</v>
      </c>
      <c r="T101">
        <f>T35</f>
        <v>0</v>
      </c>
      <c r="U101">
        <v>32</v>
      </c>
      <c r="V101">
        <f>IF(V36="","",V35)</f>
        <v>0</v>
      </c>
      <c r="W101">
        <v>32</v>
      </c>
      <c r="X101">
        <f>X35</f>
        <v>0</v>
      </c>
      <c r="Y101">
        <v>32</v>
      </c>
      <c r="Z101">
        <f>IF(Z36="","",Z35)</f>
        <v>0</v>
      </c>
      <c r="AA101">
        <v>32</v>
      </c>
      <c r="AB101">
        <f>AB35</f>
        <v>0</v>
      </c>
      <c r="AC101">
        <v>32</v>
      </c>
      <c r="AD101">
        <f>IF(AD36="","",AD35)</f>
        <v>0</v>
      </c>
      <c r="AE101">
        <v>32</v>
      </c>
      <c r="AF101">
        <f>AF35</f>
        <v>0</v>
      </c>
      <c r="AG101">
        <v>32</v>
      </c>
      <c r="AH101">
        <f>IF(AH36="","",AH35)</f>
        <v>0</v>
      </c>
      <c r="AI101">
        <v>32</v>
      </c>
      <c r="AJ101">
        <f>AJ35</f>
        <v>0</v>
      </c>
      <c r="AK101">
        <v>32</v>
      </c>
      <c r="AL101">
        <f>IF(AL36="","",AL35)</f>
        <v>0</v>
      </c>
      <c r="AM101">
        <v>32</v>
      </c>
      <c r="AN101">
        <f>AN35</f>
        <v>0</v>
      </c>
      <c r="AO101">
        <v>32</v>
      </c>
      <c r="AP101">
        <f>IF(AP36="","",AP35)</f>
        <v>0</v>
      </c>
      <c r="AQ101">
        <v>32</v>
      </c>
      <c r="AR101">
        <f>AR35</f>
        <v>0</v>
      </c>
      <c r="AS101">
        <v>32</v>
      </c>
      <c r="AT101">
        <f>IF(AT36="","",AT35)</f>
        <v>0</v>
      </c>
      <c r="AU101">
        <v>32</v>
      </c>
      <c r="AV101">
        <f>AV35</f>
        <v>0</v>
      </c>
      <c r="AW101">
        <v>32</v>
      </c>
      <c r="AX101">
        <f>IF(AX36="","",AX35)</f>
        <v>0</v>
      </c>
      <c r="AY101">
        <v>32</v>
      </c>
      <c r="AZ101">
        <f>AZ35</f>
        <v>0</v>
      </c>
      <c r="BA101">
        <v>32</v>
      </c>
      <c r="BB101">
        <f>IF(BB36="","",BB35)</f>
        <v>0</v>
      </c>
      <c r="BC101">
        <v>32</v>
      </c>
      <c r="BD101">
        <f>BD35</f>
        <v>0</v>
      </c>
      <c r="BE101">
        <v>32</v>
      </c>
      <c r="BF101">
        <f>IF(BF36="","",BF35)</f>
        <v>0</v>
      </c>
      <c r="BG101">
        <v>32</v>
      </c>
      <c r="BH101">
        <f>BH35</f>
        <v>0</v>
      </c>
      <c r="BI101">
        <v>32</v>
      </c>
      <c r="BJ101">
        <f>IF(BJ36="","",BJ35)</f>
        <v>0</v>
      </c>
      <c r="BK101">
        <v>32</v>
      </c>
      <c r="BL101">
        <f>BL35</f>
        <v>0</v>
      </c>
      <c r="BM101">
        <v>32</v>
      </c>
      <c r="BN101">
        <f>IF(BN36="","",BN35)</f>
        <v>0</v>
      </c>
      <c r="BO101">
        <v>32</v>
      </c>
      <c r="BP101">
        <f>BP35</f>
        <v>0</v>
      </c>
      <c r="BS101">
        <v>32</v>
      </c>
      <c r="BT101">
        <f>IF(BT36="","",BT35)</f>
        <v>0</v>
      </c>
      <c r="BU101">
        <v>32</v>
      </c>
      <c r="BV101">
        <f>BV35</f>
        <v>0</v>
      </c>
      <c r="BW101">
        <v>32</v>
      </c>
      <c r="BX101">
        <f>IF(BX36="","",BX35)</f>
        <v>0</v>
      </c>
      <c r="BY101">
        <v>32</v>
      </c>
      <c r="BZ101">
        <f>BZ35</f>
        <v>0</v>
      </c>
      <c r="CA101">
        <v>32</v>
      </c>
      <c r="CB101">
        <f>IF(CB36="","",CB35)</f>
        <v>0</v>
      </c>
      <c r="CC101">
        <v>32</v>
      </c>
      <c r="CD101">
        <f>CD35</f>
        <v>0</v>
      </c>
      <c r="CE101">
        <v>32</v>
      </c>
      <c r="CF101">
        <f>IF(CF36="","",CF35)</f>
        <v>0</v>
      </c>
      <c r="CG101">
        <v>32</v>
      </c>
      <c r="CH101">
        <f>CH35</f>
        <v>0</v>
      </c>
      <c r="CI101">
        <v>32</v>
      </c>
      <c r="CJ101">
        <f>IF(CJ36="","",CJ35)</f>
        <v>0</v>
      </c>
      <c r="CK101">
        <v>32</v>
      </c>
      <c r="CL101">
        <f>CL35</f>
        <v>0</v>
      </c>
      <c r="CM101">
        <v>32</v>
      </c>
      <c r="CN101">
        <f>IF(CN36="","",CN35)</f>
        <v>0</v>
      </c>
      <c r="CO101">
        <v>32</v>
      </c>
      <c r="CP101">
        <f>CP35</f>
        <v>0</v>
      </c>
      <c r="CQ101">
        <v>32</v>
      </c>
      <c r="CR101">
        <f>IF(CR36="","",CR35)</f>
        <v>0</v>
      </c>
      <c r="CS101">
        <v>32</v>
      </c>
      <c r="CT101">
        <f>CT35</f>
        <v>0</v>
      </c>
      <c r="CU101">
        <v>32</v>
      </c>
      <c r="CV101">
        <f>IF(CV36="","",CV35)</f>
        <v>0</v>
      </c>
      <c r="CW101">
        <v>32</v>
      </c>
      <c r="CX101">
        <f>CX35</f>
        <v>0</v>
      </c>
      <c r="CY101">
        <v>32</v>
      </c>
      <c r="CZ101">
        <f>IF(CZ36="","",CZ35)</f>
        <v>0</v>
      </c>
      <c r="DA101">
        <v>32</v>
      </c>
      <c r="DB101">
        <f>DB35</f>
        <v>0</v>
      </c>
      <c r="DC101">
        <v>32</v>
      </c>
      <c r="DD101">
        <f>IF(DD36="","",DD35)</f>
        <v>0</v>
      </c>
      <c r="DE101">
        <v>32</v>
      </c>
      <c r="DF101">
        <f>DF35</f>
        <v>0</v>
      </c>
      <c r="DG101">
        <v>32</v>
      </c>
      <c r="DH101">
        <f>IF(DH36="","",DH35)</f>
        <v>0</v>
      </c>
      <c r="DI101">
        <v>32</v>
      </c>
      <c r="DJ101">
        <f>DJ35</f>
        <v>0</v>
      </c>
      <c r="DK101">
        <v>32</v>
      </c>
      <c r="DL101">
        <f>IF(DL36="","",DL35)</f>
        <v>0</v>
      </c>
      <c r="DM101">
        <v>32</v>
      </c>
      <c r="DN101">
        <f>DN35</f>
        <v>0</v>
      </c>
      <c r="DO101">
        <v>32</v>
      </c>
      <c r="DP101">
        <f>IF(DP36="","",DP35)</f>
        <v>0</v>
      </c>
      <c r="DQ101">
        <v>32</v>
      </c>
      <c r="DR101">
        <f>DR35</f>
        <v>0</v>
      </c>
      <c r="DS101">
        <v>32</v>
      </c>
      <c r="DT101">
        <f>IF(DT36="","",DT35)</f>
        <v>0</v>
      </c>
      <c r="DU101">
        <v>32</v>
      </c>
      <c r="DV101">
        <f>DV35</f>
        <v>0</v>
      </c>
      <c r="DW101">
        <v>32</v>
      </c>
      <c r="DX101">
        <f>IF(DX36="","",DX35)</f>
        <v>0</v>
      </c>
      <c r="DY101">
        <v>32</v>
      </c>
      <c r="DZ101">
        <f>DZ35</f>
        <v>0</v>
      </c>
      <c r="EA101">
        <v>32</v>
      </c>
      <c r="EB101">
        <f>IF(EB36="","",EB35)</f>
        <v>0</v>
      </c>
      <c r="EC101">
        <v>32</v>
      </c>
      <c r="ED101">
        <f>ED35</f>
        <v>0</v>
      </c>
    </row>
    <row r="102" spans="4:134"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</row>
    <row r="103" spans="4:134">
      <c r="E103">
        <v>1</v>
      </c>
      <c r="F103">
        <v>0</v>
      </c>
      <c r="G103">
        <v>1</v>
      </c>
      <c r="H103">
        <v>0</v>
      </c>
      <c r="I103">
        <v>1</v>
      </c>
      <c r="J103">
        <v>0</v>
      </c>
      <c r="K103">
        <v>1</v>
      </c>
      <c r="L103">
        <v>0</v>
      </c>
      <c r="M103">
        <v>1</v>
      </c>
      <c r="N103">
        <v>0</v>
      </c>
      <c r="O103">
        <v>1</v>
      </c>
      <c r="P103">
        <v>0</v>
      </c>
      <c r="Q103">
        <v>1</v>
      </c>
      <c r="R103">
        <v>0</v>
      </c>
      <c r="S103">
        <v>1</v>
      </c>
      <c r="T103">
        <v>0</v>
      </c>
      <c r="U103">
        <v>1</v>
      </c>
      <c r="V103">
        <v>0</v>
      </c>
      <c r="W103">
        <v>1</v>
      </c>
      <c r="X103">
        <v>0</v>
      </c>
      <c r="Y103">
        <v>1</v>
      </c>
      <c r="Z103">
        <v>0</v>
      </c>
      <c r="AA103">
        <v>1</v>
      </c>
      <c r="AB103">
        <v>0</v>
      </c>
      <c r="AC103">
        <v>1</v>
      </c>
      <c r="AD103">
        <v>0</v>
      </c>
      <c r="AE103">
        <v>1</v>
      </c>
      <c r="AF103">
        <v>0</v>
      </c>
      <c r="AG103">
        <v>1</v>
      </c>
      <c r="AH103">
        <v>0</v>
      </c>
      <c r="AI103">
        <v>1</v>
      </c>
      <c r="AJ103">
        <v>0</v>
      </c>
      <c r="AK103">
        <v>1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1</v>
      </c>
      <c r="AT103">
        <v>0</v>
      </c>
      <c r="AU103">
        <v>1</v>
      </c>
      <c r="AV103">
        <v>0</v>
      </c>
      <c r="AW103">
        <v>1</v>
      </c>
      <c r="AX103">
        <v>0</v>
      </c>
      <c r="AY103">
        <v>1</v>
      </c>
      <c r="AZ103">
        <v>0</v>
      </c>
      <c r="BA103">
        <v>1</v>
      </c>
      <c r="BB103">
        <v>0</v>
      </c>
      <c r="BC103">
        <v>1</v>
      </c>
      <c r="BD103">
        <v>0</v>
      </c>
      <c r="BE103">
        <v>1</v>
      </c>
      <c r="BF103">
        <v>0</v>
      </c>
      <c r="BG103">
        <v>1</v>
      </c>
      <c r="BH103">
        <v>0</v>
      </c>
      <c r="BI103">
        <v>1</v>
      </c>
      <c r="BJ103">
        <v>0</v>
      </c>
      <c r="BK103">
        <v>1</v>
      </c>
      <c r="BL103">
        <v>0</v>
      </c>
      <c r="BM103">
        <v>1</v>
      </c>
      <c r="BN103">
        <v>0</v>
      </c>
      <c r="BO103">
        <v>1</v>
      </c>
      <c r="BP103">
        <v>0</v>
      </c>
      <c r="BS103">
        <v>1</v>
      </c>
      <c r="BT103">
        <v>0</v>
      </c>
      <c r="BU103">
        <v>1</v>
      </c>
      <c r="BV103">
        <v>0</v>
      </c>
      <c r="BW103">
        <v>1</v>
      </c>
      <c r="BX103">
        <v>0</v>
      </c>
      <c r="BY103">
        <v>1</v>
      </c>
      <c r="BZ103">
        <v>0</v>
      </c>
      <c r="CA103">
        <v>1</v>
      </c>
      <c r="CB103">
        <v>0</v>
      </c>
      <c r="CC103">
        <v>1</v>
      </c>
      <c r="CD103">
        <v>0</v>
      </c>
      <c r="CE103">
        <v>1</v>
      </c>
      <c r="CF103">
        <v>0</v>
      </c>
      <c r="CG103">
        <v>1</v>
      </c>
      <c r="CH103">
        <v>0</v>
      </c>
      <c r="CI103">
        <v>1</v>
      </c>
      <c r="CJ103">
        <v>0</v>
      </c>
      <c r="CK103">
        <v>1</v>
      </c>
      <c r="CL103">
        <v>0</v>
      </c>
      <c r="CM103">
        <v>1</v>
      </c>
      <c r="CN103">
        <v>0</v>
      </c>
      <c r="CO103">
        <v>1</v>
      </c>
      <c r="CP103">
        <v>0</v>
      </c>
      <c r="CQ103">
        <v>1</v>
      </c>
      <c r="CR103">
        <v>0</v>
      </c>
      <c r="CS103">
        <v>1</v>
      </c>
      <c r="CT103">
        <v>0</v>
      </c>
      <c r="CU103">
        <v>1</v>
      </c>
      <c r="CV103">
        <v>0</v>
      </c>
      <c r="CW103">
        <v>1</v>
      </c>
      <c r="CX103">
        <v>0</v>
      </c>
      <c r="CY103">
        <v>1</v>
      </c>
      <c r="CZ103">
        <v>0</v>
      </c>
      <c r="DA103">
        <v>1</v>
      </c>
      <c r="DB103">
        <v>0</v>
      </c>
      <c r="DC103">
        <v>1</v>
      </c>
      <c r="DD103">
        <v>0</v>
      </c>
      <c r="DE103">
        <v>1</v>
      </c>
      <c r="DF103">
        <v>0</v>
      </c>
      <c r="DG103">
        <v>1</v>
      </c>
      <c r="DH103">
        <v>0</v>
      </c>
      <c r="DI103">
        <v>1</v>
      </c>
      <c r="DJ103">
        <v>0</v>
      </c>
      <c r="DK103">
        <v>1</v>
      </c>
      <c r="DL103">
        <v>0</v>
      </c>
      <c r="DM103">
        <v>1</v>
      </c>
      <c r="DN103">
        <v>0</v>
      </c>
      <c r="DO103">
        <v>1</v>
      </c>
      <c r="DP103">
        <v>0</v>
      </c>
      <c r="DQ103">
        <v>1</v>
      </c>
      <c r="DR103">
        <v>0</v>
      </c>
      <c r="DS103">
        <v>1</v>
      </c>
      <c r="DT103">
        <v>0</v>
      </c>
      <c r="DU103">
        <v>1</v>
      </c>
      <c r="DV103">
        <v>0</v>
      </c>
      <c r="DW103">
        <v>1</v>
      </c>
      <c r="DX103">
        <v>0</v>
      </c>
      <c r="DY103">
        <v>1</v>
      </c>
      <c r="DZ103">
        <v>0</v>
      </c>
      <c r="EA103">
        <v>1</v>
      </c>
      <c r="EB103">
        <v>0</v>
      </c>
      <c r="EC103">
        <v>1</v>
      </c>
      <c r="ED103">
        <v>0</v>
      </c>
    </row>
    <row r="105" spans="4:134">
      <c r="D105" t="s">
        <v>84</v>
      </c>
      <c r="E105" t="s">
        <v>82</v>
      </c>
      <c r="F105" t="s">
        <v>87</v>
      </c>
      <c r="G105" t="s">
        <v>82</v>
      </c>
      <c r="H105" t="s">
        <v>88</v>
      </c>
      <c r="I105" t="s">
        <v>82</v>
      </c>
      <c r="J105" t="s">
        <v>87</v>
      </c>
      <c r="K105" t="s">
        <v>82</v>
      </c>
      <c r="L105" t="s">
        <v>88</v>
      </c>
      <c r="M105" t="s">
        <v>82</v>
      </c>
      <c r="N105" t="s">
        <v>87</v>
      </c>
      <c r="O105" t="s">
        <v>82</v>
      </c>
      <c r="P105" t="s">
        <v>88</v>
      </c>
      <c r="Q105" t="s">
        <v>82</v>
      </c>
      <c r="R105" t="s">
        <v>87</v>
      </c>
      <c r="S105" t="s">
        <v>82</v>
      </c>
      <c r="T105" t="s">
        <v>88</v>
      </c>
      <c r="U105" t="s">
        <v>82</v>
      </c>
      <c r="V105" t="s">
        <v>87</v>
      </c>
      <c r="W105" t="s">
        <v>82</v>
      </c>
      <c r="X105" t="s">
        <v>88</v>
      </c>
      <c r="Y105" t="s">
        <v>82</v>
      </c>
      <c r="Z105" t="s">
        <v>87</v>
      </c>
      <c r="AA105" t="s">
        <v>82</v>
      </c>
      <c r="AB105" t="s">
        <v>88</v>
      </c>
      <c r="AC105" t="s">
        <v>82</v>
      </c>
      <c r="AD105" t="s">
        <v>87</v>
      </c>
      <c r="AE105" t="s">
        <v>82</v>
      </c>
      <c r="AF105" t="s">
        <v>88</v>
      </c>
      <c r="AG105" t="s">
        <v>82</v>
      </c>
      <c r="AH105" t="s">
        <v>87</v>
      </c>
      <c r="AI105" t="s">
        <v>82</v>
      </c>
      <c r="AJ105" t="s">
        <v>88</v>
      </c>
      <c r="AK105" t="s">
        <v>82</v>
      </c>
      <c r="AL105" t="s">
        <v>87</v>
      </c>
      <c r="AM105" t="s">
        <v>82</v>
      </c>
      <c r="AN105" t="s">
        <v>88</v>
      </c>
      <c r="AO105" t="s">
        <v>82</v>
      </c>
      <c r="AP105" t="s">
        <v>87</v>
      </c>
      <c r="AQ105" t="s">
        <v>82</v>
      </c>
      <c r="AR105" t="s">
        <v>88</v>
      </c>
      <c r="AS105" t="s">
        <v>82</v>
      </c>
      <c r="AT105" t="s">
        <v>87</v>
      </c>
      <c r="AU105" t="s">
        <v>82</v>
      </c>
      <c r="AV105" t="s">
        <v>88</v>
      </c>
      <c r="AW105" t="s">
        <v>82</v>
      </c>
      <c r="AX105" t="s">
        <v>87</v>
      </c>
      <c r="AY105" t="s">
        <v>82</v>
      </c>
      <c r="AZ105" t="s">
        <v>88</v>
      </c>
      <c r="BA105" t="s">
        <v>82</v>
      </c>
      <c r="BB105" t="s">
        <v>87</v>
      </c>
      <c r="BC105" t="s">
        <v>82</v>
      </c>
      <c r="BD105" t="s">
        <v>88</v>
      </c>
      <c r="BE105" t="s">
        <v>82</v>
      </c>
      <c r="BF105" t="s">
        <v>87</v>
      </c>
      <c r="BG105" t="s">
        <v>82</v>
      </c>
      <c r="BH105" t="s">
        <v>88</v>
      </c>
      <c r="BI105" t="s">
        <v>82</v>
      </c>
      <c r="BJ105" t="s">
        <v>87</v>
      </c>
      <c r="BK105" t="s">
        <v>82</v>
      </c>
      <c r="BL105" t="s">
        <v>88</v>
      </c>
      <c r="BM105" t="s">
        <v>82</v>
      </c>
      <c r="BN105" t="s">
        <v>87</v>
      </c>
      <c r="BO105" t="s">
        <v>82</v>
      </c>
      <c r="BP105" t="s">
        <v>88</v>
      </c>
      <c r="BR105" t="s">
        <v>84</v>
      </c>
      <c r="BS105" t="s">
        <v>82</v>
      </c>
      <c r="BT105" t="s">
        <v>87</v>
      </c>
      <c r="BU105" t="s">
        <v>82</v>
      </c>
      <c r="BV105" t="s">
        <v>88</v>
      </c>
      <c r="BW105" t="s">
        <v>82</v>
      </c>
      <c r="BX105" t="s">
        <v>87</v>
      </c>
      <c r="BY105" t="s">
        <v>82</v>
      </c>
      <c r="BZ105" t="s">
        <v>88</v>
      </c>
      <c r="CA105" t="s">
        <v>82</v>
      </c>
      <c r="CB105" t="s">
        <v>87</v>
      </c>
      <c r="CC105" t="s">
        <v>82</v>
      </c>
      <c r="CD105" t="s">
        <v>88</v>
      </c>
      <c r="CE105" t="s">
        <v>82</v>
      </c>
      <c r="CF105" t="s">
        <v>87</v>
      </c>
      <c r="CG105" t="s">
        <v>82</v>
      </c>
      <c r="CH105" t="s">
        <v>88</v>
      </c>
      <c r="CI105" t="s">
        <v>82</v>
      </c>
      <c r="CJ105" t="s">
        <v>87</v>
      </c>
      <c r="CK105" t="s">
        <v>82</v>
      </c>
      <c r="CL105" t="s">
        <v>88</v>
      </c>
      <c r="CM105" t="s">
        <v>82</v>
      </c>
      <c r="CN105" t="s">
        <v>87</v>
      </c>
      <c r="CO105" t="s">
        <v>82</v>
      </c>
      <c r="CP105" t="s">
        <v>88</v>
      </c>
      <c r="CQ105" t="s">
        <v>82</v>
      </c>
      <c r="CR105" t="s">
        <v>87</v>
      </c>
      <c r="CS105" t="s">
        <v>82</v>
      </c>
      <c r="CT105" t="s">
        <v>88</v>
      </c>
      <c r="CU105" t="s">
        <v>82</v>
      </c>
      <c r="CV105" t="s">
        <v>87</v>
      </c>
      <c r="CW105" t="s">
        <v>82</v>
      </c>
      <c r="CX105" t="s">
        <v>88</v>
      </c>
      <c r="CY105" t="s">
        <v>82</v>
      </c>
      <c r="CZ105" t="s">
        <v>87</v>
      </c>
      <c r="DA105" t="s">
        <v>82</v>
      </c>
      <c r="DB105" t="s">
        <v>88</v>
      </c>
      <c r="DC105" t="s">
        <v>82</v>
      </c>
      <c r="DD105" t="s">
        <v>87</v>
      </c>
      <c r="DE105" t="s">
        <v>82</v>
      </c>
      <c r="DF105" t="s">
        <v>88</v>
      </c>
      <c r="DG105" t="s">
        <v>82</v>
      </c>
      <c r="DH105" t="s">
        <v>87</v>
      </c>
      <c r="DI105" t="s">
        <v>82</v>
      </c>
      <c r="DJ105" t="s">
        <v>88</v>
      </c>
      <c r="DK105" t="s">
        <v>82</v>
      </c>
      <c r="DL105" t="s">
        <v>87</v>
      </c>
      <c r="DM105" t="s">
        <v>82</v>
      </c>
      <c r="DN105" t="s">
        <v>88</v>
      </c>
      <c r="DO105" t="s">
        <v>82</v>
      </c>
      <c r="DP105" t="s">
        <v>87</v>
      </c>
      <c r="DQ105" t="s">
        <v>82</v>
      </c>
      <c r="DR105" t="s">
        <v>88</v>
      </c>
      <c r="DS105" t="s">
        <v>82</v>
      </c>
      <c r="DT105" t="s">
        <v>87</v>
      </c>
      <c r="DU105" t="s">
        <v>82</v>
      </c>
      <c r="DV105" t="s">
        <v>88</v>
      </c>
      <c r="DW105" t="s">
        <v>82</v>
      </c>
      <c r="DX105" t="s">
        <v>87</v>
      </c>
      <c r="DY105" t="s">
        <v>82</v>
      </c>
      <c r="DZ105" t="s">
        <v>88</v>
      </c>
      <c r="EA105" t="s">
        <v>82</v>
      </c>
      <c r="EB105" t="s">
        <v>87</v>
      </c>
      <c r="EC105" t="s">
        <v>82</v>
      </c>
      <c r="ED105" t="s">
        <v>88</v>
      </c>
    </row>
    <row r="106" spans="4:134">
      <c r="E106">
        <f>IFERROR(SMALL(E39:E103,ROW()-ROW($E$106)+1),"")</f>
        <v>0</v>
      </c>
      <c r="F106">
        <f>IFERROR(SMALL(F39:F103,ROW()-ROW($F$106)+1),"")</f>
        <v>0</v>
      </c>
      <c r="G106">
        <f>IFERROR(SMALL(G39:G103,ROW()-ROW($G$106)+1),"")</f>
        <v>0</v>
      </c>
      <c r="H106">
        <f>IFERROR(SMALL(H39:H103,ROW()-ROW($H$106)+1),"")</f>
        <v>0</v>
      </c>
      <c r="I106">
        <f>IFERROR(SMALL(I39:I103,ROW()-ROW($I$106)+1),"")</f>
        <v>0</v>
      </c>
      <c r="J106">
        <f>IFERROR(SMALL(J39:J103,ROW()-ROW($J$106)+1),"")</f>
        <v>0</v>
      </c>
      <c r="K106">
        <f>IFERROR(SMALL(K39:K103,ROW()-ROW($K$106)+1),"")</f>
        <v>0</v>
      </c>
      <c r="L106">
        <f>IFERROR(SMALL(L39:L103,ROW()-ROW($L$106)+1),"")</f>
        <v>0</v>
      </c>
      <c r="M106">
        <f>IFERROR(SMALL(M39:M103,ROW()-ROW($M$106)+1),"")</f>
        <v>0</v>
      </c>
      <c r="N106">
        <f>IFERROR(SMALL(N39:N103,ROW()-ROW($N$106)+1),"")</f>
        <v>0</v>
      </c>
      <c r="O106">
        <f>IFERROR(SMALL(O39:O103,ROW()-ROW($O$106)+1),"")</f>
        <v>0</v>
      </c>
      <c r="P106">
        <f>IFERROR(SMALL(P39:P103,ROW()-ROW($P$106)+1),"")</f>
        <v>0</v>
      </c>
      <c r="Q106">
        <f>IFERROR(SMALL(Q39:Q103,ROW()-ROW($Q$106)+1),"")</f>
        <v>0</v>
      </c>
      <c r="R106">
        <f>IFERROR(SMALL(R39:R103,ROW()-ROW($R$106)+1),"")</f>
        <v>0</v>
      </c>
      <c r="S106">
        <f>IFERROR(SMALL(S39:S103,ROW()-ROW($S$106)+1),"")</f>
        <v>0</v>
      </c>
      <c r="T106">
        <f>IFERROR(SMALL(T39:T103,ROW()-ROW($T$106)+1),"")</f>
        <v>0</v>
      </c>
      <c r="U106">
        <f>IFERROR(SMALL(U39:U103,ROW()-ROW($U$106)+1),"")</f>
        <v>0</v>
      </c>
      <c r="V106">
        <f>IFERROR(SMALL(V39:V103,ROW()-ROW($V$106)+1),"")</f>
        <v>0</v>
      </c>
      <c r="W106">
        <f>IFERROR(SMALL(W39:W103,ROW()-ROW($W$106)+1),"")</f>
        <v>0</v>
      </c>
      <c r="X106">
        <f>IFERROR(SMALL(X39:X103,ROW()-ROW($X$106)+1),"")</f>
        <v>0</v>
      </c>
      <c r="Y106">
        <f>IFERROR(SMALL(Y39:Y103,ROW()-ROW($Y$106)+1),"")</f>
        <v>0</v>
      </c>
      <c r="Z106">
        <f>IFERROR(SMALL(Z39:Z103,ROW()-ROW($Z$106)+1),"")</f>
        <v>0</v>
      </c>
      <c r="AA106">
        <f>IFERROR(SMALL(AA39:AA103,ROW()-ROW($AA$106)+1),"")</f>
        <v>0</v>
      </c>
      <c r="AB106">
        <f>IFERROR(SMALL(AB39:AB103,ROW()-ROW($AB$106)+1),"")</f>
        <v>0</v>
      </c>
      <c r="AC106">
        <f>IFERROR(SMALL(AC39:AC103,ROW()-ROW($AC$106)+1),"")</f>
        <v>0</v>
      </c>
      <c r="AD106">
        <f>IFERROR(SMALL(AD39:AD103,ROW()-ROW($AD$106)+1),"")</f>
        <v>0</v>
      </c>
      <c r="AE106">
        <f>IFERROR(SMALL(AE39:AE103,ROW()-ROW($AE$106)+1),"")</f>
        <v>0</v>
      </c>
      <c r="AF106">
        <f>IFERROR(SMALL(AF39:AF103,ROW()-ROW($AF$106)+1),"")</f>
        <v>0</v>
      </c>
      <c r="AG106">
        <f>IFERROR(SMALL(AG39:AG103,ROW()-ROW($AG$106)+1),"")</f>
        <v>0</v>
      </c>
      <c r="AH106">
        <f>IFERROR(SMALL(AH39:AH103,ROW()-ROW($AH$106)+1),"")</f>
        <v>0</v>
      </c>
      <c r="AI106">
        <f>IFERROR(SMALL(AI39:AI103,ROW()-ROW($AI$106)+1),"")</f>
        <v>0</v>
      </c>
      <c r="AJ106">
        <f>IFERROR(SMALL(AJ39:AJ103,ROW()-ROW($AJ$106)+1),"")</f>
        <v>0</v>
      </c>
      <c r="AK106">
        <f>IFERROR(SMALL(AK39:AK103,ROW()-ROW($AK$106)+1),"")</f>
        <v>0</v>
      </c>
      <c r="AL106">
        <f>IFERROR(SMALL(AL39:AL103,ROW()-ROW($AL$106)+1),"")</f>
        <v>0</v>
      </c>
      <c r="AM106">
        <f>IFERROR(SMALL(AM39:AM103,ROW()-ROW($AM$106)+1),"")</f>
        <v>0</v>
      </c>
      <c r="AN106">
        <f>IFERROR(SMALL(AN39:AN103,ROW()-ROW($AN$106)+1),"")</f>
        <v>0</v>
      </c>
      <c r="AO106">
        <f>IFERROR(SMALL(AO39:AO103,ROW()-ROW($AO$106)+1),"")</f>
        <v>0</v>
      </c>
      <c r="AP106">
        <f>IFERROR(SMALL(AP39:AP103,ROW()-ROW($AP$106)+1),"")</f>
        <v>0</v>
      </c>
      <c r="AQ106">
        <f>IFERROR(SMALL(AQ39:AQ103,ROW()-ROW($AQ$106)+1),"")</f>
        <v>0</v>
      </c>
      <c r="AR106">
        <f>IFERROR(SMALL(AR39:AR103,ROW()-ROW($AR$106)+1),"")</f>
        <v>0</v>
      </c>
      <c r="AS106">
        <f>IFERROR(SMALL(AS39:AS103,ROW()-ROW($AS$106)+1),"")</f>
        <v>0</v>
      </c>
      <c r="AT106">
        <f>IFERROR(SMALL(AT39:AT103,ROW()-ROW($AT$106)+1),"")</f>
        <v>0</v>
      </c>
      <c r="AU106">
        <f>IFERROR(SMALL(AU39:AU103,ROW()-ROW($AU$106)+1),"")</f>
        <v>0</v>
      </c>
      <c r="AV106">
        <f>IFERROR(SMALL(AV39:AV103,ROW()-ROW($AV$106)+1),"")</f>
        <v>0</v>
      </c>
      <c r="AW106">
        <f>IFERROR(SMALL(AW39:AW103,ROW()-ROW($AW$106)+1),"")</f>
        <v>0</v>
      </c>
      <c r="AX106">
        <f>IFERROR(SMALL(AX39:AX103,ROW()-ROW($AX$106)+1),"")</f>
        <v>0</v>
      </c>
      <c r="AY106">
        <f>IFERROR(SMALL(AY39:AY103,ROW()-ROW($AY$106)+1),"")</f>
        <v>0</v>
      </c>
      <c r="AZ106">
        <f>IFERROR(SMALL(AZ39:AZ103,ROW()-ROW($AZ$106)+1),"")</f>
        <v>0</v>
      </c>
      <c r="BA106">
        <f>IFERROR(SMALL(BA39:BA103,ROW()-ROW($BA$106)+1),"")</f>
        <v>0</v>
      </c>
      <c r="BB106">
        <f>IFERROR(SMALL(BB39:BB103,ROW()-ROW($BB$106)+1),"")</f>
        <v>0</v>
      </c>
      <c r="BC106">
        <f>IFERROR(SMALL(BC39:BC103,ROW()-ROW($BC$106)+1),"")</f>
        <v>0</v>
      </c>
      <c r="BD106">
        <f>IFERROR(SMALL(BD39:BD103,ROW()-ROW($BD$106)+1),"")</f>
        <v>0</v>
      </c>
      <c r="BE106">
        <f>IFERROR(SMALL(BE39:BE103,ROW()-ROW($BE$106)+1),"")</f>
        <v>0</v>
      </c>
      <c r="BF106">
        <f>IFERROR(SMALL(BF39:BF103,ROW()-ROW($BF$106)+1),"")</f>
        <v>0</v>
      </c>
      <c r="BG106">
        <f>IFERROR(SMALL(BG39:BG103,ROW()-ROW($BG$106)+1),"")</f>
        <v>0</v>
      </c>
      <c r="BH106">
        <f>IFERROR(SMALL(BH39:BH103,ROW()-ROW($BH$106)+1),"")</f>
        <v>0</v>
      </c>
      <c r="BI106">
        <f>IFERROR(SMALL(BI39:BI103,ROW()-ROW($BI$106)+1),"")</f>
        <v>0</v>
      </c>
      <c r="BJ106">
        <f>IFERROR(SMALL(BJ39:BJ103,ROW()-ROW($BJ$106)+1),"")</f>
        <v>0</v>
      </c>
      <c r="BK106">
        <f>IFERROR(SMALL(BK39:BK103,ROW()-ROW($BK$106)+1),"")</f>
        <v>0</v>
      </c>
      <c r="BL106">
        <f>IFERROR(SMALL(BL39:BL103,ROW()-ROW($BL$106)+1),"")</f>
        <v>0</v>
      </c>
      <c r="BM106">
        <f>IFERROR(SMALL(BM39:BM103,ROW()-ROW($BM$106)+1),"")</f>
        <v>0</v>
      </c>
      <c r="BN106">
        <f>IFERROR(SMALL(BN39:BN103,ROW()-ROW($BN$106)+1),"")</f>
        <v>0</v>
      </c>
      <c r="BO106">
        <f>IFERROR(SMALL(BO39:BO103,ROW()-ROW($BO$106)+1),"")</f>
        <v>0</v>
      </c>
      <c r="BP106">
        <f>IFERROR(SMALL(BP39:BP103,ROW()-ROW($BP$106)+1),"")</f>
        <v>0</v>
      </c>
      <c r="BS106">
        <f>IFERROR(SMALL(BS39:BS103,ROW()-ROW($BS$106)+1),"")</f>
        <v>0</v>
      </c>
      <c r="BT106">
        <f>IFERROR(SMALL(BT39:BT103,ROW()-ROW($BT$106)+1),"")</f>
        <v>0</v>
      </c>
      <c r="BU106">
        <f>IFERROR(SMALL(BU39:BU103,ROW()-ROW($BU$106)+1),"")</f>
        <v>0</v>
      </c>
      <c r="BV106">
        <f>IFERROR(SMALL(BV39:BV103,ROW()-ROW($BV$106)+1),"")</f>
        <v>0</v>
      </c>
      <c r="BW106">
        <f>IFERROR(SMALL(BW39:BW103,ROW()-ROW($BW$106)+1),"")</f>
        <v>0</v>
      </c>
      <c r="BX106">
        <f>IFERROR(SMALL(BX39:BX103,ROW()-ROW($BX$106)+1),"")</f>
        <v>0</v>
      </c>
      <c r="BY106">
        <f>IFERROR(SMALL(BY39:BY103,ROW()-ROW($BY$106)+1),"")</f>
        <v>0</v>
      </c>
      <c r="BZ106">
        <f>IFERROR(SMALL(BZ39:BZ103,ROW()-ROW($BZ$106)+1),"")</f>
        <v>0</v>
      </c>
      <c r="CA106">
        <f>IFERROR(SMALL(CA39:CA103,ROW()-ROW($CA$106)+1),"")</f>
        <v>0</v>
      </c>
      <c r="CB106">
        <f>IFERROR(SMALL(CB39:CB103,ROW()-ROW($CB$106)+1),"")</f>
        <v>0</v>
      </c>
      <c r="CC106">
        <f>IFERROR(SMALL(CC39:CC103,ROW()-ROW($CC$106)+1),"")</f>
        <v>0</v>
      </c>
      <c r="CD106">
        <f>IFERROR(SMALL(CD39:CD103,ROW()-ROW($CD$106)+1),"")</f>
        <v>0</v>
      </c>
      <c r="CE106">
        <f>IFERROR(SMALL(CE39:CE103,ROW()-ROW($CE$106)+1),"")</f>
        <v>0</v>
      </c>
      <c r="CF106">
        <f>IFERROR(SMALL(CF39:CF103,ROW()-ROW($CF$106)+1),"")</f>
        <v>0</v>
      </c>
      <c r="CG106">
        <f>IFERROR(SMALL(CG39:CG103,ROW()-ROW($CG$106)+1),"")</f>
        <v>0</v>
      </c>
      <c r="CH106">
        <f>IFERROR(SMALL(CH39:CH103,ROW()-ROW($CH$106)+1),"")</f>
        <v>0</v>
      </c>
      <c r="CI106">
        <f>IFERROR(SMALL(CI39:CI103,ROW()-ROW($CI$106)+1),"")</f>
        <v>0</v>
      </c>
      <c r="CJ106">
        <f>IFERROR(SMALL(CJ39:CJ103,ROW()-ROW($CJ$106)+1),"")</f>
        <v>0</v>
      </c>
      <c r="CK106">
        <f>IFERROR(SMALL(CK39:CK103,ROW()-ROW($CK$106)+1),"")</f>
        <v>0</v>
      </c>
      <c r="CL106">
        <f>IFERROR(SMALL(CL39:CL103,ROW()-ROW($CL$106)+1),"")</f>
        <v>0</v>
      </c>
      <c r="CM106">
        <f>IFERROR(SMALL(CM39:CM103,ROW()-ROW($CM$106)+1),"")</f>
        <v>0</v>
      </c>
      <c r="CN106">
        <f>IFERROR(SMALL(CN39:CN103,ROW()-ROW($CN$106)+1),"")</f>
        <v>0</v>
      </c>
      <c r="CO106">
        <f>IFERROR(SMALL(CO39:CO103,ROW()-ROW($CO$106)+1),"")</f>
        <v>0</v>
      </c>
      <c r="CP106">
        <f>IFERROR(SMALL(CP39:CP103,ROW()-ROW($CP$106)+1),"")</f>
        <v>0</v>
      </c>
      <c r="CQ106">
        <f>IFERROR(SMALL(CQ39:CQ103,ROW()-ROW($CQ$106)+1),"")</f>
        <v>0</v>
      </c>
      <c r="CR106">
        <f>IFERROR(SMALL(CR39:CR103,ROW()-ROW($CR$106)+1),"")</f>
        <v>0</v>
      </c>
      <c r="CS106">
        <f>IFERROR(SMALL(CS39:CS103,ROW()-ROW($CS$106)+1),"")</f>
        <v>0</v>
      </c>
      <c r="CT106">
        <f>IFERROR(SMALL(CT39:CT103,ROW()-ROW($CT$106)+1),"")</f>
        <v>0</v>
      </c>
      <c r="CU106">
        <f>IFERROR(SMALL(CU39:CU103,ROW()-ROW($CU$106)+1),"")</f>
        <v>0</v>
      </c>
      <c r="CV106">
        <f>IFERROR(SMALL(CV39:CV103,ROW()-ROW($CV$106)+1),"")</f>
        <v>0</v>
      </c>
      <c r="CW106">
        <f>IFERROR(SMALL(CW39:CW103,ROW()-ROW($CW$106)+1),"")</f>
        <v>0</v>
      </c>
      <c r="CX106">
        <f>IFERROR(SMALL(CX39:CX103,ROW()-ROW($CX$106)+1),"")</f>
        <v>0</v>
      </c>
      <c r="CY106">
        <f>IFERROR(SMALL(CY39:CY103,ROW()-ROW($CY$106)+1),"")</f>
        <v>0</v>
      </c>
      <c r="CZ106">
        <f>IFERROR(SMALL(CZ39:CZ103,ROW()-ROW($CZ$106)+1),"")</f>
        <v>0</v>
      </c>
      <c r="DA106">
        <f>IFERROR(SMALL(DA39:DA103,ROW()-ROW($DA$106)+1),"")</f>
        <v>0</v>
      </c>
      <c r="DB106">
        <f>IFERROR(SMALL(DB39:DB103,ROW()-ROW($DB$106)+1),"")</f>
        <v>0</v>
      </c>
      <c r="DC106">
        <f>IFERROR(SMALL(DC39:DC103,ROW()-ROW($DC$106)+1),"")</f>
        <v>0</v>
      </c>
      <c r="DD106">
        <f>IFERROR(SMALL(DD39:DD103,ROW()-ROW($DD$106)+1),"")</f>
        <v>0</v>
      </c>
      <c r="DE106">
        <f>IFERROR(SMALL(DE39:DE103,ROW()-ROW($DE$106)+1),"")</f>
        <v>0</v>
      </c>
      <c r="DF106">
        <f>IFERROR(SMALL(DF39:DF103,ROW()-ROW($DF$106)+1),"")</f>
        <v>0</v>
      </c>
      <c r="DG106">
        <f>IFERROR(SMALL(DG39:DG103,ROW()-ROW($DG$106)+1),"")</f>
        <v>0</v>
      </c>
      <c r="DH106">
        <f>IFERROR(SMALL(DH39:DH103,ROW()-ROW($DH$106)+1),"")</f>
        <v>0</v>
      </c>
      <c r="DI106">
        <f>IFERROR(SMALL(DI39:DI103,ROW()-ROW($DI$106)+1),"")</f>
        <v>0</v>
      </c>
      <c r="DJ106">
        <f>IFERROR(SMALL(DJ39:DJ103,ROW()-ROW($DJ$106)+1),"")</f>
        <v>0</v>
      </c>
      <c r="DK106">
        <f>IFERROR(SMALL(DK39:DK103,ROW()-ROW($DK$106)+1),"")</f>
        <v>0</v>
      </c>
      <c r="DL106">
        <f>IFERROR(SMALL(DL39:DL103,ROW()-ROW($DL$106)+1),"")</f>
        <v>0</v>
      </c>
      <c r="DM106">
        <f>IFERROR(SMALL(DM39:DM103,ROW()-ROW($DM$106)+1),"")</f>
        <v>0</v>
      </c>
      <c r="DN106">
        <f>IFERROR(SMALL(DN39:DN103,ROW()-ROW($DN$106)+1),"")</f>
        <v>0</v>
      </c>
      <c r="DO106">
        <f>IFERROR(SMALL(DO39:DO103,ROW()-ROW($DO$106)+1),"")</f>
        <v>0</v>
      </c>
      <c r="DP106">
        <f>IFERROR(SMALL(DP39:DP103,ROW()-ROW($DP$106)+1),"")</f>
        <v>0</v>
      </c>
      <c r="DQ106">
        <f>IFERROR(SMALL(DQ39:DQ103,ROW()-ROW($DQ$106)+1),"")</f>
        <v>0</v>
      </c>
      <c r="DR106">
        <f>IFERROR(SMALL(DR39:DR103,ROW()-ROW($DR$106)+1),"")</f>
        <v>0</v>
      </c>
      <c r="DS106">
        <f>IFERROR(SMALL(DS39:DS103,ROW()-ROW($DS$106)+1),"")</f>
        <v>0</v>
      </c>
      <c r="DT106">
        <f>IFERROR(SMALL(DT39:DT103,ROW()-ROW($DT$106)+1),"")</f>
        <v>0</v>
      </c>
      <c r="DU106">
        <f>IFERROR(SMALL(DU39:DU103,ROW()-ROW($DU$106)+1),"")</f>
        <v>0</v>
      </c>
      <c r="DV106">
        <f>IFERROR(SMALL(DV39:DV103,ROW()-ROW($DV$106)+1),"")</f>
        <v>0</v>
      </c>
      <c r="DW106">
        <f>IFERROR(SMALL(DW39:DW103,ROW()-ROW($DW$106)+1),"")</f>
        <v>0</v>
      </c>
      <c r="DX106">
        <f>IFERROR(SMALL(DX39:DX103,ROW()-ROW($DX$106)+1),"")</f>
        <v>0</v>
      </c>
      <c r="DY106">
        <f>IFERROR(SMALL(DY39:DY103,ROW()-ROW($DY$106)+1),"")</f>
        <v>0</v>
      </c>
      <c r="DZ106">
        <f>IFERROR(SMALL(DZ39:DZ103,ROW()-ROW($DZ$106)+1),"")</f>
        <v>0</v>
      </c>
      <c r="EA106">
        <f>IFERROR(SMALL(EA39:EA103,ROW()-ROW($EA$106)+1),"")</f>
        <v>0</v>
      </c>
      <c r="EB106">
        <f>IFERROR(SMALL(EB39:EB103,ROW()-ROW($EB$106)+1),"")</f>
        <v>0</v>
      </c>
      <c r="EC106">
        <f>IFERROR(SMALL(EC39:EC103,ROW()-ROW($EC$106)+1),"")</f>
        <v>0</v>
      </c>
      <c r="ED106">
        <f>IFERROR(SMALL(ED39:ED103,ROW()-ROW($ED$106)+1),"")</f>
        <v>0</v>
      </c>
    </row>
    <row r="107" spans="4:134">
      <c r="E107">
        <f>IFERROR(SMALL(E39:E103,ROW()-ROW($E$106)+1),"")</f>
        <v>0</v>
      </c>
      <c r="F107">
        <f>IFERROR(SMALL(F39:F103,ROW()-ROW($F$106)+1),"")</f>
        <v>0</v>
      </c>
      <c r="G107">
        <f>IFERROR(SMALL(G39:G103,ROW()-ROW($G$106)+1),"")</f>
        <v>0</v>
      </c>
      <c r="H107">
        <f>IFERROR(SMALL(H39:H103,ROW()-ROW($H$106)+1),"")</f>
        <v>0</v>
      </c>
      <c r="I107">
        <f>IFERROR(SMALL(I39:I103,ROW()-ROW($I$106)+1),"")</f>
        <v>0</v>
      </c>
      <c r="J107">
        <f>IFERROR(SMALL(J39:J103,ROW()-ROW($J$106)+1),"")</f>
        <v>0</v>
      </c>
      <c r="K107">
        <f>IFERROR(SMALL(K39:K103,ROW()-ROW($K$106)+1),"")</f>
        <v>0</v>
      </c>
      <c r="L107">
        <f>IFERROR(SMALL(L39:L103,ROW()-ROW($L$106)+1),"")</f>
        <v>0</v>
      </c>
      <c r="M107">
        <f>IFERROR(SMALL(M39:M103,ROW()-ROW($M$106)+1),"")</f>
        <v>0</v>
      </c>
      <c r="N107">
        <f>IFERROR(SMALL(N39:N103,ROW()-ROW($N$106)+1),"")</f>
        <v>0</v>
      </c>
      <c r="O107">
        <f>IFERROR(SMALL(O39:O103,ROW()-ROW($O$106)+1),"")</f>
        <v>0</v>
      </c>
      <c r="P107">
        <f>IFERROR(SMALL(P39:P103,ROW()-ROW($P$106)+1),"")</f>
        <v>0</v>
      </c>
      <c r="Q107">
        <f>IFERROR(SMALL(Q39:Q103,ROW()-ROW($Q$106)+1),"")</f>
        <v>0</v>
      </c>
      <c r="R107">
        <f>IFERROR(SMALL(R39:R103,ROW()-ROW($R$106)+1),"")</f>
        <v>0</v>
      </c>
      <c r="S107">
        <f>IFERROR(SMALL(S39:S103,ROW()-ROW($S$106)+1),"")</f>
        <v>0</v>
      </c>
      <c r="T107">
        <f>IFERROR(SMALL(T39:T103,ROW()-ROW($T$106)+1),"")</f>
        <v>0</v>
      </c>
      <c r="U107">
        <f>IFERROR(SMALL(U39:U103,ROW()-ROW($U$106)+1),"")</f>
        <v>0</v>
      </c>
      <c r="V107">
        <f>IFERROR(SMALL(V39:V103,ROW()-ROW($V$106)+1),"")</f>
        <v>0</v>
      </c>
      <c r="W107">
        <f>IFERROR(SMALL(W39:W103,ROW()-ROW($W$106)+1),"")</f>
        <v>0</v>
      </c>
      <c r="X107">
        <f>IFERROR(SMALL(X39:X103,ROW()-ROW($X$106)+1),"")</f>
        <v>0</v>
      </c>
      <c r="Y107">
        <f>IFERROR(SMALL(Y39:Y103,ROW()-ROW($Y$106)+1),"")</f>
        <v>0</v>
      </c>
      <c r="Z107">
        <f>IFERROR(SMALL(Z39:Z103,ROW()-ROW($Z$106)+1),"")</f>
        <v>0</v>
      </c>
      <c r="AA107">
        <f>IFERROR(SMALL(AA39:AA103,ROW()-ROW($AA$106)+1),"")</f>
        <v>0</v>
      </c>
      <c r="AB107">
        <f>IFERROR(SMALL(AB39:AB103,ROW()-ROW($AB$106)+1),"")</f>
        <v>0</v>
      </c>
      <c r="AC107">
        <f>IFERROR(SMALL(AC39:AC103,ROW()-ROW($AC$106)+1),"")</f>
        <v>0</v>
      </c>
      <c r="AD107">
        <f>IFERROR(SMALL(AD39:AD103,ROW()-ROW($AD$106)+1),"")</f>
        <v>0</v>
      </c>
      <c r="AE107">
        <f>IFERROR(SMALL(AE39:AE103,ROW()-ROW($AE$106)+1),"")</f>
        <v>0</v>
      </c>
      <c r="AF107">
        <f>IFERROR(SMALL(AF39:AF103,ROW()-ROW($AF$106)+1),"")</f>
        <v>0</v>
      </c>
      <c r="AG107">
        <f>IFERROR(SMALL(AG39:AG103,ROW()-ROW($AG$106)+1),"")</f>
        <v>0</v>
      </c>
      <c r="AH107">
        <f>IFERROR(SMALL(AH39:AH103,ROW()-ROW($AH$106)+1),"")</f>
        <v>0</v>
      </c>
      <c r="AI107">
        <f>IFERROR(SMALL(AI39:AI103,ROW()-ROW($AI$106)+1),"")</f>
        <v>0</v>
      </c>
      <c r="AJ107">
        <f>IFERROR(SMALL(AJ39:AJ103,ROW()-ROW($AJ$106)+1),"")</f>
        <v>0</v>
      </c>
      <c r="AK107">
        <f>IFERROR(SMALL(AK39:AK103,ROW()-ROW($AK$106)+1),"")</f>
        <v>0</v>
      </c>
      <c r="AL107">
        <f>IFERROR(SMALL(AL39:AL103,ROW()-ROW($AL$106)+1),"")</f>
        <v>0</v>
      </c>
      <c r="AM107">
        <f>IFERROR(SMALL(AM39:AM103,ROW()-ROW($AM$106)+1),"")</f>
        <v>0</v>
      </c>
      <c r="AN107">
        <f>IFERROR(SMALL(AN39:AN103,ROW()-ROW($AN$106)+1),"")</f>
        <v>0</v>
      </c>
      <c r="AO107">
        <f>IFERROR(SMALL(AO39:AO103,ROW()-ROW($AO$106)+1),"")</f>
        <v>0</v>
      </c>
      <c r="AP107">
        <f>IFERROR(SMALL(AP39:AP103,ROW()-ROW($AP$106)+1),"")</f>
        <v>0</v>
      </c>
      <c r="AQ107">
        <f>IFERROR(SMALL(AQ39:AQ103,ROW()-ROW($AQ$106)+1),"")</f>
        <v>0</v>
      </c>
      <c r="AR107">
        <f>IFERROR(SMALL(AR39:AR103,ROW()-ROW($AR$106)+1),"")</f>
        <v>0</v>
      </c>
      <c r="AS107">
        <f>IFERROR(SMALL(AS39:AS103,ROW()-ROW($AS$106)+1),"")</f>
        <v>0</v>
      </c>
      <c r="AT107">
        <f>IFERROR(SMALL(AT39:AT103,ROW()-ROW($AT$106)+1),"")</f>
        <v>0</v>
      </c>
      <c r="AU107">
        <f>IFERROR(SMALL(AU39:AU103,ROW()-ROW($AU$106)+1),"")</f>
        <v>0</v>
      </c>
      <c r="AV107">
        <f>IFERROR(SMALL(AV39:AV103,ROW()-ROW($AV$106)+1),"")</f>
        <v>0</v>
      </c>
      <c r="AW107">
        <f>IFERROR(SMALL(AW39:AW103,ROW()-ROW($AW$106)+1),"")</f>
        <v>0</v>
      </c>
      <c r="AX107">
        <f>IFERROR(SMALL(AX39:AX103,ROW()-ROW($AX$106)+1),"")</f>
        <v>0</v>
      </c>
      <c r="AY107">
        <f>IFERROR(SMALL(AY39:AY103,ROW()-ROW($AY$106)+1),"")</f>
        <v>0</v>
      </c>
      <c r="AZ107">
        <f>IFERROR(SMALL(AZ39:AZ103,ROW()-ROW($AZ$106)+1),"")</f>
        <v>0</v>
      </c>
      <c r="BA107">
        <f>IFERROR(SMALL(BA39:BA103,ROW()-ROW($BA$106)+1),"")</f>
        <v>0</v>
      </c>
      <c r="BB107">
        <f>IFERROR(SMALL(BB39:BB103,ROW()-ROW($BB$106)+1),"")</f>
        <v>0</v>
      </c>
      <c r="BC107">
        <f>IFERROR(SMALL(BC39:BC103,ROW()-ROW($BC$106)+1),"")</f>
        <v>0</v>
      </c>
      <c r="BD107">
        <f>IFERROR(SMALL(BD39:BD103,ROW()-ROW($BD$106)+1),"")</f>
        <v>0</v>
      </c>
      <c r="BE107">
        <f>IFERROR(SMALL(BE39:BE103,ROW()-ROW($BE$106)+1),"")</f>
        <v>0</v>
      </c>
      <c r="BF107">
        <f>IFERROR(SMALL(BF39:BF103,ROW()-ROW($BF$106)+1),"")</f>
        <v>0</v>
      </c>
      <c r="BG107">
        <f>IFERROR(SMALL(BG39:BG103,ROW()-ROW($BG$106)+1),"")</f>
        <v>0</v>
      </c>
      <c r="BH107">
        <f>IFERROR(SMALL(BH39:BH103,ROW()-ROW($BH$106)+1),"")</f>
        <v>0</v>
      </c>
      <c r="BI107">
        <f>IFERROR(SMALL(BI39:BI103,ROW()-ROW($BI$106)+1),"")</f>
        <v>0</v>
      </c>
      <c r="BJ107">
        <f>IFERROR(SMALL(BJ39:BJ103,ROW()-ROW($BJ$106)+1),"")</f>
        <v>0</v>
      </c>
      <c r="BK107">
        <f>IFERROR(SMALL(BK39:BK103,ROW()-ROW($BK$106)+1),"")</f>
        <v>0</v>
      </c>
      <c r="BL107">
        <f>IFERROR(SMALL(BL39:BL103,ROW()-ROW($BL$106)+1),"")</f>
        <v>0</v>
      </c>
      <c r="BM107">
        <f>IFERROR(SMALL(BM39:BM103,ROW()-ROW($BM$106)+1),"")</f>
        <v>0</v>
      </c>
      <c r="BN107">
        <f>IFERROR(SMALL(BN39:BN103,ROW()-ROW($BN$106)+1),"")</f>
        <v>0</v>
      </c>
      <c r="BO107">
        <f>IFERROR(SMALL(BO39:BO103,ROW()-ROW($BO$106)+1),"")</f>
        <v>0</v>
      </c>
      <c r="BP107">
        <f>IFERROR(SMALL(BP39:BP103,ROW()-ROW($BP$106)+1),"")</f>
        <v>0</v>
      </c>
      <c r="BS107">
        <f>IFERROR(SMALL(BS39:BS103,ROW()-ROW($BS$106)+1),"")</f>
        <v>0</v>
      </c>
      <c r="BT107">
        <f>IFERROR(SMALL(BT39:BT103,ROW()-ROW($BT$106)+1),"")</f>
        <v>0</v>
      </c>
      <c r="BU107">
        <f>IFERROR(SMALL(BU39:BU103,ROW()-ROW($BU$106)+1),"")</f>
        <v>0</v>
      </c>
      <c r="BV107">
        <f>IFERROR(SMALL(BV39:BV103,ROW()-ROW($BV$106)+1),"")</f>
        <v>0</v>
      </c>
      <c r="BW107">
        <f>IFERROR(SMALL(BW39:BW103,ROW()-ROW($BW$106)+1),"")</f>
        <v>0</v>
      </c>
      <c r="BX107">
        <f>IFERROR(SMALL(BX39:BX103,ROW()-ROW($BX$106)+1),"")</f>
        <v>0</v>
      </c>
      <c r="BY107">
        <f>IFERROR(SMALL(BY39:BY103,ROW()-ROW($BY$106)+1),"")</f>
        <v>0</v>
      </c>
      <c r="BZ107">
        <f>IFERROR(SMALL(BZ39:BZ103,ROW()-ROW($BZ$106)+1),"")</f>
        <v>0</v>
      </c>
      <c r="CA107">
        <f>IFERROR(SMALL(CA39:CA103,ROW()-ROW($CA$106)+1),"")</f>
        <v>0</v>
      </c>
      <c r="CB107">
        <f>IFERROR(SMALL(CB39:CB103,ROW()-ROW($CB$106)+1),"")</f>
        <v>0</v>
      </c>
      <c r="CC107">
        <f>IFERROR(SMALL(CC39:CC103,ROW()-ROW($CC$106)+1),"")</f>
        <v>0</v>
      </c>
      <c r="CD107">
        <f>IFERROR(SMALL(CD39:CD103,ROW()-ROW($CD$106)+1),"")</f>
        <v>0</v>
      </c>
      <c r="CE107">
        <f>IFERROR(SMALL(CE39:CE103,ROW()-ROW($CE$106)+1),"")</f>
        <v>0</v>
      </c>
      <c r="CF107">
        <f>IFERROR(SMALL(CF39:CF103,ROW()-ROW($CF$106)+1),"")</f>
        <v>0</v>
      </c>
      <c r="CG107">
        <f>IFERROR(SMALL(CG39:CG103,ROW()-ROW($CG$106)+1),"")</f>
        <v>0</v>
      </c>
      <c r="CH107">
        <f>IFERROR(SMALL(CH39:CH103,ROW()-ROW($CH$106)+1),"")</f>
        <v>0</v>
      </c>
      <c r="CI107">
        <f>IFERROR(SMALL(CI39:CI103,ROW()-ROW($CI$106)+1),"")</f>
        <v>0</v>
      </c>
      <c r="CJ107">
        <f>IFERROR(SMALL(CJ39:CJ103,ROW()-ROW($CJ$106)+1),"")</f>
        <v>0</v>
      </c>
      <c r="CK107">
        <f>IFERROR(SMALL(CK39:CK103,ROW()-ROW($CK$106)+1),"")</f>
        <v>0</v>
      </c>
      <c r="CL107">
        <f>IFERROR(SMALL(CL39:CL103,ROW()-ROW($CL$106)+1),"")</f>
        <v>0</v>
      </c>
      <c r="CM107">
        <f>IFERROR(SMALL(CM39:CM103,ROW()-ROW($CM$106)+1),"")</f>
        <v>0</v>
      </c>
      <c r="CN107">
        <f>IFERROR(SMALL(CN39:CN103,ROW()-ROW($CN$106)+1),"")</f>
        <v>0</v>
      </c>
      <c r="CO107">
        <f>IFERROR(SMALL(CO39:CO103,ROW()-ROW($CO$106)+1),"")</f>
        <v>0</v>
      </c>
      <c r="CP107">
        <f>IFERROR(SMALL(CP39:CP103,ROW()-ROW($CP$106)+1),"")</f>
        <v>0</v>
      </c>
      <c r="CQ107">
        <f>IFERROR(SMALL(CQ39:CQ103,ROW()-ROW($CQ$106)+1),"")</f>
        <v>0</v>
      </c>
      <c r="CR107">
        <f>IFERROR(SMALL(CR39:CR103,ROW()-ROW($CR$106)+1),"")</f>
        <v>0</v>
      </c>
      <c r="CS107">
        <f>IFERROR(SMALL(CS39:CS103,ROW()-ROW($CS$106)+1),"")</f>
        <v>0</v>
      </c>
      <c r="CT107">
        <f>IFERROR(SMALL(CT39:CT103,ROW()-ROW($CT$106)+1),"")</f>
        <v>0</v>
      </c>
      <c r="CU107">
        <f>IFERROR(SMALL(CU39:CU103,ROW()-ROW($CU$106)+1),"")</f>
        <v>0</v>
      </c>
      <c r="CV107">
        <f>IFERROR(SMALL(CV39:CV103,ROW()-ROW($CV$106)+1),"")</f>
        <v>0</v>
      </c>
      <c r="CW107">
        <f>IFERROR(SMALL(CW39:CW103,ROW()-ROW($CW$106)+1),"")</f>
        <v>0</v>
      </c>
      <c r="CX107">
        <f>IFERROR(SMALL(CX39:CX103,ROW()-ROW($CX$106)+1),"")</f>
        <v>0</v>
      </c>
      <c r="CY107">
        <f>IFERROR(SMALL(CY39:CY103,ROW()-ROW($CY$106)+1),"")</f>
        <v>0</v>
      </c>
      <c r="CZ107">
        <f>IFERROR(SMALL(CZ39:CZ103,ROW()-ROW($CZ$106)+1),"")</f>
        <v>0</v>
      </c>
      <c r="DA107">
        <f>IFERROR(SMALL(DA39:DA103,ROW()-ROW($DA$106)+1),"")</f>
        <v>0</v>
      </c>
      <c r="DB107">
        <f>IFERROR(SMALL(DB39:DB103,ROW()-ROW($DB$106)+1),"")</f>
        <v>0</v>
      </c>
      <c r="DC107">
        <f>IFERROR(SMALL(DC39:DC103,ROW()-ROW($DC$106)+1),"")</f>
        <v>0</v>
      </c>
      <c r="DD107">
        <f>IFERROR(SMALL(DD39:DD103,ROW()-ROW($DD$106)+1),"")</f>
        <v>0</v>
      </c>
      <c r="DE107">
        <f>IFERROR(SMALL(DE39:DE103,ROW()-ROW($DE$106)+1),"")</f>
        <v>0</v>
      </c>
      <c r="DF107">
        <f>IFERROR(SMALL(DF39:DF103,ROW()-ROW($DF$106)+1),"")</f>
        <v>0</v>
      </c>
      <c r="DG107">
        <f>IFERROR(SMALL(DG39:DG103,ROW()-ROW($DG$106)+1),"")</f>
        <v>0</v>
      </c>
      <c r="DH107">
        <f>IFERROR(SMALL(DH39:DH103,ROW()-ROW($DH$106)+1),"")</f>
        <v>0</v>
      </c>
      <c r="DI107">
        <f>IFERROR(SMALL(DI39:DI103,ROW()-ROW($DI$106)+1),"")</f>
        <v>0</v>
      </c>
      <c r="DJ107">
        <f>IFERROR(SMALL(DJ39:DJ103,ROW()-ROW($DJ$106)+1),"")</f>
        <v>0</v>
      </c>
      <c r="DK107">
        <f>IFERROR(SMALL(DK39:DK103,ROW()-ROW($DK$106)+1),"")</f>
        <v>0</v>
      </c>
      <c r="DL107">
        <f>IFERROR(SMALL(DL39:DL103,ROW()-ROW($DL$106)+1),"")</f>
        <v>0</v>
      </c>
      <c r="DM107">
        <f>IFERROR(SMALL(DM39:DM103,ROW()-ROW($DM$106)+1),"")</f>
        <v>0</v>
      </c>
      <c r="DN107">
        <f>IFERROR(SMALL(DN39:DN103,ROW()-ROW($DN$106)+1),"")</f>
        <v>0</v>
      </c>
      <c r="DO107">
        <f>IFERROR(SMALL(DO39:DO103,ROW()-ROW($DO$106)+1),"")</f>
        <v>0</v>
      </c>
      <c r="DP107">
        <f>IFERROR(SMALL(DP39:DP103,ROW()-ROW($DP$106)+1),"")</f>
        <v>0</v>
      </c>
      <c r="DQ107">
        <f>IFERROR(SMALL(DQ39:DQ103,ROW()-ROW($DQ$106)+1),"")</f>
        <v>0</v>
      </c>
      <c r="DR107">
        <f>IFERROR(SMALL(DR39:DR103,ROW()-ROW($DR$106)+1),"")</f>
        <v>0</v>
      </c>
      <c r="DS107">
        <f>IFERROR(SMALL(DS39:DS103,ROW()-ROW($DS$106)+1),"")</f>
        <v>0</v>
      </c>
      <c r="DT107">
        <f>IFERROR(SMALL(DT39:DT103,ROW()-ROW($DT$106)+1),"")</f>
        <v>0</v>
      </c>
      <c r="DU107">
        <f>IFERROR(SMALL(DU39:DU103,ROW()-ROW($DU$106)+1),"")</f>
        <v>0</v>
      </c>
      <c r="DV107">
        <f>IFERROR(SMALL(DV39:DV103,ROW()-ROW($DV$106)+1),"")</f>
        <v>0</v>
      </c>
      <c r="DW107">
        <f>IFERROR(SMALL(DW39:DW103,ROW()-ROW($DW$106)+1),"")</f>
        <v>0</v>
      </c>
      <c r="DX107">
        <f>IFERROR(SMALL(DX39:DX103,ROW()-ROW($DX$106)+1),"")</f>
        <v>0</v>
      </c>
      <c r="DY107">
        <f>IFERROR(SMALL(DY39:DY103,ROW()-ROW($DY$106)+1),"")</f>
        <v>0</v>
      </c>
      <c r="DZ107">
        <f>IFERROR(SMALL(DZ39:DZ103,ROW()-ROW($DZ$106)+1),"")</f>
        <v>0</v>
      </c>
      <c r="EA107">
        <f>IFERROR(SMALL(EA39:EA103,ROW()-ROW($EA$106)+1),"")</f>
        <v>0</v>
      </c>
      <c r="EB107">
        <f>IFERROR(SMALL(EB39:EB103,ROW()-ROW($EB$106)+1),"")</f>
        <v>0</v>
      </c>
      <c r="EC107">
        <f>IFERROR(SMALL(EC39:EC103,ROW()-ROW($EC$106)+1),"")</f>
        <v>0</v>
      </c>
      <c r="ED107">
        <f>IFERROR(SMALL(ED39:ED103,ROW()-ROW($ED$106)+1),"")</f>
        <v>0</v>
      </c>
    </row>
    <row r="108" spans="4:134">
      <c r="E108">
        <f>IFERROR(SMALL(E39:E103,ROW()-ROW($E$106)+1),"")</f>
        <v>0</v>
      </c>
      <c r="F108">
        <f>IFERROR(SMALL(F39:F103,ROW()-ROW($F$106)+1),"")</f>
        <v>0</v>
      </c>
      <c r="G108">
        <f>IFERROR(SMALL(G39:G103,ROW()-ROW($G$106)+1),"")</f>
        <v>0</v>
      </c>
      <c r="H108">
        <f>IFERROR(SMALL(H39:H103,ROW()-ROW($H$106)+1),"")</f>
        <v>0</v>
      </c>
      <c r="I108">
        <f>IFERROR(SMALL(I39:I103,ROW()-ROW($I$106)+1),"")</f>
        <v>0</v>
      </c>
      <c r="J108">
        <f>IFERROR(SMALL(J39:J103,ROW()-ROW($J$106)+1),"")</f>
        <v>0</v>
      </c>
      <c r="K108">
        <f>IFERROR(SMALL(K39:K103,ROW()-ROW($K$106)+1),"")</f>
        <v>0</v>
      </c>
      <c r="L108">
        <f>IFERROR(SMALL(L39:L103,ROW()-ROW($L$106)+1),"")</f>
        <v>0</v>
      </c>
      <c r="M108">
        <f>IFERROR(SMALL(M39:M103,ROW()-ROW($M$106)+1),"")</f>
        <v>0</v>
      </c>
      <c r="N108">
        <f>IFERROR(SMALL(N39:N103,ROW()-ROW($N$106)+1),"")</f>
        <v>0</v>
      </c>
      <c r="O108">
        <f>IFERROR(SMALL(O39:O103,ROW()-ROW($O$106)+1),"")</f>
        <v>0</v>
      </c>
      <c r="P108">
        <f>IFERROR(SMALL(P39:P103,ROW()-ROW($P$106)+1),"")</f>
        <v>0</v>
      </c>
      <c r="Q108">
        <f>IFERROR(SMALL(Q39:Q103,ROW()-ROW($Q$106)+1),"")</f>
        <v>0</v>
      </c>
      <c r="R108">
        <f>IFERROR(SMALL(R39:R103,ROW()-ROW($R$106)+1),"")</f>
        <v>0</v>
      </c>
      <c r="S108">
        <f>IFERROR(SMALL(S39:S103,ROW()-ROW($S$106)+1),"")</f>
        <v>0</v>
      </c>
      <c r="T108">
        <f>IFERROR(SMALL(T39:T103,ROW()-ROW($T$106)+1),"")</f>
        <v>0</v>
      </c>
      <c r="U108">
        <f>IFERROR(SMALL(U39:U103,ROW()-ROW($U$106)+1),"")</f>
        <v>0</v>
      </c>
      <c r="V108">
        <f>IFERROR(SMALL(V39:V103,ROW()-ROW($V$106)+1),"")</f>
        <v>0</v>
      </c>
      <c r="W108">
        <f>IFERROR(SMALL(W39:W103,ROW()-ROW($W$106)+1),"")</f>
        <v>0</v>
      </c>
      <c r="X108">
        <f>IFERROR(SMALL(X39:X103,ROW()-ROW($X$106)+1),"")</f>
        <v>0</v>
      </c>
      <c r="Y108">
        <f>IFERROR(SMALL(Y39:Y103,ROW()-ROW($Y$106)+1),"")</f>
        <v>0</v>
      </c>
      <c r="Z108">
        <f>IFERROR(SMALL(Z39:Z103,ROW()-ROW($Z$106)+1),"")</f>
        <v>0</v>
      </c>
      <c r="AA108">
        <f>IFERROR(SMALL(AA39:AA103,ROW()-ROW($AA$106)+1),"")</f>
        <v>0</v>
      </c>
      <c r="AB108">
        <f>IFERROR(SMALL(AB39:AB103,ROW()-ROW($AB$106)+1),"")</f>
        <v>0</v>
      </c>
      <c r="AC108">
        <f>IFERROR(SMALL(AC39:AC103,ROW()-ROW($AC$106)+1),"")</f>
        <v>0</v>
      </c>
      <c r="AD108">
        <f>IFERROR(SMALL(AD39:AD103,ROW()-ROW($AD$106)+1),"")</f>
        <v>0</v>
      </c>
      <c r="AE108">
        <f>IFERROR(SMALL(AE39:AE103,ROW()-ROW($AE$106)+1),"")</f>
        <v>0</v>
      </c>
      <c r="AF108">
        <f>IFERROR(SMALL(AF39:AF103,ROW()-ROW($AF$106)+1),"")</f>
        <v>0</v>
      </c>
      <c r="AG108">
        <f>IFERROR(SMALL(AG39:AG103,ROW()-ROW($AG$106)+1),"")</f>
        <v>0</v>
      </c>
      <c r="AH108">
        <f>IFERROR(SMALL(AH39:AH103,ROW()-ROW($AH$106)+1),"")</f>
        <v>0</v>
      </c>
      <c r="AI108">
        <f>IFERROR(SMALL(AI39:AI103,ROW()-ROW($AI$106)+1),"")</f>
        <v>0</v>
      </c>
      <c r="AJ108">
        <f>IFERROR(SMALL(AJ39:AJ103,ROW()-ROW($AJ$106)+1),"")</f>
        <v>0</v>
      </c>
      <c r="AK108">
        <f>IFERROR(SMALL(AK39:AK103,ROW()-ROW($AK$106)+1),"")</f>
        <v>0</v>
      </c>
      <c r="AL108">
        <f>IFERROR(SMALL(AL39:AL103,ROW()-ROW($AL$106)+1),"")</f>
        <v>0</v>
      </c>
      <c r="AM108">
        <f>IFERROR(SMALL(AM39:AM103,ROW()-ROW($AM$106)+1),"")</f>
        <v>0</v>
      </c>
      <c r="AN108">
        <f>IFERROR(SMALL(AN39:AN103,ROW()-ROW($AN$106)+1),"")</f>
        <v>0</v>
      </c>
      <c r="AO108">
        <f>IFERROR(SMALL(AO39:AO103,ROW()-ROW($AO$106)+1),"")</f>
        <v>0</v>
      </c>
      <c r="AP108">
        <f>IFERROR(SMALL(AP39:AP103,ROW()-ROW($AP$106)+1),"")</f>
        <v>0</v>
      </c>
      <c r="AQ108">
        <f>IFERROR(SMALL(AQ39:AQ103,ROW()-ROW($AQ$106)+1),"")</f>
        <v>0</v>
      </c>
      <c r="AR108">
        <f>IFERROR(SMALL(AR39:AR103,ROW()-ROW($AR$106)+1),"")</f>
        <v>0</v>
      </c>
      <c r="AS108">
        <f>IFERROR(SMALL(AS39:AS103,ROW()-ROW($AS$106)+1),"")</f>
        <v>0</v>
      </c>
      <c r="AT108">
        <f>IFERROR(SMALL(AT39:AT103,ROW()-ROW($AT$106)+1),"")</f>
        <v>0</v>
      </c>
      <c r="AU108">
        <f>IFERROR(SMALL(AU39:AU103,ROW()-ROW($AU$106)+1),"")</f>
        <v>0</v>
      </c>
      <c r="AV108">
        <f>IFERROR(SMALL(AV39:AV103,ROW()-ROW($AV$106)+1),"")</f>
        <v>0</v>
      </c>
      <c r="AW108">
        <f>IFERROR(SMALL(AW39:AW103,ROW()-ROW($AW$106)+1),"")</f>
        <v>0</v>
      </c>
      <c r="AX108">
        <f>IFERROR(SMALL(AX39:AX103,ROW()-ROW($AX$106)+1),"")</f>
        <v>0</v>
      </c>
      <c r="AY108">
        <f>IFERROR(SMALL(AY39:AY103,ROW()-ROW($AY$106)+1),"")</f>
        <v>0</v>
      </c>
      <c r="AZ108">
        <f>IFERROR(SMALL(AZ39:AZ103,ROW()-ROW($AZ$106)+1),"")</f>
        <v>0</v>
      </c>
      <c r="BA108">
        <f>IFERROR(SMALL(BA39:BA103,ROW()-ROW($BA$106)+1),"")</f>
        <v>0</v>
      </c>
      <c r="BB108">
        <f>IFERROR(SMALL(BB39:BB103,ROW()-ROW($BB$106)+1),"")</f>
        <v>0</v>
      </c>
      <c r="BC108">
        <f>IFERROR(SMALL(BC39:BC103,ROW()-ROW($BC$106)+1),"")</f>
        <v>0</v>
      </c>
      <c r="BD108">
        <f>IFERROR(SMALL(BD39:BD103,ROW()-ROW($BD$106)+1),"")</f>
        <v>0</v>
      </c>
      <c r="BE108">
        <f>IFERROR(SMALL(BE39:BE103,ROW()-ROW($BE$106)+1),"")</f>
        <v>0</v>
      </c>
      <c r="BF108">
        <f>IFERROR(SMALL(BF39:BF103,ROW()-ROW($BF$106)+1),"")</f>
        <v>0</v>
      </c>
      <c r="BG108">
        <f>IFERROR(SMALL(BG39:BG103,ROW()-ROW($BG$106)+1),"")</f>
        <v>0</v>
      </c>
      <c r="BH108">
        <f>IFERROR(SMALL(BH39:BH103,ROW()-ROW($BH$106)+1),"")</f>
        <v>0</v>
      </c>
      <c r="BI108">
        <f>IFERROR(SMALL(BI39:BI103,ROW()-ROW($BI$106)+1),"")</f>
        <v>0</v>
      </c>
      <c r="BJ108">
        <f>IFERROR(SMALL(BJ39:BJ103,ROW()-ROW($BJ$106)+1),"")</f>
        <v>0</v>
      </c>
      <c r="BK108">
        <f>IFERROR(SMALL(BK39:BK103,ROW()-ROW($BK$106)+1),"")</f>
        <v>0</v>
      </c>
      <c r="BL108">
        <f>IFERROR(SMALL(BL39:BL103,ROW()-ROW($BL$106)+1),"")</f>
        <v>0</v>
      </c>
      <c r="BM108">
        <f>IFERROR(SMALL(BM39:BM103,ROW()-ROW($BM$106)+1),"")</f>
        <v>0</v>
      </c>
      <c r="BN108">
        <f>IFERROR(SMALL(BN39:BN103,ROW()-ROW($BN$106)+1),"")</f>
        <v>0</v>
      </c>
      <c r="BO108">
        <f>IFERROR(SMALL(BO39:BO103,ROW()-ROW($BO$106)+1),"")</f>
        <v>0</v>
      </c>
      <c r="BP108">
        <f>IFERROR(SMALL(BP39:BP103,ROW()-ROW($BP$106)+1),"")</f>
        <v>0</v>
      </c>
      <c r="BS108">
        <f>IFERROR(SMALL(BS39:BS103,ROW()-ROW($BS$106)+1),"")</f>
        <v>0</v>
      </c>
      <c r="BT108">
        <f>IFERROR(SMALL(BT39:BT103,ROW()-ROW($BT$106)+1),"")</f>
        <v>0</v>
      </c>
      <c r="BU108">
        <f>IFERROR(SMALL(BU39:BU103,ROW()-ROW($BU$106)+1),"")</f>
        <v>0</v>
      </c>
      <c r="BV108">
        <f>IFERROR(SMALL(BV39:BV103,ROW()-ROW($BV$106)+1),"")</f>
        <v>0</v>
      </c>
      <c r="BW108">
        <f>IFERROR(SMALL(BW39:BW103,ROW()-ROW($BW$106)+1),"")</f>
        <v>0</v>
      </c>
      <c r="BX108">
        <f>IFERROR(SMALL(BX39:BX103,ROW()-ROW($BX$106)+1),"")</f>
        <v>0</v>
      </c>
      <c r="BY108">
        <f>IFERROR(SMALL(BY39:BY103,ROW()-ROW($BY$106)+1),"")</f>
        <v>0</v>
      </c>
      <c r="BZ108">
        <f>IFERROR(SMALL(BZ39:BZ103,ROW()-ROW($BZ$106)+1),"")</f>
        <v>0</v>
      </c>
      <c r="CA108">
        <f>IFERROR(SMALL(CA39:CA103,ROW()-ROW($CA$106)+1),"")</f>
        <v>0</v>
      </c>
      <c r="CB108">
        <f>IFERROR(SMALL(CB39:CB103,ROW()-ROW($CB$106)+1),"")</f>
        <v>0</v>
      </c>
      <c r="CC108">
        <f>IFERROR(SMALL(CC39:CC103,ROW()-ROW($CC$106)+1),"")</f>
        <v>0</v>
      </c>
      <c r="CD108">
        <f>IFERROR(SMALL(CD39:CD103,ROW()-ROW($CD$106)+1),"")</f>
        <v>0</v>
      </c>
      <c r="CE108">
        <f>IFERROR(SMALL(CE39:CE103,ROW()-ROW($CE$106)+1),"")</f>
        <v>0</v>
      </c>
      <c r="CF108">
        <f>IFERROR(SMALL(CF39:CF103,ROW()-ROW($CF$106)+1),"")</f>
        <v>0</v>
      </c>
      <c r="CG108">
        <f>IFERROR(SMALL(CG39:CG103,ROW()-ROW($CG$106)+1),"")</f>
        <v>0</v>
      </c>
      <c r="CH108">
        <f>IFERROR(SMALL(CH39:CH103,ROW()-ROW($CH$106)+1),"")</f>
        <v>0</v>
      </c>
      <c r="CI108">
        <f>IFERROR(SMALL(CI39:CI103,ROW()-ROW($CI$106)+1),"")</f>
        <v>0</v>
      </c>
      <c r="CJ108">
        <f>IFERROR(SMALL(CJ39:CJ103,ROW()-ROW($CJ$106)+1),"")</f>
        <v>0</v>
      </c>
      <c r="CK108">
        <f>IFERROR(SMALL(CK39:CK103,ROW()-ROW($CK$106)+1),"")</f>
        <v>0</v>
      </c>
      <c r="CL108">
        <f>IFERROR(SMALL(CL39:CL103,ROW()-ROW($CL$106)+1),"")</f>
        <v>0</v>
      </c>
      <c r="CM108">
        <f>IFERROR(SMALL(CM39:CM103,ROW()-ROW($CM$106)+1),"")</f>
        <v>0</v>
      </c>
      <c r="CN108">
        <f>IFERROR(SMALL(CN39:CN103,ROW()-ROW($CN$106)+1),"")</f>
        <v>0</v>
      </c>
      <c r="CO108">
        <f>IFERROR(SMALL(CO39:CO103,ROW()-ROW($CO$106)+1),"")</f>
        <v>0</v>
      </c>
      <c r="CP108">
        <f>IFERROR(SMALL(CP39:CP103,ROW()-ROW($CP$106)+1),"")</f>
        <v>0</v>
      </c>
      <c r="CQ108">
        <f>IFERROR(SMALL(CQ39:CQ103,ROW()-ROW($CQ$106)+1),"")</f>
        <v>0</v>
      </c>
      <c r="CR108">
        <f>IFERROR(SMALL(CR39:CR103,ROW()-ROW($CR$106)+1),"")</f>
        <v>0</v>
      </c>
      <c r="CS108">
        <f>IFERROR(SMALL(CS39:CS103,ROW()-ROW($CS$106)+1),"")</f>
        <v>0</v>
      </c>
      <c r="CT108">
        <f>IFERROR(SMALL(CT39:CT103,ROW()-ROW($CT$106)+1),"")</f>
        <v>0</v>
      </c>
      <c r="CU108">
        <f>IFERROR(SMALL(CU39:CU103,ROW()-ROW($CU$106)+1),"")</f>
        <v>0</v>
      </c>
      <c r="CV108">
        <f>IFERROR(SMALL(CV39:CV103,ROW()-ROW($CV$106)+1),"")</f>
        <v>0</v>
      </c>
      <c r="CW108">
        <f>IFERROR(SMALL(CW39:CW103,ROW()-ROW($CW$106)+1),"")</f>
        <v>0</v>
      </c>
      <c r="CX108">
        <f>IFERROR(SMALL(CX39:CX103,ROW()-ROW($CX$106)+1),"")</f>
        <v>0</v>
      </c>
      <c r="CY108">
        <f>IFERROR(SMALL(CY39:CY103,ROW()-ROW($CY$106)+1),"")</f>
        <v>0</v>
      </c>
      <c r="CZ108">
        <f>IFERROR(SMALL(CZ39:CZ103,ROW()-ROW($CZ$106)+1),"")</f>
        <v>0</v>
      </c>
      <c r="DA108">
        <f>IFERROR(SMALL(DA39:DA103,ROW()-ROW($DA$106)+1),"")</f>
        <v>0</v>
      </c>
      <c r="DB108">
        <f>IFERROR(SMALL(DB39:DB103,ROW()-ROW($DB$106)+1),"")</f>
        <v>0</v>
      </c>
      <c r="DC108">
        <f>IFERROR(SMALL(DC39:DC103,ROW()-ROW($DC$106)+1),"")</f>
        <v>0</v>
      </c>
      <c r="DD108">
        <f>IFERROR(SMALL(DD39:DD103,ROW()-ROW($DD$106)+1),"")</f>
        <v>0</v>
      </c>
      <c r="DE108">
        <f>IFERROR(SMALL(DE39:DE103,ROW()-ROW($DE$106)+1),"")</f>
        <v>0</v>
      </c>
      <c r="DF108">
        <f>IFERROR(SMALL(DF39:DF103,ROW()-ROW($DF$106)+1),"")</f>
        <v>0</v>
      </c>
      <c r="DG108">
        <f>IFERROR(SMALL(DG39:DG103,ROW()-ROW($DG$106)+1),"")</f>
        <v>0</v>
      </c>
      <c r="DH108">
        <f>IFERROR(SMALL(DH39:DH103,ROW()-ROW($DH$106)+1),"")</f>
        <v>0</v>
      </c>
      <c r="DI108">
        <f>IFERROR(SMALL(DI39:DI103,ROW()-ROW($DI$106)+1),"")</f>
        <v>0</v>
      </c>
      <c r="DJ108">
        <f>IFERROR(SMALL(DJ39:DJ103,ROW()-ROW($DJ$106)+1),"")</f>
        <v>0</v>
      </c>
      <c r="DK108">
        <f>IFERROR(SMALL(DK39:DK103,ROW()-ROW($DK$106)+1),"")</f>
        <v>0</v>
      </c>
      <c r="DL108">
        <f>IFERROR(SMALL(DL39:DL103,ROW()-ROW($DL$106)+1),"")</f>
        <v>0</v>
      </c>
      <c r="DM108">
        <f>IFERROR(SMALL(DM39:DM103,ROW()-ROW($DM$106)+1),"")</f>
        <v>0</v>
      </c>
      <c r="DN108">
        <f>IFERROR(SMALL(DN39:DN103,ROW()-ROW($DN$106)+1),"")</f>
        <v>0</v>
      </c>
      <c r="DO108">
        <f>IFERROR(SMALL(DO39:DO103,ROW()-ROW($DO$106)+1),"")</f>
        <v>0</v>
      </c>
      <c r="DP108">
        <f>IFERROR(SMALL(DP39:DP103,ROW()-ROW($DP$106)+1),"")</f>
        <v>0</v>
      </c>
      <c r="DQ108">
        <f>IFERROR(SMALL(DQ39:DQ103,ROW()-ROW($DQ$106)+1),"")</f>
        <v>0</v>
      </c>
      <c r="DR108">
        <f>IFERROR(SMALL(DR39:DR103,ROW()-ROW($DR$106)+1),"")</f>
        <v>0</v>
      </c>
      <c r="DS108">
        <f>IFERROR(SMALL(DS39:DS103,ROW()-ROW($DS$106)+1),"")</f>
        <v>0</v>
      </c>
      <c r="DT108">
        <f>IFERROR(SMALL(DT39:DT103,ROW()-ROW($DT$106)+1),"")</f>
        <v>0</v>
      </c>
      <c r="DU108">
        <f>IFERROR(SMALL(DU39:DU103,ROW()-ROW($DU$106)+1),"")</f>
        <v>0</v>
      </c>
      <c r="DV108">
        <f>IFERROR(SMALL(DV39:DV103,ROW()-ROW($DV$106)+1),"")</f>
        <v>0</v>
      </c>
      <c r="DW108">
        <f>IFERROR(SMALL(DW39:DW103,ROW()-ROW($DW$106)+1),"")</f>
        <v>0</v>
      </c>
      <c r="DX108">
        <f>IFERROR(SMALL(DX39:DX103,ROW()-ROW($DX$106)+1),"")</f>
        <v>0</v>
      </c>
      <c r="DY108">
        <f>IFERROR(SMALL(DY39:DY103,ROW()-ROW($DY$106)+1),"")</f>
        <v>0</v>
      </c>
      <c r="DZ108">
        <f>IFERROR(SMALL(DZ39:DZ103,ROW()-ROW($DZ$106)+1),"")</f>
        <v>0</v>
      </c>
      <c r="EA108">
        <f>IFERROR(SMALL(EA39:EA103,ROW()-ROW($EA$106)+1),"")</f>
        <v>0</v>
      </c>
      <c r="EB108">
        <f>IFERROR(SMALL(EB39:EB103,ROW()-ROW($EB$106)+1),"")</f>
        <v>0</v>
      </c>
      <c r="EC108">
        <f>IFERROR(SMALL(EC39:EC103,ROW()-ROW($EC$106)+1),"")</f>
        <v>0</v>
      </c>
      <c r="ED108">
        <f>IFERROR(SMALL(ED39:ED103,ROW()-ROW($ED$106)+1),"")</f>
        <v>0</v>
      </c>
    </row>
    <row r="109" spans="4:134">
      <c r="E109">
        <f>IFERROR(SMALL(E39:E103,ROW()-ROW($E$106)+1),"")</f>
        <v>0</v>
      </c>
      <c r="F109">
        <f>IFERROR(SMALL(F39:F103,ROW()-ROW($F$106)+1),"")</f>
        <v>0</v>
      </c>
      <c r="G109">
        <f>IFERROR(SMALL(G39:G103,ROW()-ROW($G$106)+1),"")</f>
        <v>0</v>
      </c>
      <c r="H109">
        <f>IFERROR(SMALL(H39:H103,ROW()-ROW($H$106)+1),"")</f>
        <v>0</v>
      </c>
      <c r="I109">
        <f>IFERROR(SMALL(I39:I103,ROW()-ROW($I$106)+1),"")</f>
        <v>0</v>
      </c>
      <c r="J109">
        <f>IFERROR(SMALL(J39:J103,ROW()-ROW($J$106)+1),"")</f>
        <v>0</v>
      </c>
      <c r="K109">
        <f>IFERROR(SMALL(K39:K103,ROW()-ROW($K$106)+1),"")</f>
        <v>0</v>
      </c>
      <c r="L109">
        <f>IFERROR(SMALL(L39:L103,ROW()-ROW($L$106)+1),"")</f>
        <v>0</v>
      </c>
      <c r="M109">
        <f>IFERROR(SMALL(M39:M103,ROW()-ROW($M$106)+1),"")</f>
        <v>0</v>
      </c>
      <c r="N109">
        <f>IFERROR(SMALL(N39:N103,ROW()-ROW($N$106)+1),"")</f>
        <v>0</v>
      </c>
      <c r="O109">
        <f>IFERROR(SMALL(O39:O103,ROW()-ROW($O$106)+1),"")</f>
        <v>0</v>
      </c>
      <c r="P109">
        <f>IFERROR(SMALL(P39:P103,ROW()-ROW($P$106)+1),"")</f>
        <v>0</v>
      </c>
      <c r="Q109">
        <f>IFERROR(SMALL(Q39:Q103,ROW()-ROW($Q$106)+1),"")</f>
        <v>0</v>
      </c>
      <c r="R109">
        <f>IFERROR(SMALL(R39:R103,ROW()-ROW($R$106)+1),"")</f>
        <v>0</v>
      </c>
      <c r="S109">
        <f>IFERROR(SMALL(S39:S103,ROW()-ROW($S$106)+1),"")</f>
        <v>0</v>
      </c>
      <c r="T109">
        <f>IFERROR(SMALL(T39:T103,ROW()-ROW($T$106)+1),"")</f>
        <v>0</v>
      </c>
      <c r="U109">
        <f>IFERROR(SMALL(U39:U103,ROW()-ROW($U$106)+1),"")</f>
        <v>0</v>
      </c>
      <c r="V109">
        <f>IFERROR(SMALL(V39:V103,ROW()-ROW($V$106)+1),"")</f>
        <v>0</v>
      </c>
      <c r="W109">
        <f>IFERROR(SMALL(W39:W103,ROW()-ROW($W$106)+1),"")</f>
        <v>0</v>
      </c>
      <c r="X109">
        <f>IFERROR(SMALL(X39:X103,ROW()-ROW($X$106)+1),"")</f>
        <v>0</v>
      </c>
      <c r="Y109">
        <f>IFERROR(SMALL(Y39:Y103,ROW()-ROW($Y$106)+1),"")</f>
        <v>0</v>
      </c>
      <c r="Z109">
        <f>IFERROR(SMALL(Z39:Z103,ROW()-ROW($Z$106)+1),"")</f>
        <v>0</v>
      </c>
      <c r="AA109">
        <f>IFERROR(SMALL(AA39:AA103,ROW()-ROW($AA$106)+1),"")</f>
        <v>0</v>
      </c>
      <c r="AB109">
        <f>IFERROR(SMALL(AB39:AB103,ROW()-ROW($AB$106)+1),"")</f>
        <v>0</v>
      </c>
      <c r="AC109">
        <f>IFERROR(SMALL(AC39:AC103,ROW()-ROW($AC$106)+1),"")</f>
        <v>0</v>
      </c>
      <c r="AD109">
        <f>IFERROR(SMALL(AD39:AD103,ROW()-ROW($AD$106)+1),"")</f>
        <v>0</v>
      </c>
      <c r="AE109">
        <f>IFERROR(SMALL(AE39:AE103,ROW()-ROW($AE$106)+1),"")</f>
        <v>0</v>
      </c>
      <c r="AF109">
        <f>IFERROR(SMALL(AF39:AF103,ROW()-ROW($AF$106)+1),"")</f>
        <v>0</v>
      </c>
      <c r="AG109">
        <f>IFERROR(SMALL(AG39:AG103,ROW()-ROW($AG$106)+1),"")</f>
        <v>0</v>
      </c>
      <c r="AH109">
        <f>IFERROR(SMALL(AH39:AH103,ROW()-ROW($AH$106)+1),"")</f>
        <v>0</v>
      </c>
      <c r="AI109">
        <f>IFERROR(SMALL(AI39:AI103,ROW()-ROW($AI$106)+1),"")</f>
        <v>0</v>
      </c>
      <c r="AJ109">
        <f>IFERROR(SMALL(AJ39:AJ103,ROW()-ROW($AJ$106)+1),"")</f>
        <v>0</v>
      </c>
      <c r="AK109">
        <f>IFERROR(SMALL(AK39:AK103,ROW()-ROW($AK$106)+1),"")</f>
        <v>0</v>
      </c>
      <c r="AL109">
        <f>IFERROR(SMALL(AL39:AL103,ROW()-ROW($AL$106)+1),"")</f>
        <v>0</v>
      </c>
      <c r="AM109">
        <f>IFERROR(SMALL(AM39:AM103,ROW()-ROW($AM$106)+1),"")</f>
        <v>0</v>
      </c>
      <c r="AN109">
        <f>IFERROR(SMALL(AN39:AN103,ROW()-ROW($AN$106)+1),"")</f>
        <v>0</v>
      </c>
      <c r="AO109">
        <f>IFERROR(SMALL(AO39:AO103,ROW()-ROW($AO$106)+1),"")</f>
        <v>0</v>
      </c>
      <c r="AP109">
        <f>IFERROR(SMALL(AP39:AP103,ROW()-ROW($AP$106)+1),"")</f>
        <v>0</v>
      </c>
      <c r="AQ109">
        <f>IFERROR(SMALL(AQ39:AQ103,ROW()-ROW($AQ$106)+1),"")</f>
        <v>0</v>
      </c>
      <c r="AR109">
        <f>IFERROR(SMALL(AR39:AR103,ROW()-ROW($AR$106)+1),"")</f>
        <v>0</v>
      </c>
      <c r="AS109">
        <f>IFERROR(SMALL(AS39:AS103,ROW()-ROW($AS$106)+1),"")</f>
        <v>0</v>
      </c>
      <c r="AT109">
        <f>IFERROR(SMALL(AT39:AT103,ROW()-ROW($AT$106)+1),"")</f>
        <v>0</v>
      </c>
      <c r="AU109">
        <f>IFERROR(SMALL(AU39:AU103,ROW()-ROW($AU$106)+1),"")</f>
        <v>0</v>
      </c>
      <c r="AV109">
        <f>IFERROR(SMALL(AV39:AV103,ROW()-ROW($AV$106)+1),"")</f>
        <v>0</v>
      </c>
      <c r="AW109">
        <f>IFERROR(SMALL(AW39:AW103,ROW()-ROW($AW$106)+1),"")</f>
        <v>0</v>
      </c>
      <c r="AX109">
        <f>IFERROR(SMALL(AX39:AX103,ROW()-ROW($AX$106)+1),"")</f>
        <v>0</v>
      </c>
      <c r="AY109">
        <f>IFERROR(SMALL(AY39:AY103,ROW()-ROW($AY$106)+1),"")</f>
        <v>0</v>
      </c>
      <c r="AZ109">
        <f>IFERROR(SMALL(AZ39:AZ103,ROW()-ROW($AZ$106)+1),"")</f>
        <v>0</v>
      </c>
      <c r="BA109">
        <f>IFERROR(SMALL(BA39:BA103,ROW()-ROW($BA$106)+1),"")</f>
        <v>0</v>
      </c>
      <c r="BB109">
        <f>IFERROR(SMALL(BB39:BB103,ROW()-ROW($BB$106)+1),"")</f>
        <v>0</v>
      </c>
      <c r="BC109">
        <f>IFERROR(SMALL(BC39:BC103,ROW()-ROW($BC$106)+1),"")</f>
        <v>0</v>
      </c>
      <c r="BD109">
        <f>IFERROR(SMALL(BD39:BD103,ROW()-ROW($BD$106)+1),"")</f>
        <v>0</v>
      </c>
      <c r="BE109">
        <f>IFERROR(SMALL(BE39:BE103,ROW()-ROW($BE$106)+1),"")</f>
        <v>0</v>
      </c>
      <c r="BF109">
        <f>IFERROR(SMALL(BF39:BF103,ROW()-ROW($BF$106)+1),"")</f>
        <v>0</v>
      </c>
      <c r="BG109">
        <f>IFERROR(SMALL(BG39:BG103,ROW()-ROW($BG$106)+1),"")</f>
        <v>0</v>
      </c>
      <c r="BH109">
        <f>IFERROR(SMALL(BH39:BH103,ROW()-ROW($BH$106)+1),"")</f>
        <v>0</v>
      </c>
      <c r="BI109">
        <f>IFERROR(SMALL(BI39:BI103,ROW()-ROW($BI$106)+1),"")</f>
        <v>0</v>
      </c>
      <c r="BJ109">
        <f>IFERROR(SMALL(BJ39:BJ103,ROW()-ROW($BJ$106)+1),"")</f>
        <v>0</v>
      </c>
      <c r="BK109">
        <f>IFERROR(SMALL(BK39:BK103,ROW()-ROW($BK$106)+1),"")</f>
        <v>0</v>
      </c>
      <c r="BL109">
        <f>IFERROR(SMALL(BL39:BL103,ROW()-ROW($BL$106)+1),"")</f>
        <v>0</v>
      </c>
      <c r="BM109">
        <f>IFERROR(SMALL(BM39:BM103,ROW()-ROW($BM$106)+1),"")</f>
        <v>0</v>
      </c>
      <c r="BN109">
        <f>IFERROR(SMALL(BN39:BN103,ROW()-ROW($BN$106)+1),"")</f>
        <v>0</v>
      </c>
      <c r="BO109">
        <f>IFERROR(SMALL(BO39:BO103,ROW()-ROW($BO$106)+1),"")</f>
        <v>0</v>
      </c>
      <c r="BP109">
        <f>IFERROR(SMALL(BP39:BP103,ROW()-ROW($BP$106)+1),"")</f>
        <v>0</v>
      </c>
      <c r="BS109">
        <f>IFERROR(SMALL(BS39:BS103,ROW()-ROW($BS$106)+1),"")</f>
        <v>0</v>
      </c>
      <c r="BT109">
        <f>IFERROR(SMALL(BT39:BT103,ROW()-ROW($BT$106)+1),"")</f>
        <v>0</v>
      </c>
      <c r="BU109">
        <f>IFERROR(SMALL(BU39:BU103,ROW()-ROW($BU$106)+1),"")</f>
        <v>0</v>
      </c>
      <c r="BV109">
        <f>IFERROR(SMALL(BV39:BV103,ROW()-ROW($BV$106)+1),"")</f>
        <v>0</v>
      </c>
      <c r="BW109">
        <f>IFERROR(SMALL(BW39:BW103,ROW()-ROW($BW$106)+1),"")</f>
        <v>0</v>
      </c>
      <c r="BX109">
        <f>IFERROR(SMALL(BX39:BX103,ROW()-ROW($BX$106)+1),"")</f>
        <v>0</v>
      </c>
      <c r="BY109">
        <f>IFERROR(SMALL(BY39:BY103,ROW()-ROW($BY$106)+1),"")</f>
        <v>0</v>
      </c>
      <c r="BZ109">
        <f>IFERROR(SMALL(BZ39:BZ103,ROW()-ROW($BZ$106)+1),"")</f>
        <v>0</v>
      </c>
      <c r="CA109">
        <f>IFERROR(SMALL(CA39:CA103,ROW()-ROW($CA$106)+1),"")</f>
        <v>0</v>
      </c>
      <c r="CB109">
        <f>IFERROR(SMALL(CB39:CB103,ROW()-ROW($CB$106)+1),"")</f>
        <v>0</v>
      </c>
      <c r="CC109">
        <f>IFERROR(SMALL(CC39:CC103,ROW()-ROW($CC$106)+1),"")</f>
        <v>0</v>
      </c>
      <c r="CD109">
        <f>IFERROR(SMALL(CD39:CD103,ROW()-ROW($CD$106)+1),"")</f>
        <v>0</v>
      </c>
      <c r="CE109">
        <f>IFERROR(SMALL(CE39:CE103,ROW()-ROW($CE$106)+1),"")</f>
        <v>0</v>
      </c>
      <c r="CF109">
        <f>IFERROR(SMALL(CF39:CF103,ROW()-ROW($CF$106)+1),"")</f>
        <v>0</v>
      </c>
      <c r="CG109">
        <f>IFERROR(SMALL(CG39:CG103,ROW()-ROW($CG$106)+1),"")</f>
        <v>0</v>
      </c>
      <c r="CH109">
        <f>IFERROR(SMALL(CH39:CH103,ROW()-ROW($CH$106)+1),"")</f>
        <v>0</v>
      </c>
      <c r="CI109">
        <f>IFERROR(SMALL(CI39:CI103,ROW()-ROW($CI$106)+1),"")</f>
        <v>0</v>
      </c>
      <c r="CJ109">
        <f>IFERROR(SMALL(CJ39:CJ103,ROW()-ROW($CJ$106)+1),"")</f>
        <v>0</v>
      </c>
      <c r="CK109">
        <f>IFERROR(SMALL(CK39:CK103,ROW()-ROW($CK$106)+1),"")</f>
        <v>0</v>
      </c>
      <c r="CL109">
        <f>IFERROR(SMALL(CL39:CL103,ROW()-ROW($CL$106)+1),"")</f>
        <v>0</v>
      </c>
      <c r="CM109">
        <f>IFERROR(SMALL(CM39:CM103,ROW()-ROW($CM$106)+1),"")</f>
        <v>0</v>
      </c>
      <c r="CN109">
        <f>IFERROR(SMALL(CN39:CN103,ROW()-ROW($CN$106)+1),"")</f>
        <v>0</v>
      </c>
      <c r="CO109">
        <f>IFERROR(SMALL(CO39:CO103,ROW()-ROW($CO$106)+1),"")</f>
        <v>0</v>
      </c>
      <c r="CP109">
        <f>IFERROR(SMALL(CP39:CP103,ROW()-ROW($CP$106)+1),"")</f>
        <v>0</v>
      </c>
      <c r="CQ109">
        <f>IFERROR(SMALL(CQ39:CQ103,ROW()-ROW($CQ$106)+1),"")</f>
        <v>0</v>
      </c>
      <c r="CR109">
        <f>IFERROR(SMALL(CR39:CR103,ROW()-ROW($CR$106)+1),"")</f>
        <v>0</v>
      </c>
      <c r="CS109">
        <f>IFERROR(SMALL(CS39:CS103,ROW()-ROW($CS$106)+1),"")</f>
        <v>0</v>
      </c>
      <c r="CT109">
        <f>IFERROR(SMALL(CT39:CT103,ROW()-ROW($CT$106)+1),"")</f>
        <v>0</v>
      </c>
      <c r="CU109">
        <f>IFERROR(SMALL(CU39:CU103,ROW()-ROW($CU$106)+1),"")</f>
        <v>0</v>
      </c>
      <c r="CV109">
        <f>IFERROR(SMALL(CV39:CV103,ROW()-ROW($CV$106)+1),"")</f>
        <v>0</v>
      </c>
      <c r="CW109">
        <f>IFERROR(SMALL(CW39:CW103,ROW()-ROW($CW$106)+1),"")</f>
        <v>0</v>
      </c>
      <c r="CX109">
        <f>IFERROR(SMALL(CX39:CX103,ROW()-ROW($CX$106)+1),"")</f>
        <v>0</v>
      </c>
      <c r="CY109">
        <f>IFERROR(SMALL(CY39:CY103,ROW()-ROW($CY$106)+1),"")</f>
        <v>0</v>
      </c>
      <c r="CZ109">
        <f>IFERROR(SMALL(CZ39:CZ103,ROW()-ROW($CZ$106)+1),"")</f>
        <v>0</v>
      </c>
      <c r="DA109">
        <f>IFERROR(SMALL(DA39:DA103,ROW()-ROW($DA$106)+1),"")</f>
        <v>0</v>
      </c>
      <c r="DB109">
        <f>IFERROR(SMALL(DB39:DB103,ROW()-ROW($DB$106)+1),"")</f>
        <v>0</v>
      </c>
      <c r="DC109">
        <f>IFERROR(SMALL(DC39:DC103,ROW()-ROW($DC$106)+1),"")</f>
        <v>0</v>
      </c>
      <c r="DD109">
        <f>IFERROR(SMALL(DD39:DD103,ROW()-ROW($DD$106)+1),"")</f>
        <v>0</v>
      </c>
      <c r="DE109">
        <f>IFERROR(SMALL(DE39:DE103,ROW()-ROW($DE$106)+1),"")</f>
        <v>0</v>
      </c>
      <c r="DF109">
        <f>IFERROR(SMALL(DF39:DF103,ROW()-ROW($DF$106)+1),"")</f>
        <v>0</v>
      </c>
      <c r="DG109">
        <f>IFERROR(SMALL(DG39:DG103,ROW()-ROW($DG$106)+1),"")</f>
        <v>0</v>
      </c>
      <c r="DH109">
        <f>IFERROR(SMALL(DH39:DH103,ROW()-ROW($DH$106)+1),"")</f>
        <v>0</v>
      </c>
      <c r="DI109">
        <f>IFERROR(SMALL(DI39:DI103,ROW()-ROW($DI$106)+1),"")</f>
        <v>0</v>
      </c>
      <c r="DJ109">
        <f>IFERROR(SMALL(DJ39:DJ103,ROW()-ROW($DJ$106)+1),"")</f>
        <v>0</v>
      </c>
      <c r="DK109">
        <f>IFERROR(SMALL(DK39:DK103,ROW()-ROW($DK$106)+1),"")</f>
        <v>0</v>
      </c>
      <c r="DL109">
        <f>IFERROR(SMALL(DL39:DL103,ROW()-ROW($DL$106)+1),"")</f>
        <v>0</v>
      </c>
      <c r="DM109">
        <f>IFERROR(SMALL(DM39:DM103,ROW()-ROW($DM$106)+1),"")</f>
        <v>0</v>
      </c>
      <c r="DN109">
        <f>IFERROR(SMALL(DN39:DN103,ROW()-ROW($DN$106)+1),"")</f>
        <v>0</v>
      </c>
      <c r="DO109">
        <f>IFERROR(SMALL(DO39:DO103,ROW()-ROW($DO$106)+1),"")</f>
        <v>0</v>
      </c>
      <c r="DP109">
        <f>IFERROR(SMALL(DP39:DP103,ROW()-ROW($DP$106)+1),"")</f>
        <v>0</v>
      </c>
      <c r="DQ109">
        <f>IFERROR(SMALL(DQ39:DQ103,ROW()-ROW($DQ$106)+1),"")</f>
        <v>0</v>
      </c>
      <c r="DR109">
        <f>IFERROR(SMALL(DR39:DR103,ROW()-ROW($DR$106)+1),"")</f>
        <v>0</v>
      </c>
      <c r="DS109">
        <f>IFERROR(SMALL(DS39:DS103,ROW()-ROW($DS$106)+1),"")</f>
        <v>0</v>
      </c>
      <c r="DT109">
        <f>IFERROR(SMALL(DT39:DT103,ROW()-ROW($DT$106)+1),"")</f>
        <v>0</v>
      </c>
      <c r="DU109">
        <f>IFERROR(SMALL(DU39:DU103,ROW()-ROW($DU$106)+1),"")</f>
        <v>0</v>
      </c>
      <c r="DV109">
        <f>IFERROR(SMALL(DV39:DV103,ROW()-ROW($DV$106)+1),"")</f>
        <v>0</v>
      </c>
      <c r="DW109">
        <f>IFERROR(SMALL(DW39:DW103,ROW()-ROW($DW$106)+1),"")</f>
        <v>0</v>
      </c>
      <c r="DX109">
        <f>IFERROR(SMALL(DX39:DX103,ROW()-ROW($DX$106)+1),"")</f>
        <v>0</v>
      </c>
      <c r="DY109">
        <f>IFERROR(SMALL(DY39:DY103,ROW()-ROW($DY$106)+1),"")</f>
        <v>0</v>
      </c>
      <c r="DZ109">
        <f>IFERROR(SMALL(DZ39:DZ103,ROW()-ROW($DZ$106)+1),"")</f>
        <v>0</v>
      </c>
      <c r="EA109">
        <f>IFERROR(SMALL(EA39:EA103,ROW()-ROW($EA$106)+1),"")</f>
        <v>0</v>
      </c>
      <c r="EB109">
        <f>IFERROR(SMALL(EB39:EB103,ROW()-ROW($EB$106)+1),"")</f>
        <v>0</v>
      </c>
      <c r="EC109">
        <f>IFERROR(SMALL(EC39:EC103,ROW()-ROW($EC$106)+1),"")</f>
        <v>0</v>
      </c>
      <c r="ED109">
        <f>IFERROR(SMALL(ED39:ED103,ROW()-ROW($ED$106)+1),"")</f>
        <v>0</v>
      </c>
    </row>
    <row r="110" spans="4:134">
      <c r="E110">
        <f>IFERROR(SMALL(E39:E103,ROW()-ROW($E$106)+1),"")</f>
        <v>0</v>
      </c>
      <c r="F110">
        <f>IFERROR(SMALL(F39:F103,ROW()-ROW($F$106)+1),"")</f>
        <v>0</v>
      </c>
      <c r="G110">
        <f>IFERROR(SMALL(G39:G103,ROW()-ROW($G$106)+1),"")</f>
        <v>0</v>
      </c>
      <c r="H110">
        <f>IFERROR(SMALL(H39:H103,ROW()-ROW($H$106)+1),"")</f>
        <v>0</v>
      </c>
      <c r="I110">
        <f>IFERROR(SMALL(I39:I103,ROW()-ROW($I$106)+1),"")</f>
        <v>0</v>
      </c>
      <c r="J110">
        <f>IFERROR(SMALL(J39:J103,ROW()-ROW($J$106)+1),"")</f>
        <v>0</v>
      </c>
      <c r="K110">
        <f>IFERROR(SMALL(K39:K103,ROW()-ROW($K$106)+1),"")</f>
        <v>0</v>
      </c>
      <c r="L110">
        <f>IFERROR(SMALL(L39:L103,ROW()-ROW($L$106)+1),"")</f>
        <v>0</v>
      </c>
      <c r="M110">
        <f>IFERROR(SMALL(M39:M103,ROW()-ROW($M$106)+1),"")</f>
        <v>0</v>
      </c>
      <c r="N110">
        <f>IFERROR(SMALL(N39:N103,ROW()-ROW($N$106)+1),"")</f>
        <v>0</v>
      </c>
      <c r="O110">
        <f>IFERROR(SMALL(O39:O103,ROW()-ROW($O$106)+1),"")</f>
        <v>0</v>
      </c>
      <c r="P110">
        <f>IFERROR(SMALL(P39:P103,ROW()-ROW($P$106)+1),"")</f>
        <v>0</v>
      </c>
      <c r="Q110">
        <f>IFERROR(SMALL(Q39:Q103,ROW()-ROW($Q$106)+1),"")</f>
        <v>0</v>
      </c>
      <c r="R110">
        <f>IFERROR(SMALL(R39:R103,ROW()-ROW($R$106)+1),"")</f>
        <v>0</v>
      </c>
      <c r="S110">
        <f>IFERROR(SMALL(S39:S103,ROW()-ROW($S$106)+1),"")</f>
        <v>0</v>
      </c>
      <c r="T110">
        <f>IFERROR(SMALL(T39:T103,ROW()-ROW($T$106)+1),"")</f>
        <v>0</v>
      </c>
      <c r="U110">
        <f>IFERROR(SMALL(U39:U103,ROW()-ROW($U$106)+1),"")</f>
        <v>0</v>
      </c>
      <c r="V110">
        <f>IFERROR(SMALL(V39:V103,ROW()-ROW($V$106)+1),"")</f>
        <v>0</v>
      </c>
      <c r="W110">
        <f>IFERROR(SMALL(W39:W103,ROW()-ROW($W$106)+1),"")</f>
        <v>0</v>
      </c>
      <c r="X110">
        <f>IFERROR(SMALL(X39:X103,ROW()-ROW($X$106)+1),"")</f>
        <v>0</v>
      </c>
      <c r="Y110">
        <f>IFERROR(SMALL(Y39:Y103,ROW()-ROW($Y$106)+1),"")</f>
        <v>0</v>
      </c>
      <c r="Z110">
        <f>IFERROR(SMALL(Z39:Z103,ROW()-ROW($Z$106)+1),"")</f>
        <v>0</v>
      </c>
      <c r="AA110">
        <f>IFERROR(SMALL(AA39:AA103,ROW()-ROW($AA$106)+1),"")</f>
        <v>0</v>
      </c>
      <c r="AB110">
        <f>IFERROR(SMALL(AB39:AB103,ROW()-ROW($AB$106)+1),"")</f>
        <v>0</v>
      </c>
      <c r="AC110">
        <f>IFERROR(SMALL(AC39:AC103,ROW()-ROW($AC$106)+1),"")</f>
        <v>0</v>
      </c>
      <c r="AD110">
        <f>IFERROR(SMALL(AD39:AD103,ROW()-ROW($AD$106)+1),"")</f>
        <v>0</v>
      </c>
      <c r="AE110">
        <f>IFERROR(SMALL(AE39:AE103,ROW()-ROW($AE$106)+1),"")</f>
        <v>0</v>
      </c>
      <c r="AF110">
        <f>IFERROR(SMALL(AF39:AF103,ROW()-ROW($AF$106)+1),"")</f>
        <v>0</v>
      </c>
      <c r="AG110">
        <f>IFERROR(SMALL(AG39:AG103,ROW()-ROW($AG$106)+1),"")</f>
        <v>0</v>
      </c>
      <c r="AH110">
        <f>IFERROR(SMALL(AH39:AH103,ROW()-ROW($AH$106)+1),"")</f>
        <v>0</v>
      </c>
      <c r="AI110">
        <f>IFERROR(SMALL(AI39:AI103,ROW()-ROW($AI$106)+1),"")</f>
        <v>0</v>
      </c>
      <c r="AJ110">
        <f>IFERROR(SMALL(AJ39:AJ103,ROW()-ROW($AJ$106)+1),"")</f>
        <v>0</v>
      </c>
      <c r="AK110">
        <f>IFERROR(SMALL(AK39:AK103,ROW()-ROW($AK$106)+1),"")</f>
        <v>0</v>
      </c>
      <c r="AL110">
        <f>IFERROR(SMALL(AL39:AL103,ROW()-ROW($AL$106)+1),"")</f>
        <v>0</v>
      </c>
      <c r="AM110">
        <f>IFERROR(SMALL(AM39:AM103,ROW()-ROW($AM$106)+1),"")</f>
        <v>0</v>
      </c>
      <c r="AN110">
        <f>IFERROR(SMALL(AN39:AN103,ROW()-ROW($AN$106)+1),"")</f>
        <v>0</v>
      </c>
      <c r="AO110">
        <f>IFERROR(SMALL(AO39:AO103,ROW()-ROW($AO$106)+1),"")</f>
        <v>0</v>
      </c>
      <c r="AP110">
        <f>IFERROR(SMALL(AP39:AP103,ROW()-ROW($AP$106)+1),"")</f>
        <v>0</v>
      </c>
      <c r="AQ110">
        <f>IFERROR(SMALL(AQ39:AQ103,ROW()-ROW($AQ$106)+1),"")</f>
        <v>0</v>
      </c>
      <c r="AR110">
        <f>IFERROR(SMALL(AR39:AR103,ROW()-ROW($AR$106)+1),"")</f>
        <v>0</v>
      </c>
      <c r="AS110">
        <f>IFERROR(SMALL(AS39:AS103,ROW()-ROW($AS$106)+1),"")</f>
        <v>0</v>
      </c>
      <c r="AT110">
        <f>IFERROR(SMALL(AT39:AT103,ROW()-ROW($AT$106)+1),"")</f>
        <v>0</v>
      </c>
      <c r="AU110">
        <f>IFERROR(SMALL(AU39:AU103,ROW()-ROW($AU$106)+1),"")</f>
        <v>0</v>
      </c>
      <c r="AV110">
        <f>IFERROR(SMALL(AV39:AV103,ROW()-ROW($AV$106)+1),"")</f>
        <v>0</v>
      </c>
      <c r="AW110">
        <f>IFERROR(SMALL(AW39:AW103,ROW()-ROW($AW$106)+1),"")</f>
        <v>0</v>
      </c>
      <c r="AX110">
        <f>IFERROR(SMALL(AX39:AX103,ROW()-ROW($AX$106)+1),"")</f>
        <v>0</v>
      </c>
      <c r="AY110">
        <f>IFERROR(SMALL(AY39:AY103,ROW()-ROW($AY$106)+1),"")</f>
        <v>0</v>
      </c>
      <c r="AZ110">
        <f>IFERROR(SMALL(AZ39:AZ103,ROW()-ROW($AZ$106)+1),"")</f>
        <v>0</v>
      </c>
      <c r="BA110">
        <f>IFERROR(SMALL(BA39:BA103,ROW()-ROW($BA$106)+1),"")</f>
        <v>0</v>
      </c>
      <c r="BB110">
        <f>IFERROR(SMALL(BB39:BB103,ROW()-ROW($BB$106)+1),"")</f>
        <v>0</v>
      </c>
      <c r="BC110">
        <f>IFERROR(SMALL(BC39:BC103,ROW()-ROW($BC$106)+1),"")</f>
        <v>0</v>
      </c>
      <c r="BD110">
        <f>IFERROR(SMALL(BD39:BD103,ROW()-ROW($BD$106)+1),"")</f>
        <v>0</v>
      </c>
      <c r="BE110">
        <f>IFERROR(SMALL(BE39:BE103,ROW()-ROW($BE$106)+1),"")</f>
        <v>0</v>
      </c>
      <c r="BF110">
        <f>IFERROR(SMALL(BF39:BF103,ROW()-ROW($BF$106)+1),"")</f>
        <v>0</v>
      </c>
      <c r="BG110">
        <f>IFERROR(SMALL(BG39:BG103,ROW()-ROW($BG$106)+1),"")</f>
        <v>0</v>
      </c>
      <c r="BH110">
        <f>IFERROR(SMALL(BH39:BH103,ROW()-ROW($BH$106)+1),"")</f>
        <v>0</v>
      </c>
      <c r="BI110">
        <f>IFERROR(SMALL(BI39:BI103,ROW()-ROW($BI$106)+1),"")</f>
        <v>0</v>
      </c>
      <c r="BJ110">
        <f>IFERROR(SMALL(BJ39:BJ103,ROW()-ROW($BJ$106)+1),"")</f>
        <v>0</v>
      </c>
      <c r="BK110">
        <f>IFERROR(SMALL(BK39:BK103,ROW()-ROW($BK$106)+1),"")</f>
        <v>0</v>
      </c>
      <c r="BL110">
        <f>IFERROR(SMALL(BL39:BL103,ROW()-ROW($BL$106)+1),"")</f>
        <v>0</v>
      </c>
      <c r="BM110">
        <f>IFERROR(SMALL(BM39:BM103,ROW()-ROW($BM$106)+1),"")</f>
        <v>0</v>
      </c>
      <c r="BN110">
        <f>IFERROR(SMALL(BN39:BN103,ROW()-ROW($BN$106)+1),"")</f>
        <v>0</v>
      </c>
      <c r="BO110">
        <f>IFERROR(SMALL(BO39:BO103,ROW()-ROW($BO$106)+1),"")</f>
        <v>0</v>
      </c>
      <c r="BP110">
        <f>IFERROR(SMALL(BP39:BP103,ROW()-ROW($BP$106)+1),"")</f>
        <v>0</v>
      </c>
      <c r="BS110">
        <f>IFERROR(SMALL(BS39:BS103,ROW()-ROW($BS$106)+1),"")</f>
        <v>0</v>
      </c>
      <c r="BT110">
        <f>IFERROR(SMALL(BT39:BT103,ROW()-ROW($BT$106)+1),"")</f>
        <v>0</v>
      </c>
      <c r="BU110">
        <f>IFERROR(SMALL(BU39:BU103,ROW()-ROW($BU$106)+1),"")</f>
        <v>0</v>
      </c>
      <c r="BV110">
        <f>IFERROR(SMALL(BV39:BV103,ROW()-ROW($BV$106)+1),"")</f>
        <v>0</v>
      </c>
      <c r="BW110">
        <f>IFERROR(SMALL(BW39:BW103,ROW()-ROW($BW$106)+1),"")</f>
        <v>0</v>
      </c>
      <c r="BX110">
        <f>IFERROR(SMALL(BX39:BX103,ROW()-ROW($BX$106)+1),"")</f>
        <v>0</v>
      </c>
      <c r="BY110">
        <f>IFERROR(SMALL(BY39:BY103,ROW()-ROW($BY$106)+1),"")</f>
        <v>0</v>
      </c>
      <c r="BZ110">
        <f>IFERROR(SMALL(BZ39:BZ103,ROW()-ROW($BZ$106)+1),"")</f>
        <v>0</v>
      </c>
      <c r="CA110">
        <f>IFERROR(SMALL(CA39:CA103,ROW()-ROW($CA$106)+1),"")</f>
        <v>0</v>
      </c>
      <c r="CB110">
        <f>IFERROR(SMALL(CB39:CB103,ROW()-ROW($CB$106)+1),"")</f>
        <v>0</v>
      </c>
      <c r="CC110">
        <f>IFERROR(SMALL(CC39:CC103,ROW()-ROW($CC$106)+1),"")</f>
        <v>0</v>
      </c>
      <c r="CD110">
        <f>IFERROR(SMALL(CD39:CD103,ROW()-ROW($CD$106)+1),"")</f>
        <v>0</v>
      </c>
      <c r="CE110">
        <f>IFERROR(SMALL(CE39:CE103,ROW()-ROW($CE$106)+1),"")</f>
        <v>0</v>
      </c>
      <c r="CF110">
        <f>IFERROR(SMALL(CF39:CF103,ROW()-ROW($CF$106)+1),"")</f>
        <v>0</v>
      </c>
      <c r="CG110">
        <f>IFERROR(SMALL(CG39:CG103,ROW()-ROW($CG$106)+1),"")</f>
        <v>0</v>
      </c>
      <c r="CH110">
        <f>IFERROR(SMALL(CH39:CH103,ROW()-ROW($CH$106)+1),"")</f>
        <v>0</v>
      </c>
      <c r="CI110">
        <f>IFERROR(SMALL(CI39:CI103,ROW()-ROW($CI$106)+1),"")</f>
        <v>0</v>
      </c>
      <c r="CJ110">
        <f>IFERROR(SMALL(CJ39:CJ103,ROW()-ROW($CJ$106)+1),"")</f>
        <v>0</v>
      </c>
      <c r="CK110">
        <f>IFERROR(SMALL(CK39:CK103,ROW()-ROW($CK$106)+1),"")</f>
        <v>0</v>
      </c>
      <c r="CL110">
        <f>IFERROR(SMALL(CL39:CL103,ROW()-ROW($CL$106)+1),"")</f>
        <v>0</v>
      </c>
      <c r="CM110">
        <f>IFERROR(SMALL(CM39:CM103,ROW()-ROW($CM$106)+1),"")</f>
        <v>0</v>
      </c>
      <c r="CN110">
        <f>IFERROR(SMALL(CN39:CN103,ROW()-ROW($CN$106)+1),"")</f>
        <v>0</v>
      </c>
      <c r="CO110">
        <f>IFERROR(SMALL(CO39:CO103,ROW()-ROW($CO$106)+1),"")</f>
        <v>0</v>
      </c>
      <c r="CP110">
        <f>IFERROR(SMALL(CP39:CP103,ROW()-ROW($CP$106)+1),"")</f>
        <v>0</v>
      </c>
      <c r="CQ110">
        <f>IFERROR(SMALL(CQ39:CQ103,ROW()-ROW($CQ$106)+1),"")</f>
        <v>0</v>
      </c>
      <c r="CR110">
        <f>IFERROR(SMALL(CR39:CR103,ROW()-ROW($CR$106)+1),"")</f>
        <v>0</v>
      </c>
      <c r="CS110">
        <f>IFERROR(SMALL(CS39:CS103,ROW()-ROW($CS$106)+1),"")</f>
        <v>0</v>
      </c>
      <c r="CT110">
        <f>IFERROR(SMALL(CT39:CT103,ROW()-ROW($CT$106)+1),"")</f>
        <v>0</v>
      </c>
      <c r="CU110">
        <f>IFERROR(SMALL(CU39:CU103,ROW()-ROW($CU$106)+1),"")</f>
        <v>0</v>
      </c>
      <c r="CV110">
        <f>IFERROR(SMALL(CV39:CV103,ROW()-ROW($CV$106)+1),"")</f>
        <v>0</v>
      </c>
      <c r="CW110">
        <f>IFERROR(SMALL(CW39:CW103,ROW()-ROW($CW$106)+1),"")</f>
        <v>0</v>
      </c>
      <c r="CX110">
        <f>IFERROR(SMALL(CX39:CX103,ROW()-ROW($CX$106)+1),"")</f>
        <v>0</v>
      </c>
      <c r="CY110">
        <f>IFERROR(SMALL(CY39:CY103,ROW()-ROW($CY$106)+1),"")</f>
        <v>0</v>
      </c>
      <c r="CZ110">
        <f>IFERROR(SMALL(CZ39:CZ103,ROW()-ROW($CZ$106)+1),"")</f>
        <v>0</v>
      </c>
      <c r="DA110">
        <f>IFERROR(SMALL(DA39:DA103,ROW()-ROW($DA$106)+1),"")</f>
        <v>0</v>
      </c>
      <c r="DB110">
        <f>IFERROR(SMALL(DB39:DB103,ROW()-ROW($DB$106)+1),"")</f>
        <v>0</v>
      </c>
      <c r="DC110">
        <f>IFERROR(SMALL(DC39:DC103,ROW()-ROW($DC$106)+1),"")</f>
        <v>0</v>
      </c>
      <c r="DD110">
        <f>IFERROR(SMALL(DD39:DD103,ROW()-ROW($DD$106)+1),"")</f>
        <v>0</v>
      </c>
      <c r="DE110">
        <f>IFERROR(SMALL(DE39:DE103,ROW()-ROW($DE$106)+1),"")</f>
        <v>0</v>
      </c>
      <c r="DF110">
        <f>IFERROR(SMALL(DF39:DF103,ROW()-ROW($DF$106)+1),"")</f>
        <v>0</v>
      </c>
      <c r="DG110">
        <f>IFERROR(SMALL(DG39:DG103,ROW()-ROW($DG$106)+1),"")</f>
        <v>0</v>
      </c>
      <c r="DH110">
        <f>IFERROR(SMALL(DH39:DH103,ROW()-ROW($DH$106)+1),"")</f>
        <v>0</v>
      </c>
      <c r="DI110">
        <f>IFERROR(SMALL(DI39:DI103,ROW()-ROW($DI$106)+1),"")</f>
        <v>0</v>
      </c>
      <c r="DJ110">
        <f>IFERROR(SMALL(DJ39:DJ103,ROW()-ROW($DJ$106)+1),"")</f>
        <v>0</v>
      </c>
      <c r="DK110">
        <f>IFERROR(SMALL(DK39:DK103,ROW()-ROW($DK$106)+1),"")</f>
        <v>0</v>
      </c>
      <c r="DL110">
        <f>IFERROR(SMALL(DL39:DL103,ROW()-ROW($DL$106)+1),"")</f>
        <v>0</v>
      </c>
      <c r="DM110">
        <f>IFERROR(SMALL(DM39:DM103,ROW()-ROW($DM$106)+1),"")</f>
        <v>0</v>
      </c>
      <c r="DN110">
        <f>IFERROR(SMALL(DN39:DN103,ROW()-ROW($DN$106)+1),"")</f>
        <v>0</v>
      </c>
      <c r="DO110">
        <f>IFERROR(SMALL(DO39:DO103,ROW()-ROW($DO$106)+1),"")</f>
        <v>0</v>
      </c>
      <c r="DP110">
        <f>IFERROR(SMALL(DP39:DP103,ROW()-ROW($DP$106)+1),"")</f>
        <v>0</v>
      </c>
      <c r="DQ110">
        <f>IFERROR(SMALL(DQ39:DQ103,ROW()-ROW($DQ$106)+1),"")</f>
        <v>0</v>
      </c>
      <c r="DR110">
        <f>IFERROR(SMALL(DR39:DR103,ROW()-ROW($DR$106)+1),"")</f>
        <v>0</v>
      </c>
      <c r="DS110">
        <f>IFERROR(SMALL(DS39:DS103,ROW()-ROW($DS$106)+1),"")</f>
        <v>0</v>
      </c>
      <c r="DT110">
        <f>IFERROR(SMALL(DT39:DT103,ROW()-ROW($DT$106)+1),"")</f>
        <v>0</v>
      </c>
      <c r="DU110">
        <f>IFERROR(SMALL(DU39:DU103,ROW()-ROW($DU$106)+1),"")</f>
        <v>0</v>
      </c>
      <c r="DV110">
        <f>IFERROR(SMALL(DV39:DV103,ROW()-ROW($DV$106)+1),"")</f>
        <v>0</v>
      </c>
      <c r="DW110">
        <f>IFERROR(SMALL(DW39:DW103,ROW()-ROW($DW$106)+1),"")</f>
        <v>0</v>
      </c>
      <c r="DX110">
        <f>IFERROR(SMALL(DX39:DX103,ROW()-ROW($DX$106)+1),"")</f>
        <v>0</v>
      </c>
      <c r="DY110">
        <f>IFERROR(SMALL(DY39:DY103,ROW()-ROW($DY$106)+1),"")</f>
        <v>0</v>
      </c>
      <c r="DZ110">
        <f>IFERROR(SMALL(DZ39:DZ103,ROW()-ROW($DZ$106)+1),"")</f>
        <v>0</v>
      </c>
      <c r="EA110">
        <f>IFERROR(SMALL(EA39:EA103,ROW()-ROW($EA$106)+1),"")</f>
        <v>0</v>
      </c>
      <c r="EB110">
        <f>IFERROR(SMALL(EB39:EB103,ROW()-ROW($EB$106)+1),"")</f>
        <v>0</v>
      </c>
      <c r="EC110">
        <f>IFERROR(SMALL(EC39:EC103,ROW()-ROW($EC$106)+1),"")</f>
        <v>0</v>
      </c>
      <c r="ED110">
        <f>IFERROR(SMALL(ED39:ED103,ROW()-ROW($ED$106)+1),"")</f>
        <v>0</v>
      </c>
    </row>
    <row r="111" spans="4:134">
      <c r="E111">
        <f>IFERROR(SMALL(E39:E103,ROW()-ROW($E$106)+1),"")</f>
        <v>0</v>
      </c>
      <c r="F111">
        <f>IFERROR(SMALL(F39:F103,ROW()-ROW($F$106)+1),"")</f>
        <v>0</v>
      </c>
      <c r="G111">
        <f>IFERROR(SMALL(G39:G103,ROW()-ROW($G$106)+1),"")</f>
        <v>0</v>
      </c>
      <c r="H111">
        <f>IFERROR(SMALL(H39:H103,ROW()-ROW($H$106)+1),"")</f>
        <v>0</v>
      </c>
      <c r="I111">
        <f>IFERROR(SMALL(I39:I103,ROW()-ROW($I$106)+1),"")</f>
        <v>0</v>
      </c>
      <c r="J111">
        <f>IFERROR(SMALL(J39:J103,ROW()-ROW($J$106)+1),"")</f>
        <v>0</v>
      </c>
      <c r="K111">
        <f>IFERROR(SMALL(K39:K103,ROW()-ROW($K$106)+1),"")</f>
        <v>0</v>
      </c>
      <c r="L111">
        <f>IFERROR(SMALL(L39:L103,ROW()-ROW($L$106)+1),"")</f>
        <v>0</v>
      </c>
      <c r="M111">
        <f>IFERROR(SMALL(M39:M103,ROW()-ROW($M$106)+1),"")</f>
        <v>0</v>
      </c>
      <c r="N111">
        <f>IFERROR(SMALL(N39:N103,ROW()-ROW($N$106)+1),"")</f>
        <v>0</v>
      </c>
      <c r="O111">
        <f>IFERROR(SMALL(O39:O103,ROW()-ROW($O$106)+1),"")</f>
        <v>0</v>
      </c>
      <c r="P111">
        <f>IFERROR(SMALL(P39:P103,ROW()-ROW($P$106)+1),"")</f>
        <v>0</v>
      </c>
      <c r="Q111">
        <f>IFERROR(SMALL(Q39:Q103,ROW()-ROW($Q$106)+1),"")</f>
        <v>0</v>
      </c>
      <c r="R111">
        <f>IFERROR(SMALL(R39:R103,ROW()-ROW($R$106)+1),"")</f>
        <v>0</v>
      </c>
      <c r="S111">
        <f>IFERROR(SMALL(S39:S103,ROW()-ROW($S$106)+1),"")</f>
        <v>0</v>
      </c>
      <c r="T111">
        <f>IFERROR(SMALL(T39:T103,ROW()-ROW($T$106)+1),"")</f>
        <v>0</v>
      </c>
      <c r="U111">
        <f>IFERROR(SMALL(U39:U103,ROW()-ROW($U$106)+1),"")</f>
        <v>0</v>
      </c>
      <c r="V111">
        <f>IFERROR(SMALL(V39:V103,ROW()-ROW($V$106)+1),"")</f>
        <v>0</v>
      </c>
      <c r="W111">
        <f>IFERROR(SMALL(W39:W103,ROW()-ROW($W$106)+1),"")</f>
        <v>0</v>
      </c>
      <c r="X111">
        <f>IFERROR(SMALL(X39:X103,ROW()-ROW($X$106)+1),"")</f>
        <v>0</v>
      </c>
      <c r="Y111">
        <f>IFERROR(SMALL(Y39:Y103,ROW()-ROW($Y$106)+1),"")</f>
        <v>0</v>
      </c>
      <c r="Z111">
        <f>IFERROR(SMALL(Z39:Z103,ROW()-ROW($Z$106)+1),"")</f>
        <v>0</v>
      </c>
      <c r="AA111">
        <f>IFERROR(SMALL(AA39:AA103,ROW()-ROW($AA$106)+1),"")</f>
        <v>0</v>
      </c>
      <c r="AB111">
        <f>IFERROR(SMALL(AB39:AB103,ROW()-ROW($AB$106)+1),"")</f>
        <v>0</v>
      </c>
      <c r="AC111">
        <f>IFERROR(SMALL(AC39:AC103,ROW()-ROW($AC$106)+1),"")</f>
        <v>0</v>
      </c>
      <c r="AD111">
        <f>IFERROR(SMALL(AD39:AD103,ROW()-ROW($AD$106)+1),"")</f>
        <v>0</v>
      </c>
      <c r="AE111">
        <f>IFERROR(SMALL(AE39:AE103,ROW()-ROW($AE$106)+1),"")</f>
        <v>0</v>
      </c>
      <c r="AF111">
        <f>IFERROR(SMALL(AF39:AF103,ROW()-ROW($AF$106)+1),"")</f>
        <v>0</v>
      </c>
      <c r="AG111">
        <f>IFERROR(SMALL(AG39:AG103,ROW()-ROW($AG$106)+1),"")</f>
        <v>0</v>
      </c>
      <c r="AH111">
        <f>IFERROR(SMALL(AH39:AH103,ROW()-ROW($AH$106)+1),"")</f>
        <v>0</v>
      </c>
      <c r="AI111">
        <f>IFERROR(SMALL(AI39:AI103,ROW()-ROW($AI$106)+1),"")</f>
        <v>0</v>
      </c>
      <c r="AJ111">
        <f>IFERROR(SMALL(AJ39:AJ103,ROW()-ROW($AJ$106)+1),"")</f>
        <v>0</v>
      </c>
      <c r="AK111">
        <f>IFERROR(SMALL(AK39:AK103,ROW()-ROW($AK$106)+1),"")</f>
        <v>0</v>
      </c>
      <c r="AL111">
        <f>IFERROR(SMALL(AL39:AL103,ROW()-ROW($AL$106)+1),"")</f>
        <v>0</v>
      </c>
      <c r="AM111">
        <f>IFERROR(SMALL(AM39:AM103,ROW()-ROW($AM$106)+1),"")</f>
        <v>0</v>
      </c>
      <c r="AN111">
        <f>IFERROR(SMALL(AN39:AN103,ROW()-ROW($AN$106)+1),"")</f>
        <v>0</v>
      </c>
      <c r="AO111">
        <f>IFERROR(SMALL(AO39:AO103,ROW()-ROW($AO$106)+1),"")</f>
        <v>0</v>
      </c>
      <c r="AP111">
        <f>IFERROR(SMALL(AP39:AP103,ROW()-ROW($AP$106)+1),"")</f>
        <v>0</v>
      </c>
      <c r="AQ111">
        <f>IFERROR(SMALL(AQ39:AQ103,ROW()-ROW($AQ$106)+1),"")</f>
        <v>0</v>
      </c>
      <c r="AR111">
        <f>IFERROR(SMALL(AR39:AR103,ROW()-ROW($AR$106)+1),"")</f>
        <v>0</v>
      </c>
      <c r="AS111">
        <f>IFERROR(SMALL(AS39:AS103,ROW()-ROW($AS$106)+1),"")</f>
        <v>0</v>
      </c>
      <c r="AT111">
        <f>IFERROR(SMALL(AT39:AT103,ROW()-ROW($AT$106)+1),"")</f>
        <v>0</v>
      </c>
      <c r="AU111">
        <f>IFERROR(SMALL(AU39:AU103,ROW()-ROW($AU$106)+1),"")</f>
        <v>0</v>
      </c>
      <c r="AV111">
        <f>IFERROR(SMALL(AV39:AV103,ROW()-ROW($AV$106)+1),"")</f>
        <v>0</v>
      </c>
      <c r="AW111">
        <f>IFERROR(SMALL(AW39:AW103,ROW()-ROW($AW$106)+1),"")</f>
        <v>0</v>
      </c>
      <c r="AX111">
        <f>IFERROR(SMALL(AX39:AX103,ROW()-ROW($AX$106)+1),"")</f>
        <v>0</v>
      </c>
      <c r="AY111">
        <f>IFERROR(SMALL(AY39:AY103,ROW()-ROW($AY$106)+1),"")</f>
        <v>0</v>
      </c>
      <c r="AZ111">
        <f>IFERROR(SMALL(AZ39:AZ103,ROW()-ROW($AZ$106)+1),"")</f>
        <v>0</v>
      </c>
      <c r="BA111">
        <f>IFERROR(SMALL(BA39:BA103,ROW()-ROW($BA$106)+1),"")</f>
        <v>0</v>
      </c>
      <c r="BB111">
        <f>IFERROR(SMALL(BB39:BB103,ROW()-ROW($BB$106)+1),"")</f>
        <v>0</v>
      </c>
      <c r="BC111">
        <f>IFERROR(SMALL(BC39:BC103,ROW()-ROW($BC$106)+1),"")</f>
        <v>0</v>
      </c>
      <c r="BD111">
        <f>IFERROR(SMALL(BD39:BD103,ROW()-ROW($BD$106)+1),"")</f>
        <v>0</v>
      </c>
      <c r="BE111">
        <f>IFERROR(SMALL(BE39:BE103,ROW()-ROW($BE$106)+1),"")</f>
        <v>0</v>
      </c>
      <c r="BF111">
        <f>IFERROR(SMALL(BF39:BF103,ROW()-ROW($BF$106)+1),"")</f>
        <v>0</v>
      </c>
      <c r="BG111">
        <f>IFERROR(SMALL(BG39:BG103,ROW()-ROW($BG$106)+1),"")</f>
        <v>0</v>
      </c>
      <c r="BH111">
        <f>IFERROR(SMALL(BH39:BH103,ROW()-ROW($BH$106)+1),"")</f>
        <v>0</v>
      </c>
      <c r="BI111">
        <f>IFERROR(SMALL(BI39:BI103,ROW()-ROW($BI$106)+1),"")</f>
        <v>0</v>
      </c>
      <c r="BJ111">
        <f>IFERROR(SMALL(BJ39:BJ103,ROW()-ROW($BJ$106)+1),"")</f>
        <v>0</v>
      </c>
      <c r="BK111">
        <f>IFERROR(SMALL(BK39:BK103,ROW()-ROW($BK$106)+1),"")</f>
        <v>0</v>
      </c>
      <c r="BL111">
        <f>IFERROR(SMALL(BL39:BL103,ROW()-ROW($BL$106)+1),"")</f>
        <v>0</v>
      </c>
      <c r="BM111">
        <f>IFERROR(SMALL(BM39:BM103,ROW()-ROW($BM$106)+1),"")</f>
        <v>0</v>
      </c>
      <c r="BN111">
        <f>IFERROR(SMALL(BN39:BN103,ROW()-ROW($BN$106)+1),"")</f>
        <v>0</v>
      </c>
      <c r="BO111">
        <f>IFERROR(SMALL(BO39:BO103,ROW()-ROW($BO$106)+1),"")</f>
        <v>0</v>
      </c>
      <c r="BP111">
        <f>IFERROR(SMALL(BP39:BP103,ROW()-ROW($BP$106)+1),"")</f>
        <v>0</v>
      </c>
      <c r="BS111">
        <f>IFERROR(SMALL(BS39:BS103,ROW()-ROW($BS$106)+1),"")</f>
        <v>0</v>
      </c>
      <c r="BT111">
        <f>IFERROR(SMALL(BT39:BT103,ROW()-ROW($BT$106)+1),"")</f>
        <v>0</v>
      </c>
      <c r="BU111">
        <f>IFERROR(SMALL(BU39:BU103,ROW()-ROW($BU$106)+1),"")</f>
        <v>0</v>
      </c>
      <c r="BV111">
        <f>IFERROR(SMALL(BV39:BV103,ROW()-ROW($BV$106)+1),"")</f>
        <v>0</v>
      </c>
      <c r="BW111">
        <f>IFERROR(SMALL(BW39:BW103,ROW()-ROW($BW$106)+1),"")</f>
        <v>0</v>
      </c>
      <c r="BX111">
        <f>IFERROR(SMALL(BX39:BX103,ROW()-ROW($BX$106)+1),"")</f>
        <v>0</v>
      </c>
      <c r="BY111">
        <f>IFERROR(SMALL(BY39:BY103,ROW()-ROW($BY$106)+1),"")</f>
        <v>0</v>
      </c>
      <c r="BZ111">
        <f>IFERROR(SMALL(BZ39:BZ103,ROW()-ROW($BZ$106)+1),"")</f>
        <v>0</v>
      </c>
      <c r="CA111">
        <f>IFERROR(SMALL(CA39:CA103,ROW()-ROW($CA$106)+1),"")</f>
        <v>0</v>
      </c>
      <c r="CB111">
        <f>IFERROR(SMALL(CB39:CB103,ROW()-ROW($CB$106)+1),"")</f>
        <v>0</v>
      </c>
      <c r="CC111">
        <f>IFERROR(SMALL(CC39:CC103,ROW()-ROW($CC$106)+1),"")</f>
        <v>0</v>
      </c>
      <c r="CD111">
        <f>IFERROR(SMALL(CD39:CD103,ROW()-ROW($CD$106)+1),"")</f>
        <v>0</v>
      </c>
      <c r="CE111">
        <f>IFERROR(SMALL(CE39:CE103,ROW()-ROW($CE$106)+1),"")</f>
        <v>0</v>
      </c>
      <c r="CF111">
        <f>IFERROR(SMALL(CF39:CF103,ROW()-ROW($CF$106)+1),"")</f>
        <v>0</v>
      </c>
      <c r="CG111">
        <f>IFERROR(SMALL(CG39:CG103,ROW()-ROW($CG$106)+1),"")</f>
        <v>0</v>
      </c>
      <c r="CH111">
        <f>IFERROR(SMALL(CH39:CH103,ROW()-ROW($CH$106)+1),"")</f>
        <v>0</v>
      </c>
      <c r="CI111">
        <f>IFERROR(SMALL(CI39:CI103,ROW()-ROW($CI$106)+1),"")</f>
        <v>0</v>
      </c>
      <c r="CJ111">
        <f>IFERROR(SMALL(CJ39:CJ103,ROW()-ROW($CJ$106)+1),"")</f>
        <v>0</v>
      </c>
      <c r="CK111">
        <f>IFERROR(SMALL(CK39:CK103,ROW()-ROW($CK$106)+1),"")</f>
        <v>0</v>
      </c>
      <c r="CL111">
        <f>IFERROR(SMALL(CL39:CL103,ROW()-ROW($CL$106)+1),"")</f>
        <v>0</v>
      </c>
      <c r="CM111">
        <f>IFERROR(SMALL(CM39:CM103,ROW()-ROW($CM$106)+1),"")</f>
        <v>0</v>
      </c>
      <c r="CN111">
        <f>IFERROR(SMALL(CN39:CN103,ROW()-ROW($CN$106)+1),"")</f>
        <v>0</v>
      </c>
      <c r="CO111">
        <f>IFERROR(SMALL(CO39:CO103,ROW()-ROW($CO$106)+1),"")</f>
        <v>0</v>
      </c>
      <c r="CP111">
        <f>IFERROR(SMALL(CP39:CP103,ROW()-ROW($CP$106)+1),"")</f>
        <v>0</v>
      </c>
      <c r="CQ111">
        <f>IFERROR(SMALL(CQ39:CQ103,ROW()-ROW($CQ$106)+1),"")</f>
        <v>0</v>
      </c>
      <c r="CR111">
        <f>IFERROR(SMALL(CR39:CR103,ROW()-ROW($CR$106)+1),"")</f>
        <v>0</v>
      </c>
      <c r="CS111">
        <f>IFERROR(SMALL(CS39:CS103,ROW()-ROW($CS$106)+1),"")</f>
        <v>0</v>
      </c>
      <c r="CT111">
        <f>IFERROR(SMALL(CT39:CT103,ROW()-ROW($CT$106)+1),"")</f>
        <v>0</v>
      </c>
      <c r="CU111">
        <f>IFERROR(SMALL(CU39:CU103,ROW()-ROW($CU$106)+1),"")</f>
        <v>0</v>
      </c>
      <c r="CV111">
        <f>IFERROR(SMALL(CV39:CV103,ROW()-ROW($CV$106)+1),"")</f>
        <v>0</v>
      </c>
      <c r="CW111">
        <f>IFERROR(SMALL(CW39:CW103,ROW()-ROW($CW$106)+1),"")</f>
        <v>0</v>
      </c>
      <c r="CX111">
        <f>IFERROR(SMALL(CX39:CX103,ROW()-ROW($CX$106)+1),"")</f>
        <v>0</v>
      </c>
      <c r="CY111">
        <f>IFERROR(SMALL(CY39:CY103,ROW()-ROW($CY$106)+1),"")</f>
        <v>0</v>
      </c>
      <c r="CZ111">
        <f>IFERROR(SMALL(CZ39:CZ103,ROW()-ROW($CZ$106)+1),"")</f>
        <v>0</v>
      </c>
      <c r="DA111">
        <f>IFERROR(SMALL(DA39:DA103,ROW()-ROW($DA$106)+1),"")</f>
        <v>0</v>
      </c>
      <c r="DB111">
        <f>IFERROR(SMALL(DB39:DB103,ROW()-ROW($DB$106)+1),"")</f>
        <v>0</v>
      </c>
      <c r="DC111">
        <f>IFERROR(SMALL(DC39:DC103,ROW()-ROW($DC$106)+1),"")</f>
        <v>0</v>
      </c>
      <c r="DD111">
        <f>IFERROR(SMALL(DD39:DD103,ROW()-ROW($DD$106)+1),"")</f>
        <v>0</v>
      </c>
      <c r="DE111">
        <f>IFERROR(SMALL(DE39:DE103,ROW()-ROW($DE$106)+1),"")</f>
        <v>0</v>
      </c>
      <c r="DF111">
        <f>IFERROR(SMALL(DF39:DF103,ROW()-ROW($DF$106)+1),"")</f>
        <v>0</v>
      </c>
      <c r="DG111">
        <f>IFERROR(SMALL(DG39:DG103,ROW()-ROW($DG$106)+1),"")</f>
        <v>0</v>
      </c>
      <c r="DH111">
        <f>IFERROR(SMALL(DH39:DH103,ROW()-ROW($DH$106)+1),"")</f>
        <v>0</v>
      </c>
      <c r="DI111">
        <f>IFERROR(SMALL(DI39:DI103,ROW()-ROW($DI$106)+1),"")</f>
        <v>0</v>
      </c>
      <c r="DJ111">
        <f>IFERROR(SMALL(DJ39:DJ103,ROW()-ROW($DJ$106)+1),"")</f>
        <v>0</v>
      </c>
      <c r="DK111">
        <f>IFERROR(SMALL(DK39:DK103,ROW()-ROW($DK$106)+1),"")</f>
        <v>0</v>
      </c>
      <c r="DL111">
        <f>IFERROR(SMALL(DL39:DL103,ROW()-ROW($DL$106)+1),"")</f>
        <v>0</v>
      </c>
      <c r="DM111">
        <f>IFERROR(SMALL(DM39:DM103,ROW()-ROW($DM$106)+1),"")</f>
        <v>0</v>
      </c>
      <c r="DN111">
        <f>IFERROR(SMALL(DN39:DN103,ROW()-ROW($DN$106)+1),"")</f>
        <v>0</v>
      </c>
      <c r="DO111">
        <f>IFERROR(SMALL(DO39:DO103,ROW()-ROW($DO$106)+1),"")</f>
        <v>0</v>
      </c>
      <c r="DP111">
        <f>IFERROR(SMALL(DP39:DP103,ROW()-ROW($DP$106)+1),"")</f>
        <v>0</v>
      </c>
      <c r="DQ111">
        <f>IFERROR(SMALL(DQ39:DQ103,ROW()-ROW($DQ$106)+1),"")</f>
        <v>0</v>
      </c>
      <c r="DR111">
        <f>IFERROR(SMALL(DR39:DR103,ROW()-ROW($DR$106)+1),"")</f>
        <v>0</v>
      </c>
      <c r="DS111">
        <f>IFERROR(SMALL(DS39:DS103,ROW()-ROW($DS$106)+1),"")</f>
        <v>0</v>
      </c>
      <c r="DT111">
        <f>IFERROR(SMALL(DT39:DT103,ROW()-ROW($DT$106)+1),"")</f>
        <v>0</v>
      </c>
      <c r="DU111">
        <f>IFERROR(SMALL(DU39:DU103,ROW()-ROW($DU$106)+1),"")</f>
        <v>0</v>
      </c>
      <c r="DV111">
        <f>IFERROR(SMALL(DV39:DV103,ROW()-ROW($DV$106)+1),"")</f>
        <v>0</v>
      </c>
      <c r="DW111">
        <f>IFERROR(SMALL(DW39:DW103,ROW()-ROW($DW$106)+1),"")</f>
        <v>0</v>
      </c>
      <c r="DX111">
        <f>IFERROR(SMALL(DX39:DX103,ROW()-ROW($DX$106)+1),"")</f>
        <v>0</v>
      </c>
      <c r="DY111">
        <f>IFERROR(SMALL(DY39:DY103,ROW()-ROW($DY$106)+1),"")</f>
        <v>0</v>
      </c>
      <c r="DZ111">
        <f>IFERROR(SMALL(DZ39:DZ103,ROW()-ROW($DZ$106)+1),"")</f>
        <v>0</v>
      </c>
      <c r="EA111">
        <f>IFERROR(SMALL(EA39:EA103,ROW()-ROW($EA$106)+1),"")</f>
        <v>0</v>
      </c>
      <c r="EB111">
        <f>IFERROR(SMALL(EB39:EB103,ROW()-ROW($EB$106)+1),"")</f>
        <v>0</v>
      </c>
      <c r="EC111">
        <f>IFERROR(SMALL(EC39:EC103,ROW()-ROW($EC$106)+1),"")</f>
        <v>0</v>
      </c>
      <c r="ED111">
        <f>IFERROR(SMALL(ED39:ED103,ROW()-ROW($ED$106)+1),"")</f>
        <v>0</v>
      </c>
    </row>
    <row r="112" spans="4:134">
      <c r="E112">
        <f>IFERROR(SMALL(E39:E103,ROW()-ROW($E$106)+1),"")</f>
        <v>0</v>
      </c>
      <c r="F112">
        <f>IFERROR(SMALL(F39:F103,ROW()-ROW($F$106)+1),"")</f>
        <v>0</v>
      </c>
      <c r="G112">
        <f>IFERROR(SMALL(G39:G103,ROW()-ROW($G$106)+1),"")</f>
        <v>0</v>
      </c>
      <c r="H112">
        <f>IFERROR(SMALL(H39:H103,ROW()-ROW($H$106)+1),"")</f>
        <v>0</v>
      </c>
      <c r="I112">
        <f>IFERROR(SMALL(I39:I103,ROW()-ROW($I$106)+1),"")</f>
        <v>0</v>
      </c>
      <c r="J112">
        <f>IFERROR(SMALL(J39:J103,ROW()-ROW($J$106)+1),"")</f>
        <v>0</v>
      </c>
      <c r="K112">
        <f>IFERROR(SMALL(K39:K103,ROW()-ROW($K$106)+1),"")</f>
        <v>0</v>
      </c>
      <c r="L112">
        <f>IFERROR(SMALL(L39:L103,ROW()-ROW($L$106)+1),"")</f>
        <v>0</v>
      </c>
      <c r="M112">
        <f>IFERROR(SMALL(M39:M103,ROW()-ROW($M$106)+1),"")</f>
        <v>0</v>
      </c>
      <c r="N112">
        <f>IFERROR(SMALL(N39:N103,ROW()-ROW($N$106)+1),"")</f>
        <v>0</v>
      </c>
      <c r="O112">
        <f>IFERROR(SMALL(O39:O103,ROW()-ROW($O$106)+1),"")</f>
        <v>0</v>
      </c>
      <c r="P112">
        <f>IFERROR(SMALL(P39:P103,ROW()-ROW($P$106)+1),"")</f>
        <v>0</v>
      </c>
      <c r="Q112">
        <f>IFERROR(SMALL(Q39:Q103,ROW()-ROW($Q$106)+1),"")</f>
        <v>0</v>
      </c>
      <c r="R112">
        <f>IFERROR(SMALL(R39:R103,ROW()-ROW($R$106)+1),"")</f>
        <v>0</v>
      </c>
      <c r="S112">
        <f>IFERROR(SMALL(S39:S103,ROW()-ROW($S$106)+1),"")</f>
        <v>0</v>
      </c>
      <c r="T112">
        <f>IFERROR(SMALL(T39:T103,ROW()-ROW($T$106)+1),"")</f>
        <v>0</v>
      </c>
      <c r="U112">
        <f>IFERROR(SMALL(U39:U103,ROW()-ROW($U$106)+1),"")</f>
        <v>0</v>
      </c>
      <c r="V112">
        <f>IFERROR(SMALL(V39:V103,ROW()-ROW($V$106)+1),"")</f>
        <v>0</v>
      </c>
      <c r="W112">
        <f>IFERROR(SMALL(W39:W103,ROW()-ROW($W$106)+1),"")</f>
        <v>0</v>
      </c>
      <c r="X112">
        <f>IFERROR(SMALL(X39:X103,ROW()-ROW($X$106)+1),"")</f>
        <v>0</v>
      </c>
      <c r="Y112">
        <f>IFERROR(SMALL(Y39:Y103,ROW()-ROW($Y$106)+1),"")</f>
        <v>0</v>
      </c>
      <c r="Z112">
        <f>IFERROR(SMALL(Z39:Z103,ROW()-ROW($Z$106)+1),"")</f>
        <v>0</v>
      </c>
      <c r="AA112">
        <f>IFERROR(SMALL(AA39:AA103,ROW()-ROW($AA$106)+1),"")</f>
        <v>0</v>
      </c>
      <c r="AB112">
        <f>IFERROR(SMALL(AB39:AB103,ROW()-ROW($AB$106)+1),"")</f>
        <v>0</v>
      </c>
      <c r="AC112">
        <f>IFERROR(SMALL(AC39:AC103,ROW()-ROW($AC$106)+1),"")</f>
        <v>0</v>
      </c>
      <c r="AD112">
        <f>IFERROR(SMALL(AD39:AD103,ROW()-ROW($AD$106)+1),"")</f>
        <v>0</v>
      </c>
      <c r="AE112">
        <f>IFERROR(SMALL(AE39:AE103,ROW()-ROW($AE$106)+1),"")</f>
        <v>0</v>
      </c>
      <c r="AF112">
        <f>IFERROR(SMALL(AF39:AF103,ROW()-ROW($AF$106)+1),"")</f>
        <v>0</v>
      </c>
      <c r="AG112">
        <f>IFERROR(SMALL(AG39:AG103,ROW()-ROW($AG$106)+1),"")</f>
        <v>0</v>
      </c>
      <c r="AH112">
        <f>IFERROR(SMALL(AH39:AH103,ROW()-ROW($AH$106)+1),"")</f>
        <v>0</v>
      </c>
      <c r="AI112">
        <f>IFERROR(SMALL(AI39:AI103,ROW()-ROW($AI$106)+1),"")</f>
        <v>0</v>
      </c>
      <c r="AJ112">
        <f>IFERROR(SMALL(AJ39:AJ103,ROW()-ROW($AJ$106)+1),"")</f>
        <v>0</v>
      </c>
      <c r="AK112">
        <f>IFERROR(SMALL(AK39:AK103,ROW()-ROW($AK$106)+1),"")</f>
        <v>0</v>
      </c>
      <c r="AL112">
        <f>IFERROR(SMALL(AL39:AL103,ROW()-ROW($AL$106)+1),"")</f>
        <v>0</v>
      </c>
      <c r="AM112">
        <f>IFERROR(SMALL(AM39:AM103,ROW()-ROW($AM$106)+1),"")</f>
        <v>0</v>
      </c>
      <c r="AN112">
        <f>IFERROR(SMALL(AN39:AN103,ROW()-ROW($AN$106)+1),"")</f>
        <v>0</v>
      </c>
      <c r="AO112">
        <f>IFERROR(SMALL(AO39:AO103,ROW()-ROW($AO$106)+1),"")</f>
        <v>0</v>
      </c>
      <c r="AP112">
        <f>IFERROR(SMALL(AP39:AP103,ROW()-ROW($AP$106)+1),"")</f>
        <v>0</v>
      </c>
      <c r="AQ112">
        <f>IFERROR(SMALL(AQ39:AQ103,ROW()-ROW($AQ$106)+1),"")</f>
        <v>0</v>
      </c>
      <c r="AR112">
        <f>IFERROR(SMALL(AR39:AR103,ROW()-ROW($AR$106)+1),"")</f>
        <v>0</v>
      </c>
      <c r="AS112">
        <f>IFERROR(SMALL(AS39:AS103,ROW()-ROW($AS$106)+1),"")</f>
        <v>0</v>
      </c>
      <c r="AT112">
        <f>IFERROR(SMALL(AT39:AT103,ROW()-ROW($AT$106)+1),"")</f>
        <v>0</v>
      </c>
      <c r="AU112">
        <f>IFERROR(SMALL(AU39:AU103,ROW()-ROW($AU$106)+1),"")</f>
        <v>0</v>
      </c>
      <c r="AV112">
        <f>IFERROR(SMALL(AV39:AV103,ROW()-ROW($AV$106)+1),"")</f>
        <v>0</v>
      </c>
      <c r="AW112">
        <f>IFERROR(SMALL(AW39:AW103,ROW()-ROW($AW$106)+1),"")</f>
        <v>0</v>
      </c>
      <c r="AX112">
        <f>IFERROR(SMALL(AX39:AX103,ROW()-ROW($AX$106)+1),"")</f>
        <v>0</v>
      </c>
      <c r="AY112">
        <f>IFERROR(SMALL(AY39:AY103,ROW()-ROW($AY$106)+1),"")</f>
        <v>0</v>
      </c>
      <c r="AZ112">
        <f>IFERROR(SMALL(AZ39:AZ103,ROW()-ROW($AZ$106)+1),"")</f>
        <v>0</v>
      </c>
      <c r="BA112">
        <f>IFERROR(SMALL(BA39:BA103,ROW()-ROW($BA$106)+1),"")</f>
        <v>0</v>
      </c>
      <c r="BB112">
        <f>IFERROR(SMALL(BB39:BB103,ROW()-ROW($BB$106)+1),"")</f>
        <v>0</v>
      </c>
      <c r="BC112">
        <f>IFERROR(SMALL(BC39:BC103,ROW()-ROW($BC$106)+1),"")</f>
        <v>0</v>
      </c>
      <c r="BD112">
        <f>IFERROR(SMALL(BD39:BD103,ROW()-ROW($BD$106)+1),"")</f>
        <v>0</v>
      </c>
      <c r="BE112">
        <f>IFERROR(SMALL(BE39:BE103,ROW()-ROW($BE$106)+1),"")</f>
        <v>0</v>
      </c>
      <c r="BF112">
        <f>IFERROR(SMALL(BF39:BF103,ROW()-ROW($BF$106)+1),"")</f>
        <v>0</v>
      </c>
      <c r="BG112">
        <f>IFERROR(SMALL(BG39:BG103,ROW()-ROW($BG$106)+1),"")</f>
        <v>0</v>
      </c>
      <c r="BH112">
        <f>IFERROR(SMALL(BH39:BH103,ROW()-ROW($BH$106)+1),"")</f>
        <v>0</v>
      </c>
      <c r="BI112">
        <f>IFERROR(SMALL(BI39:BI103,ROW()-ROW($BI$106)+1),"")</f>
        <v>0</v>
      </c>
      <c r="BJ112">
        <f>IFERROR(SMALL(BJ39:BJ103,ROW()-ROW($BJ$106)+1),"")</f>
        <v>0</v>
      </c>
      <c r="BK112">
        <f>IFERROR(SMALL(BK39:BK103,ROW()-ROW($BK$106)+1),"")</f>
        <v>0</v>
      </c>
      <c r="BL112">
        <f>IFERROR(SMALL(BL39:BL103,ROW()-ROW($BL$106)+1),"")</f>
        <v>0</v>
      </c>
      <c r="BM112">
        <f>IFERROR(SMALL(BM39:BM103,ROW()-ROW($BM$106)+1),"")</f>
        <v>0</v>
      </c>
      <c r="BN112">
        <f>IFERROR(SMALL(BN39:BN103,ROW()-ROW($BN$106)+1),"")</f>
        <v>0</v>
      </c>
      <c r="BO112">
        <f>IFERROR(SMALL(BO39:BO103,ROW()-ROW($BO$106)+1),"")</f>
        <v>0</v>
      </c>
      <c r="BP112">
        <f>IFERROR(SMALL(BP39:BP103,ROW()-ROW($BP$106)+1),"")</f>
        <v>0</v>
      </c>
      <c r="BS112">
        <f>IFERROR(SMALL(BS39:BS103,ROW()-ROW($BS$106)+1),"")</f>
        <v>0</v>
      </c>
      <c r="BT112">
        <f>IFERROR(SMALL(BT39:BT103,ROW()-ROW($BT$106)+1),"")</f>
        <v>0</v>
      </c>
      <c r="BU112">
        <f>IFERROR(SMALL(BU39:BU103,ROW()-ROW($BU$106)+1),"")</f>
        <v>0</v>
      </c>
      <c r="BV112">
        <f>IFERROR(SMALL(BV39:BV103,ROW()-ROW($BV$106)+1),"")</f>
        <v>0</v>
      </c>
      <c r="BW112">
        <f>IFERROR(SMALL(BW39:BW103,ROW()-ROW($BW$106)+1),"")</f>
        <v>0</v>
      </c>
      <c r="BX112">
        <f>IFERROR(SMALL(BX39:BX103,ROW()-ROW($BX$106)+1),"")</f>
        <v>0</v>
      </c>
      <c r="BY112">
        <f>IFERROR(SMALL(BY39:BY103,ROW()-ROW($BY$106)+1),"")</f>
        <v>0</v>
      </c>
      <c r="BZ112">
        <f>IFERROR(SMALL(BZ39:BZ103,ROW()-ROW($BZ$106)+1),"")</f>
        <v>0</v>
      </c>
      <c r="CA112">
        <f>IFERROR(SMALL(CA39:CA103,ROW()-ROW($CA$106)+1),"")</f>
        <v>0</v>
      </c>
      <c r="CB112">
        <f>IFERROR(SMALL(CB39:CB103,ROW()-ROW($CB$106)+1),"")</f>
        <v>0</v>
      </c>
      <c r="CC112">
        <f>IFERROR(SMALL(CC39:CC103,ROW()-ROW($CC$106)+1),"")</f>
        <v>0</v>
      </c>
      <c r="CD112">
        <f>IFERROR(SMALL(CD39:CD103,ROW()-ROW($CD$106)+1),"")</f>
        <v>0</v>
      </c>
      <c r="CE112">
        <f>IFERROR(SMALL(CE39:CE103,ROW()-ROW($CE$106)+1),"")</f>
        <v>0</v>
      </c>
      <c r="CF112">
        <f>IFERROR(SMALL(CF39:CF103,ROW()-ROW($CF$106)+1),"")</f>
        <v>0</v>
      </c>
      <c r="CG112">
        <f>IFERROR(SMALL(CG39:CG103,ROW()-ROW($CG$106)+1),"")</f>
        <v>0</v>
      </c>
      <c r="CH112">
        <f>IFERROR(SMALL(CH39:CH103,ROW()-ROW($CH$106)+1),"")</f>
        <v>0</v>
      </c>
      <c r="CI112">
        <f>IFERROR(SMALL(CI39:CI103,ROW()-ROW($CI$106)+1),"")</f>
        <v>0</v>
      </c>
      <c r="CJ112">
        <f>IFERROR(SMALL(CJ39:CJ103,ROW()-ROW($CJ$106)+1),"")</f>
        <v>0</v>
      </c>
      <c r="CK112">
        <f>IFERROR(SMALL(CK39:CK103,ROW()-ROW($CK$106)+1),"")</f>
        <v>0</v>
      </c>
      <c r="CL112">
        <f>IFERROR(SMALL(CL39:CL103,ROW()-ROW($CL$106)+1),"")</f>
        <v>0</v>
      </c>
      <c r="CM112">
        <f>IFERROR(SMALL(CM39:CM103,ROW()-ROW($CM$106)+1),"")</f>
        <v>0</v>
      </c>
      <c r="CN112">
        <f>IFERROR(SMALL(CN39:CN103,ROW()-ROW($CN$106)+1),"")</f>
        <v>0</v>
      </c>
      <c r="CO112">
        <f>IFERROR(SMALL(CO39:CO103,ROW()-ROW($CO$106)+1),"")</f>
        <v>0</v>
      </c>
      <c r="CP112">
        <f>IFERROR(SMALL(CP39:CP103,ROW()-ROW($CP$106)+1),"")</f>
        <v>0</v>
      </c>
      <c r="CQ112">
        <f>IFERROR(SMALL(CQ39:CQ103,ROW()-ROW($CQ$106)+1),"")</f>
        <v>0</v>
      </c>
      <c r="CR112">
        <f>IFERROR(SMALL(CR39:CR103,ROW()-ROW($CR$106)+1),"")</f>
        <v>0</v>
      </c>
      <c r="CS112">
        <f>IFERROR(SMALL(CS39:CS103,ROW()-ROW($CS$106)+1),"")</f>
        <v>0</v>
      </c>
      <c r="CT112">
        <f>IFERROR(SMALL(CT39:CT103,ROW()-ROW($CT$106)+1),"")</f>
        <v>0</v>
      </c>
      <c r="CU112">
        <f>IFERROR(SMALL(CU39:CU103,ROW()-ROW($CU$106)+1),"")</f>
        <v>0</v>
      </c>
      <c r="CV112">
        <f>IFERROR(SMALL(CV39:CV103,ROW()-ROW($CV$106)+1),"")</f>
        <v>0</v>
      </c>
      <c r="CW112">
        <f>IFERROR(SMALL(CW39:CW103,ROW()-ROW($CW$106)+1),"")</f>
        <v>0</v>
      </c>
      <c r="CX112">
        <f>IFERROR(SMALL(CX39:CX103,ROW()-ROW($CX$106)+1),"")</f>
        <v>0</v>
      </c>
      <c r="CY112">
        <f>IFERROR(SMALL(CY39:CY103,ROW()-ROW($CY$106)+1),"")</f>
        <v>0</v>
      </c>
      <c r="CZ112">
        <f>IFERROR(SMALL(CZ39:CZ103,ROW()-ROW($CZ$106)+1),"")</f>
        <v>0</v>
      </c>
      <c r="DA112">
        <f>IFERROR(SMALL(DA39:DA103,ROW()-ROW($DA$106)+1),"")</f>
        <v>0</v>
      </c>
      <c r="DB112">
        <f>IFERROR(SMALL(DB39:DB103,ROW()-ROW($DB$106)+1),"")</f>
        <v>0</v>
      </c>
      <c r="DC112">
        <f>IFERROR(SMALL(DC39:DC103,ROW()-ROW($DC$106)+1),"")</f>
        <v>0</v>
      </c>
      <c r="DD112">
        <f>IFERROR(SMALL(DD39:DD103,ROW()-ROW($DD$106)+1),"")</f>
        <v>0</v>
      </c>
      <c r="DE112">
        <f>IFERROR(SMALL(DE39:DE103,ROW()-ROW($DE$106)+1),"")</f>
        <v>0</v>
      </c>
      <c r="DF112">
        <f>IFERROR(SMALL(DF39:DF103,ROW()-ROW($DF$106)+1),"")</f>
        <v>0</v>
      </c>
      <c r="DG112">
        <f>IFERROR(SMALL(DG39:DG103,ROW()-ROW($DG$106)+1),"")</f>
        <v>0</v>
      </c>
      <c r="DH112">
        <f>IFERROR(SMALL(DH39:DH103,ROW()-ROW($DH$106)+1),"")</f>
        <v>0</v>
      </c>
      <c r="DI112">
        <f>IFERROR(SMALL(DI39:DI103,ROW()-ROW($DI$106)+1),"")</f>
        <v>0</v>
      </c>
      <c r="DJ112">
        <f>IFERROR(SMALL(DJ39:DJ103,ROW()-ROW($DJ$106)+1),"")</f>
        <v>0</v>
      </c>
      <c r="DK112">
        <f>IFERROR(SMALL(DK39:DK103,ROW()-ROW($DK$106)+1),"")</f>
        <v>0</v>
      </c>
      <c r="DL112">
        <f>IFERROR(SMALL(DL39:DL103,ROW()-ROW($DL$106)+1),"")</f>
        <v>0</v>
      </c>
      <c r="DM112">
        <f>IFERROR(SMALL(DM39:DM103,ROW()-ROW($DM$106)+1),"")</f>
        <v>0</v>
      </c>
      <c r="DN112">
        <f>IFERROR(SMALL(DN39:DN103,ROW()-ROW($DN$106)+1),"")</f>
        <v>0</v>
      </c>
      <c r="DO112">
        <f>IFERROR(SMALL(DO39:DO103,ROW()-ROW($DO$106)+1),"")</f>
        <v>0</v>
      </c>
      <c r="DP112">
        <f>IFERROR(SMALL(DP39:DP103,ROW()-ROW($DP$106)+1),"")</f>
        <v>0</v>
      </c>
      <c r="DQ112">
        <f>IFERROR(SMALL(DQ39:DQ103,ROW()-ROW($DQ$106)+1),"")</f>
        <v>0</v>
      </c>
      <c r="DR112">
        <f>IFERROR(SMALL(DR39:DR103,ROW()-ROW($DR$106)+1),"")</f>
        <v>0</v>
      </c>
      <c r="DS112">
        <f>IFERROR(SMALL(DS39:DS103,ROW()-ROW($DS$106)+1),"")</f>
        <v>0</v>
      </c>
      <c r="DT112">
        <f>IFERROR(SMALL(DT39:DT103,ROW()-ROW($DT$106)+1),"")</f>
        <v>0</v>
      </c>
      <c r="DU112">
        <f>IFERROR(SMALL(DU39:DU103,ROW()-ROW($DU$106)+1),"")</f>
        <v>0</v>
      </c>
      <c r="DV112">
        <f>IFERROR(SMALL(DV39:DV103,ROW()-ROW($DV$106)+1),"")</f>
        <v>0</v>
      </c>
      <c r="DW112">
        <f>IFERROR(SMALL(DW39:DW103,ROW()-ROW($DW$106)+1),"")</f>
        <v>0</v>
      </c>
      <c r="DX112">
        <f>IFERROR(SMALL(DX39:DX103,ROW()-ROW($DX$106)+1),"")</f>
        <v>0</v>
      </c>
      <c r="DY112">
        <f>IFERROR(SMALL(DY39:DY103,ROW()-ROW($DY$106)+1),"")</f>
        <v>0</v>
      </c>
      <c r="DZ112">
        <f>IFERROR(SMALL(DZ39:DZ103,ROW()-ROW($DZ$106)+1),"")</f>
        <v>0</v>
      </c>
      <c r="EA112">
        <f>IFERROR(SMALL(EA39:EA103,ROW()-ROW($EA$106)+1),"")</f>
        <v>0</v>
      </c>
      <c r="EB112">
        <f>IFERROR(SMALL(EB39:EB103,ROW()-ROW($EB$106)+1),"")</f>
        <v>0</v>
      </c>
      <c r="EC112">
        <f>IFERROR(SMALL(EC39:EC103,ROW()-ROW($EC$106)+1),"")</f>
        <v>0</v>
      </c>
      <c r="ED112">
        <f>IFERROR(SMALL(ED39:ED103,ROW()-ROW($ED$106)+1),"")</f>
        <v>0</v>
      </c>
    </row>
    <row r="113" spans="5:134">
      <c r="E113">
        <f>IFERROR(SMALL(E39:E103,ROW()-ROW($E$106)+1),"")</f>
        <v>0</v>
      </c>
      <c r="F113">
        <f>IFERROR(SMALL(F39:F103,ROW()-ROW($F$106)+1),"")</f>
        <v>0</v>
      </c>
      <c r="G113">
        <f>IFERROR(SMALL(G39:G103,ROW()-ROW($G$106)+1),"")</f>
        <v>0</v>
      </c>
      <c r="H113">
        <f>IFERROR(SMALL(H39:H103,ROW()-ROW($H$106)+1),"")</f>
        <v>0</v>
      </c>
      <c r="I113">
        <f>IFERROR(SMALL(I39:I103,ROW()-ROW($I$106)+1),"")</f>
        <v>0</v>
      </c>
      <c r="J113">
        <f>IFERROR(SMALL(J39:J103,ROW()-ROW($J$106)+1),"")</f>
        <v>0</v>
      </c>
      <c r="K113">
        <f>IFERROR(SMALL(K39:K103,ROW()-ROW($K$106)+1),"")</f>
        <v>0</v>
      </c>
      <c r="L113">
        <f>IFERROR(SMALL(L39:L103,ROW()-ROW($L$106)+1),"")</f>
        <v>0</v>
      </c>
      <c r="M113">
        <f>IFERROR(SMALL(M39:M103,ROW()-ROW($M$106)+1),"")</f>
        <v>0</v>
      </c>
      <c r="N113">
        <f>IFERROR(SMALL(N39:N103,ROW()-ROW($N$106)+1),"")</f>
        <v>0</v>
      </c>
      <c r="O113">
        <f>IFERROR(SMALL(O39:O103,ROW()-ROW($O$106)+1),"")</f>
        <v>0</v>
      </c>
      <c r="P113">
        <f>IFERROR(SMALL(P39:P103,ROW()-ROW($P$106)+1),"")</f>
        <v>0</v>
      </c>
      <c r="Q113">
        <f>IFERROR(SMALL(Q39:Q103,ROW()-ROW($Q$106)+1),"")</f>
        <v>0</v>
      </c>
      <c r="R113">
        <f>IFERROR(SMALL(R39:R103,ROW()-ROW($R$106)+1),"")</f>
        <v>0</v>
      </c>
      <c r="S113">
        <f>IFERROR(SMALL(S39:S103,ROW()-ROW($S$106)+1),"")</f>
        <v>0</v>
      </c>
      <c r="T113">
        <f>IFERROR(SMALL(T39:T103,ROW()-ROW($T$106)+1),"")</f>
        <v>0</v>
      </c>
      <c r="U113">
        <f>IFERROR(SMALL(U39:U103,ROW()-ROW($U$106)+1),"")</f>
        <v>0</v>
      </c>
      <c r="V113">
        <f>IFERROR(SMALL(V39:V103,ROW()-ROW($V$106)+1),"")</f>
        <v>0</v>
      </c>
      <c r="W113">
        <f>IFERROR(SMALL(W39:W103,ROW()-ROW($W$106)+1),"")</f>
        <v>0</v>
      </c>
      <c r="X113">
        <f>IFERROR(SMALL(X39:X103,ROW()-ROW($X$106)+1),"")</f>
        <v>0</v>
      </c>
      <c r="Y113">
        <f>IFERROR(SMALL(Y39:Y103,ROW()-ROW($Y$106)+1),"")</f>
        <v>0</v>
      </c>
      <c r="Z113">
        <f>IFERROR(SMALL(Z39:Z103,ROW()-ROW($Z$106)+1),"")</f>
        <v>0</v>
      </c>
      <c r="AA113">
        <f>IFERROR(SMALL(AA39:AA103,ROW()-ROW($AA$106)+1),"")</f>
        <v>0</v>
      </c>
      <c r="AB113">
        <f>IFERROR(SMALL(AB39:AB103,ROW()-ROW($AB$106)+1),"")</f>
        <v>0</v>
      </c>
      <c r="AC113">
        <f>IFERROR(SMALL(AC39:AC103,ROW()-ROW($AC$106)+1),"")</f>
        <v>0</v>
      </c>
      <c r="AD113">
        <f>IFERROR(SMALL(AD39:AD103,ROW()-ROW($AD$106)+1),"")</f>
        <v>0</v>
      </c>
      <c r="AE113">
        <f>IFERROR(SMALL(AE39:AE103,ROW()-ROW($AE$106)+1),"")</f>
        <v>0</v>
      </c>
      <c r="AF113">
        <f>IFERROR(SMALL(AF39:AF103,ROW()-ROW($AF$106)+1),"")</f>
        <v>0</v>
      </c>
      <c r="AG113">
        <f>IFERROR(SMALL(AG39:AG103,ROW()-ROW($AG$106)+1),"")</f>
        <v>0</v>
      </c>
      <c r="AH113">
        <f>IFERROR(SMALL(AH39:AH103,ROW()-ROW($AH$106)+1),"")</f>
        <v>0</v>
      </c>
      <c r="AI113">
        <f>IFERROR(SMALL(AI39:AI103,ROW()-ROW($AI$106)+1),"")</f>
        <v>0</v>
      </c>
      <c r="AJ113">
        <f>IFERROR(SMALL(AJ39:AJ103,ROW()-ROW($AJ$106)+1),"")</f>
        <v>0</v>
      </c>
      <c r="AK113">
        <f>IFERROR(SMALL(AK39:AK103,ROW()-ROW($AK$106)+1),"")</f>
        <v>0</v>
      </c>
      <c r="AL113">
        <f>IFERROR(SMALL(AL39:AL103,ROW()-ROW($AL$106)+1),"")</f>
        <v>0</v>
      </c>
      <c r="AM113">
        <f>IFERROR(SMALL(AM39:AM103,ROW()-ROW($AM$106)+1),"")</f>
        <v>0</v>
      </c>
      <c r="AN113">
        <f>IFERROR(SMALL(AN39:AN103,ROW()-ROW($AN$106)+1),"")</f>
        <v>0</v>
      </c>
      <c r="AO113">
        <f>IFERROR(SMALL(AO39:AO103,ROW()-ROW($AO$106)+1),"")</f>
        <v>0</v>
      </c>
      <c r="AP113">
        <f>IFERROR(SMALL(AP39:AP103,ROW()-ROW($AP$106)+1),"")</f>
        <v>0</v>
      </c>
      <c r="AQ113">
        <f>IFERROR(SMALL(AQ39:AQ103,ROW()-ROW($AQ$106)+1),"")</f>
        <v>0</v>
      </c>
      <c r="AR113">
        <f>IFERROR(SMALL(AR39:AR103,ROW()-ROW($AR$106)+1),"")</f>
        <v>0</v>
      </c>
      <c r="AS113">
        <f>IFERROR(SMALL(AS39:AS103,ROW()-ROW($AS$106)+1),"")</f>
        <v>0</v>
      </c>
      <c r="AT113">
        <f>IFERROR(SMALL(AT39:AT103,ROW()-ROW($AT$106)+1),"")</f>
        <v>0</v>
      </c>
      <c r="AU113">
        <f>IFERROR(SMALL(AU39:AU103,ROW()-ROW($AU$106)+1),"")</f>
        <v>0</v>
      </c>
      <c r="AV113">
        <f>IFERROR(SMALL(AV39:AV103,ROW()-ROW($AV$106)+1),"")</f>
        <v>0</v>
      </c>
      <c r="AW113">
        <f>IFERROR(SMALL(AW39:AW103,ROW()-ROW($AW$106)+1),"")</f>
        <v>0</v>
      </c>
      <c r="AX113">
        <f>IFERROR(SMALL(AX39:AX103,ROW()-ROW($AX$106)+1),"")</f>
        <v>0</v>
      </c>
      <c r="AY113">
        <f>IFERROR(SMALL(AY39:AY103,ROW()-ROW($AY$106)+1),"")</f>
        <v>0</v>
      </c>
      <c r="AZ113">
        <f>IFERROR(SMALL(AZ39:AZ103,ROW()-ROW($AZ$106)+1),"")</f>
        <v>0</v>
      </c>
      <c r="BA113">
        <f>IFERROR(SMALL(BA39:BA103,ROW()-ROW($BA$106)+1),"")</f>
        <v>0</v>
      </c>
      <c r="BB113">
        <f>IFERROR(SMALL(BB39:BB103,ROW()-ROW($BB$106)+1),"")</f>
        <v>0</v>
      </c>
      <c r="BC113">
        <f>IFERROR(SMALL(BC39:BC103,ROW()-ROW($BC$106)+1),"")</f>
        <v>0</v>
      </c>
      <c r="BD113">
        <f>IFERROR(SMALL(BD39:BD103,ROW()-ROW($BD$106)+1),"")</f>
        <v>0</v>
      </c>
      <c r="BE113">
        <f>IFERROR(SMALL(BE39:BE103,ROW()-ROW($BE$106)+1),"")</f>
        <v>0</v>
      </c>
      <c r="BF113">
        <f>IFERROR(SMALL(BF39:BF103,ROW()-ROW($BF$106)+1),"")</f>
        <v>0</v>
      </c>
      <c r="BG113">
        <f>IFERROR(SMALL(BG39:BG103,ROW()-ROW($BG$106)+1),"")</f>
        <v>0</v>
      </c>
      <c r="BH113">
        <f>IFERROR(SMALL(BH39:BH103,ROW()-ROW($BH$106)+1),"")</f>
        <v>0</v>
      </c>
      <c r="BI113">
        <f>IFERROR(SMALL(BI39:BI103,ROW()-ROW($BI$106)+1),"")</f>
        <v>0</v>
      </c>
      <c r="BJ113">
        <f>IFERROR(SMALL(BJ39:BJ103,ROW()-ROW($BJ$106)+1),"")</f>
        <v>0</v>
      </c>
      <c r="BK113">
        <f>IFERROR(SMALL(BK39:BK103,ROW()-ROW($BK$106)+1),"")</f>
        <v>0</v>
      </c>
      <c r="BL113">
        <f>IFERROR(SMALL(BL39:BL103,ROW()-ROW($BL$106)+1),"")</f>
        <v>0</v>
      </c>
      <c r="BM113">
        <f>IFERROR(SMALL(BM39:BM103,ROW()-ROW($BM$106)+1),"")</f>
        <v>0</v>
      </c>
      <c r="BN113">
        <f>IFERROR(SMALL(BN39:BN103,ROW()-ROW($BN$106)+1),"")</f>
        <v>0</v>
      </c>
      <c r="BO113">
        <f>IFERROR(SMALL(BO39:BO103,ROW()-ROW($BO$106)+1),"")</f>
        <v>0</v>
      </c>
      <c r="BP113">
        <f>IFERROR(SMALL(BP39:BP103,ROW()-ROW($BP$106)+1),"")</f>
        <v>0</v>
      </c>
      <c r="BS113">
        <f>IFERROR(SMALL(BS39:BS103,ROW()-ROW($BS$106)+1),"")</f>
        <v>0</v>
      </c>
      <c r="BT113">
        <f>IFERROR(SMALL(BT39:BT103,ROW()-ROW($BT$106)+1),"")</f>
        <v>0</v>
      </c>
      <c r="BU113">
        <f>IFERROR(SMALL(BU39:BU103,ROW()-ROW($BU$106)+1),"")</f>
        <v>0</v>
      </c>
      <c r="BV113">
        <f>IFERROR(SMALL(BV39:BV103,ROW()-ROW($BV$106)+1),"")</f>
        <v>0</v>
      </c>
      <c r="BW113">
        <f>IFERROR(SMALL(BW39:BW103,ROW()-ROW($BW$106)+1),"")</f>
        <v>0</v>
      </c>
      <c r="BX113">
        <f>IFERROR(SMALL(BX39:BX103,ROW()-ROW($BX$106)+1),"")</f>
        <v>0</v>
      </c>
      <c r="BY113">
        <f>IFERROR(SMALL(BY39:BY103,ROW()-ROW($BY$106)+1),"")</f>
        <v>0</v>
      </c>
      <c r="BZ113">
        <f>IFERROR(SMALL(BZ39:BZ103,ROW()-ROW($BZ$106)+1),"")</f>
        <v>0</v>
      </c>
      <c r="CA113">
        <f>IFERROR(SMALL(CA39:CA103,ROW()-ROW($CA$106)+1),"")</f>
        <v>0</v>
      </c>
      <c r="CB113">
        <f>IFERROR(SMALL(CB39:CB103,ROW()-ROW($CB$106)+1),"")</f>
        <v>0</v>
      </c>
      <c r="CC113">
        <f>IFERROR(SMALL(CC39:CC103,ROW()-ROW($CC$106)+1),"")</f>
        <v>0</v>
      </c>
      <c r="CD113">
        <f>IFERROR(SMALL(CD39:CD103,ROW()-ROW($CD$106)+1),"")</f>
        <v>0</v>
      </c>
      <c r="CE113">
        <f>IFERROR(SMALL(CE39:CE103,ROW()-ROW($CE$106)+1),"")</f>
        <v>0</v>
      </c>
      <c r="CF113">
        <f>IFERROR(SMALL(CF39:CF103,ROW()-ROW($CF$106)+1),"")</f>
        <v>0</v>
      </c>
      <c r="CG113">
        <f>IFERROR(SMALL(CG39:CG103,ROW()-ROW($CG$106)+1),"")</f>
        <v>0</v>
      </c>
      <c r="CH113">
        <f>IFERROR(SMALL(CH39:CH103,ROW()-ROW($CH$106)+1),"")</f>
        <v>0</v>
      </c>
      <c r="CI113">
        <f>IFERROR(SMALL(CI39:CI103,ROW()-ROW($CI$106)+1),"")</f>
        <v>0</v>
      </c>
      <c r="CJ113">
        <f>IFERROR(SMALL(CJ39:CJ103,ROW()-ROW($CJ$106)+1),"")</f>
        <v>0</v>
      </c>
      <c r="CK113">
        <f>IFERROR(SMALL(CK39:CK103,ROW()-ROW($CK$106)+1),"")</f>
        <v>0</v>
      </c>
      <c r="CL113">
        <f>IFERROR(SMALL(CL39:CL103,ROW()-ROW($CL$106)+1),"")</f>
        <v>0</v>
      </c>
      <c r="CM113">
        <f>IFERROR(SMALL(CM39:CM103,ROW()-ROW($CM$106)+1),"")</f>
        <v>0</v>
      </c>
      <c r="CN113">
        <f>IFERROR(SMALL(CN39:CN103,ROW()-ROW($CN$106)+1),"")</f>
        <v>0</v>
      </c>
      <c r="CO113">
        <f>IFERROR(SMALL(CO39:CO103,ROW()-ROW($CO$106)+1),"")</f>
        <v>0</v>
      </c>
      <c r="CP113">
        <f>IFERROR(SMALL(CP39:CP103,ROW()-ROW($CP$106)+1),"")</f>
        <v>0</v>
      </c>
      <c r="CQ113">
        <f>IFERROR(SMALL(CQ39:CQ103,ROW()-ROW($CQ$106)+1),"")</f>
        <v>0</v>
      </c>
      <c r="CR113">
        <f>IFERROR(SMALL(CR39:CR103,ROW()-ROW($CR$106)+1),"")</f>
        <v>0</v>
      </c>
      <c r="CS113">
        <f>IFERROR(SMALL(CS39:CS103,ROW()-ROW($CS$106)+1),"")</f>
        <v>0</v>
      </c>
      <c r="CT113">
        <f>IFERROR(SMALL(CT39:CT103,ROW()-ROW($CT$106)+1),"")</f>
        <v>0</v>
      </c>
      <c r="CU113">
        <f>IFERROR(SMALL(CU39:CU103,ROW()-ROW($CU$106)+1),"")</f>
        <v>0</v>
      </c>
      <c r="CV113">
        <f>IFERROR(SMALL(CV39:CV103,ROW()-ROW($CV$106)+1),"")</f>
        <v>0</v>
      </c>
      <c r="CW113">
        <f>IFERROR(SMALL(CW39:CW103,ROW()-ROW($CW$106)+1),"")</f>
        <v>0</v>
      </c>
      <c r="CX113">
        <f>IFERROR(SMALL(CX39:CX103,ROW()-ROW($CX$106)+1),"")</f>
        <v>0</v>
      </c>
      <c r="CY113">
        <f>IFERROR(SMALL(CY39:CY103,ROW()-ROW($CY$106)+1),"")</f>
        <v>0</v>
      </c>
      <c r="CZ113">
        <f>IFERROR(SMALL(CZ39:CZ103,ROW()-ROW($CZ$106)+1),"")</f>
        <v>0</v>
      </c>
      <c r="DA113">
        <f>IFERROR(SMALL(DA39:DA103,ROW()-ROW($DA$106)+1),"")</f>
        <v>0</v>
      </c>
      <c r="DB113">
        <f>IFERROR(SMALL(DB39:DB103,ROW()-ROW($DB$106)+1),"")</f>
        <v>0</v>
      </c>
      <c r="DC113">
        <f>IFERROR(SMALL(DC39:DC103,ROW()-ROW($DC$106)+1),"")</f>
        <v>0</v>
      </c>
      <c r="DD113">
        <f>IFERROR(SMALL(DD39:DD103,ROW()-ROW($DD$106)+1),"")</f>
        <v>0</v>
      </c>
      <c r="DE113">
        <f>IFERROR(SMALL(DE39:DE103,ROW()-ROW($DE$106)+1),"")</f>
        <v>0</v>
      </c>
      <c r="DF113">
        <f>IFERROR(SMALL(DF39:DF103,ROW()-ROW($DF$106)+1),"")</f>
        <v>0</v>
      </c>
      <c r="DG113">
        <f>IFERROR(SMALL(DG39:DG103,ROW()-ROW($DG$106)+1),"")</f>
        <v>0</v>
      </c>
      <c r="DH113">
        <f>IFERROR(SMALL(DH39:DH103,ROW()-ROW($DH$106)+1),"")</f>
        <v>0</v>
      </c>
      <c r="DI113">
        <f>IFERROR(SMALL(DI39:DI103,ROW()-ROW($DI$106)+1),"")</f>
        <v>0</v>
      </c>
      <c r="DJ113">
        <f>IFERROR(SMALL(DJ39:DJ103,ROW()-ROW($DJ$106)+1),"")</f>
        <v>0</v>
      </c>
      <c r="DK113">
        <f>IFERROR(SMALL(DK39:DK103,ROW()-ROW($DK$106)+1),"")</f>
        <v>0</v>
      </c>
      <c r="DL113">
        <f>IFERROR(SMALL(DL39:DL103,ROW()-ROW($DL$106)+1),"")</f>
        <v>0</v>
      </c>
      <c r="DM113">
        <f>IFERROR(SMALL(DM39:DM103,ROW()-ROW($DM$106)+1),"")</f>
        <v>0</v>
      </c>
      <c r="DN113">
        <f>IFERROR(SMALL(DN39:DN103,ROW()-ROW($DN$106)+1),"")</f>
        <v>0</v>
      </c>
      <c r="DO113">
        <f>IFERROR(SMALL(DO39:DO103,ROW()-ROW($DO$106)+1),"")</f>
        <v>0</v>
      </c>
      <c r="DP113">
        <f>IFERROR(SMALL(DP39:DP103,ROW()-ROW($DP$106)+1),"")</f>
        <v>0</v>
      </c>
      <c r="DQ113">
        <f>IFERROR(SMALL(DQ39:DQ103,ROW()-ROW($DQ$106)+1),"")</f>
        <v>0</v>
      </c>
      <c r="DR113">
        <f>IFERROR(SMALL(DR39:DR103,ROW()-ROW($DR$106)+1),"")</f>
        <v>0</v>
      </c>
      <c r="DS113">
        <f>IFERROR(SMALL(DS39:DS103,ROW()-ROW($DS$106)+1),"")</f>
        <v>0</v>
      </c>
      <c r="DT113">
        <f>IFERROR(SMALL(DT39:DT103,ROW()-ROW($DT$106)+1),"")</f>
        <v>0</v>
      </c>
      <c r="DU113">
        <f>IFERROR(SMALL(DU39:DU103,ROW()-ROW($DU$106)+1),"")</f>
        <v>0</v>
      </c>
      <c r="DV113">
        <f>IFERROR(SMALL(DV39:DV103,ROW()-ROW($DV$106)+1),"")</f>
        <v>0</v>
      </c>
      <c r="DW113">
        <f>IFERROR(SMALL(DW39:DW103,ROW()-ROW($DW$106)+1),"")</f>
        <v>0</v>
      </c>
      <c r="DX113">
        <f>IFERROR(SMALL(DX39:DX103,ROW()-ROW($DX$106)+1),"")</f>
        <v>0</v>
      </c>
      <c r="DY113">
        <f>IFERROR(SMALL(DY39:DY103,ROW()-ROW($DY$106)+1),"")</f>
        <v>0</v>
      </c>
      <c r="DZ113">
        <f>IFERROR(SMALL(DZ39:DZ103,ROW()-ROW($DZ$106)+1),"")</f>
        <v>0</v>
      </c>
      <c r="EA113">
        <f>IFERROR(SMALL(EA39:EA103,ROW()-ROW($EA$106)+1),"")</f>
        <v>0</v>
      </c>
      <c r="EB113">
        <f>IFERROR(SMALL(EB39:EB103,ROW()-ROW($EB$106)+1),"")</f>
        <v>0</v>
      </c>
      <c r="EC113">
        <f>IFERROR(SMALL(EC39:EC103,ROW()-ROW($EC$106)+1),"")</f>
        <v>0</v>
      </c>
      <c r="ED113">
        <f>IFERROR(SMALL(ED39:ED103,ROW()-ROW($ED$106)+1),"")</f>
        <v>0</v>
      </c>
    </row>
    <row r="114" spans="5:134">
      <c r="E114">
        <f>IFERROR(SMALL(E39:E103,ROW()-ROW($E$106)+1),"")</f>
        <v>0</v>
      </c>
      <c r="F114">
        <f>IFERROR(SMALL(F39:F103,ROW()-ROW($F$106)+1),"")</f>
        <v>0</v>
      </c>
      <c r="G114">
        <f>IFERROR(SMALL(G39:G103,ROW()-ROW($G$106)+1),"")</f>
        <v>0</v>
      </c>
      <c r="H114">
        <f>IFERROR(SMALL(H39:H103,ROW()-ROW($H$106)+1),"")</f>
        <v>0</v>
      </c>
      <c r="I114">
        <f>IFERROR(SMALL(I39:I103,ROW()-ROW($I$106)+1),"")</f>
        <v>0</v>
      </c>
      <c r="J114">
        <f>IFERROR(SMALL(J39:J103,ROW()-ROW($J$106)+1),"")</f>
        <v>0</v>
      </c>
      <c r="K114">
        <f>IFERROR(SMALL(K39:K103,ROW()-ROW($K$106)+1),"")</f>
        <v>0</v>
      </c>
      <c r="L114">
        <f>IFERROR(SMALL(L39:L103,ROW()-ROW($L$106)+1),"")</f>
        <v>0</v>
      </c>
      <c r="M114">
        <f>IFERROR(SMALL(M39:M103,ROW()-ROW($M$106)+1),"")</f>
        <v>0</v>
      </c>
      <c r="N114">
        <f>IFERROR(SMALL(N39:N103,ROW()-ROW($N$106)+1),"")</f>
        <v>0</v>
      </c>
      <c r="O114">
        <f>IFERROR(SMALL(O39:O103,ROW()-ROW($O$106)+1),"")</f>
        <v>0</v>
      </c>
      <c r="P114">
        <f>IFERROR(SMALL(P39:P103,ROW()-ROW($P$106)+1),"")</f>
        <v>0</v>
      </c>
      <c r="Q114">
        <f>IFERROR(SMALL(Q39:Q103,ROW()-ROW($Q$106)+1),"")</f>
        <v>0</v>
      </c>
      <c r="R114">
        <f>IFERROR(SMALL(R39:R103,ROW()-ROW($R$106)+1),"")</f>
        <v>0</v>
      </c>
      <c r="S114">
        <f>IFERROR(SMALL(S39:S103,ROW()-ROW($S$106)+1),"")</f>
        <v>0</v>
      </c>
      <c r="T114">
        <f>IFERROR(SMALL(T39:T103,ROW()-ROW($T$106)+1),"")</f>
        <v>0</v>
      </c>
      <c r="U114">
        <f>IFERROR(SMALL(U39:U103,ROW()-ROW($U$106)+1),"")</f>
        <v>0</v>
      </c>
      <c r="V114">
        <f>IFERROR(SMALL(V39:V103,ROW()-ROW($V$106)+1),"")</f>
        <v>0</v>
      </c>
      <c r="W114">
        <f>IFERROR(SMALL(W39:W103,ROW()-ROW($W$106)+1),"")</f>
        <v>0</v>
      </c>
      <c r="X114">
        <f>IFERROR(SMALL(X39:X103,ROW()-ROW($X$106)+1),"")</f>
        <v>0</v>
      </c>
      <c r="Y114">
        <f>IFERROR(SMALL(Y39:Y103,ROW()-ROW($Y$106)+1),"")</f>
        <v>0</v>
      </c>
      <c r="Z114">
        <f>IFERROR(SMALL(Z39:Z103,ROW()-ROW($Z$106)+1),"")</f>
        <v>0</v>
      </c>
      <c r="AA114">
        <f>IFERROR(SMALL(AA39:AA103,ROW()-ROW($AA$106)+1),"")</f>
        <v>0</v>
      </c>
      <c r="AB114">
        <f>IFERROR(SMALL(AB39:AB103,ROW()-ROW($AB$106)+1),"")</f>
        <v>0</v>
      </c>
      <c r="AC114">
        <f>IFERROR(SMALL(AC39:AC103,ROW()-ROW($AC$106)+1),"")</f>
        <v>0</v>
      </c>
      <c r="AD114">
        <f>IFERROR(SMALL(AD39:AD103,ROW()-ROW($AD$106)+1),"")</f>
        <v>0</v>
      </c>
      <c r="AE114">
        <f>IFERROR(SMALL(AE39:AE103,ROW()-ROW($AE$106)+1),"")</f>
        <v>0</v>
      </c>
      <c r="AF114">
        <f>IFERROR(SMALL(AF39:AF103,ROW()-ROW($AF$106)+1),"")</f>
        <v>0</v>
      </c>
      <c r="AG114">
        <f>IFERROR(SMALL(AG39:AG103,ROW()-ROW($AG$106)+1),"")</f>
        <v>0</v>
      </c>
      <c r="AH114">
        <f>IFERROR(SMALL(AH39:AH103,ROW()-ROW($AH$106)+1),"")</f>
        <v>0</v>
      </c>
      <c r="AI114">
        <f>IFERROR(SMALL(AI39:AI103,ROW()-ROW($AI$106)+1),"")</f>
        <v>0</v>
      </c>
      <c r="AJ114">
        <f>IFERROR(SMALL(AJ39:AJ103,ROW()-ROW($AJ$106)+1),"")</f>
        <v>0</v>
      </c>
      <c r="AK114">
        <f>IFERROR(SMALL(AK39:AK103,ROW()-ROW($AK$106)+1),"")</f>
        <v>0</v>
      </c>
      <c r="AL114">
        <f>IFERROR(SMALL(AL39:AL103,ROW()-ROW($AL$106)+1),"")</f>
        <v>0</v>
      </c>
      <c r="AM114">
        <f>IFERROR(SMALL(AM39:AM103,ROW()-ROW($AM$106)+1),"")</f>
        <v>0</v>
      </c>
      <c r="AN114">
        <f>IFERROR(SMALL(AN39:AN103,ROW()-ROW($AN$106)+1),"")</f>
        <v>0</v>
      </c>
      <c r="AO114">
        <f>IFERROR(SMALL(AO39:AO103,ROW()-ROW($AO$106)+1),"")</f>
        <v>0</v>
      </c>
      <c r="AP114">
        <f>IFERROR(SMALL(AP39:AP103,ROW()-ROW($AP$106)+1),"")</f>
        <v>0</v>
      </c>
      <c r="AQ114">
        <f>IFERROR(SMALL(AQ39:AQ103,ROW()-ROW($AQ$106)+1),"")</f>
        <v>0</v>
      </c>
      <c r="AR114">
        <f>IFERROR(SMALL(AR39:AR103,ROW()-ROW($AR$106)+1),"")</f>
        <v>0</v>
      </c>
      <c r="AS114">
        <f>IFERROR(SMALL(AS39:AS103,ROW()-ROW($AS$106)+1),"")</f>
        <v>0</v>
      </c>
      <c r="AT114">
        <f>IFERROR(SMALL(AT39:AT103,ROW()-ROW($AT$106)+1),"")</f>
        <v>0</v>
      </c>
      <c r="AU114">
        <f>IFERROR(SMALL(AU39:AU103,ROW()-ROW($AU$106)+1),"")</f>
        <v>0</v>
      </c>
      <c r="AV114">
        <f>IFERROR(SMALL(AV39:AV103,ROW()-ROW($AV$106)+1),"")</f>
        <v>0</v>
      </c>
      <c r="AW114">
        <f>IFERROR(SMALL(AW39:AW103,ROW()-ROW($AW$106)+1),"")</f>
        <v>0</v>
      </c>
      <c r="AX114">
        <f>IFERROR(SMALL(AX39:AX103,ROW()-ROW($AX$106)+1),"")</f>
        <v>0</v>
      </c>
      <c r="AY114">
        <f>IFERROR(SMALL(AY39:AY103,ROW()-ROW($AY$106)+1),"")</f>
        <v>0</v>
      </c>
      <c r="AZ114">
        <f>IFERROR(SMALL(AZ39:AZ103,ROW()-ROW($AZ$106)+1),"")</f>
        <v>0</v>
      </c>
      <c r="BA114">
        <f>IFERROR(SMALL(BA39:BA103,ROW()-ROW($BA$106)+1),"")</f>
        <v>0</v>
      </c>
      <c r="BB114">
        <f>IFERROR(SMALL(BB39:BB103,ROW()-ROW($BB$106)+1),"")</f>
        <v>0</v>
      </c>
      <c r="BC114">
        <f>IFERROR(SMALL(BC39:BC103,ROW()-ROW($BC$106)+1),"")</f>
        <v>0</v>
      </c>
      <c r="BD114">
        <f>IFERROR(SMALL(BD39:BD103,ROW()-ROW($BD$106)+1),"")</f>
        <v>0</v>
      </c>
      <c r="BE114">
        <f>IFERROR(SMALL(BE39:BE103,ROW()-ROW($BE$106)+1),"")</f>
        <v>0</v>
      </c>
      <c r="BF114">
        <f>IFERROR(SMALL(BF39:BF103,ROW()-ROW($BF$106)+1),"")</f>
        <v>0</v>
      </c>
      <c r="BG114">
        <f>IFERROR(SMALL(BG39:BG103,ROW()-ROW($BG$106)+1),"")</f>
        <v>0</v>
      </c>
      <c r="BH114">
        <f>IFERROR(SMALL(BH39:BH103,ROW()-ROW($BH$106)+1),"")</f>
        <v>0</v>
      </c>
      <c r="BI114">
        <f>IFERROR(SMALL(BI39:BI103,ROW()-ROW($BI$106)+1),"")</f>
        <v>0</v>
      </c>
      <c r="BJ114">
        <f>IFERROR(SMALL(BJ39:BJ103,ROW()-ROW($BJ$106)+1),"")</f>
        <v>0</v>
      </c>
      <c r="BK114">
        <f>IFERROR(SMALL(BK39:BK103,ROW()-ROW($BK$106)+1),"")</f>
        <v>0</v>
      </c>
      <c r="BL114">
        <f>IFERROR(SMALL(BL39:BL103,ROW()-ROW($BL$106)+1),"")</f>
        <v>0</v>
      </c>
      <c r="BM114">
        <f>IFERROR(SMALL(BM39:BM103,ROW()-ROW($BM$106)+1),"")</f>
        <v>0</v>
      </c>
      <c r="BN114">
        <f>IFERROR(SMALL(BN39:BN103,ROW()-ROW($BN$106)+1),"")</f>
        <v>0</v>
      </c>
      <c r="BO114">
        <f>IFERROR(SMALL(BO39:BO103,ROW()-ROW($BO$106)+1),"")</f>
        <v>0</v>
      </c>
      <c r="BP114">
        <f>IFERROR(SMALL(BP39:BP103,ROW()-ROW($BP$106)+1),"")</f>
        <v>0</v>
      </c>
      <c r="BS114">
        <f>IFERROR(SMALL(BS39:BS103,ROW()-ROW($BS$106)+1),"")</f>
        <v>0</v>
      </c>
      <c r="BT114">
        <f>IFERROR(SMALL(BT39:BT103,ROW()-ROW($BT$106)+1),"")</f>
        <v>0</v>
      </c>
      <c r="BU114">
        <f>IFERROR(SMALL(BU39:BU103,ROW()-ROW($BU$106)+1),"")</f>
        <v>0</v>
      </c>
      <c r="BV114">
        <f>IFERROR(SMALL(BV39:BV103,ROW()-ROW($BV$106)+1),"")</f>
        <v>0</v>
      </c>
      <c r="BW114">
        <f>IFERROR(SMALL(BW39:BW103,ROW()-ROW($BW$106)+1),"")</f>
        <v>0</v>
      </c>
      <c r="BX114">
        <f>IFERROR(SMALL(BX39:BX103,ROW()-ROW($BX$106)+1),"")</f>
        <v>0</v>
      </c>
      <c r="BY114">
        <f>IFERROR(SMALL(BY39:BY103,ROW()-ROW($BY$106)+1),"")</f>
        <v>0</v>
      </c>
      <c r="BZ114">
        <f>IFERROR(SMALL(BZ39:BZ103,ROW()-ROW($BZ$106)+1),"")</f>
        <v>0</v>
      </c>
      <c r="CA114">
        <f>IFERROR(SMALL(CA39:CA103,ROW()-ROW($CA$106)+1),"")</f>
        <v>0</v>
      </c>
      <c r="CB114">
        <f>IFERROR(SMALL(CB39:CB103,ROW()-ROW($CB$106)+1),"")</f>
        <v>0</v>
      </c>
      <c r="CC114">
        <f>IFERROR(SMALL(CC39:CC103,ROW()-ROW($CC$106)+1),"")</f>
        <v>0</v>
      </c>
      <c r="CD114">
        <f>IFERROR(SMALL(CD39:CD103,ROW()-ROW($CD$106)+1),"")</f>
        <v>0</v>
      </c>
      <c r="CE114">
        <f>IFERROR(SMALL(CE39:CE103,ROW()-ROW($CE$106)+1),"")</f>
        <v>0</v>
      </c>
      <c r="CF114">
        <f>IFERROR(SMALL(CF39:CF103,ROW()-ROW($CF$106)+1),"")</f>
        <v>0</v>
      </c>
      <c r="CG114">
        <f>IFERROR(SMALL(CG39:CG103,ROW()-ROW($CG$106)+1),"")</f>
        <v>0</v>
      </c>
      <c r="CH114">
        <f>IFERROR(SMALL(CH39:CH103,ROW()-ROW($CH$106)+1),"")</f>
        <v>0</v>
      </c>
      <c r="CI114">
        <f>IFERROR(SMALL(CI39:CI103,ROW()-ROW($CI$106)+1),"")</f>
        <v>0</v>
      </c>
      <c r="CJ114">
        <f>IFERROR(SMALL(CJ39:CJ103,ROW()-ROW($CJ$106)+1),"")</f>
        <v>0</v>
      </c>
      <c r="CK114">
        <f>IFERROR(SMALL(CK39:CK103,ROW()-ROW($CK$106)+1),"")</f>
        <v>0</v>
      </c>
      <c r="CL114">
        <f>IFERROR(SMALL(CL39:CL103,ROW()-ROW($CL$106)+1),"")</f>
        <v>0</v>
      </c>
      <c r="CM114">
        <f>IFERROR(SMALL(CM39:CM103,ROW()-ROW($CM$106)+1),"")</f>
        <v>0</v>
      </c>
      <c r="CN114">
        <f>IFERROR(SMALL(CN39:CN103,ROW()-ROW($CN$106)+1),"")</f>
        <v>0</v>
      </c>
      <c r="CO114">
        <f>IFERROR(SMALL(CO39:CO103,ROW()-ROW($CO$106)+1),"")</f>
        <v>0</v>
      </c>
      <c r="CP114">
        <f>IFERROR(SMALL(CP39:CP103,ROW()-ROW($CP$106)+1),"")</f>
        <v>0</v>
      </c>
      <c r="CQ114">
        <f>IFERROR(SMALL(CQ39:CQ103,ROW()-ROW($CQ$106)+1),"")</f>
        <v>0</v>
      </c>
      <c r="CR114">
        <f>IFERROR(SMALL(CR39:CR103,ROW()-ROW($CR$106)+1),"")</f>
        <v>0</v>
      </c>
      <c r="CS114">
        <f>IFERROR(SMALL(CS39:CS103,ROW()-ROW($CS$106)+1),"")</f>
        <v>0</v>
      </c>
      <c r="CT114">
        <f>IFERROR(SMALL(CT39:CT103,ROW()-ROW($CT$106)+1),"")</f>
        <v>0</v>
      </c>
      <c r="CU114">
        <f>IFERROR(SMALL(CU39:CU103,ROW()-ROW($CU$106)+1),"")</f>
        <v>0</v>
      </c>
      <c r="CV114">
        <f>IFERROR(SMALL(CV39:CV103,ROW()-ROW($CV$106)+1),"")</f>
        <v>0</v>
      </c>
      <c r="CW114">
        <f>IFERROR(SMALL(CW39:CW103,ROW()-ROW($CW$106)+1),"")</f>
        <v>0</v>
      </c>
      <c r="CX114">
        <f>IFERROR(SMALL(CX39:CX103,ROW()-ROW($CX$106)+1),"")</f>
        <v>0</v>
      </c>
      <c r="CY114">
        <f>IFERROR(SMALL(CY39:CY103,ROW()-ROW($CY$106)+1),"")</f>
        <v>0</v>
      </c>
      <c r="CZ114">
        <f>IFERROR(SMALL(CZ39:CZ103,ROW()-ROW($CZ$106)+1),"")</f>
        <v>0</v>
      </c>
      <c r="DA114">
        <f>IFERROR(SMALL(DA39:DA103,ROW()-ROW($DA$106)+1),"")</f>
        <v>0</v>
      </c>
      <c r="DB114">
        <f>IFERROR(SMALL(DB39:DB103,ROW()-ROW($DB$106)+1),"")</f>
        <v>0</v>
      </c>
      <c r="DC114">
        <f>IFERROR(SMALL(DC39:DC103,ROW()-ROW($DC$106)+1),"")</f>
        <v>0</v>
      </c>
      <c r="DD114">
        <f>IFERROR(SMALL(DD39:DD103,ROW()-ROW($DD$106)+1),"")</f>
        <v>0</v>
      </c>
      <c r="DE114">
        <f>IFERROR(SMALL(DE39:DE103,ROW()-ROW($DE$106)+1),"")</f>
        <v>0</v>
      </c>
      <c r="DF114">
        <f>IFERROR(SMALL(DF39:DF103,ROW()-ROW($DF$106)+1),"")</f>
        <v>0</v>
      </c>
      <c r="DG114">
        <f>IFERROR(SMALL(DG39:DG103,ROW()-ROW($DG$106)+1),"")</f>
        <v>0</v>
      </c>
      <c r="DH114">
        <f>IFERROR(SMALL(DH39:DH103,ROW()-ROW($DH$106)+1),"")</f>
        <v>0</v>
      </c>
      <c r="DI114">
        <f>IFERROR(SMALL(DI39:DI103,ROW()-ROW($DI$106)+1),"")</f>
        <v>0</v>
      </c>
      <c r="DJ114">
        <f>IFERROR(SMALL(DJ39:DJ103,ROW()-ROW($DJ$106)+1),"")</f>
        <v>0</v>
      </c>
      <c r="DK114">
        <f>IFERROR(SMALL(DK39:DK103,ROW()-ROW($DK$106)+1),"")</f>
        <v>0</v>
      </c>
      <c r="DL114">
        <f>IFERROR(SMALL(DL39:DL103,ROW()-ROW($DL$106)+1),"")</f>
        <v>0</v>
      </c>
      <c r="DM114">
        <f>IFERROR(SMALL(DM39:DM103,ROW()-ROW($DM$106)+1),"")</f>
        <v>0</v>
      </c>
      <c r="DN114">
        <f>IFERROR(SMALL(DN39:DN103,ROW()-ROW($DN$106)+1),"")</f>
        <v>0</v>
      </c>
      <c r="DO114">
        <f>IFERROR(SMALL(DO39:DO103,ROW()-ROW($DO$106)+1),"")</f>
        <v>0</v>
      </c>
      <c r="DP114">
        <f>IFERROR(SMALL(DP39:DP103,ROW()-ROW($DP$106)+1),"")</f>
        <v>0</v>
      </c>
      <c r="DQ114">
        <f>IFERROR(SMALL(DQ39:DQ103,ROW()-ROW($DQ$106)+1),"")</f>
        <v>0</v>
      </c>
      <c r="DR114">
        <f>IFERROR(SMALL(DR39:DR103,ROW()-ROW($DR$106)+1),"")</f>
        <v>0</v>
      </c>
      <c r="DS114">
        <f>IFERROR(SMALL(DS39:DS103,ROW()-ROW($DS$106)+1),"")</f>
        <v>0</v>
      </c>
      <c r="DT114">
        <f>IFERROR(SMALL(DT39:DT103,ROW()-ROW($DT$106)+1),"")</f>
        <v>0</v>
      </c>
      <c r="DU114">
        <f>IFERROR(SMALL(DU39:DU103,ROW()-ROW($DU$106)+1),"")</f>
        <v>0</v>
      </c>
      <c r="DV114">
        <f>IFERROR(SMALL(DV39:DV103,ROW()-ROW($DV$106)+1),"")</f>
        <v>0</v>
      </c>
      <c r="DW114">
        <f>IFERROR(SMALL(DW39:DW103,ROW()-ROW($DW$106)+1),"")</f>
        <v>0</v>
      </c>
      <c r="DX114">
        <f>IFERROR(SMALL(DX39:DX103,ROW()-ROW($DX$106)+1),"")</f>
        <v>0</v>
      </c>
      <c r="DY114">
        <f>IFERROR(SMALL(DY39:DY103,ROW()-ROW($DY$106)+1),"")</f>
        <v>0</v>
      </c>
      <c r="DZ114">
        <f>IFERROR(SMALL(DZ39:DZ103,ROW()-ROW($DZ$106)+1),"")</f>
        <v>0</v>
      </c>
      <c r="EA114">
        <f>IFERROR(SMALL(EA39:EA103,ROW()-ROW($EA$106)+1),"")</f>
        <v>0</v>
      </c>
      <c r="EB114">
        <f>IFERROR(SMALL(EB39:EB103,ROW()-ROW($EB$106)+1),"")</f>
        <v>0</v>
      </c>
      <c r="EC114">
        <f>IFERROR(SMALL(EC39:EC103,ROW()-ROW($EC$106)+1),"")</f>
        <v>0</v>
      </c>
      <c r="ED114">
        <f>IFERROR(SMALL(ED39:ED103,ROW()-ROW($ED$106)+1),"")</f>
        <v>0</v>
      </c>
    </row>
    <row r="115" spans="5:134">
      <c r="E115">
        <f>IFERROR(SMALL(E39:E103,ROW()-ROW($E$106)+1),"")</f>
        <v>0</v>
      </c>
      <c r="F115">
        <f>IFERROR(SMALL(F39:F103,ROW()-ROW($F$106)+1),"")</f>
        <v>0</v>
      </c>
      <c r="G115">
        <f>IFERROR(SMALL(G39:G103,ROW()-ROW($G$106)+1),"")</f>
        <v>0</v>
      </c>
      <c r="H115">
        <f>IFERROR(SMALL(H39:H103,ROW()-ROW($H$106)+1),"")</f>
        <v>0</v>
      </c>
      <c r="I115">
        <f>IFERROR(SMALL(I39:I103,ROW()-ROW($I$106)+1),"")</f>
        <v>0</v>
      </c>
      <c r="J115">
        <f>IFERROR(SMALL(J39:J103,ROW()-ROW($J$106)+1),"")</f>
        <v>0</v>
      </c>
      <c r="K115">
        <f>IFERROR(SMALL(K39:K103,ROW()-ROW($K$106)+1),"")</f>
        <v>0</v>
      </c>
      <c r="L115">
        <f>IFERROR(SMALL(L39:L103,ROW()-ROW($L$106)+1),"")</f>
        <v>0</v>
      </c>
      <c r="M115">
        <f>IFERROR(SMALL(M39:M103,ROW()-ROW($M$106)+1),"")</f>
        <v>0</v>
      </c>
      <c r="N115">
        <f>IFERROR(SMALL(N39:N103,ROW()-ROW($N$106)+1),"")</f>
        <v>0</v>
      </c>
      <c r="O115">
        <f>IFERROR(SMALL(O39:O103,ROW()-ROW($O$106)+1),"")</f>
        <v>0</v>
      </c>
      <c r="P115">
        <f>IFERROR(SMALL(P39:P103,ROW()-ROW($P$106)+1),"")</f>
        <v>0</v>
      </c>
      <c r="Q115">
        <f>IFERROR(SMALL(Q39:Q103,ROW()-ROW($Q$106)+1),"")</f>
        <v>0</v>
      </c>
      <c r="R115">
        <f>IFERROR(SMALL(R39:R103,ROW()-ROW($R$106)+1),"")</f>
        <v>0</v>
      </c>
      <c r="S115">
        <f>IFERROR(SMALL(S39:S103,ROW()-ROW($S$106)+1),"")</f>
        <v>0</v>
      </c>
      <c r="T115">
        <f>IFERROR(SMALL(T39:T103,ROW()-ROW($T$106)+1),"")</f>
        <v>0</v>
      </c>
      <c r="U115">
        <f>IFERROR(SMALL(U39:U103,ROW()-ROW($U$106)+1),"")</f>
        <v>0</v>
      </c>
      <c r="V115">
        <f>IFERROR(SMALL(V39:V103,ROW()-ROW($V$106)+1),"")</f>
        <v>0</v>
      </c>
      <c r="W115">
        <f>IFERROR(SMALL(W39:W103,ROW()-ROW($W$106)+1),"")</f>
        <v>0</v>
      </c>
      <c r="X115">
        <f>IFERROR(SMALL(X39:X103,ROW()-ROW($X$106)+1),"")</f>
        <v>0</v>
      </c>
      <c r="Y115">
        <f>IFERROR(SMALL(Y39:Y103,ROW()-ROW($Y$106)+1),"")</f>
        <v>0</v>
      </c>
      <c r="Z115">
        <f>IFERROR(SMALL(Z39:Z103,ROW()-ROW($Z$106)+1),"")</f>
        <v>0</v>
      </c>
      <c r="AA115">
        <f>IFERROR(SMALL(AA39:AA103,ROW()-ROW($AA$106)+1),"")</f>
        <v>0</v>
      </c>
      <c r="AB115">
        <f>IFERROR(SMALL(AB39:AB103,ROW()-ROW($AB$106)+1),"")</f>
        <v>0</v>
      </c>
      <c r="AC115">
        <f>IFERROR(SMALL(AC39:AC103,ROW()-ROW($AC$106)+1),"")</f>
        <v>0</v>
      </c>
      <c r="AD115">
        <f>IFERROR(SMALL(AD39:AD103,ROW()-ROW($AD$106)+1),"")</f>
        <v>0</v>
      </c>
      <c r="AE115">
        <f>IFERROR(SMALL(AE39:AE103,ROW()-ROW($AE$106)+1),"")</f>
        <v>0</v>
      </c>
      <c r="AF115">
        <f>IFERROR(SMALL(AF39:AF103,ROW()-ROW($AF$106)+1),"")</f>
        <v>0</v>
      </c>
      <c r="AG115">
        <f>IFERROR(SMALL(AG39:AG103,ROW()-ROW($AG$106)+1),"")</f>
        <v>0</v>
      </c>
      <c r="AH115">
        <f>IFERROR(SMALL(AH39:AH103,ROW()-ROW($AH$106)+1),"")</f>
        <v>0</v>
      </c>
      <c r="AI115">
        <f>IFERROR(SMALL(AI39:AI103,ROW()-ROW($AI$106)+1),"")</f>
        <v>0</v>
      </c>
      <c r="AJ115">
        <f>IFERROR(SMALL(AJ39:AJ103,ROW()-ROW($AJ$106)+1),"")</f>
        <v>0</v>
      </c>
      <c r="AK115">
        <f>IFERROR(SMALL(AK39:AK103,ROW()-ROW($AK$106)+1),"")</f>
        <v>0</v>
      </c>
      <c r="AL115">
        <f>IFERROR(SMALL(AL39:AL103,ROW()-ROW($AL$106)+1),"")</f>
        <v>0</v>
      </c>
      <c r="AM115">
        <f>IFERROR(SMALL(AM39:AM103,ROW()-ROW($AM$106)+1),"")</f>
        <v>0</v>
      </c>
      <c r="AN115">
        <f>IFERROR(SMALL(AN39:AN103,ROW()-ROW($AN$106)+1),"")</f>
        <v>0</v>
      </c>
      <c r="AO115">
        <f>IFERROR(SMALL(AO39:AO103,ROW()-ROW($AO$106)+1),"")</f>
        <v>0</v>
      </c>
      <c r="AP115">
        <f>IFERROR(SMALL(AP39:AP103,ROW()-ROW($AP$106)+1),"")</f>
        <v>0</v>
      </c>
      <c r="AQ115">
        <f>IFERROR(SMALL(AQ39:AQ103,ROW()-ROW($AQ$106)+1),"")</f>
        <v>0</v>
      </c>
      <c r="AR115">
        <f>IFERROR(SMALL(AR39:AR103,ROW()-ROW($AR$106)+1),"")</f>
        <v>0</v>
      </c>
      <c r="AS115">
        <f>IFERROR(SMALL(AS39:AS103,ROW()-ROW($AS$106)+1),"")</f>
        <v>0</v>
      </c>
      <c r="AT115">
        <f>IFERROR(SMALL(AT39:AT103,ROW()-ROW($AT$106)+1),"")</f>
        <v>0</v>
      </c>
      <c r="AU115">
        <f>IFERROR(SMALL(AU39:AU103,ROW()-ROW($AU$106)+1),"")</f>
        <v>0</v>
      </c>
      <c r="AV115">
        <f>IFERROR(SMALL(AV39:AV103,ROW()-ROW($AV$106)+1),"")</f>
        <v>0</v>
      </c>
      <c r="AW115">
        <f>IFERROR(SMALL(AW39:AW103,ROW()-ROW($AW$106)+1),"")</f>
        <v>0</v>
      </c>
      <c r="AX115">
        <f>IFERROR(SMALL(AX39:AX103,ROW()-ROW($AX$106)+1),"")</f>
        <v>0</v>
      </c>
      <c r="AY115">
        <f>IFERROR(SMALL(AY39:AY103,ROW()-ROW($AY$106)+1),"")</f>
        <v>0</v>
      </c>
      <c r="AZ115">
        <f>IFERROR(SMALL(AZ39:AZ103,ROW()-ROW($AZ$106)+1),"")</f>
        <v>0</v>
      </c>
      <c r="BA115">
        <f>IFERROR(SMALL(BA39:BA103,ROW()-ROW($BA$106)+1),"")</f>
        <v>0</v>
      </c>
      <c r="BB115">
        <f>IFERROR(SMALL(BB39:BB103,ROW()-ROW($BB$106)+1),"")</f>
        <v>0</v>
      </c>
      <c r="BC115">
        <f>IFERROR(SMALL(BC39:BC103,ROW()-ROW($BC$106)+1),"")</f>
        <v>0</v>
      </c>
      <c r="BD115">
        <f>IFERROR(SMALL(BD39:BD103,ROW()-ROW($BD$106)+1),"")</f>
        <v>0</v>
      </c>
      <c r="BE115">
        <f>IFERROR(SMALL(BE39:BE103,ROW()-ROW($BE$106)+1),"")</f>
        <v>0</v>
      </c>
      <c r="BF115">
        <f>IFERROR(SMALL(BF39:BF103,ROW()-ROW($BF$106)+1),"")</f>
        <v>0</v>
      </c>
      <c r="BG115">
        <f>IFERROR(SMALL(BG39:BG103,ROW()-ROW($BG$106)+1),"")</f>
        <v>0</v>
      </c>
      <c r="BH115">
        <f>IFERROR(SMALL(BH39:BH103,ROW()-ROW($BH$106)+1),"")</f>
        <v>0</v>
      </c>
      <c r="BI115">
        <f>IFERROR(SMALL(BI39:BI103,ROW()-ROW($BI$106)+1),"")</f>
        <v>0</v>
      </c>
      <c r="BJ115">
        <f>IFERROR(SMALL(BJ39:BJ103,ROW()-ROW($BJ$106)+1),"")</f>
        <v>0</v>
      </c>
      <c r="BK115">
        <f>IFERROR(SMALL(BK39:BK103,ROW()-ROW($BK$106)+1),"")</f>
        <v>0</v>
      </c>
      <c r="BL115">
        <f>IFERROR(SMALL(BL39:BL103,ROW()-ROW($BL$106)+1),"")</f>
        <v>0</v>
      </c>
      <c r="BM115">
        <f>IFERROR(SMALL(BM39:BM103,ROW()-ROW($BM$106)+1),"")</f>
        <v>0</v>
      </c>
      <c r="BN115">
        <f>IFERROR(SMALL(BN39:BN103,ROW()-ROW($BN$106)+1),"")</f>
        <v>0</v>
      </c>
      <c r="BO115">
        <f>IFERROR(SMALL(BO39:BO103,ROW()-ROW($BO$106)+1),"")</f>
        <v>0</v>
      </c>
      <c r="BP115">
        <f>IFERROR(SMALL(BP39:BP103,ROW()-ROW($BP$106)+1),"")</f>
        <v>0</v>
      </c>
      <c r="BS115">
        <f>IFERROR(SMALL(BS39:BS103,ROW()-ROW($BS$106)+1),"")</f>
        <v>0</v>
      </c>
      <c r="BT115">
        <f>IFERROR(SMALL(BT39:BT103,ROW()-ROW($BT$106)+1),"")</f>
        <v>0</v>
      </c>
      <c r="BU115">
        <f>IFERROR(SMALL(BU39:BU103,ROW()-ROW($BU$106)+1),"")</f>
        <v>0</v>
      </c>
      <c r="BV115">
        <f>IFERROR(SMALL(BV39:BV103,ROW()-ROW($BV$106)+1),"")</f>
        <v>0</v>
      </c>
      <c r="BW115">
        <f>IFERROR(SMALL(BW39:BW103,ROW()-ROW($BW$106)+1),"")</f>
        <v>0</v>
      </c>
      <c r="BX115">
        <f>IFERROR(SMALL(BX39:BX103,ROW()-ROW($BX$106)+1),"")</f>
        <v>0</v>
      </c>
      <c r="BY115">
        <f>IFERROR(SMALL(BY39:BY103,ROW()-ROW($BY$106)+1),"")</f>
        <v>0</v>
      </c>
      <c r="BZ115">
        <f>IFERROR(SMALL(BZ39:BZ103,ROW()-ROW($BZ$106)+1),"")</f>
        <v>0</v>
      </c>
      <c r="CA115">
        <f>IFERROR(SMALL(CA39:CA103,ROW()-ROW($CA$106)+1),"")</f>
        <v>0</v>
      </c>
      <c r="CB115">
        <f>IFERROR(SMALL(CB39:CB103,ROW()-ROW($CB$106)+1),"")</f>
        <v>0</v>
      </c>
      <c r="CC115">
        <f>IFERROR(SMALL(CC39:CC103,ROW()-ROW($CC$106)+1),"")</f>
        <v>0</v>
      </c>
      <c r="CD115">
        <f>IFERROR(SMALL(CD39:CD103,ROW()-ROW($CD$106)+1),"")</f>
        <v>0</v>
      </c>
      <c r="CE115">
        <f>IFERROR(SMALL(CE39:CE103,ROW()-ROW($CE$106)+1),"")</f>
        <v>0</v>
      </c>
      <c r="CF115">
        <f>IFERROR(SMALL(CF39:CF103,ROW()-ROW($CF$106)+1),"")</f>
        <v>0</v>
      </c>
      <c r="CG115">
        <f>IFERROR(SMALL(CG39:CG103,ROW()-ROW($CG$106)+1),"")</f>
        <v>0</v>
      </c>
      <c r="CH115">
        <f>IFERROR(SMALL(CH39:CH103,ROW()-ROW($CH$106)+1),"")</f>
        <v>0</v>
      </c>
      <c r="CI115">
        <f>IFERROR(SMALL(CI39:CI103,ROW()-ROW($CI$106)+1),"")</f>
        <v>0</v>
      </c>
      <c r="CJ115">
        <f>IFERROR(SMALL(CJ39:CJ103,ROW()-ROW($CJ$106)+1),"")</f>
        <v>0</v>
      </c>
      <c r="CK115">
        <f>IFERROR(SMALL(CK39:CK103,ROW()-ROW($CK$106)+1),"")</f>
        <v>0</v>
      </c>
      <c r="CL115">
        <f>IFERROR(SMALL(CL39:CL103,ROW()-ROW($CL$106)+1),"")</f>
        <v>0</v>
      </c>
      <c r="CM115">
        <f>IFERROR(SMALL(CM39:CM103,ROW()-ROW($CM$106)+1),"")</f>
        <v>0</v>
      </c>
      <c r="CN115">
        <f>IFERROR(SMALL(CN39:CN103,ROW()-ROW($CN$106)+1),"")</f>
        <v>0</v>
      </c>
      <c r="CO115">
        <f>IFERROR(SMALL(CO39:CO103,ROW()-ROW($CO$106)+1),"")</f>
        <v>0</v>
      </c>
      <c r="CP115">
        <f>IFERROR(SMALL(CP39:CP103,ROW()-ROW($CP$106)+1),"")</f>
        <v>0</v>
      </c>
      <c r="CQ115">
        <f>IFERROR(SMALL(CQ39:CQ103,ROW()-ROW($CQ$106)+1),"")</f>
        <v>0</v>
      </c>
      <c r="CR115">
        <f>IFERROR(SMALL(CR39:CR103,ROW()-ROW($CR$106)+1),"")</f>
        <v>0</v>
      </c>
      <c r="CS115">
        <f>IFERROR(SMALL(CS39:CS103,ROW()-ROW($CS$106)+1),"")</f>
        <v>0</v>
      </c>
      <c r="CT115">
        <f>IFERROR(SMALL(CT39:CT103,ROW()-ROW($CT$106)+1),"")</f>
        <v>0</v>
      </c>
      <c r="CU115">
        <f>IFERROR(SMALL(CU39:CU103,ROW()-ROW($CU$106)+1),"")</f>
        <v>0</v>
      </c>
      <c r="CV115">
        <f>IFERROR(SMALL(CV39:CV103,ROW()-ROW($CV$106)+1),"")</f>
        <v>0</v>
      </c>
      <c r="CW115">
        <f>IFERROR(SMALL(CW39:CW103,ROW()-ROW($CW$106)+1),"")</f>
        <v>0</v>
      </c>
      <c r="CX115">
        <f>IFERROR(SMALL(CX39:CX103,ROW()-ROW($CX$106)+1),"")</f>
        <v>0</v>
      </c>
      <c r="CY115">
        <f>IFERROR(SMALL(CY39:CY103,ROW()-ROW($CY$106)+1),"")</f>
        <v>0</v>
      </c>
      <c r="CZ115">
        <f>IFERROR(SMALL(CZ39:CZ103,ROW()-ROW($CZ$106)+1),"")</f>
        <v>0</v>
      </c>
      <c r="DA115">
        <f>IFERROR(SMALL(DA39:DA103,ROW()-ROW($DA$106)+1),"")</f>
        <v>0</v>
      </c>
      <c r="DB115">
        <f>IFERROR(SMALL(DB39:DB103,ROW()-ROW($DB$106)+1),"")</f>
        <v>0</v>
      </c>
      <c r="DC115">
        <f>IFERROR(SMALL(DC39:DC103,ROW()-ROW($DC$106)+1),"")</f>
        <v>0</v>
      </c>
      <c r="DD115">
        <f>IFERROR(SMALL(DD39:DD103,ROW()-ROW($DD$106)+1),"")</f>
        <v>0</v>
      </c>
      <c r="DE115">
        <f>IFERROR(SMALL(DE39:DE103,ROW()-ROW($DE$106)+1),"")</f>
        <v>0</v>
      </c>
      <c r="DF115">
        <f>IFERROR(SMALL(DF39:DF103,ROW()-ROW($DF$106)+1),"")</f>
        <v>0</v>
      </c>
      <c r="DG115">
        <f>IFERROR(SMALL(DG39:DG103,ROW()-ROW($DG$106)+1),"")</f>
        <v>0</v>
      </c>
      <c r="DH115">
        <f>IFERROR(SMALL(DH39:DH103,ROW()-ROW($DH$106)+1),"")</f>
        <v>0</v>
      </c>
      <c r="DI115">
        <f>IFERROR(SMALL(DI39:DI103,ROW()-ROW($DI$106)+1),"")</f>
        <v>0</v>
      </c>
      <c r="DJ115">
        <f>IFERROR(SMALL(DJ39:DJ103,ROW()-ROW($DJ$106)+1),"")</f>
        <v>0</v>
      </c>
      <c r="DK115">
        <f>IFERROR(SMALL(DK39:DK103,ROW()-ROW($DK$106)+1),"")</f>
        <v>0</v>
      </c>
      <c r="DL115">
        <f>IFERROR(SMALL(DL39:DL103,ROW()-ROW($DL$106)+1),"")</f>
        <v>0</v>
      </c>
      <c r="DM115">
        <f>IFERROR(SMALL(DM39:DM103,ROW()-ROW($DM$106)+1),"")</f>
        <v>0</v>
      </c>
      <c r="DN115">
        <f>IFERROR(SMALL(DN39:DN103,ROW()-ROW($DN$106)+1),"")</f>
        <v>0</v>
      </c>
      <c r="DO115">
        <f>IFERROR(SMALL(DO39:DO103,ROW()-ROW($DO$106)+1),"")</f>
        <v>0</v>
      </c>
      <c r="DP115">
        <f>IFERROR(SMALL(DP39:DP103,ROW()-ROW($DP$106)+1),"")</f>
        <v>0</v>
      </c>
      <c r="DQ115">
        <f>IFERROR(SMALL(DQ39:DQ103,ROW()-ROW($DQ$106)+1),"")</f>
        <v>0</v>
      </c>
      <c r="DR115">
        <f>IFERROR(SMALL(DR39:DR103,ROW()-ROW($DR$106)+1),"")</f>
        <v>0</v>
      </c>
      <c r="DS115">
        <f>IFERROR(SMALL(DS39:DS103,ROW()-ROW($DS$106)+1),"")</f>
        <v>0</v>
      </c>
      <c r="DT115">
        <f>IFERROR(SMALL(DT39:DT103,ROW()-ROW($DT$106)+1),"")</f>
        <v>0</v>
      </c>
      <c r="DU115">
        <f>IFERROR(SMALL(DU39:DU103,ROW()-ROW($DU$106)+1),"")</f>
        <v>0</v>
      </c>
      <c r="DV115">
        <f>IFERROR(SMALL(DV39:DV103,ROW()-ROW($DV$106)+1),"")</f>
        <v>0</v>
      </c>
      <c r="DW115">
        <f>IFERROR(SMALL(DW39:DW103,ROW()-ROW($DW$106)+1),"")</f>
        <v>0</v>
      </c>
      <c r="DX115">
        <f>IFERROR(SMALL(DX39:DX103,ROW()-ROW($DX$106)+1),"")</f>
        <v>0</v>
      </c>
      <c r="DY115">
        <f>IFERROR(SMALL(DY39:DY103,ROW()-ROW($DY$106)+1),"")</f>
        <v>0</v>
      </c>
      <c r="DZ115">
        <f>IFERROR(SMALL(DZ39:DZ103,ROW()-ROW($DZ$106)+1),"")</f>
        <v>0</v>
      </c>
      <c r="EA115">
        <f>IFERROR(SMALL(EA39:EA103,ROW()-ROW($EA$106)+1),"")</f>
        <v>0</v>
      </c>
      <c r="EB115">
        <f>IFERROR(SMALL(EB39:EB103,ROW()-ROW($EB$106)+1),"")</f>
        <v>0</v>
      </c>
      <c r="EC115">
        <f>IFERROR(SMALL(EC39:EC103,ROW()-ROW($EC$106)+1),"")</f>
        <v>0</v>
      </c>
      <c r="ED115">
        <f>IFERROR(SMALL(ED39:ED103,ROW()-ROW($ED$106)+1),"")</f>
        <v>0</v>
      </c>
    </row>
    <row r="116" spans="5:134">
      <c r="E116">
        <f>IFERROR(SMALL(E39:E103,ROW()-ROW($E$106)+1),"")</f>
        <v>0</v>
      </c>
      <c r="F116">
        <f>IFERROR(SMALL(F39:F103,ROW()-ROW($F$106)+1),"")</f>
        <v>0</v>
      </c>
      <c r="G116">
        <f>IFERROR(SMALL(G39:G103,ROW()-ROW($G$106)+1),"")</f>
        <v>0</v>
      </c>
      <c r="H116">
        <f>IFERROR(SMALL(H39:H103,ROW()-ROW($H$106)+1),"")</f>
        <v>0</v>
      </c>
      <c r="I116">
        <f>IFERROR(SMALL(I39:I103,ROW()-ROW($I$106)+1),"")</f>
        <v>0</v>
      </c>
      <c r="J116">
        <f>IFERROR(SMALL(J39:J103,ROW()-ROW($J$106)+1),"")</f>
        <v>0</v>
      </c>
      <c r="K116">
        <f>IFERROR(SMALL(K39:K103,ROW()-ROW($K$106)+1),"")</f>
        <v>0</v>
      </c>
      <c r="L116">
        <f>IFERROR(SMALL(L39:L103,ROW()-ROW($L$106)+1),"")</f>
        <v>0</v>
      </c>
      <c r="M116">
        <f>IFERROR(SMALL(M39:M103,ROW()-ROW($M$106)+1),"")</f>
        <v>0</v>
      </c>
      <c r="N116">
        <f>IFERROR(SMALL(N39:N103,ROW()-ROW($N$106)+1),"")</f>
        <v>0</v>
      </c>
      <c r="O116">
        <f>IFERROR(SMALL(O39:O103,ROW()-ROW($O$106)+1),"")</f>
        <v>0</v>
      </c>
      <c r="P116">
        <f>IFERROR(SMALL(P39:P103,ROW()-ROW($P$106)+1),"")</f>
        <v>0</v>
      </c>
      <c r="Q116">
        <f>IFERROR(SMALL(Q39:Q103,ROW()-ROW($Q$106)+1),"")</f>
        <v>0</v>
      </c>
      <c r="R116">
        <f>IFERROR(SMALL(R39:R103,ROW()-ROW($R$106)+1),"")</f>
        <v>0</v>
      </c>
      <c r="S116">
        <f>IFERROR(SMALL(S39:S103,ROW()-ROW($S$106)+1),"")</f>
        <v>0</v>
      </c>
      <c r="T116">
        <f>IFERROR(SMALL(T39:T103,ROW()-ROW($T$106)+1),"")</f>
        <v>0</v>
      </c>
      <c r="U116">
        <f>IFERROR(SMALL(U39:U103,ROW()-ROW($U$106)+1),"")</f>
        <v>0</v>
      </c>
      <c r="V116">
        <f>IFERROR(SMALL(V39:V103,ROW()-ROW($V$106)+1),"")</f>
        <v>0</v>
      </c>
      <c r="W116">
        <f>IFERROR(SMALL(W39:W103,ROW()-ROW($W$106)+1),"")</f>
        <v>0</v>
      </c>
      <c r="X116">
        <f>IFERROR(SMALL(X39:X103,ROW()-ROW($X$106)+1),"")</f>
        <v>0</v>
      </c>
      <c r="Y116">
        <f>IFERROR(SMALL(Y39:Y103,ROW()-ROW($Y$106)+1),"")</f>
        <v>0</v>
      </c>
      <c r="Z116">
        <f>IFERROR(SMALL(Z39:Z103,ROW()-ROW($Z$106)+1),"")</f>
        <v>0</v>
      </c>
      <c r="AA116">
        <f>IFERROR(SMALL(AA39:AA103,ROW()-ROW($AA$106)+1),"")</f>
        <v>0</v>
      </c>
      <c r="AB116">
        <f>IFERROR(SMALL(AB39:AB103,ROW()-ROW($AB$106)+1),"")</f>
        <v>0</v>
      </c>
      <c r="AC116">
        <f>IFERROR(SMALL(AC39:AC103,ROW()-ROW($AC$106)+1),"")</f>
        <v>0</v>
      </c>
      <c r="AD116">
        <f>IFERROR(SMALL(AD39:AD103,ROW()-ROW($AD$106)+1),"")</f>
        <v>0</v>
      </c>
      <c r="AE116">
        <f>IFERROR(SMALL(AE39:AE103,ROW()-ROW($AE$106)+1),"")</f>
        <v>0</v>
      </c>
      <c r="AF116">
        <f>IFERROR(SMALL(AF39:AF103,ROW()-ROW($AF$106)+1),"")</f>
        <v>0</v>
      </c>
      <c r="AG116">
        <f>IFERROR(SMALL(AG39:AG103,ROW()-ROW($AG$106)+1),"")</f>
        <v>0</v>
      </c>
      <c r="AH116">
        <f>IFERROR(SMALL(AH39:AH103,ROW()-ROW($AH$106)+1),"")</f>
        <v>0</v>
      </c>
      <c r="AI116">
        <f>IFERROR(SMALL(AI39:AI103,ROW()-ROW($AI$106)+1),"")</f>
        <v>0</v>
      </c>
      <c r="AJ116">
        <f>IFERROR(SMALL(AJ39:AJ103,ROW()-ROW($AJ$106)+1),"")</f>
        <v>0</v>
      </c>
      <c r="AK116">
        <f>IFERROR(SMALL(AK39:AK103,ROW()-ROW($AK$106)+1),"")</f>
        <v>0</v>
      </c>
      <c r="AL116">
        <f>IFERROR(SMALL(AL39:AL103,ROW()-ROW($AL$106)+1),"")</f>
        <v>0</v>
      </c>
      <c r="AM116">
        <f>IFERROR(SMALL(AM39:AM103,ROW()-ROW($AM$106)+1),"")</f>
        <v>0</v>
      </c>
      <c r="AN116">
        <f>IFERROR(SMALL(AN39:AN103,ROW()-ROW($AN$106)+1),"")</f>
        <v>0</v>
      </c>
      <c r="AO116">
        <f>IFERROR(SMALL(AO39:AO103,ROW()-ROW($AO$106)+1),"")</f>
        <v>0</v>
      </c>
      <c r="AP116">
        <f>IFERROR(SMALL(AP39:AP103,ROW()-ROW($AP$106)+1),"")</f>
        <v>0</v>
      </c>
      <c r="AQ116">
        <f>IFERROR(SMALL(AQ39:AQ103,ROW()-ROW($AQ$106)+1),"")</f>
        <v>0</v>
      </c>
      <c r="AR116">
        <f>IFERROR(SMALL(AR39:AR103,ROW()-ROW($AR$106)+1),"")</f>
        <v>0</v>
      </c>
      <c r="AS116">
        <f>IFERROR(SMALL(AS39:AS103,ROW()-ROW($AS$106)+1),"")</f>
        <v>0</v>
      </c>
      <c r="AT116">
        <f>IFERROR(SMALL(AT39:AT103,ROW()-ROW($AT$106)+1),"")</f>
        <v>0</v>
      </c>
      <c r="AU116">
        <f>IFERROR(SMALL(AU39:AU103,ROW()-ROW($AU$106)+1),"")</f>
        <v>0</v>
      </c>
      <c r="AV116">
        <f>IFERROR(SMALL(AV39:AV103,ROW()-ROW($AV$106)+1),"")</f>
        <v>0</v>
      </c>
      <c r="AW116">
        <f>IFERROR(SMALL(AW39:AW103,ROW()-ROW($AW$106)+1),"")</f>
        <v>0</v>
      </c>
      <c r="AX116">
        <f>IFERROR(SMALL(AX39:AX103,ROW()-ROW($AX$106)+1),"")</f>
        <v>0</v>
      </c>
      <c r="AY116">
        <f>IFERROR(SMALL(AY39:AY103,ROW()-ROW($AY$106)+1),"")</f>
        <v>0</v>
      </c>
      <c r="AZ116">
        <f>IFERROR(SMALL(AZ39:AZ103,ROW()-ROW($AZ$106)+1),"")</f>
        <v>0</v>
      </c>
      <c r="BA116">
        <f>IFERROR(SMALL(BA39:BA103,ROW()-ROW($BA$106)+1),"")</f>
        <v>0</v>
      </c>
      <c r="BB116">
        <f>IFERROR(SMALL(BB39:BB103,ROW()-ROW($BB$106)+1),"")</f>
        <v>0</v>
      </c>
      <c r="BC116">
        <f>IFERROR(SMALL(BC39:BC103,ROW()-ROW($BC$106)+1),"")</f>
        <v>0</v>
      </c>
      <c r="BD116">
        <f>IFERROR(SMALL(BD39:BD103,ROW()-ROW($BD$106)+1),"")</f>
        <v>0</v>
      </c>
      <c r="BE116">
        <f>IFERROR(SMALL(BE39:BE103,ROW()-ROW($BE$106)+1),"")</f>
        <v>0</v>
      </c>
      <c r="BF116">
        <f>IFERROR(SMALL(BF39:BF103,ROW()-ROW($BF$106)+1),"")</f>
        <v>0</v>
      </c>
      <c r="BG116">
        <f>IFERROR(SMALL(BG39:BG103,ROW()-ROW($BG$106)+1),"")</f>
        <v>0</v>
      </c>
      <c r="BH116">
        <f>IFERROR(SMALL(BH39:BH103,ROW()-ROW($BH$106)+1),"")</f>
        <v>0</v>
      </c>
      <c r="BI116">
        <f>IFERROR(SMALL(BI39:BI103,ROW()-ROW($BI$106)+1),"")</f>
        <v>0</v>
      </c>
      <c r="BJ116">
        <f>IFERROR(SMALL(BJ39:BJ103,ROW()-ROW($BJ$106)+1),"")</f>
        <v>0</v>
      </c>
      <c r="BK116">
        <f>IFERROR(SMALL(BK39:BK103,ROW()-ROW($BK$106)+1),"")</f>
        <v>0</v>
      </c>
      <c r="BL116">
        <f>IFERROR(SMALL(BL39:BL103,ROW()-ROW($BL$106)+1),"")</f>
        <v>0</v>
      </c>
      <c r="BM116">
        <f>IFERROR(SMALL(BM39:BM103,ROW()-ROW($BM$106)+1),"")</f>
        <v>0</v>
      </c>
      <c r="BN116">
        <f>IFERROR(SMALL(BN39:BN103,ROW()-ROW($BN$106)+1),"")</f>
        <v>0</v>
      </c>
      <c r="BO116">
        <f>IFERROR(SMALL(BO39:BO103,ROW()-ROW($BO$106)+1),"")</f>
        <v>0</v>
      </c>
      <c r="BP116">
        <f>IFERROR(SMALL(BP39:BP103,ROW()-ROW($BP$106)+1),"")</f>
        <v>0</v>
      </c>
      <c r="BS116">
        <f>IFERROR(SMALL(BS39:BS103,ROW()-ROW($BS$106)+1),"")</f>
        <v>0</v>
      </c>
      <c r="BT116">
        <f>IFERROR(SMALL(BT39:BT103,ROW()-ROW($BT$106)+1),"")</f>
        <v>0</v>
      </c>
      <c r="BU116">
        <f>IFERROR(SMALL(BU39:BU103,ROW()-ROW($BU$106)+1),"")</f>
        <v>0</v>
      </c>
      <c r="BV116">
        <f>IFERROR(SMALL(BV39:BV103,ROW()-ROW($BV$106)+1),"")</f>
        <v>0</v>
      </c>
      <c r="BW116">
        <f>IFERROR(SMALL(BW39:BW103,ROW()-ROW($BW$106)+1),"")</f>
        <v>0</v>
      </c>
      <c r="BX116">
        <f>IFERROR(SMALL(BX39:BX103,ROW()-ROW($BX$106)+1),"")</f>
        <v>0</v>
      </c>
      <c r="BY116">
        <f>IFERROR(SMALL(BY39:BY103,ROW()-ROW($BY$106)+1),"")</f>
        <v>0</v>
      </c>
      <c r="BZ116">
        <f>IFERROR(SMALL(BZ39:BZ103,ROW()-ROW($BZ$106)+1),"")</f>
        <v>0</v>
      </c>
      <c r="CA116">
        <f>IFERROR(SMALL(CA39:CA103,ROW()-ROW($CA$106)+1),"")</f>
        <v>0</v>
      </c>
      <c r="CB116">
        <f>IFERROR(SMALL(CB39:CB103,ROW()-ROW($CB$106)+1),"")</f>
        <v>0</v>
      </c>
      <c r="CC116">
        <f>IFERROR(SMALL(CC39:CC103,ROW()-ROW($CC$106)+1),"")</f>
        <v>0</v>
      </c>
      <c r="CD116">
        <f>IFERROR(SMALL(CD39:CD103,ROW()-ROW($CD$106)+1),"")</f>
        <v>0</v>
      </c>
      <c r="CE116">
        <f>IFERROR(SMALL(CE39:CE103,ROW()-ROW($CE$106)+1),"")</f>
        <v>0</v>
      </c>
      <c r="CF116">
        <f>IFERROR(SMALL(CF39:CF103,ROW()-ROW($CF$106)+1),"")</f>
        <v>0</v>
      </c>
      <c r="CG116">
        <f>IFERROR(SMALL(CG39:CG103,ROW()-ROW($CG$106)+1),"")</f>
        <v>0</v>
      </c>
      <c r="CH116">
        <f>IFERROR(SMALL(CH39:CH103,ROW()-ROW($CH$106)+1),"")</f>
        <v>0</v>
      </c>
      <c r="CI116">
        <f>IFERROR(SMALL(CI39:CI103,ROW()-ROW($CI$106)+1),"")</f>
        <v>0</v>
      </c>
      <c r="CJ116">
        <f>IFERROR(SMALL(CJ39:CJ103,ROW()-ROW($CJ$106)+1),"")</f>
        <v>0</v>
      </c>
      <c r="CK116">
        <f>IFERROR(SMALL(CK39:CK103,ROW()-ROW($CK$106)+1),"")</f>
        <v>0</v>
      </c>
      <c r="CL116">
        <f>IFERROR(SMALL(CL39:CL103,ROW()-ROW($CL$106)+1),"")</f>
        <v>0</v>
      </c>
      <c r="CM116">
        <f>IFERROR(SMALL(CM39:CM103,ROW()-ROW($CM$106)+1),"")</f>
        <v>0</v>
      </c>
      <c r="CN116">
        <f>IFERROR(SMALL(CN39:CN103,ROW()-ROW($CN$106)+1),"")</f>
        <v>0</v>
      </c>
      <c r="CO116">
        <f>IFERROR(SMALL(CO39:CO103,ROW()-ROW($CO$106)+1),"")</f>
        <v>0</v>
      </c>
      <c r="CP116">
        <f>IFERROR(SMALL(CP39:CP103,ROW()-ROW($CP$106)+1),"")</f>
        <v>0</v>
      </c>
      <c r="CQ116">
        <f>IFERROR(SMALL(CQ39:CQ103,ROW()-ROW($CQ$106)+1),"")</f>
        <v>0</v>
      </c>
      <c r="CR116">
        <f>IFERROR(SMALL(CR39:CR103,ROW()-ROW($CR$106)+1),"")</f>
        <v>0</v>
      </c>
      <c r="CS116">
        <f>IFERROR(SMALL(CS39:CS103,ROW()-ROW($CS$106)+1),"")</f>
        <v>0</v>
      </c>
      <c r="CT116">
        <f>IFERROR(SMALL(CT39:CT103,ROW()-ROW($CT$106)+1),"")</f>
        <v>0</v>
      </c>
      <c r="CU116">
        <f>IFERROR(SMALL(CU39:CU103,ROW()-ROW($CU$106)+1),"")</f>
        <v>0</v>
      </c>
      <c r="CV116">
        <f>IFERROR(SMALL(CV39:CV103,ROW()-ROW($CV$106)+1),"")</f>
        <v>0</v>
      </c>
      <c r="CW116">
        <f>IFERROR(SMALL(CW39:CW103,ROW()-ROW($CW$106)+1),"")</f>
        <v>0</v>
      </c>
      <c r="CX116">
        <f>IFERROR(SMALL(CX39:CX103,ROW()-ROW($CX$106)+1),"")</f>
        <v>0</v>
      </c>
      <c r="CY116">
        <f>IFERROR(SMALL(CY39:CY103,ROW()-ROW($CY$106)+1),"")</f>
        <v>0</v>
      </c>
      <c r="CZ116">
        <f>IFERROR(SMALL(CZ39:CZ103,ROW()-ROW($CZ$106)+1),"")</f>
        <v>0</v>
      </c>
      <c r="DA116">
        <f>IFERROR(SMALL(DA39:DA103,ROW()-ROW($DA$106)+1),"")</f>
        <v>0</v>
      </c>
      <c r="DB116">
        <f>IFERROR(SMALL(DB39:DB103,ROW()-ROW($DB$106)+1),"")</f>
        <v>0</v>
      </c>
      <c r="DC116">
        <f>IFERROR(SMALL(DC39:DC103,ROW()-ROW($DC$106)+1),"")</f>
        <v>0</v>
      </c>
      <c r="DD116">
        <f>IFERROR(SMALL(DD39:DD103,ROW()-ROW($DD$106)+1),"")</f>
        <v>0</v>
      </c>
      <c r="DE116">
        <f>IFERROR(SMALL(DE39:DE103,ROW()-ROW($DE$106)+1),"")</f>
        <v>0</v>
      </c>
      <c r="DF116">
        <f>IFERROR(SMALL(DF39:DF103,ROW()-ROW($DF$106)+1),"")</f>
        <v>0</v>
      </c>
      <c r="DG116">
        <f>IFERROR(SMALL(DG39:DG103,ROW()-ROW($DG$106)+1),"")</f>
        <v>0</v>
      </c>
      <c r="DH116">
        <f>IFERROR(SMALL(DH39:DH103,ROW()-ROW($DH$106)+1),"")</f>
        <v>0</v>
      </c>
      <c r="DI116">
        <f>IFERROR(SMALL(DI39:DI103,ROW()-ROW($DI$106)+1),"")</f>
        <v>0</v>
      </c>
      <c r="DJ116">
        <f>IFERROR(SMALL(DJ39:DJ103,ROW()-ROW($DJ$106)+1),"")</f>
        <v>0</v>
      </c>
      <c r="DK116">
        <f>IFERROR(SMALL(DK39:DK103,ROW()-ROW($DK$106)+1),"")</f>
        <v>0</v>
      </c>
      <c r="DL116">
        <f>IFERROR(SMALL(DL39:DL103,ROW()-ROW($DL$106)+1),"")</f>
        <v>0</v>
      </c>
      <c r="DM116">
        <f>IFERROR(SMALL(DM39:DM103,ROW()-ROW($DM$106)+1),"")</f>
        <v>0</v>
      </c>
      <c r="DN116">
        <f>IFERROR(SMALL(DN39:DN103,ROW()-ROW($DN$106)+1),"")</f>
        <v>0</v>
      </c>
      <c r="DO116">
        <f>IFERROR(SMALL(DO39:DO103,ROW()-ROW($DO$106)+1),"")</f>
        <v>0</v>
      </c>
      <c r="DP116">
        <f>IFERROR(SMALL(DP39:DP103,ROW()-ROW($DP$106)+1),"")</f>
        <v>0</v>
      </c>
      <c r="DQ116">
        <f>IFERROR(SMALL(DQ39:DQ103,ROW()-ROW($DQ$106)+1),"")</f>
        <v>0</v>
      </c>
      <c r="DR116">
        <f>IFERROR(SMALL(DR39:DR103,ROW()-ROW($DR$106)+1),"")</f>
        <v>0</v>
      </c>
      <c r="DS116">
        <f>IFERROR(SMALL(DS39:DS103,ROW()-ROW($DS$106)+1),"")</f>
        <v>0</v>
      </c>
      <c r="DT116">
        <f>IFERROR(SMALL(DT39:DT103,ROW()-ROW($DT$106)+1),"")</f>
        <v>0</v>
      </c>
      <c r="DU116">
        <f>IFERROR(SMALL(DU39:DU103,ROW()-ROW($DU$106)+1),"")</f>
        <v>0</v>
      </c>
      <c r="DV116">
        <f>IFERROR(SMALL(DV39:DV103,ROW()-ROW($DV$106)+1),"")</f>
        <v>0</v>
      </c>
      <c r="DW116">
        <f>IFERROR(SMALL(DW39:DW103,ROW()-ROW($DW$106)+1),"")</f>
        <v>0</v>
      </c>
      <c r="DX116">
        <f>IFERROR(SMALL(DX39:DX103,ROW()-ROW($DX$106)+1),"")</f>
        <v>0</v>
      </c>
      <c r="DY116">
        <f>IFERROR(SMALL(DY39:DY103,ROW()-ROW($DY$106)+1),"")</f>
        <v>0</v>
      </c>
      <c r="DZ116">
        <f>IFERROR(SMALL(DZ39:DZ103,ROW()-ROW($DZ$106)+1),"")</f>
        <v>0</v>
      </c>
      <c r="EA116">
        <f>IFERROR(SMALL(EA39:EA103,ROW()-ROW($EA$106)+1),"")</f>
        <v>0</v>
      </c>
      <c r="EB116">
        <f>IFERROR(SMALL(EB39:EB103,ROW()-ROW($EB$106)+1),"")</f>
        <v>0</v>
      </c>
      <c r="EC116">
        <f>IFERROR(SMALL(EC39:EC103,ROW()-ROW($EC$106)+1),"")</f>
        <v>0</v>
      </c>
      <c r="ED116">
        <f>IFERROR(SMALL(ED39:ED103,ROW()-ROW($ED$106)+1),"")</f>
        <v>0</v>
      </c>
    </row>
    <row r="117" spans="5:134">
      <c r="E117">
        <f>IFERROR(SMALL(E39:E103,ROW()-ROW($E$106)+1),"")</f>
        <v>0</v>
      </c>
      <c r="F117">
        <f>IFERROR(SMALL(F39:F103,ROW()-ROW($F$106)+1),"")</f>
        <v>0</v>
      </c>
      <c r="G117">
        <f>IFERROR(SMALL(G39:G103,ROW()-ROW($G$106)+1),"")</f>
        <v>0</v>
      </c>
      <c r="H117">
        <f>IFERROR(SMALL(H39:H103,ROW()-ROW($H$106)+1),"")</f>
        <v>0</v>
      </c>
      <c r="I117">
        <f>IFERROR(SMALL(I39:I103,ROW()-ROW($I$106)+1),"")</f>
        <v>0</v>
      </c>
      <c r="J117">
        <f>IFERROR(SMALL(J39:J103,ROW()-ROW($J$106)+1),"")</f>
        <v>0</v>
      </c>
      <c r="K117">
        <f>IFERROR(SMALL(K39:K103,ROW()-ROW($K$106)+1),"")</f>
        <v>0</v>
      </c>
      <c r="L117">
        <f>IFERROR(SMALL(L39:L103,ROW()-ROW($L$106)+1),"")</f>
        <v>0</v>
      </c>
      <c r="M117">
        <f>IFERROR(SMALL(M39:M103,ROW()-ROW($M$106)+1),"")</f>
        <v>0</v>
      </c>
      <c r="N117">
        <f>IFERROR(SMALL(N39:N103,ROW()-ROW($N$106)+1),"")</f>
        <v>0</v>
      </c>
      <c r="O117">
        <f>IFERROR(SMALL(O39:O103,ROW()-ROW($O$106)+1),"")</f>
        <v>0</v>
      </c>
      <c r="P117">
        <f>IFERROR(SMALL(P39:P103,ROW()-ROW($P$106)+1),"")</f>
        <v>0</v>
      </c>
      <c r="Q117">
        <f>IFERROR(SMALL(Q39:Q103,ROW()-ROW($Q$106)+1),"")</f>
        <v>0</v>
      </c>
      <c r="R117">
        <f>IFERROR(SMALL(R39:R103,ROW()-ROW($R$106)+1),"")</f>
        <v>0</v>
      </c>
      <c r="S117">
        <f>IFERROR(SMALL(S39:S103,ROW()-ROW($S$106)+1),"")</f>
        <v>0</v>
      </c>
      <c r="T117">
        <f>IFERROR(SMALL(T39:T103,ROW()-ROW($T$106)+1),"")</f>
        <v>0</v>
      </c>
      <c r="U117">
        <f>IFERROR(SMALL(U39:U103,ROW()-ROW($U$106)+1),"")</f>
        <v>0</v>
      </c>
      <c r="V117">
        <f>IFERROR(SMALL(V39:V103,ROW()-ROW($V$106)+1),"")</f>
        <v>0</v>
      </c>
      <c r="W117">
        <f>IFERROR(SMALL(W39:W103,ROW()-ROW($W$106)+1),"")</f>
        <v>0</v>
      </c>
      <c r="X117">
        <f>IFERROR(SMALL(X39:X103,ROW()-ROW($X$106)+1),"")</f>
        <v>0</v>
      </c>
      <c r="Y117">
        <f>IFERROR(SMALL(Y39:Y103,ROW()-ROW($Y$106)+1),"")</f>
        <v>0</v>
      </c>
      <c r="Z117">
        <f>IFERROR(SMALL(Z39:Z103,ROW()-ROW($Z$106)+1),"")</f>
        <v>0</v>
      </c>
      <c r="AA117">
        <f>IFERROR(SMALL(AA39:AA103,ROW()-ROW($AA$106)+1),"")</f>
        <v>0</v>
      </c>
      <c r="AB117">
        <f>IFERROR(SMALL(AB39:AB103,ROW()-ROW($AB$106)+1),"")</f>
        <v>0</v>
      </c>
      <c r="AC117">
        <f>IFERROR(SMALL(AC39:AC103,ROW()-ROW($AC$106)+1),"")</f>
        <v>0</v>
      </c>
      <c r="AD117">
        <f>IFERROR(SMALL(AD39:AD103,ROW()-ROW($AD$106)+1),"")</f>
        <v>0</v>
      </c>
      <c r="AE117">
        <f>IFERROR(SMALL(AE39:AE103,ROW()-ROW($AE$106)+1),"")</f>
        <v>0</v>
      </c>
      <c r="AF117">
        <f>IFERROR(SMALL(AF39:AF103,ROW()-ROW($AF$106)+1),"")</f>
        <v>0</v>
      </c>
      <c r="AG117">
        <f>IFERROR(SMALL(AG39:AG103,ROW()-ROW($AG$106)+1),"")</f>
        <v>0</v>
      </c>
      <c r="AH117">
        <f>IFERROR(SMALL(AH39:AH103,ROW()-ROW($AH$106)+1),"")</f>
        <v>0</v>
      </c>
      <c r="AI117">
        <f>IFERROR(SMALL(AI39:AI103,ROW()-ROW($AI$106)+1),"")</f>
        <v>0</v>
      </c>
      <c r="AJ117">
        <f>IFERROR(SMALL(AJ39:AJ103,ROW()-ROW($AJ$106)+1),"")</f>
        <v>0</v>
      </c>
      <c r="AK117">
        <f>IFERROR(SMALL(AK39:AK103,ROW()-ROW($AK$106)+1),"")</f>
        <v>0</v>
      </c>
      <c r="AL117">
        <f>IFERROR(SMALL(AL39:AL103,ROW()-ROW($AL$106)+1),"")</f>
        <v>0</v>
      </c>
      <c r="AM117">
        <f>IFERROR(SMALL(AM39:AM103,ROW()-ROW($AM$106)+1),"")</f>
        <v>0</v>
      </c>
      <c r="AN117">
        <f>IFERROR(SMALL(AN39:AN103,ROW()-ROW($AN$106)+1),"")</f>
        <v>0</v>
      </c>
      <c r="AO117">
        <f>IFERROR(SMALL(AO39:AO103,ROW()-ROW($AO$106)+1),"")</f>
        <v>0</v>
      </c>
      <c r="AP117">
        <f>IFERROR(SMALL(AP39:AP103,ROW()-ROW($AP$106)+1),"")</f>
        <v>0</v>
      </c>
      <c r="AQ117">
        <f>IFERROR(SMALL(AQ39:AQ103,ROW()-ROW($AQ$106)+1),"")</f>
        <v>0</v>
      </c>
      <c r="AR117">
        <f>IFERROR(SMALL(AR39:AR103,ROW()-ROW($AR$106)+1),"")</f>
        <v>0</v>
      </c>
      <c r="AS117">
        <f>IFERROR(SMALL(AS39:AS103,ROW()-ROW($AS$106)+1),"")</f>
        <v>0</v>
      </c>
      <c r="AT117">
        <f>IFERROR(SMALL(AT39:AT103,ROW()-ROW($AT$106)+1),"")</f>
        <v>0</v>
      </c>
      <c r="AU117">
        <f>IFERROR(SMALL(AU39:AU103,ROW()-ROW($AU$106)+1),"")</f>
        <v>0</v>
      </c>
      <c r="AV117">
        <f>IFERROR(SMALL(AV39:AV103,ROW()-ROW($AV$106)+1),"")</f>
        <v>0</v>
      </c>
      <c r="AW117">
        <f>IFERROR(SMALL(AW39:AW103,ROW()-ROW($AW$106)+1),"")</f>
        <v>0</v>
      </c>
      <c r="AX117">
        <f>IFERROR(SMALL(AX39:AX103,ROW()-ROW($AX$106)+1),"")</f>
        <v>0</v>
      </c>
      <c r="AY117">
        <f>IFERROR(SMALL(AY39:AY103,ROW()-ROW($AY$106)+1),"")</f>
        <v>0</v>
      </c>
      <c r="AZ117">
        <f>IFERROR(SMALL(AZ39:AZ103,ROW()-ROW($AZ$106)+1),"")</f>
        <v>0</v>
      </c>
      <c r="BA117">
        <f>IFERROR(SMALL(BA39:BA103,ROW()-ROW($BA$106)+1),"")</f>
        <v>0</v>
      </c>
      <c r="BB117">
        <f>IFERROR(SMALL(BB39:BB103,ROW()-ROW($BB$106)+1),"")</f>
        <v>0</v>
      </c>
      <c r="BC117">
        <f>IFERROR(SMALL(BC39:BC103,ROW()-ROW($BC$106)+1),"")</f>
        <v>0</v>
      </c>
      <c r="BD117">
        <f>IFERROR(SMALL(BD39:BD103,ROW()-ROW($BD$106)+1),"")</f>
        <v>0</v>
      </c>
      <c r="BE117">
        <f>IFERROR(SMALL(BE39:BE103,ROW()-ROW($BE$106)+1),"")</f>
        <v>0</v>
      </c>
      <c r="BF117">
        <f>IFERROR(SMALL(BF39:BF103,ROW()-ROW($BF$106)+1),"")</f>
        <v>0</v>
      </c>
      <c r="BG117">
        <f>IFERROR(SMALL(BG39:BG103,ROW()-ROW($BG$106)+1),"")</f>
        <v>0</v>
      </c>
      <c r="BH117">
        <f>IFERROR(SMALL(BH39:BH103,ROW()-ROW($BH$106)+1),"")</f>
        <v>0</v>
      </c>
      <c r="BI117">
        <f>IFERROR(SMALL(BI39:BI103,ROW()-ROW($BI$106)+1),"")</f>
        <v>0</v>
      </c>
      <c r="BJ117">
        <f>IFERROR(SMALL(BJ39:BJ103,ROW()-ROW($BJ$106)+1),"")</f>
        <v>0</v>
      </c>
      <c r="BK117">
        <f>IFERROR(SMALL(BK39:BK103,ROW()-ROW($BK$106)+1),"")</f>
        <v>0</v>
      </c>
      <c r="BL117">
        <f>IFERROR(SMALL(BL39:BL103,ROW()-ROW($BL$106)+1),"")</f>
        <v>0</v>
      </c>
      <c r="BM117">
        <f>IFERROR(SMALL(BM39:BM103,ROW()-ROW($BM$106)+1),"")</f>
        <v>0</v>
      </c>
      <c r="BN117">
        <f>IFERROR(SMALL(BN39:BN103,ROW()-ROW($BN$106)+1),"")</f>
        <v>0</v>
      </c>
      <c r="BO117">
        <f>IFERROR(SMALL(BO39:BO103,ROW()-ROW($BO$106)+1),"")</f>
        <v>0</v>
      </c>
      <c r="BP117">
        <f>IFERROR(SMALL(BP39:BP103,ROW()-ROW($BP$106)+1),"")</f>
        <v>0</v>
      </c>
      <c r="BS117">
        <f>IFERROR(SMALL(BS39:BS103,ROW()-ROW($BS$106)+1),"")</f>
        <v>0</v>
      </c>
      <c r="BT117">
        <f>IFERROR(SMALL(BT39:BT103,ROW()-ROW($BT$106)+1),"")</f>
        <v>0</v>
      </c>
      <c r="BU117">
        <f>IFERROR(SMALL(BU39:BU103,ROW()-ROW($BU$106)+1),"")</f>
        <v>0</v>
      </c>
      <c r="BV117">
        <f>IFERROR(SMALL(BV39:BV103,ROW()-ROW($BV$106)+1),"")</f>
        <v>0</v>
      </c>
      <c r="BW117">
        <f>IFERROR(SMALL(BW39:BW103,ROW()-ROW($BW$106)+1),"")</f>
        <v>0</v>
      </c>
      <c r="BX117">
        <f>IFERROR(SMALL(BX39:BX103,ROW()-ROW($BX$106)+1),"")</f>
        <v>0</v>
      </c>
      <c r="BY117">
        <f>IFERROR(SMALL(BY39:BY103,ROW()-ROW($BY$106)+1),"")</f>
        <v>0</v>
      </c>
      <c r="BZ117">
        <f>IFERROR(SMALL(BZ39:BZ103,ROW()-ROW($BZ$106)+1),"")</f>
        <v>0</v>
      </c>
      <c r="CA117">
        <f>IFERROR(SMALL(CA39:CA103,ROW()-ROW($CA$106)+1),"")</f>
        <v>0</v>
      </c>
      <c r="CB117">
        <f>IFERROR(SMALL(CB39:CB103,ROW()-ROW($CB$106)+1),"")</f>
        <v>0</v>
      </c>
      <c r="CC117">
        <f>IFERROR(SMALL(CC39:CC103,ROW()-ROW($CC$106)+1),"")</f>
        <v>0</v>
      </c>
      <c r="CD117">
        <f>IFERROR(SMALL(CD39:CD103,ROW()-ROW($CD$106)+1),"")</f>
        <v>0</v>
      </c>
      <c r="CE117">
        <f>IFERROR(SMALL(CE39:CE103,ROW()-ROW($CE$106)+1),"")</f>
        <v>0</v>
      </c>
      <c r="CF117">
        <f>IFERROR(SMALL(CF39:CF103,ROW()-ROW($CF$106)+1),"")</f>
        <v>0</v>
      </c>
      <c r="CG117">
        <f>IFERROR(SMALL(CG39:CG103,ROW()-ROW($CG$106)+1),"")</f>
        <v>0</v>
      </c>
      <c r="CH117">
        <f>IFERROR(SMALL(CH39:CH103,ROW()-ROW($CH$106)+1),"")</f>
        <v>0</v>
      </c>
      <c r="CI117">
        <f>IFERROR(SMALL(CI39:CI103,ROW()-ROW($CI$106)+1),"")</f>
        <v>0</v>
      </c>
      <c r="CJ117">
        <f>IFERROR(SMALL(CJ39:CJ103,ROW()-ROW($CJ$106)+1),"")</f>
        <v>0</v>
      </c>
      <c r="CK117">
        <f>IFERROR(SMALL(CK39:CK103,ROW()-ROW($CK$106)+1),"")</f>
        <v>0</v>
      </c>
      <c r="CL117">
        <f>IFERROR(SMALL(CL39:CL103,ROW()-ROW($CL$106)+1),"")</f>
        <v>0</v>
      </c>
      <c r="CM117">
        <f>IFERROR(SMALL(CM39:CM103,ROW()-ROW($CM$106)+1),"")</f>
        <v>0</v>
      </c>
      <c r="CN117">
        <f>IFERROR(SMALL(CN39:CN103,ROW()-ROW($CN$106)+1),"")</f>
        <v>0</v>
      </c>
      <c r="CO117">
        <f>IFERROR(SMALL(CO39:CO103,ROW()-ROW($CO$106)+1),"")</f>
        <v>0</v>
      </c>
      <c r="CP117">
        <f>IFERROR(SMALL(CP39:CP103,ROW()-ROW($CP$106)+1),"")</f>
        <v>0</v>
      </c>
      <c r="CQ117">
        <f>IFERROR(SMALL(CQ39:CQ103,ROW()-ROW($CQ$106)+1),"")</f>
        <v>0</v>
      </c>
      <c r="CR117">
        <f>IFERROR(SMALL(CR39:CR103,ROW()-ROW($CR$106)+1),"")</f>
        <v>0</v>
      </c>
      <c r="CS117">
        <f>IFERROR(SMALL(CS39:CS103,ROW()-ROW($CS$106)+1),"")</f>
        <v>0</v>
      </c>
      <c r="CT117">
        <f>IFERROR(SMALL(CT39:CT103,ROW()-ROW($CT$106)+1),"")</f>
        <v>0</v>
      </c>
      <c r="CU117">
        <f>IFERROR(SMALL(CU39:CU103,ROW()-ROW($CU$106)+1),"")</f>
        <v>0</v>
      </c>
      <c r="CV117">
        <f>IFERROR(SMALL(CV39:CV103,ROW()-ROW($CV$106)+1),"")</f>
        <v>0</v>
      </c>
      <c r="CW117">
        <f>IFERROR(SMALL(CW39:CW103,ROW()-ROW($CW$106)+1),"")</f>
        <v>0</v>
      </c>
      <c r="CX117">
        <f>IFERROR(SMALL(CX39:CX103,ROW()-ROW($CX$106)+1),"")</f>
        <v>0</v>
      </c>
      <c r="CY117">
        <f>IFERROR(SMALL(CY39:CY103,ROW()-ROW($CY$106)+1),"")</f>
        <v>0</v>
      </c>
      <c r="CZ117">
        <f>IFERROR(SMALL(CZ39:CZ103,ROW()-ROW($CZ$106)+1),"")</f>
        <v>0</v>
      </c>
      <c r="DA117">
        <f>IFERROR(SMALL(DA39:DA103,ROW()-ROW($DA$106)+1),"")</f>
        <v>0</v>
      </c>
      <c r="DB117">
        <f>IFERROR(SMALL(DB39:DB103,ROW()-ROW($DB$106)+1),"")</f>
        <v>0</v>
      </c>
      <c r="DC117">
        <f>IFERROR(SMALL(DC39:DC103,ROW()-ROW($DC$106)+1),"")</f>
        <v>0</v>
      </c>
      <c r="DD117">
        <f>IFERROR(SMALL(DD39:DD103,ROW()-ROW($DD$106)+1),"")</f>
        <v>0</v>
      </c>
      <c r="DE117">
        <f>IFERROR(SMALL(DE39:DE103,ROW()-ROW($DE$106)+1),"")</f>
        <v>0</v>
      </c>
      <c r="DF117">
        <f>IFERROR(SMALL(DF39:DF103,ROW()-ROW($DF$106)+1),"")</f>
        <v>0</v>
      </c>
      <c r="DG117">
        <f>IFERROR(SMALL(DG39:DG103,ROW()-ROW($DG$106)+1),"")</f>
        <v>0</v>
      </c>
      <c r="DH117">
        <f>IFERROR(SMALL(DH39:DH103,ROW()-ROW($DH$106)+1),"")</f>
        <v>0</v>
      </c>
      <c r="DI117">
        <f>IFERROR(SMALL(DI39:DI103,ROW()-ROW($DI$106)+1),"")</f>
        <v>0</v>
      </c>
      <c r="DJ117">
        <f>IFERROR(SMALL(DJ39:DJ103,ROW()-ROW($DJ$106)+1),"")</f>
        <v>0</v>
      </c>
      <c r="DK117">
        <f>IFERROR(SMALL(DK39:DK103,ROW()-ROW($DK$106)+1),"")</f>
        <v>0</v>
      </c>
      <c r="DL117">
        <f>IFERROR(SMALL(DL39:DL103,ROW()-ROW($DL$106)+1),"")</f>
        <v>0</v>
      </c>
      <c r="DM117">
        <f>IFERROR(SMALL(DM39:DM103,ROW()-ROW($DM$106)+1),"")</f>
        <v>0</v>
      </c>
      <c r="DN117">
        <f>IFERROR(SMALL(DN39:DN103,ROW()-ROW($DN$106)+1),"")</f>
        <v>0</v>
      </c>
      <c r="DO117">
        <f>IFERROR(SMALL(DO39:DO103,ROW()-ROW($DO$106)+1),"")</f>
        <v>0</v>
      </c>
      <c r="DP117">
        <f>IFERROR(SMALL(DP39:DP103,ROW()-ROW($DP$106)+1),"")</f>
        <v>0</v>
      </c>
      <c r="DQ117">
        <f>IFERROR(SMALL(DQ39:DQ103,ROW()-ROW($DQ$106)+1),"")</f>
        <v>0</v>
      </c>
      <c r="DR117">
        <f>IFERROR(SMALL(DR39:DR103,ROW()-ROW($DR$106)+1),"")</f>
        <v>0</v>
      </c>
      <c r="DS117">
        <f>IFERROR(SMALL(DS39:DS103,ROW()-ROW($DS$106)+1),"")</f>
        <v>0</v>
      </c>
      <c r="DT117">
        <f>IFERROR(SMALL(DT39:DT103,ROW()-ROW($DT$106)+1),"")</f>
        <v>0</v>
      </c>
      <c r="DU117">
        <f>IFERROR(SMALL(DU39:DU103,ROW()-ROW($DU$106)+1),"")</f>
        <v>0</v>
      </c>
      <c r="DV117">
        <f>IFERROR(SMALL(DV39:DV103,ROW()-ROW($DV$106)+1),"")</f>
        <v>0</v>
      </c>
      <c r="DW117">
        <f>IFERROR(SMALL(DW39:DW103,ROW()-ROW($DW$106)+1),"")</f>
        <v>0</v>
      </c>
      <c r="DX117">
        <f>IFERROR(SMALL(DX39:DX103,ROW()-ROW($DX$106)+1),"")</f>
        <v>0</v>
      </c>
      <c r="DY117">
        <f>IFERROR(SMALL(DY39:DY103,ROW()-ROW($DY$106)+1),"")</f>
        <v>0</v>
      </c>
      <c r="DZ117">
        <f>IFERROR(SMALL(DZ39:DZ103,ROW()-ROW($DZ$106)+1),"")</f>
        <v>0</v>
      </c>
      <c r="EA117">
        <f>IFERROR(SMALL(EA39:EA103,ROW()-ROW($EA$106)+1),"")</f>
        <v>0</v>
      </c>
      <c r="EB117">
        <f>IFERROR(SMALL(EB39:EB103,ROW()-ROW($EB$106)+1),"")</f>
        <v>0</v>
      </c>
      <c r="EC117">
        <f>IFERROR(SMALL(EC39:EC103,ROW()-ROW($EC$106)+1),"")</f>
        <v>0</v>
      </c>
      <c r="ED117">
        <f>IFERROR(SMALL(ED39:ED103,ROW()-ROW($ED$106)+1),"")</f>
        <v>0</v>
      </c>
    </row>
    <row r="118" spans="5:134">
      <c r="E118">
        <f>IFERROR(SMALL(E39:E103,ROW()-ROW($E$106)+1),"")</f>
        <v>0</v>
      </c>
      <c r="F118">
        <f>IFERROR(SMALL(F39:F103,ROW()-ROW($F$106)+1),"")</f>
        <v>0</v>
      </c>
      <c r="G118">
        <f>IFERROR(SMALL(G39:G103,ROW()-ROW($G$106)+1),"")</f>
        <v>0</v>
      </c>
      <c r="H118">
        <f>IFERROR(SMALL(H39:H103,ROW()-ROW($H$106)+1),"")</f>
        <v>0</v>
      </c>
      <c r="I118">
        <f>IFERROR(SMALL(I39:I103,ROW()-ROW($I$106)+1),"")</f>
        <v>0</v>
      </c>
      <c r="J118">
        <f>IFERROR(SMALL(J39:J103,ROW()-ROW($J$106)+1),"")</f>
        <v>0</v>
      </c>
      <c r="K118">
        <f>IFERROR(SMALL(K39:K103,ROW()-ROW($K$106)+1),"")</f>
        <v>0</v>
      </c>
      <c r="L118">
        <f>IFERROR(SMALL(L39:L103,ROW()-ROW($L$106)+1),"")</f>
        <v>0</v>
      </c>
      <c r="M118">
        <f>IFERROR(SMALL(M39:M103,ROW()-ROW($M$106)+1),"")</f>
        <v>0</v>
      </c>
      <c r="N118">
        <f>IFERROR(SMALL(N39:N103,ROW()-ROW($N$106)+1),"")</f>
        <v>0</v>
      </c>
      <c r="O118">
        <f>IFERROR(SMALL(O39:O103,ROW()-ROW($O$106)+1),"")</f>
        <v>0</v>
      </c>
      <c r="P118">
        <f>IFERROR(SMALL(P39:P103,ROW()-ROW($P$106)+1),"")</f>
        <v>0</v>
      </c>
      <c r="Q118">
        <f>IFERROR(SMALL(Q39:Q103,ROW()-ROW($Q$106)+1),"")</f>
        <v>0</v>
      </c>
      <c r="R118">
        <f>IFERROR(SMALL(R39:R103,ROW()-ROW($R$106)+1),"")</f>
        <v>0</v>
      </c>
      <c r="S118">
        <f>IFERROR(SMALL(S39:S103,ROW()-ROW($S$106)+1),"")</f>
        <v>0</v>
      </c>
      <c r="T118">
        <f>IFERROR(SMALL(T39:T103,ROW()-ROW($T$106)+1),"")</f>
        <v>0</v>
      </c>
      <c r="U118">
        <f>IFERROR(SMALL(U39:U103,ROW()-ROW($U$106)+1),"")</f>
        <v>0</v>
      </c>
      <c r="V118">
        <f>IFERROR(SMALL(V39:V103,ROW()-ROW($V$106)+1),"")</f>
        <v>0</v>
      </c>
      <c r="W118">
        <f>IFERROR(SMALL(W39:W103,ROW()-ROW($W$106)+1),"")</f>
        <v>0</v>
      </c>
      <c r="X118">
        <f>IFERROR(SMALL(X39:X103,ROW()-ROW($X$106)+1),"")</f>
        <v>0</v>
      </c>
      <c r="Y118">
        <f>IFERROR(SMALL(Y39:Y103,ROW()-ROW($Y$106)+1),"")</f>
        <v>0</v>
      </c>
      <c r="Z118">
        <f>IFERROR(SMALL(Z39:Z103,ROW()-ROW($Z$106)+1),"")</f>
        <v>0</v>
      </c>
      <c r="AA118">
        <f>IFERROR(SMALL(AA39:AA103,ROW()-ROW($AA$106)+1),"")</f>
        <v>0</v>
      </c>
      <c r="AB118">
        <f>IFERROR(SMALL(AB39:AB103,ROW()-ROW($AB$106)+1),"")</f>
        <v>0</v>
      </c>
      <c r="AC118">
        <f>IFERROR(SMALL(AC39:AC103,ROW()-ROW($AC$106)+1),"")</f>
        <v>0</v>
      </c>
      <c r="AD118">
        <f>IFERROR(SMALL(AD39:AD103,ROW()-ROW($AD$106)+1),"")</f>
        <v>0</v>
      </c>
      <c r="AE118">
        <f>IFERROR(SMALL(AE39:AE103,ROW()-ROW($AE$106)+1),"")</f>
        <v>0</v>
      </c>
      <c r="AF118">
        <f>IFERROR(SMALL(AF39:AF103,ROW()-ROW($AF$106)+1),"")</f>
        <v>0</v>
      </c>
      <c r="AG118">
        <f>IFERROR(SMALL(AG39:AG103,ROW()-ROW($AG$106)+1),"")</f>
        <v>0</v>
      </c>
      <c r="AH118">
        <f>IFERROR(SMALL(AH39:AH103,ROW()-ROW($AH$106)+1),"")</f>
        <v>0</v>
      </c>
      <c r="AI118">
        <f>IFERROR(SMALL(AI39:AI103,ROW()-ROW($AI$106)+1),"")</f>
        <v>0</v>
      </c>
      <c r="AJ118">
        <f>IFERROR(SMALL(AJ39:AJ103,ROW()-ROW($AJ$106)+1),"")</f>
        <v>0</v>
      </c>
      <c r="AK118">
        <f>IFERROR(SMALL(AK39:AK103,ROW()-ROW($AK$106)+1),"")</f>
        <v>0</v>
      </c>
      <c r="AL118">
        <f>IFERROR(SMALL(AL39:AL103,ROW()-ROW($AL$106)+1),"")</f>
        <v>0</v>
      </c>
      <c r="AM118">
        <f>IFERROR(SMALL(AM39:AM103,ROW()-ROW($AM$106)+1),"")</f>
        <v>0</v>
      </c>
      <c r="AN118">
        <f>IFERROR(SMALL(AN39:AN103,ROW()-ROW($AN$106)+1),"")</f>
        <v>0</v>
      </c>
      <c r="AO118">
        <f>IFERROR(SMALL(AO39:AO103,ROW()-ROW($AO$106)+1),"")</f>
        <v>0</v>
      </c>
      <c r="AP118">
        <f>IFERROR(SMALL(AP39:AP103,ROW()-ROW($AP$106)+1),"")</f>
        <v>0</v>
      </c>
      <c r="AQ118">
        <f>IFERROR(SMALL(AQ39:AQ103,ROW()-ROW($AQ$106)+1),"")</f>
        <v>0</v>
      </c>
      <c r="AR118">
        <f>IFERROR(SMALL(AR39:AR103,ROW()-ROW($AR$106)+1),"")</f>
        <v>0</v>
      </c>
      <c r="AS118">
        <f>IFERROR(SMALL(AS39:AS103,ROW()-ROW($AS$106)+1),"")</f>
        <v>0</v>
      </c>
      <c r="AT118">
        <f>IFERROR(SMALL(AT39:AT103,ROW()-ROW($AT$106)+1),"")</f>
        <v>0</v>
      </c>
      <c r="AU118">
        <f>IFERROR(SMALL(AU39:AU103,ROW()-ROW($AU$106)+1),"")</f>
        <v>0</v>
      </c>
      <c r="AV118">
        <f>IFERROR(SMALL(AV39:AV103,ROW()-ROW($AV$106)+1),"")</f>
        <v>0</v>
      </c>
      <c r="AW118">
        <f>IFERROR(SMALL(AW39:AW103,ROW()-ROW($AW$106)+1),"")</f>
        <v>0</v>
      </c>
      <c r="AX118">
        <f>IFERROR(SMALL(AX39:AX103,ROW()-ROW($AX$106)+1),"")</f>
        <v>0</v>
      </c>
      <c r="AY118">
        <f>IFERROR(SMALL(AY39:AY103,ROW()-ROW($AY$106)+1),"")</f>
        <v>0</v>
      </c>
      <c r="AZ118">
        <f>IFERROR(SMALL(AZ39:AZ103,ROW()-ROW($AZ$106)+1),"")</f>
        <v>0</v>
      </c>
      <c r="BA118">
        <f>IFERROR(SMALL(BA39:BA103,ROW()-ROW($BA$106)+1),"")</f>
        <v>0</v>
      </c>
      <c r="BB118">
        <f>IFERROR(SMALL(BB39:BB103,ROW()-ROW($BB$106)+1),"")</f>
        <v>0</v>
      </c>
      <c r="BC118">
        <f>IFERROR(SMALL(BC39:BC103,ROW()-ROW($BC$106)+1),"")</f>
        <v>0</v>
      </c>
      <c r="BD118">
        <f>IFERROR(SMALL(BD39:BD103,ROW()-ROW($BD$106)+1),"")</f>
        <v>0</v>
      </c>
      <c r="BE118">
        <f>IFERROR(SMALL(BE39:BE103,ROW()-ROW($BE$106)+1),"")</f>
        <v>0</v>
      </c>
      <c r="BF118">
        <f>IFERROR(SMALL(BF39:BF103,ROW()-ROW($BF$106)+1),"")</f>
        <v>0</v>
      </c>
      <c r="BG118">
        <f>IFERROR(SMALL(BG39:BG103,ROW()-ROW($BG$106)+1),"")</f>
        <v>0</v>
      </c>
      <c r="BH118">
        <f>IFERROR(SMALL(BH39:BH103,ROW()-ROW($BH$106)+1),"")</f>
        <v>0</v>
      </c>
      <c r="BI118">
        <f>IFERROR(SMALL(BI39:BI103,ROW()-ROW($BI$106)+1),"")</f>
        <v>0</v>
      </c>
      <c r="BJ118">
        <f>IFERROR(SMALL(BJ39:BJ103,ROW()-ROW($BJ$106)+1),"")</f>
        <v>0</v>
      </c>
      <c r="BK118">
        <f>IFERROR(SMALL(BK39:BK103,ROW()-ROW($BK$106)+1),"")</f>
        <v>0</v>
      </c>
      <c r="BL118">
        <f>IFERROR(SMALL(BL39:BL103,ROW()-ROW($BL$106)+1),"")</f>
        <v>0</v>
      </c>
      <c r="BM118">
        <f>IFERROR(SMALL(BM39:BM103,ROW()-ROW($BM$106)+1),"")</f>
        <v>0</v>
      </c>
      <c r="BN118">
        <f>IFERROR(SMALL(BN39:BN103,ROW()-ROW($BN$106)+1),"")</f>
        <v>0</v>
      </c>
      <c r="BO118">
        <f>IFERROR(SMALL(BO39:BO103,ROW()-ROW($BO$106)+1),"")</f>
        <v>0</v>
      </c>
      <c r="BP118">
        <f>IFERROR(SMALL(BP39:BP103,ROW()-ROW($BP$106)+1),"")</f>
        <v>0</v>
      </c>
      <c r="BS118">
        <f>IFERROR(SMALL(BS39:BS103,ROW()-ROW($BS$106)+1),"")</f>
        <v>0</v>
      </c>
      <c r="BT118">
        <f>IFERROR(SMALL(BT39:BT103,ROW()-ROW($BT$106)+1),"")</f>
        <v>0</v>
      </c>
      <c r="BU118">
        <f>IFERROR(SMALL(BU39:BU103,ROW()-ROW($BU$106)+1),"")</f>
        <v>0</v>
      </c>
      <c r="BV118">
        <f>IFERROR(SMALL(BV39:BV103,ROW()-ROW($BV$106)+1),"")</f>
        <v>0</v>
      </c>
      <c r="BW118">
        <f>IFERROR(SMALL(BW39:BW103,ROW()-ROW($BW$106)+1),"")</f>
        <v>0</v>
      </c>
      <c r="BX118">
        <f>IFERROR(SMALL(BX39:BX103,ROW()-ROW($BX$106)+1),"")</f>
        <v>0</v>
      </c>
      <c r="BY118">
        <f>IFERROR(SMALL(BY39:BY103,ROW()-ROW($BY$106)+1),"")</f>
        <v>0</v>
      </c>
      <c r="BZ118">
        <f>IFERROR(SMALL(BZ39:BZ103,ROW()-ROW($BZ$106)+1),"")</f>
        <v>0</v>
      </c>
      <c r="CA118">
        <f>IFERROR(SMALL(CA39:CA103,ROW()-ROW($CA$106)+1),"")</f>
        <v>0</v>
      </c>
      <c r="CB118">
        <f>IFERROR(SMALL(CB39:CB103,ROW()-ROW($CB$106)+1),"")</f>
        <v>0</v>
      </c>
      <c r="CC118">
        <f>IFERROR(SMALL(CC39:CC103,ROW()-ROW($CC$106)+1),"")</f>
        <v>0</v>
      </c>
      <c r="CD118">
        <f>IFERROR(SMALL(CD39:CD103,ROW()-ROW($CD$106)+1),"")</f>
        <v>0</v>
      </c>
      <c r="CE118">
        <f>IFERROR(SMALL(CE39:CE103,ROW()-ROW($CE$106)+1),"")</f>
        <v>0</v>
      </c>
      <c r="CF118">
        <f>IFERROR(SMALL(CF39:CF103,ROW()-ROW($CF$106)+1),"")</f>
        <v>0</v>
      </c>
      <c r="CG118">
        <f>IFERROR(SMALL(CG39:CG103,ROW()-ROW($CG$106)+1),"")</f>
        <v>0</v>
      </c>
      <c r="CH118">
        <f>IFERROR(SMALL(CH39:CH103,ROW()-ROW($CH$106)+1),"")</f>
        <v>0</v>
      </c>
      <c r="CI118">
        <f>IFERROR(SMALL(CI39:CI103,ROW()-ROW($CI$106)+1),"")</f>
        <v>0</v>
      </c>
      <c r="CJ118">
        <f>IFERROR(SMALL(CJ39:CJ103,ROW()-ROW($CJ$106)+1),"")</f>
        <v>0</v>
      </c>
      <c r="CK118">
        <f>IFERROR(SMALL(CK39:CK103,ROW()-ROW($CK$106)+1),"")</f>
        <v>0</v>
      </c>
      <c r="CL118">
        <f>IFERROR(SMALL(CL39:CL103,ROW()-ROW($CL$106)+1),"")</f>
        <v>0</v>
      </c>
      <c r="CM118">
        <f>IFERROR(SMALL(CM39:CM103,ROW()-ROW($CM$106)+1),"")</f>
        <v>0</v>
      </c>
      <c r="CN118">
        <f>IFERROR(SMALL(CN39:CN103,ROW()-ROW($CN$106)+1),"")</f>
        <v>0</v>
      </c>
      <c r="CO118">
        <f>IFERROR(SMALL(CO39:CO103,ROW()-ROW($CO$106)+1),"")</f>
        <v>0</v>
      </c>
      <c r="CP118">
        <f>IFERROR(SMALL(CP39:CP103,ROW()-ROW($CP$106)+1),"")</f>
        <v>0</v>
      </c>
      <c r="CQ118">
        <f>IFERROR(SMALL(CQ39:CQ103,ROW()-ROW($CQ$106)+1),"")</f>
        <v>0</v>
      </c>
      <c r="CR118">
        <f>IFERROR(SMALL(CR39:CR103,ROW()-ROW($CR$106)+1),"")</f>
        <v>0</v>
      </c>
      <c r="CS118">
        <f>IFERROR(SMALL(CS39:CS103,ROW()-ROW($CS$106)+1),"")</f>
        <v>0</v>
      </c>
      <c r="CT118">
        <f>IFERROR(SMALL(CT39:CT103,ROW()-ROW($CT$106)+1),"")</f>
        <v>0</v>
      </c>
      <c r="CU118">
        <f>IFERROR(SMALL(CU39:CU103,ROW()-ROW($CU$106)+1),"")</f>
        <v>0</v>
      </c>
      <c r="CV118">
        <f>IFERROR(SMALL(CV39:CV103,ROW()-ROW($CV$106)+1),"")</f>
        <v>0</v>
      </c>
      <c r="CW118">
        <f>IFERROR(SMALL(CW39:CW103,ROW()-ROW($CW$106)+1),"")</f>
        <v>0</v>
      </c>
      <c r="CX118">
        <f>IFERROR(SMALL(CX39:CX103,ROW()-ROW($CX$106)+1),"")</f>
        <v>0</v>
      </c>
      <c r="CY118">
        <f>IFERROR(SMALL(CY39:CY103,ROW()-ROW($CY$106)+1),"")</f>
        <v>0</v>
      </c>
      <c r="CZ118">
        <f>IFERROR(SMALL(CZ39:CZ103,ROW()-ROW($CZ$106)+1),"")</f>
        <v>0</v>
      </c>
      <c r="DA118">
        <f>IFERROR(SMALL(DA39:DA103,ROW()-ROW($DA$106)+1),"")</f>
        <v>0</v>
      </c>
      <c r="DB118">
        <f>IFERROR(SMALL(DB39:DB103,ROW()-ROW($DB$106)+1),"")</f>
        <v>0</v>
      </c>
      <c r="DC118">
        <f>IFERROR(SMALL(DC39:DC103,ROW()-ROW($DC$106)+1),"")</f>
        <v>0</v>
      </c>
      <c r="DD118">
        <f>IFERROR(SMALL(DD39:DD103,ROW()-ROW($DD$106)+1),"")</f>
        <v>0</v>
      </c>
      <c r="DE118">
        <f>IFERROR(SMALL(DE39:DE103,ROW()-ROW($DE$106)+1),"")</f>
        <v>0</v>
      </c>
      <c r="DF118">
        <f>IFERROR(SMALL(DF39:DF103,ROW()-ROW($DF$106)+1),"")</f>
        <v>0</v>
      </c>
      <c r="DG118">
        <f>IFERROR(SMALL(DG39:DG103,ROW()-ROW($DG$106)+1),"")</f>
        <v>0</v>
      </c>
      <c r="DH118">
        <f>IFERROR(SMALL(DH39:DH103,ROW()-ROW($DH$106)+1),"")</f>
        <v>0</v>
      </c>
      <c r="DI118">
        <f>IFERROR(SMALL(DI39:DI103,ROW()-ROW($DI$106)+1),"")</f>
        <v>0</v>
      </c>
      <c r="DJ118">
        <f>IFERROR(SMALL(DJ39:DJ103,ROW()-ROW($DJ$106)+1),"")</f>
        <v>0</v>
      </c>
      <c r="DK118">
        <f>IFERROR(SMALL(DK39:DK103,ROW()-ROW($DK$106)+1),"")</f>
        <v>0</v>
      </c>
      <c r="DL118">
        <f>IFERROR(SMALL(DL39:DL103,ROW()-ROW($DL$106)+1),"")</f>
        <v>0</v>
      </c>
      <c r="DM118">
        <f>IFERROR(SMALL(DM39:DM103,ROW()-ROW($DM$106)+1),"")</f>
        <v>0</v>
      </c>
      <c r="DN118">
        <f>IFERROR(SMALL(DN39:DN103,ROW()-ROW($DN$106)+1),"")</f>
        <v>0</v>
      </c>
      <c r="DO118">
        <f>IFERROR(SMALL(DO39:DO103,ROW()-ROW($DO$106)+1),"")</f>
        <v>0</v>
      </c>
      <c r="DP118">
        <f>IFERROR(SMALL(DP39:DP103,ROW()-ROW($DP$106)+1),"")</f>
        <v>0</v>
      </c>
      <c r="DQ118">
        <f>IFERROR(SMALL(DQ39:DQ103,ROW()-ROW($DQ$106)+1),"")</f>
        <v>0</v>
      </c>
      <c r="DR118">
        <f>IFERROR(SMALL(DR39:DR103,ROW()-ROW($DR$106)+1),"")</f>
        <v>0</v>
      </c>
      <c r="DS118">
        <f>IFERROR(SMALL(DS39:DS103,ROW()-ROW($DS$106)+1),"")</f>
        <v>0</v>
      </c>
      <c r="DT118">
        <f>IFERROR(SMALL(DT39:DT103,ROW()-ROW($DT$106)+1),"")</f>
        <v>0</v>
      </c>
      <c r="DU118">
        <f>IFERROR(SMALL(DU39:DU103,ROW()-ROW($DU$106)+1),"")</f>
        <v>0</v>
      </c>
      <c r="DV118">
        <f>IFERROR(SMALL(DV39:DV103,ROW()-ROW($DV$106)+1),"")</f>
        <v>0</v>
      </c>
      <c r="DW118">
        <f>IFERROR(SMALL(DW39:DW103,ROW()-ROW($DW$106)+1),"")</f>
        <v>0</v>
      </c>
      <c r="DX118">
        <f>IFERROR(SMALL(DX39:DX103,ROW()-ROW($DX$106)+1),"")</f>
        <v>0</v>
      </c>
      <c r="DY118">
        <f>IFERROR(SMALL(DY39:DY103,ROW()-ROW($DY$106)+1),"")</f>
        <v>0</v>
      </c>
      <c r="DZ118">
        <f>IFERROR(SMALL(DZ39:DZ103,ROW()-ROW($DZ$106)+1),"")</f>
        <v>0</v>
      </c>
      <c r="EA118">
        <f>IFERROR(SMALL(EA39:EA103,ROW()-ROW($EA$106)+1),"")</f>
        <v>0</v>
      </c>
      <c r="EB118">
        <f>IFERROR(SMALL(EB39:EB103,ROW()-ROW($EB$106)+1),"")</f>
        <v>0</v>
      </c>
      <c r="EC118">
        <f>IFERROR(SMALL(EC39:EC103,ROW()-ROW($EC$106)+1),"")</f>
        <v>0</v>
      </c>
      <c r="ED118">
        <f>IFERROR(SMALL(ED39:ED103,ROW()-ROW($ED$106)+1),"")</f>
        <v>0</v>
      </c>
    </row>
    <row r="119" spans="5:134">
      <c r="E119">
        <f>IFERROR(SMALL(E39:E103,ROW()-ROW($E$106)+1),"")</f>
        <v>0</v>
      </c>
      <c r="F119">
        <f>IFERROR(SMALL(F39:F103,ROW()-ROW($F$106)+1),"")</f>
        <v>0</v>
      </c>
      <c r="G119">
        <f>IFERROR(SMALL(G39:G103,ROW()-ROW($G$106)+1),"")</f>
        <v>0</v>
      </c>
      <c r="H119">
        <f>IFERROR(SMALL(H39:H103,ROW()-ROW($H$106)+1),"")</f>
        <v>0</v>
      </c>
      <c r="I119">
        <f>IFERROR(SMALL(I39:I103,ROW()-ROW($I$106)+1),"")</f>
        <v>0</v>
      </c>
      <c r="J119">
        <f>IFERROR(SMALL(J39:J103,ROW()-ROW($J$106)+1),"")</f>
        <v>0</v>
      </c>
      <c r="K119">
        <f>IFERROR(SMALL(K39:K103,ROW()-ROW($K$106)+1),"")</f>
        <v>0</v>
      </c>
      <c r="L119">
        <f>IFERROR(SMALL(L39:L103,ROW()-ROW($L$106)+1),"")</f>
        <v>0</v>
      </c>
      <c r="M119">
        <f>IFERROR(SMALL(M39:M103,ROW()-ROW($M$106)+1),"")</f>
        <v>0</v>
      </c>
      <c r="N119">
        <f>IFERROR(SMALL(N39:N103,ROW()-ROW($N$106)+1),"")</f>
        <v>0</v>
      </c>
      <c r="O119">
        <f>IFERROR(SMALL(O39:O103,ROW()-ROW($O$106)+1),"")</f>
        <v>0</v>
      </c>
      <c r="P119">
        <f>IFERROR(SMALL(P39:P103,ROW()-ROW($P$106)+1),"")</f>
        <v>0</v>
      </c>
      <c r="Q119">
        <f>IFERROR(SMALL(Q39:Q103,ROW()-ROW($Q$106)+1),"")</f>
        <v>0</v>
      </c>
      <c r="R119">
        <f>IFERROR(SMALL(R39:R103,ROW()-ROW($R$106)+1),"")</f>
        <v>0</v>
      </c>
      <c r="S119">
        <f>IFERROR(SMALL(S39:S103,ROW()-ROW($S$106)+1),"")</f>
        <v>0</v>
      </c>
      <c r="T119">
        <f>IFERROR(SMALL(T39:T103,ROW()-ROW($T$106)+1),"")</f>
        <v>0</v>
      </c>
      <c r="U119">
        <f>IFERROR(SMALL(U39:U103,ROW()-ROW($U$106)+1),"")</f>
        <v>0</v>
      </c>
      <c r="V119">
        <f>IFERROR(SMALL(V39:V103,ROW()-ROW($V$106)+1),"")</f>
        <v>0</v>
      </c>
      <c r="W119">
        <f>IFERROR(SMALL(W39:W103,ROW()-ROW($W$106)+1),"")</f>
        <v>0</v>
      </c>
      <c r="X119">
        <f>IFERROR(SMALL(X39:X103,ROW()-ROW($X$106)+1),"")</f>
        <v>0</v>
      </c>
      <c r="Y119">
        <f>IFERROR(SMALL(Y39:Y103,ROW()-ROW($Y$106)+1),"")</f>
        <v>0</v>
      </c>
      <c r="Z119">
        <f>IFERROR(SMALL(Z39:Z103,ROW()-ROW($Z$106)+1),"")</f>
        <v>0</v>
      </c>
      <c r="AA119">
        <f>IFERROR(SMALL(AA39:AA103,ROW()-ROW($AA$106)+1),"")</f>
        <v>0</v>
      </c>
      <c r="AB119">
        <f>IFERROR(SMALL(AB39:AB103,ROW()-ROW($AB$106)+1),"")</f>
        <v>0</v>
      </c>
      <c r="AC119">
        <f>IFERROR(SMALL(AC39:AC103,ROW()-ROW($AC$106)+1),"")</f>
        <v>0</v>
      </c>
      <c r="AD119">
        <f>IFERROR(SMALL(AD39:AD103,ROW()-ROW($AD$106)+1),"")</f>
        <v>0</v>
      </c>
      <c r="AE119">
        <f>IFERROR(SMALL(AE39:AE103,ROW()-ROW($AE$106)+1),"")</f>
        <v>0</v>
      </c>
      <c r="AF119">
        <f>IFERROR(SMALL(AF39:AF103,ROW()-ROW($AF$106)+1),"")</f>
        <v>0</v>
      </c>
      <c r="AG119">
        <f>IFERROR(SMALL(AG39:AG103,ROW()-ROW($AG$106)+1),"")</f>
        <v>0</v>
      </c>
      <c r="AH119">
        <f>IFERROR(SMALL(AH39:AH103,ROW()-ROW($AH$106)+1),"")</f>
        <v>0</v>
      </c>
      <c r="AI119">
        <f>IFERROR(SMALL(AI39:AI103,ROW()-ROW($AI$106)+1),"")</f>
        <v>0</v>
      </c>
      <c r="AJ119">
        <f>IFERROR(SMALL(AJ39:AJ103,ROW()-ROW($AJ$106)+1),"")</f>
        <v>0</v>
      </c>
      <c r="AK119">
        <f>IFERROR(SMALL(AK39:AK103,ROW()-ROW($AK$106)+1),"")</f>
        <v>0</v>
      </c>
      <c r="AL119">
        <f>IFERROR(SMALL(AL39:AL103,ROW()-ROW($AL$106)+1),"")</f>
        <v>0</v>
      </c>
      <c r="AM119">
        <f>IFERROR(SMALL(AM39:AM103,ROW()-ROW($AM$106)+1),"")</f>
        <v>0</v>
      </c>
      <c r="AN119">
        <f>IFERROR(SMALL(AN39:AN103,ROW()-ROW($AN$106)+1),"")</f>
        <v>0</v>
      </c>
      <c r="AO119">
        <f>IFERROR(SMALL(AO39:AO103,ROW()-ROW($AO$106)+1),"")</f>
        <v>0</v>
      </c>
      <c r="AP119">
        <f>IFERROR(SMALL(AP39:AP103,ROW()-ROW($AP$106)+1),"")</f>
        <v>0</v>
      </c>
      <c r="AQ119">
        <f>IFERROR(SMALL(AQ39:AQ103,ROW()-ROW($AQ$106)+1),"")</f>
        <v>0</v>
      </c>
      <c r="AR119">
        <f>IFERROR(SMALL(AR39:AR103,ROW()-ROW($AR$106)+1),"")</f>
        <v>0</v>
      </c>
      <c r="AS119">
        <f>IFERROR(SMALL(AS39:AS103,ROW()-ROW($AS$106)+1),"")</f>
        <v>0</v>
      </c>
      <c r="AT119">
        <f>IFERROR(SMALL(AT39:AT103,ROW()-ROW($AT$106)+1),"")</f>
        <v>0</v>
      </c>
      <c r="AU119">
        <f>IFERROR(SMALL(AU39:AU103,ROW()-ROW($AU$106)+1),"")</f>
        <v>0</v>
      </c>
      <c r="AV119">
        <f>IFERROR(SMALL(AV39:AV103,ROW()-ROW($AV$106)+1),"")</f>
        <v>0</v>
      </c>
      <c r="AW119">
        <f>IFERROR(SMALL(AW39:AW103,ROW()-ROW($AW$106)+1),"")</f>
        <v>0</v>
      </c>
      <c r="AX119">
        <f>IFERROR(SMALL(AX39:AX103,ROW()-ROW($AX$106)+1),"")</f>
        <v>0</v>
      </c>
      <c r="AY119">
        <f>IFERROR(SMALL(AY39:AY103,ROW()-ROW($AY$106)+1),"")</f>
        <v>0</v>
      </c>
      <c r="AZ119">
        <f>IFERROR(SMALL(AZ39:AZ103,ROW()-ROW($AZ$106)+1),"")</f>
        <v>0</v>
      </c>
      <c r="BA119">
        <f>IFERROR(SMALL(BA39:BA103,ROW()-ROW($BA$106)+1),"")</f>
        <v>0</v>
      </c>
      <c r="BB119">
        <f>IFERROR(SMALL(BB39:BB103,ROW()-ROW($BB$106)+1),"")</f>
        <v>0</v>
      </c>
      <c r="BC119">
        <f>IFERROR(SMALL(BC39:BC103,ROW()-ROW($BC$106)+1),"")</f>
        <v>0</v>
      </c>
      <c r="BD119">
        <f>IFERROR(SMALL(BD39:BD103,ROW()-ROW($BD$106)+1),"")</f>
        <v>0</v>
      </c>
      <c r="BE119">
        <f>IFERROR(SMALL(BE39:BE103,ROW()-ROW($BE$106)+1),"")</f>
        <v>0</v>
      </c>
      <c r="BF119">
        <f>IFERROR(SMALL(BF39:BF103,ROW()-ROW($BF$106)+1),"")</f>
        <v>0</v>
      </c>
      <c r="BG119">
        <f>IFERROR(SMALL(BG39:BG103,ROW()-ROW($BG$106)+1),"")</f>
        <v>0</v>
      </c>
      <c r="BH119">
        <f>IFERROR(SMALL(BH39:BH103,ROW()-ROW($BH$106)+1),"")</f>
        <v>0</v>
      </c>
      <c r="BI119">
        <f>IFERROR(SMALL(BI39:BI103,ROW()-ROW($BI$106)+1),"")</f>
        <v>0</v>
      </c>
      <c r="BJ119">
        <f>IFERROR(SMALL(BJ39:BJ103,ROW()-ROW($BJ$106)+1),"")</f>
        <v>0</v>
      </c>
      <c r="BK119">
        <f>IFERROR(SMALL(BK39:BK103,ROW()-ROW($BK$106)+1),"")</f>
        <v>0</v>
      </c>
      <c r="BL119">
        <f>IFERROR(SMALL(BL39:BL103,ROW()-ROW($BL$106)+1),"")</f>
        <v>0</v>
      </c>
      <c r="BM119">
        <f>IFERROR(SMALL(BM39:BM103,ROW()-ROW($BM$106)+1),"")</f>
        <v>0</v>
      </c>
      <c r="BN119">
        <f>IFERROR(SMALL(BN39:BN103,ROW()-ROW($BN$106)+1),"")</f>
        <v>0</v>
      </c>
      <c r="BO119">
        <f>IFERROR(SMALL(BO39:BO103,ROW()-ROW($BO$106)+1),"")</f>
        <v>0</v>
      </c>
      <c r="BP119">
        <f>IFERROR(SMALL(BP39:BP103,ROW()-ROW($BP$106)+1),"")</f>
        <v>0</v>
      </c>
      <c r="BS119">
        <f>IFERROR(SMALL(BS39:BS103,ROW()-ROW($BS$106)+1),"")</f>
        <v>0</v>
      </c>
      <c r="BT119">
        <f>IFERROR(SMALL(BT39:BT103,ROW()-ROW($BT$106)+1),"")</f>
        <v>0</v>
      </c>
      <c r="BU119">
        <f>IFERROR(SMALL(BU39:BU103,ROW()-ROW($BU$106)+1),"")</f>
        <v>0</v>
      </c>
      <c r="BV119">
        <f>IFERROR(SMALL(BV39:BV103,ROW()-ROW($BV$106)+1),"")</f>
        <v>0</v>
      </c>
      <c r="BW119">
        <f>IFERROR(SMALL(BW39:BW103,ROW()-ROW($BW$106)+1),"")</f>
        <v>0</v>
      </c>
      <c r="BX119">
        <f>IFERROR(SMALL(BX39:BX103,ROW()-ROW($BX$106)+1),"")</f>
        <v>0</v>
      </c>
      <c r="BY119">
        <f>IFERROR(SMALL(BY39:BY103,ROW()-ROW($BY$106)+1),"")</f>
        <v>0</v>
      </c>
      <c r="BZ119">
        <f>IFERROR(SMALL(BZ39:BZ103,ROW()-ROW($BZ$106)+1),"")</f>
        <v>0</v>
      </c>
      <c r="CA119">
        <f>IFERROR(SMALL(CA39:CA103,ROW()-ROW($CA$106)+1),"")</f>
        <v>0</v>
      </c>
      <c r="CB119">
        <f>IFERROR(SMALL(CB39:CB103,ROW()-ROW($CB$106)+1),"")</f>
        <v>0</v>
      </c>
      <c r="CC119">
        <f>IFERROR(SMALL(CC39:CC103,ROW()-ROW($CC$106)+1),"")</f>
        <v>0</v>
      </c>
      <c r="CD119">
        <f>IFERROR(SMALL(CD39:CD103,ROW()-ROW($CD$106)+1),"")</f>
        <v>0</v>
      </c>
      <c r="CE119">
        <f>IFERROR(SMALL(CE39:CE103,ROW()-ROW($CE$106)+1),"")</f>
        <v>0</v>
      </c>
      <c r="CF119">
        <f>IFERROR(SMALL(CF39:CF103,ROW()-ROW($CF$106)+1),"")</f>
        <v>0</v>
      </c>
      <c r="CG119">
        <f>IFERROR(SMALL(CG39:CG103,ROW()-ROW($CG$106)+1),"")</f>
        <v>0</v>
      </c>
      <c r="CH119">
        <f>IFERROR(SMALL(CH39:CH103,ROW()-ROW($CH$106)+1),"")</f>
        <v>0</v>
      </c>
      <c r="CI119">
        <f>IFERROR(SMALL(CI39:CI103,ROW()-ROW($CI$106)+1),"")</f>
        <v>0</v>
      </c>
      <c r="CJ119">
        <f>IFERROR(SMALL(CJ39:CJ103,ROW()-ROW($CJ$106)+1),"")</f>
        <v>0</v>
      </c>
      <c r="CK119">
        <f>IFERROR(SMALL(CK39:CK103,ROW()-ROW($CK$106)+1),"")</f>
        <v>0</v>
      </c>
      <c r="CL119">
        <f>IFERROR(SMALL(CL39:CL103,ROW()-ROW($CL$106)+1),"")</f>
        <v>0</v>
      </c>
      <c r="CM119">
        <f>IFERROR(SMALL(CM39:CM103,ROW()-ROW($CM$106)+1),"")</f>
        <v>0</v>
      </c>
      <c r="CN119">
        <f>IFERROR(SMALL(CN39:CN103,ROW()-ROW($CN$106)+1),"")</f>
        <v>0</v>
      </c>
      <c r="CO119">
        <f>IFERROR(SMALL(CO39:CO103,ROW()-ROW($CO$106)+1),"")</f>
        <v>0</v>
      </c>
      <c r="CP119">
        <f>IFERROR(SMALL(CP39:CP103,ROW()-ROW($CP$106)+1),"")</f>
        <v>0</v>
      </c>
      <c r="CQ119">
        <f>IFERROR(SMALL(CQ39:CQ103,ROW()-ROW($CQ$106)+1),"")</f>
        <v>0</v>
      </c>
      <c r="CR119">
        <f>IFERROR(SMALL(CR39:CR103,ROW()-ROW($CR$106)+1),"")</f>
        <v>0</v>
      </c>
      <c r="CS119">
        <f>IFERROR(SMALL(CS39:CS103,ROW()-ROW($CS$106)+1),"")</f>
        <v>0</v>
      </c>
      <c r="CT119">
        <f>IFERROR(SMALL(CT39:CT103,ROW()-ROW($CT$106)+1),"")</f>
        <v>0</v>
      </c>
      <c r="CU119">
        <f>IFERROR(SMALL(CU39:CU103,ROW()-ROW($CU$106)+1),"")</f>
        <v>0</v>
      </c>
      <c r="CV119">
        <f>IFERROR(SMALL(CV39:CV103,ROW()-ROW($CV$106)+1),"")</f>
        <v>0</v>
      </c>
      <c r="CW119">
        <f>IFERROR(SMALL(CW39:CW103,ROW()-ROW($CW$106)+1),"")</f>
        <v>0</v>
      </c>
      <c r="CX119">
        <f>IFERROR(SMALL(CX39:CX103,ROW()-ROW($CX$106)+1),"")</f>
        <v>0</v>
      </c>
      <c r="CY119">
        <f>IFERROR(SMALL(CY39:CY103,ROW()-ROW($CY$106)+1),"")</f>
        <v>0</v>
      </c>
      <c r="CZ119">
        <f>IFERROR(SMALL(CZ39:CZ103,ROW()-ROW($CZ$106)+1),"")</f>
        <v>0</v>
      </c>
      <c r="DA119">
        <f>IFERROR(SMALL(DA39:DA103,ROW()-ROW($DA$106)+1),"")</f>
        <v>0</v>
      </c>
      <c r="DB119">
        <f>IFERROR(SMALL(DB39:DB103,ROW()-ROW($DB$106)+1),"")</f>
        <v>0</v>
      </c>
      <c r="DC119">
        <f>IFERROR(SMALL(DC39:DC103,ROW()-ROW($DC$106)+1),"")</f>
        <v>0</v>
      </c>
      <c r="DD119">
        <f>IFERROR(SMALL(DD39:DD103,ROW()-ROW($DD$106)+1),"")</f>
        <v>0</v>
      </c>
      <c r="DE119">
        <f>IFERROR(SMALL(DE39:DE103,ROW()-ROW($DE$106)+1),"")</f>
        <v>0</v>
      </c>
      <c r="DF119">
        <f>IFERROR(SMALL(DF39:DF103,ROW()-ROW($DF$106)+1),"")</f>
        <v>0</v>
      </c>
      <c r="DG119">
        <f>IFERROR(SMALL(DG39:DG103,ROW()-ROW($DG$106)+1),"")</f>
        <v>0</v>
      </c>
      <c r="DH119">
        <f>IFERROR(SMALL(DH39:DH103,ROW()-ROW($DH$106)+1),"")</f>
        <v>0</v>
      </c>
      <c r="DI119">
        <f>IFERROR(SMALL(DI39:DI103,ROW()-ROW($DI$106)+1),"")</f>
        <v>0</v>
      </c>
      <c r="DJ119">
        <f>IFERROR(SMALL(DJ39:DJ103,ROW()-ROW($DJ$106)+1),"")</f>
        <v>0</v>
      </c>
      <c r="DK119">
        <f>IFERROR(SMALL(DK39:DK103,ROW()-ROW($DK$106)+1),"")</f>
        <v>0</v>
      </c>
      <c r="DL119">
        <f>IFERROR(SMALL(DL39:DL103,ROW()-ROW($DL$106)+1),"")</f>
        <v>0</v>
      </c>
      <c r="DM119">
        <f>IFERROR(SMALL(DM39:DM103,ROW()-ROW($DM$106)+1),"")</f>
        <v>0</v>
      </c>
      <c r="DN119">
        <f>IFERROR(SMALL(DN39:DN103,ROW()-ROW($DN$106)+1),"")</f>
        <v>0</v>
      </c>
      <c r="DO119">
        <f>IFERROR(SMALL(DO39:DO103,ROW()-ROW($DO$106)+1),"")</f>
        <v>0</v>
      </c>
      <c r="DP119">
        <f>IFERROR(SMALL(DP39:DP103,ROW()-ROW($DP$106)+1),"")</f>
        <v>0</v>
      </c>
      <c r="DQ119">
        <f>IFERROR(SMALL(DQ39:DQ103,ROW()-ROW($DQ$106)+1),"")</f>
        <v>0</v>
      </c>
      <c r="DR119">
        <f>IFERROR(SMALL(DR39:DR103,ROW()-ROW($DR$106)+1),"")</f>
        <v>0</v>
      </c>
      <c r="DS119">
        <f>IFERROR(SMALL(DS39:DS103,ROW()-ROW($DS$106)+1),"")</f>
        <v>0</v>
      </c>
      <c r="DT119">
        <f>IFERROR(SMALL(DT39:DT103,ROW()-ROW($DT$106)+1),"")</f>
        <v>0</v>
      </c>
      <c r="DU119">
        <f>IFERROR(SMALL(DU39:DU103,ROW()-ROW($DU$106)+1),"")</f>
        <v>0</v>
      </c>
      <c r="DV119">
        <f>IFERROR(SMALL(DV39:DV103,ROW()-ROW($DV$106)+1),"")</f>
        <v>0</v>
      </c>
      <c r="DW119">
        <f>IFERROR(SMALL(DW39:DW103,ROW()-ROW($DW$106)+1),"")</f>
        <v>0</v>
      </c>
      <c r="DX119">
        <f>IFERROR(SMALL(DX39:DX103,ROW()-ROW($DX$106)+1),"")</f>
        <v>0</v>
      </c>
      <c r="DY119">
        <f>IFERROR(SMALL(DY39:DY103,ROW()-ROW($DY$106)+1),"")</f>
        <v>0</v>
      </c>
      <c r="DZ119">
        <f>IFERROR(SMALL(DZ39:DZ103,ROW()-ROW($DZ$106)+1),"")</f>
        <v>0</v>
      </c>
      <c r="EA119">
        <f>IFERROR(SMALL(EA39:EA103,ROW()-ROW($EA$106)+1),"")</f>
        <v>0</v>
      </c>
      <c r="EB119">
        <f>IFERROR(SMALL(EB39:EB103,ROW()-ROW($EB$106)+1),"")</f>
        <v>0</v>
      </c>
      <c r="EC119">
        <f>IFERROR(SMALL(EC39:EC103,ROW()-ROW($EC$106)+1),"")</f>
        <v>0</v>
      </c>
      <c r="ED119">
        <f>IFERROR(SMALL(ED39:ED103,ROW()-ROW($ED$106)+1),"")</f>
        <v>0</v>
      </c>
    </row>
    <row r="120" spans="5:134">
      <c r="E120">
        <f>IFERROR(SMALL(E39:E103,ROW()-ROW($E$106)+1),"")</f>
        <v>0</v>
      </c>
      <c r="F120">
        <f>IFERROR(SMALL(F39:F103,ROW()-ROW($F$106)+1),"")</f>
        <v>0</v>
      </c>
      <c r="G120">
        <f>IFERROR(SMALL(G39:G103,ROW()-ROW($G$106)+1),"")</f>
        <v>0</v>
      </c>
      <c r="H120">
        <f>IFERROR(SMALL(H39:H103,ROW()-ROW($H$106)+1),"")</f>
        <v>0</v>
      </c>
      <c r="I120">
        <f>IFERROR(SMALL(I39:I103,ROW()-ROW($I$106)+1),"")</f>
        <v>0</v>
      </c>
      <c r="J120">
        <f>IFERROR(SMALL(J39:J103,ROW()-ROW($J$106)+1),"")</f>
        <v>0</v>
      </c>
      <c r="K120">
        <f>IFERROR(SMALL(K39:K103,ROW()-ROW($K$106)+1),"")</f>
        <v>0</v>
      </c>
      <c r="L120">
        <f>IFERROR(SMALL(L39:L103,ROW()-ROW($L$106)+1),"")</f>
        <v>0</v>
      </c>
      <c r="M120">
        <f>IFERROR(SMALL(M39:M103,ROW()-ROW($M$106)+1),"")</f>
        <v>0</v>
      </c>
      <c r="N120">
        <f>IFERROR(SMALL(N39:N103,ROW()-ROW($N$106)+1),"")</f>
        <v>0</v>
      </c>
      <c r="O120">
        <f>IFERROR(SMALL(O39:O103,ROW()-ROW($O$106)+1),"")</f>
        <v>0</v>
      </c>
      <c r="P120">
        <f>IFERROR(SMALL(P39:P103,ROW()-ROW($P$106)+1),"")</f>
        <v>0</v>
      </c>
      <c r="Q120">
        <f>IFERROR(SMALL(Q39:Q103,ROW()-ROW($Q$106)+1),"")</f>
        <v>0</v>
      </c>
      <c r="R120">
        <f>IFERROR(SMALL(R39:R103,ROW()-ROW($R$106)+1),"")</f>
        <v>0</v>
      </c>
      <c r="S120">
        <f>IFERROR(SMALL(S39:S103,ROW()-ROW($S$106)+1),"")</f>
        <v>0</v>
      </c>
      <c r="T120">
        <f>IFERROR(SMALL(T39:T103,ROW()-ROW($T$106)+1),"")</f>
        <v>0</v>
      </c>
      <c r="U120">
        <f>IFERROR(SMALL(U39:U103,ROW()-ROW($U$106)+1),"")</f>
        <v>0</v>
      </c>
      <c r="V120">
        <f>IFERROR(SMALL(V39:V103,ROW()-ROW($V$106)+1),"")</f>
        <v>0</v>
      </c>
      <c r="W120">
        <f>IFERROR(SMALL(W39:W103,ROW()-ROW($W$106)+1),"")</f>
        <v>0</v>
      </c>
      <c r="X120">
        <f>IFERROR(SMALL(X39:X103,ROW()-ROW($X$106)+1),"")</f>
        <v>0</v>
      </c>
      <c r="Y120">
        <f>IFERROR(SMALL(Y39:Y103,ROW()-ROW($Y$106)+1),"")</f>
        <v>0</v>
      </c>
      <c r="Z120">
        <f>IFERROR(SMALL(Z39:Z103,ROW()-ROW($Z$106)+1),"")</f>
        <v>0</v>
      </c>
      <c r="AA120">
        <f>IFERROR(SMALL(AA39:AA103,ROW()-ROW($AA$106)+1),"")</f>
        <v>0</v>
      </c>
      <c r="AB120">
        <f>IFERROR(SMALL(AB39:AB103,ROW()-ROW($AB$106)+1),"")</f>
        <v>0</v>
      </c>
      <c r="AC120">
        <f>IFERROR(SMALL(AC39:AC103,ROW()-ROW($AC$106)+1),"")</f>
        <v>0</v>
      </c>
      <c r="AD120">
        <f>IFERROR(SMALL(AD39:AD103,ROW()-ROW($AD$106)+1),"")</f>
        <v>0</v>
      </c>
      <c r="AE120">
        <f>IFERROR(SMALL(AE39:AE103,ROW()-ROW($AE$106)+1),"")</f>
        <v>0</v>
      </c>
      <c r="AF120">
        <f>IFERROR(SMALL(AF39:AF103,ROW()-ROW($AF$106)+1),"")</f>
        <v>0</v>
      </c>
      <c r="AG120">
        <f>IFERROR(SMALL(AG39:AG103,ROW()-ROW($AG$106)+1),"")</f>
        <v>0</v>
      </c>
      <c r="AH120">
        <f>IFERROR(SMALL(AH39:AH103,ROW()-ROW($AH$106)+1),"")</f>
        <v>0</v>
      </c>
      <c r="AI120">
        <f>IFERROR(SMALL(AI39:AI103,ROW()-ROW($AI$106)+1),"")</f>
        <v>0</v>
      </c>
      <c r="AJ120">
        <f>IFERROR(SMALL(AJ39:AJ103,ROW()-ROW($AJ$106)+1),"")</f>
        <v>0</v>
      </c>
      <c r="AK120">
        <f>IFERROR(SMALL(AK39:AK103,ROW()-ROW($AK$106)+1),"")</f>
        <v>0</v>
      </c>
      <c r="AL120">
        <f>IFERROR(SMALL(AL39:AL103,ROW()-ROW($AL$106)+1),"")</f>
        <v>0</v>
      </c>
      <c r="AM120">
        <f>IFERROR(SMALL(AM39:AM103,ROW()-ROW($AM$106)+1),"")</f>
        <v>0</v>
      </c>
      <c r="AN120">
        <f>IFERROR(SMALL(AN39:AN103,ROW()-ROW($AN$106)+1),"")</f>
        <v>0</v>
      </c>
      <c r="AO120">
        <f>IFERROR(SMALL(AO39:AO103,ROW()-ROW($AO$106)+1),"")</f>
        <v>0</v>
      </c>
      <c r="AP120">
        <f>IFERROR(SMALL(AP39:AP103,ROW()-ROW($AP$106)+1),"")</f>
        <v>0</v>
      </c>
      <c r="AQ120">
        <f>IFERROR(SMALL(AQ39:AQ103,ROW()-ROW($AQ$106)+1),"")</f>
        <v>0</v>
      </c>
      <c r="AR120">
        <f>IFERROR(SMALL(AR39:AR103,ROW()-ROW($AR$106)+1),"")</f>
        <v>0</v>
      </c>
      <c r="AS120">
        <f>IFERROR(SMALL(AS39:AS103,ROW()-ROW($AS$106)+1),"")</f>
        <v>0</v>
      </c>
      <c r="AT120">
        <f>IFERROR(SMALL(AT39:AT103,ROW()-ROW($AT$106)+1),"")</f>
        <v>0</v>
      </c>
      <c r="AU120">
        <f>IFERROR(SMALL(AU39:AU103,ROW()-ROW($AU$106)+1),"")</f>
        <v>0</v>
      </c>
      <c r="AV120">
        <f>IFERROR(SMALL(AV39:AV103,ROW()-ROW($AV$106)+1),"")</f>
        <v>0</v>
      </c>
      <c r="AW120">
        <f>IFERROR(SMALL(AW39:AW103,ROW()-ROW($AW$106)+1),"")</f>
        <v>0</v>
      </c>
      <c r="AX120">
        <f>IFERROR(SMALL(AX39:AX103,ROW()-ROW($AX$106)+1),"")</f>
        <v>0</v>
      </c>
      <c r="AY120">
        <f>IFERROR(SMALL(AY39:AY103,ROW()-ROW($AY$106)+1),"")</f>
        <v>0</v>
      </c>
      <c r="AZ120">
        <f>IFERROR(SMALL(AZ39:AZ103,ROW()-ROW($AZ$106)+1),"")</f>
        <v>0</v>
      </c>
      <c r="BA120">
        <f>IFERROR(SMALL(BA39:BA103,ROW()-ROW($BA$106)+1),"")</f>
        <v>0</v>
      </c>
      <c r="BB120">
        <f>IFERROR(SMALL(BB39:BB103,ROW()-ROW($BB$106)+1),"")</f>
        <v>0</v>
      </c>
      <c r="BC120">
        <f>IFERROR(SMALL(BC39:BC103,ROW()-ROW($BC$106)+1),"")</f>
        <v>0</v>
      </c>
      <c r="BD120">
        <f>IFERROR(SMALL(BD39:BD103,ROW()-ROW($BD$106)+1),"")</f>
        <v>0</v>
      </c>
      <c r="BE120">
        <f>IFERROR(SMALL(BE39:BE103,ROW()-ROW($BE$106)+1),"")</f>
        <v>0</v>
      </c>
      <c r="BF120">
        <f>IFERROR(SMALL(BF39:BF103,ROW()-ROW($BF$106)+1),"")</f>
        <v>0</v>
      </c>
      <c r="BG120">
        <f>IFERROR(SMALL(BG39:BG103,ROW()-ROW($BG$106)+1),"")</f>
        <v>0</v>
      </c>
      <c r="BH120">
        <f>IFERROR(SMALL(BH39:BH103,ROW()-ROW($BH$106)+1),"")</f>
        <v>0</v>
      </c>
      <c r="BI120">
        <f>IFERROR(SMALL(BI39:BI103,ROW()-ROW($BI$106)+1),"")</f>
        <v>0</v>
      </c>
      <c r="BJ120">
        <f>IFERROR(SMALL(BJ39:BJ103,ROW()-ROW($BJ$106)+1),"")</f>
        <v>0</v>
      </c>
      <c r="BK120">
        <f>IFERROR(SMALL(BK39:BK103,ROW()-ROW($BK$106)+1),"")</f>
        <v>0</v>
      </c>
      <c r="BL120">
        <f>IFERROR(SMALL(BL39:BL103,ROW()-ROW($BL$106)+1),"")</f>
        <v>0</v>
      </c>
      <c r="BM120">
        <f>IFERROR(SMALL(BM39:BM103,ROW()-ROW($BM$106)+1),"")</f>
        <v>0</v>
      </c>
      <c r="BN120">
        <f>IFERROR(SMALL(BN39:BN103,ROW()-ROW($BN$106)+1),"")</f>
        <v>0</v>
      </c>
      <c r="BO120">
        <f>IFERROR(SMALL(BO39:BO103,ROW()-ROW($BO$106)+1),"")</f>
        <v>0</v>
      </c>
      <c r="BP120">
        <f>IFERROR(SMALL(BP39:BP103,ROW()-ROW($BP$106)+1),"")</f>
        <v>0</v>
      </c>
      <c r="BS120">
        <f>IFERROR(SMALL(BS39:BS103,ROW()-ROW($BS$106)+1),"")</f>
        <v>0</v>
      </c>
      <c r="BT120">
        <f>IFERROR(SMALL(BT39:BT103,ROW()-ROW($BT$106)+1),"")</f>
        <v>0</v>
      </c>
      <c r="BU120">
        <f>IFERROR(SMALL(BU39:BU103,ROW()-ROW($BU$106)+1),"")</f>
        <v>0</v>
      </c>
      <c r="BV120">
        <f>IFERROR(SMALL(BV39:BV103,ROW()-ROW($BV$106)+1),"")</f>
        <v>0</v>
      </c>
      <c r="BW120">
        <f>IFERROR(SMALL(BW39:BW103,ROW()-ROW($BW$106)+1),"")</f>
        <v>0</v>
      </c>
      <c r="BX120">
        <f>IFERROR(SMALL(BX39:BX103,ROW()-ROW($BX$106)+1),"")</f>
        <v>0</v>
      </c>
      <c r="BY120">
        <f>IFERROR(SMALL(BY39:BY103,ROW()-ROW($BY$106)+1),"")</f>
        <v>0</v>
      </c>
      <c r="BZ120">
        <f>IFERROR(SMALL(BZ39:BZ103,ROW()-ROW($BZ$106)+1),"")</f>
        <v>0</v>
      </c>
      <c r="CA120">
        <f>IFERROR(SMALL(CA39:CA103,ROW()-ROW($CA$106)+1),"")</f>
        <v>0</v>
      </c>
      <c r="CB120">
        <f>IFERROR(SMALL(CB39:CB103,ROW()-ROW($CB$106)+1),"")</f>
        <v>0</v>
      </c>
      <c r="CC120">
        <f>IFERROR(SMALL(CC39:CC103,ROW()-ROW($CC$106)+1),"")</f>
        <v>0</v>
      </c>
      <c r="CD120">
        <f>IFERROR(SMALL(CD39:CD103,ROW()-ROW($CD$106)+1),"")</f>
        <v>0</v>
      </c>
      <c r="CE120">
        <f>IFERROR(SMALL(CE39:CE103,ROW()-ROW($CE$106)+1),"")</f>
        <v>0</v>
      </c>
      <c r="CF120">
        <f>IFERROR(SMALL(CF39:CF103,ROW()-ROW($CF$106)+1),"")</f>
        <v>0</v>
      </c>
      <c r="CG120">
        <f>IFERROR(SMALL(CG39:CG103,ROW()-ROW($CG$106)+1),"")</f>
        <v>0</v>
      </c>
      <c r="CH120">
        <f>IFERROR(SMALL(CH39:CH103,ROW()-ROW($CH$106)+1),"")</f>
        <v>0</v>
      </c>
      <c r="CI120">
        <f>IFERROR(SMALL(CI39:CI103,ROW()-ROW($CI$106)+1),"")</f>
        <v>0</v>
      </c>
      <c r="CJ120">
        <f>IFERROR(SMALL(CJ39:CJ103,ROW()-ROW($CJ$106)+1),"")</f>
        <v>0</v>
      </c>
      <c r="CK120">
        <f>IFERROR(SMALL(CK39:CK103,ROW()-ROW($CK$106)+1),"")</f>
        <v>0</v>
      </c>
      <c r="CL120">
        <f>IFERROR(SMALL(CL39:CL103,ROW()-ROW($CL$106)+1),"")</f>
        <v>0</v>
      </c>
      <c r="CM120">
        <f>IFERROR(SMALL(CM39:CM103,ROW()-ROW($CM$106)+1),"")</f>
        <v>0</v>
      </c>
      <c r="CN120">
        <f>IFERROR(SMALL(CN39:CN103,ROW()-ROW($CN$106)+1),"")</f>
        <v>0</v>
      </c>
      <c r="CO120">
        <f>IFERROR(SMALL(CO39:CO103,ROW()-ROW($CO$106)+1),"")</f>
        <v>0</v>
      </c>
      <c r="CP120">
        <f>IFERROR(SMALL(CP39:CP103,ROW()-ROW($CP$106)+1),"")</f>
        <v>0</v>
      </c>
      <c r="CQ120">
        <f>IFERROR(SMALL(CQ39:CQ103,ROW()-ROW($CQ$106)+1),"")</f>
        <v>0</v>
      </c>
      <c r="CR120">
        <f>IFERROR(SMALL(CR39:CR103,ROW()-ROW($CR$106)+1),"")</f>
        <v>0</v>
      </c>
      <c r="CS120">
        <f>IFERROR(SMALL(CS39:CS103,ROW()-ROW($CS$106)+1),"")</f>
        <v>0</v>
      </c>
      <c r="CT120">
        <f>IFERROR(SMALL(CT39:CT103,ROW()-ROW($CT$106)+1),"")</f>
        <v>0</v>
      </c>
      <c r="CU120">
        <f>IFERROR(SMALL(CU39:CU103,ROW()-ROW($CU$106)+1),"")</f>
        <v>0</v>
      </c>
      <c r="CV120">
        <f>IFERROR(SMALL(CV39:CV103,ROW()-ROW($CV$106)+1),"")</f>
        <v>0</v>
      </c>
      <c r="CW120">
        <f>IFERROR(SMALL(CW39:CW103,ROW()-ROW($CW$106)+1),"")</f>
        <v>0</v>
      </c>
      <c r="CX120">
        <f>IFERROR(SMALL(CX39:CX103,ROW()-ROW($CX$106)+1),"")</f>
        <v>0</v>
      </c>
      <c r="CY120">
        <f>IFERROR(SMALL(CY39:CY103,ROW()-ROW($CY$106)+1),"")</f>
        <v>0</v>
      </c>
      <c r="CZ120">
        <f>IFERROR(SMALL(CZ39:CZ103,ROW()-ROW($CZ$106)+1),"")</f>
        <v>0</v>
      </c>
      <c r="DA120">
        <f>IFERROR(SMALL(DA39:DA103,ROW()-ROW($DA$106)+1),"")</f>
        <v>0</v>
      </c>
      <c r="DB120">
        <f>IFERROR(SMALL(DB39:DB103,ROW()-ROW($DB$106)+1),"")</f>
        <v>0</v>
      </c>
      <c r="DC120">
        <f>IFERROR(SMALL(DC39:DC103,ROW()-ROW($DC$106)+1),"")</f>
        <v>0</v>
      </c>
      <c r="DD120">
        <f>IFERROR(SMALL(DD39:DD103,ROW()-ROW($DD$106)+1),"")</f>
        <v>0</v>
      </c>
      <c r="DE120">
        <f>IFERROR(SMALL(DE39:DE103,ROW()-ROW($DE$106)+1),"")</f>
        <v>0</v>
      </c>
      <c r="DF120">
        <f>IFERROR(SMALL(DF39:DF103,ROW()-ROW($DF$106)+1),"")</f>
        <v>0</v>
      </c>
      <c r="DG120">
        <f>IFERROR(SMALL(DG39:DG103,ROW()-ROW($DG$106)+1),"")</f>
        <v>0</v>
      </c>
      <c r="DH120">
        <f>IFERROR(SMALL(DH39:DH103,ROW()-ROW($DH$106)+1),"")</f>
        <v>0</v>
      </c>
      <c r="DI120">
        <f>IFERROR(SMALL(DI39:DI103,ROW()-ROW($DI$106)+1),"")</f>
        <v>0</v>
      </c>
      <c r="DJ120">
        <f>IFERROR(SMALL(DJ39:DJ103,ROW()-ROW($DJ$106)+1),"")</f>
        <v>0</v>
      </c>
      <c r="DK120">
        <f>IFERROR(SMALL(DK39:DK103,ROW()-ROW($DK$106)+1),"")</f>
        <v>0</v>
      </c>
      <c r="DL120">
        <f>IFERROR(SMALL(DL39:DL103,ROW()-ROW($DL$106)+1),"")</f>
        <v>0</v>
      </c>
      <c r="DM120">
        <f>IFERROR(SMALL(DM39:DM103,ROW()-ROW($DM$106)+1),"")</f>
        <v>0</v>
      </c>
      <c r="DN120">
        <f>IFERROR(SMALL(DN39:DN103,ROW()-ROW($DN$106)+1),"")</f>
        <v>0</v>
      </c>
      <c r="DO120">
        <f>IFERROR(SMALL(DO39:DO103,ROW()-ROW($DO$106)+1),"")</f>
        <v>0</v>
      </c>
      <c r="DP120">
        <f>IFERROR(SMALL(DP39:DP103,ROW()-ROW($DP$106)+1),"")</f>
        <v>0</v>
      </c>
      <c r="DQ120">
        <f>IFERROR(SMALL(DQ39:DQ103,ROW()-ROW($DQ$106)+1),"")</f>
        <v>0</v>
      </c>
      <c r="DR120">
        <f>IFERROR(SMALL(DR39:DR103,ROW()-ROW($DR$106)+1),"")</f>
        <v>0</v>
      </c>
      <c r="DS120">
        <f>IFERROR(SMALL(DS39:DS103,ROW()-ROW($DS$106)+1),"")</f>
        <v>0</v>
      </c>
      <c r="DT120">
        <f>IFERROR(SMALL(DT39:DT103,ROW()-ROW($DT$106)+1),"")</f>
        <v>0</v>
      </c>
      <c r="DU120">
        <f>IFERROR(SMALL(DU39:DU103,ROW()-ROW($DU$106)+1),"")</f>
        <v>0</v>
      </c>
      <c r="DV120">
        <f>IFERROR(SMALL(DV39:DV103,ROW()-ROW($DV$106)+1),"")</f>
        <v>0</v>
      </c>
      <c r="DW120">
        <f>IFERROR(SMALL(DW39:DW103,ROW()-ROW($DW$106)+1),"")</f>
        <v>0</v>
      </c>
      <c r="DX120">
        <f>IFERROR(SMALL(DX39:DX103,ROW()-ROW($DX$106)+1),"")</f>
        <v>0</v>
      </c>
      <c r="DY120">
        <f>IFERROR(SMALL(DY39:DY103,ROW()-ROW($DY$106)+1),"")</f>
        <v>0</v>
      </c>
      <c r="DZ120">
        <f>IFERROR(SMALL(DZ39:DZ103,ROW()-ROW($DZ$106)+1),"")</f>
        <v>0</v>
      </c>
      <c r="EA120">
        <f>IFERROR(SMALL(EA39:EA103,ROW()-ROW($EA$106)+1),"")</f>
        <v>0</v>
      </c>
      <c r="EB120">
        <f>IFERROR(SMALL(EB39:EB103,ROW()-ROW($EB$106)+1),"")</f>
        <v>0</v>
      </c>
      <c r="EC120">
        <f>IFERROR(SMALL(EC39:EC103,ROW()-ROW($EC$106)+1),"")</f>
        <v>0</v>
      </c>
      <c r="ED120">
        <f>IFERROR(SMALL(ED39:ED103,ROW()-ROW($ED$106)+1),"")</f>
        <v>0</v>
      </c>
    </row>
    <row r="121" spans="5:134">
      <c r="E121">
        <f>IFERROR(SMALL(E39:E103,ROW()-ROW($E$106)+1),"")</f>
        <v>0</v>
      </c>
      <c r="F121">
        <f>IFERROR(SMALL(F39:F103,ROW()-ROW($F$106)+1),"")</f>
        <v>0</v>
      </c>
      <c r="G121">
        <f>IFERROR(SMALL(G39:G103,ROW()-ROW($G$106)+1),"")</f>
        <v>0</v>
      </c>
      <c r="H121">
        <f>IFERROR(SMALL(H39:H103,ROW()-ROW($H$106)+1),"")</f>
        <v>0</v>
      </c>
      <c r="I121">
        <f>IFERROR(SMALL(I39:I103,ROW()-ROW($I$106)+1),"")</f>
        <v>0</v>
      </c>
      <c r="J121">
        <f>IFERROR(SMALL(J39:J103,ROW()-ROW($J$106)+1),"")</f>
        <v>0</v>
      </c>
      <c r="K121">
        <f>IFERROR(SMALL(K39:K103,ROW()-ROW($K$106)+1),"")</f>
        <v>0</v>
      </c>
      <c r="L121">
        <f>IFERROR(SMALL(L39:L103,ROW()-ROW($L$106)+1),"")</f>
        <v>0</v>
      </c>
      <c r="M121">
        <f>IFERROR(SMALL(M39:M103,ROW()-ROW($M$106)+1),"")</f>
        <v>0</v>
      </c>
      <c r="N121">
        <f>IFERROR(SMALL(N39:N103,ROW()-ROW($N$106)+1),"")</f>
        <v>0</v>
      </c>
      <c r="O121">
        <f>IFERROR(SMALL(O39:O103,ROW()-ROW($O$106)+1),"")</f>
        <v>0</v>
      </c>
      <c r="P121">
        <f>IFERROR(SMALL(P39:P103,ROW()-ROW($P$106)+1),"")</f>
        <v>0</v>
      </c>
      <c r="Q121">
        <f>IFERROR(SMALL(Q39:Q103,ROW()-ROW($Q$106)+1),"")</f>
        <v>0</v>
      </c>
      <c r="R121">
        <f>IFERROR(SMALL(R39:R103,ROW()-ROW($R$106)+1),"")</f>
        <v>0</v>
      </c>
      <c r="S121">
        <f>IFERROR(SMALL(S39:S103,ROW()-ROW($S$106)+1),"")</f>
        <v>0</v>
      </c>
      <c r="T121">
        <f>IFERROR(SMALL(T39:T103,ROW()-ROW($T$106)+1),"")</f>
        <v>0</v>
      </c>
      <c r="U121">
        <f>IFERROR(SMALL(U39:U103,ROW()-ROW($U$106)+1),"")</f>
        <v>0</v>
      </c>
      <c r="V121">
        <f>IFERROR(SMALL(V39:V103,ROW()-ROW($V$106)+1),"")</f>
        <v>0</v>
      </c>
      <c r="W121">
        <f>IFERROR(SMALL(W39:W103,ROW()-ROW($W$106)+1),"")</f>
        <v>0</v>
      </c>
      <c r="X121">
        <f>IFERROR(SMALL(X39:X103,ROW()-ROW($X$106)+1),"")</f>
        <v>0</v>
      </c>
      <c r="Y121">
        <f>IFERROR(SMALL(Y39:Y103,ROW()-ROW($Y$106)+1),"")</f>
        <v>0</v>
      </c>
      <c r="Z121">
        <f>IFERROR(SMALL(Z39:Z103,ROW()-ROW($Z$106)+1),"")</f>
        <v>0</v>
      </c>
      <c r="AA121">
        <f>IFERROR(SMALL(AA39:AA103,ROW()-ROW($AA$106)+1),"")</f>
        <v>0</v>
      </c>
      <c r="AB121">
        <f>IFERROR(SMALL(AB39:AB103,ROW()-ROW($AB$106)+1),"")</f>
        <v>0</v>
      </c>
      <c r="AC121">
        <f>IFERROR(SMALL(AC39:AC103,ROW()-ROW($AC$106)+1),"")</f>
        <v>0</v>
      </c>
      <c r="AD121">
        <f>IFERROR(SMALL(AD39:AD103,ROW()-ROW($AD$106)+1),"")</f>
        <v>0</v>
      </c>
      <c r="AE121">
        <f>IFERROR(SMALL(AE39:AE103,ROW()-ROW($AE$106)+1),"")</f>
        <v>0</v>
      </c>
      <c r="AF121">
        <f>IFERROR(SMALL(AF39:AF103,ROW()-ROW($AF$106)+1),"")</f>
        <v>0</v>
      </c>
      <c r="AG121">
        <f>IFERROR(SMALL(AG39:AG103,ROW()-ROW($AG$106)+1),"")</f>
        <v>0</v>
      </c>
      <c r="AH121">
        <f>IFERROR(SMALL(AH39:AH103,ROW()-ROW($AH$106)+1),"")</f>
        <v>0</v>
      </c>
      <c r="AI121">
        <f>IFERROR(SMALL(AI39:AI103,ROW()-ROW($AI$106)+1),"")</f>
        <v>0</v>
      </c>
      <c r="AJ121">
        <f>IFERROR(SMALL(AJ39:AJ103,ROW()-ROW($AJ$106)+1),"")</f>
        <v>0</v>
      </c>
      <c r="AK121">
        <f>IFERROR(SMALL(AK39:AK103,ROW()-ROW($AK$106)+1),"")</f>
        <v>0</v>
      </c>
      <c r="AL121">
        <f>IFERROR(SMALL(AL39:AL103,ROW()-ROW($AL$106)+1),"")</f>
        <v>0</v>
      </c>
      <c r="AM121">
        <f>IFERROR(SMALL(AM39:AM103,ROW()-ROW($AM$106)+1),"")</f>
        <v>0</v>
      </c>
      <c r="AN121">
        <f>IFERROR(SMALL(AN39:AN103,ROW()-ROW($AN$106)+1),"")</f>
        <v>0</v>
      </c>
      <c r="AO121">
        <f>IFERROR(SMALL(AO39:AO103,ROW()-ROW($AO$106)+1),"")</f>
        <v>0</v>
      </c>
      <c r="AP121">
        <f>IFERROR(SMALL(AP39:AP103,ROW()-ROW($AP$106)+1),"")</f>
        <v>0</v>
      </c>
      <c r="AQ121">
        <f>IFERROR(SMALL(AQ39:AQ103,ROW()-ROW($AQ$106)+1),"")</f>
        <v>0</v>
      </c>
      <c r="AR121">
        <f>IFERROR(SMALL(AR39:AR103,ROW()-ROW($AR$106)+1),"")</f>
        <v>0</v>
      </c>
      <c r="AS121">
        <f>IFERROR(SMALL(AS39:AS103,ROW()-ROW($AS$106)+1),"")</f>
        <v>0</v>
      </c>
      <c r="AT121">
        <f>IFERROR(SMALL(AT39:AT103,ROW()-ROW($AT$106)+1),"")</f>
        <v>0</v>
      </c>
      <c r="AU121">
        <f>IFERROR(SMALL(AU39:AU103,ROW()-ROW($AU$106)+1),"")</f>
        <v>0</v>
      </c>
      <c r="AV121">
        <f>IFERROR(SMALL(AV39:AV103,ROW()-ROW($AV$106)+1),"")</f>
        <v>0</v>
      </c>
      <c r="AW121">
        <f>IFERROR(SMALL(AW39:AW103,ROW()-ROW($AW$106)+1),"")</f>
        <v>0</v>
      </c>
      <c r="AX121">
        <f>IFERROR(SMALL(AX39:AX103,ROW()-ROW($AX$106)+1),"")</f>
        <v>0</v>
      </c>
      <c r="AY121">
        <f>IFERROR(SMALL(AY39:AY103,ROW()-ROW($AY$106)+1),"")</f>
        <v>0</v>
      </c>
      <c r="AZ121">
        <f>IFERROR(SMALL(AZ39:AZ103,ROW()-ROW($AZ$106)+1),"")</f>
        <v>0</v>
      </c>
      <c r="BA121">
        <f>IFERROR(SMALL(BA39:BA103,ROW()-ROW($BA$106)+1),"")</f>
        <v>0</v>
      </c>
      <c r="BB121">
        <f>IFERROR(SMALL(BB39:BB103,ROW()-ROW($BB$106)+1),"")</f>
        <v>0</v>
      </c>
      <c r="BC121">
        <f>IFERROR(SMALL(BC39:BC103,ROW()-ROW($BC$106)+1),"")</f>
        <v>0</v>
      </c>
      <c r="BD121">
        <f>IFERROR(SMALL(BD39:BD103,ROW()-ROW($BD$106)+1),"")</f>
        <v>0</v>
      </c>
      <c r="BE121">
        <f>IFERROR(SMALL(BE39:BE103,ROW()-ROW($BE$106)+1),"")</f>
        <v>0</v>
      </c>
      <c r="BF121">
        <f>IFERROR(SMALL(BF39:BF103,ROW()-ROW($BF$106)+1),"")</f>
        <v>0</v>
      </c>
      <c r="BG121">
        <f>IFERROR(SMALL(BG39:BG103,ROW()-ROW($BG$106)+1),"")</f>
        <v>0</v>
      </c>
      <c r="BH121">
        <f>IFERROR(SMALL(BH39:BH103,ROW()-ROW($BH$106)+1),"")</f>
        <v>0</v>
      </c>
      <c r="BI121">
        <f>IFERROR(SMALL(BI39:BI103,ROW()-ROW($BI$106)+1),"")</f>
        <v>0</v>
      </c>
      <c r="BJ121">
        <f>IFERROR(SMALL(BJ39:BJ103,ROW()-ROW($BJ$106)+1),"")</f>
        <v>0</v>
      </c>
      <c r="BK121">
        <f>IFERROR(SMALL(BK39:BK103,ROW()-ROW($BK$106)+1),"")</f>
        <v>0</v>
      </c>
      <c r="BL121">
        <f>IFERROR(SMALL(BL39:BL103,ROW()-ROW($BL$106)+1),"")</f>
        <v>0</v>
      </c>
      <c r="BM121">
        <f>IFERROR(SMALL(BM39:BM103,ROW()-ROW($BM$106)+1),"")</f>
        <v>0</v>
      </c>
      <c r="BN121">
        <f>IFERROR(SMALL(BN39:BN103,ROW()-ROW($BN$106)+1),"")</f>
        <v>0</v>
      </c>
      <c r="BO121">
        <f>IFERROR(SMALL(BO39:BO103,ROW()-ROW($BO$106)+1),"")</f>
        <v>0</v>
      </c>
      <c r="BP121">
        <f>IFERROR(SMALL(BP39:BP103,ROW()-ROW($BP$106)+1),"")</f>
        <v>0</v>
      </c>
      <c r="BS121">
        <f>IFERROR(SMALL(BS39:BS103,ROW()-ROW($BS$106)+1),"")</f>
        <v>0</v>
      </c>
      <c r="BT121">
        <f>IFERROR(SMALL(BT39:BT103,ROW()-ROW($BT$106)+1),"")</f>
        <v>0</v>
      </c>
      <c r="BU121">
        <f>IFERROR(SMALL(BU39:BU103,ROW()-ROW($BU$106)+1),"")</f>
        <v>0</v>
      </c>
      <c r="BV121">
        <f>IFERROR(SMALL(BV39:BV103,ROW()-ROW($BV$106)+1),"")</f>
        <v>0</v>
      </c>
      <c r="BW121">
        <f>IFERROR(SMALL(BW39:BW103,ROW()-ROW($BW$106)+1),"")</f>
        <v>0</v>
      </c>
      <c r="BX121">
        <f>IFERROR(SMALL(BX39:BX103,ROW()-ROW($BX$106)+1),"")</f>
        <v>0</v>
      </c>
      <c r="BY121">
        <f>IFERROR(SMALL(BY39:BY103,ROW()-ROW($BY$106)+1),"")</f>
        <v>0</v>
      </c>
      <c r="BZ121">
        <f>IFERROR(SMALL(BZ39:BZ103,ROW()-ROW($BZ$106)+1),"")</f>
        <v>0</v>
      </c>
      <c r="CA121">
        <f>IFERROR(SMALL(CA39:CA103,ROW()-ROW($CA$106)+1),"")</f>
        <v>0</v>
      </c>
      <c r="CB121">
        <f>IFERROR(SMALL(CB39:CB103,ROW()-ROW($CB$106)+1),"")</f>
        <v>0</v>
      </c>
      <c r="CC121">
        <f>IFERROR(SMALL(CC39:CC103,ROW()-ROW($CC$106)+1),"")</f>
        <v>0</v>
      </c>
      <c r="CD121">
        <f>IFERROR(SMALL(CD39:CD103,ROW()-ROW($CD$106)+1),"")</f>
        <v>0</v>
      </c>
      <c r="CE121">
        <f>IFERROR(SMALL(CE39:CE103,ROW()-ROW($CE$106)+1),"")</f>
        <v>0</v>
      </c>
      <c r="CF121">
        <f>IFERROR(SMALL(CF39:CF103,ROW()-ROW($CF$106)+1),"")</f>
        <v>0</v>
      </c>
      <c r="CG121">
        <f>IFERROR(SMALL(CG39:CG103,ROW()-ROW($CG$106)+1),"")</f>
        <v>0</v>
      </c>
      <c r="CH121">
        <f>IFERROR(SMALL(CH39:CH103,ROW()-ROW($CH$106)+1),"")</f>
        <v>0</v>
      </c>
      <c r="CI121">
        <f>IFERROR(SMALL(CI39:CI103,ROW()-ROW($CI$106)+1),"")</f>
        <v>0</v>
      </c>
      <c r="CJ121">
        <f>IFERROR(SMALL(CJ39:CJ103,ROW()-ROW($CJ$106)+1),"")</f>
        <v>0</v>
      </c>
      <c r="CK121">
        <f>IFERROR(SMALL(CK39:CK103,ROW()-ROW($CK$106)+1),"")</f>
        <v>0</v>
      </c>
      <c r="CL121">
        <f>IFERROR(SMALL(CL39:CL103,ROW()-ROW($CL$106)+1),"")</f>
        <v>0</v>
      </c>
      <c r="CM121">
        <f>IFERROR(SMALL(CM39:CM103,ROW()-ROW($CM$106)+1),"")</f>
        <v>0</v>
      </c>
      <c r="CN121">
        <f>IFERROR(SMALL(CN39:CN103,ROW()-ROW($CN$106)+1),"")</f>
        <v>0</v>
      </c>
      <c r="CO121">
        <f>IFERROR(SMALL(CO39:CO103,ROW()-ROW($CO$106)+1),"")</f>
        <v>0</v>
      </c>
      <c r="CP121">
        <f>IFERROR(SMALL(CP39:CP103,ROW()-ROW($CP$106)+1),"")</f>
        <v>0</v>
      </c>
      <c r="CQ121">
        <f>IFERROR(SMALL(CQ39:CQ103,ROW()-ROW($CQ$106)+1),"")</f>
        <v>0</v>
      </c>
      <c r="CR121">
        <f>IFERROR(SMALL(CR39:CR103,ROW()-ROW($CR$106)+1),"")</f>
        <v>0</v>
      </c>
      <c r="CS121">
        <f>IFERROR(SMALL(CS39:CS103,ROW()-ROW($CS$106)+1),"")</f>
        <v>0</v>
      </c>
      <c r="CT121">
        <f>IFERROR(SMALL(CT39:CT103,ROW()-ROW($CT$106)+1),"")</f>
        <v>0</v>
      </c>
      <c r="CU121">
        <f>IFERROR(SMALL(CU39:CU103,ROW()-ROW($CU$106)+1),"")</f>
        <v>0</v>
      </c>
      <c r="CV121">
        <f>IFERROR(SMALL(CV39:CV103,ROW()-ROW($CV$106)+1),"")</f>
        <v>0</v>
      </c>
      <c r="CW121">
        <f>IFERROR(SMALL(CW39:CW103,ROW()-ROW($CW$106)+1),"")</f>
        <v>0</v>
      </c>
      <c r="CX121">
        <f>IFERROR(SMALL(CX39:CX103,ROW()-ROW($CX$106)+1),"")</f>
        <v>0</v>
      </c>
      <c r="CY121">
        <f>IFERROR(SMALL(CY39:CY103,ROW()-ROW($CY$106)+1),"")</f>
        <v>0</v>
      </c>
      <c r="CZ121">
        <f>IFERROR(SMALL(CZ39:CZ103,ROW()-ROW($CZ$106)+1),"")</f>
        <v>0</v>
      </c>
      <c r="DA121">
        <f>IFERROR(SMALL(DA39:DA103,ROW()-ROW($DA$106)+1),"")</f>
        <v>0</v>
      </c>
      <c r="DB121">
        <f>IFERROR(SMALL(DB39:DB103,ROW()-ROW($DB$106)+1),"")</f>
        <v>0</v>
      </c>
      <c r="DC121">
        <f>IFERROR(SMALL(DC39:DC103,ROW()-ROW($DC$106)+1),"")</f>
        <v>0</v>
      </c>
      <c r="DD121">
        <f>IFERROR(SMALL(DD39:DD103,ROW()-ROW($DD$106)+1),"")</f>
        <v>0</v>
      </c>
      <c r="DE121">
        <f>IFERROR(SMALL(DE39:DE103,ROW()-ROW($DE$106)+1),"")</f>
        <v>0</v>
      </c>
      <c r="DF121">
        <f>IFERROR(SMALL(DF39:DF103,ROW()-ROW($DF$106)+1),"")</f>
        <v>0</v>
      </c>
      <c r="DG121">
        <f>IFERROR(SMALL(DG39:DG103,ROW()-ROW($DG$106)+1),"")</f>
        <v>0</v>
      </c>
      <c r="DH121">
        <f>IFERROR(SMALL(DH39:DH103,ROW()-ROW($DH$106)+1),"")</f>
        <v>0</v>
      </c>
      <c r="DI121">
        <f>IFERROR(SMALL(DI39:DI103,ROW()-ROW($DI$106)+1),"")</f>
        <v>0</v>
      </c>
      <c r="DJ121">
        <f>IFERROR(SMALL(DJ39:DJ103,ROW()-ROW($DJ$106)+1),"")</f>
        <v>0</v>
      </c>
      <c r="DK121">
        <f>IFERROR(SMALL(DK39:DK103,ROW()-ROW($DK$106)+1),"")</f>
        <v>0</v>
      </c>
      <c r="DL121">
        <f>IFERROR(SMALL(DL39:DL103,ROW()-ROW($DL$106)+1),"")</f>
        <v>0</v>
      </c>
      <c r="DM121">
        <f>IFERROR(SMALL(DM39:DM103,ROW()-ROW($DM$106)+1),"")</f>
        <v>0</v>
      </c>
      <c r="DN121">
        <f>IFERROR(SMALL(DN39:DN103,ROW()-ROW($DN$106)+1),"")</f>
        <v>0</v>
      </c>
      <c r="DO121">
        <f>IFERROR(SMALL(DO39:DO103,ROW()-ROW($DO$106)+1),"")</f>
        <v>0</v>
      </c>
      <c r="DP121">
        <f>IFERROR(SMALL(DP39:DP103,ROW()-ROW($DP$106)+1),"")</f>
        <v>0</v>
      </c>
      <c r="DQ121">
        <f>IFERROR(SMALL(DQ39:DQ103,ROW()-ROW($DQ$106)+1),"")</f>
        <v>0</v>
      </c>
      <c r="DR121">
        <f>IFERROR(SMALL(DR39:DR103,ROW()-ROW($DR$106)+1),"")</f>
        <v>0</v>
      </c>
      <c r="DS121">
        <f>IFERROR(SMALL(DS39:DS103,ROW()-ROW($DS$106)+1),"")</f>
        <v>0</v>
      </c>
      <c r="DT121">
        <f>IFERROR(SMALL(DT39:DT103,ROW()-ROW($DT$106)+1),"")</f>
        <v>0</v>
      </c>
      <c r="DU121">
        <f>IFERROR(SMALL(DU39:DU103,ROW()-ROW($DU$106)+1),"")</f>
        <v>0</v>
      </c>
      <c r="DV121">
        <f>IFERROR(SMALL(DV39:DV103,ROW()-ROW($DV$106)+1),"")</f>
        <v>0</v>
      </c>
      <c r="DW121">
        <f>IFERROR(SMALL(DW39:DW103,ROW()-ROW($DW$106)+1),"")</f>
        <v>0</v>
      </c>
      <c r="DX121">
        <f>IFERROR(SMALL(DX39:DX103,ROW()-ROW($DX$106)+1),"")</f>
        <v>0</v>
      </c>
      <c r="DY121">
        <f>IFERROR(SMALL(DY39:DY103,ROW()-ROW($DY$106)+1),"")</f>
        <v>0</v>
      </c>
      <c r="DZ121">
        <f>IFERROR(SMALL(DZ39:DZ103,ROW()-ROW($DZ$106)+1),"")</f>
        <v>0</v>
      </c>
      <c r="EA121">
        <f>IFERROR(SMALL(EA39:EA103,ROW()-ROW($EA$106)+1),"")</f>
        <v>0</v>
      </c>
      <c r="EB121">
        <f>IFERROR(SMALL(EB39:EB103,ROW()-ROW($EB$106)+1),"")</f>
        <v>0</v>
      </c>
      <c r="EC121">
        <f>IFERROR(SMALL(EC39:EC103,ROW()-ROW($EC$106)+1),"")</f>
        <v>0</v>
      </c>
      <c r="ED121">
        <f>IFERROR(SMALL(ED39:ED103,ROW()-ROW($ED$106)+1),"")</f>
        <v>0</v>
      </c>
    </row>
    <row r="122" spans="5:134">
      <c r="E122">
        <f>IFERROR(SMALL(E39:E103,ROW()-ROW($E$106)+1),"")</f>
        <v>0</v>
      </c>
      <c r="F122">
        <f>IFERROR(SMALL(F39:F103,ROW()-ROW($F$106)+1),"")</f>
        <v>0</v>
      </c>
      <c r="G122">
        <f>IFERROR(SMALL(G39:G103,ROW()-ROW($G$106)+1),"")</f>
        <v>0</v>
      </c>
      <c r="H122">
        <f>IFERROR(SMALL(H39:H103,ROW()-ROW($H$106)+1),"")</f>
        <v>0</v>
      </c>
      <c r="I122">
        <f>IFERROR(SMALL(I39:I103,ROW()-ROW($I$106)+1),"")</f>
        <v>0</v>
      </c>
      <c r="J122">
        <f>IFERROR(SMALL(J39:J103,ROW()-ROW($J$106)+1),"")</f>
        <v>0</v>
      </c>
      <c r="K122">
        <f>IFERROR(SMALL(K39:K103,ROW()-ROW($K$106)+1),"")</f>
        <v>0</v>
      </c>
      <c r="L122">
        <f>IFERROR(SMALL(L39:L103,ROW()-ROW($L$106)+1),"")</f>
        <v>0</v>
      </c>
      <c r="M122">
        <f>IFERROR(SMALL(M39:M103,ROW()-ROW($M$106)+1),"")</f>
        <v>0</v>
      </c>
      <c r="N122">
        <f>IFERROR(SMALL(N39:N103,ROW()-ROW($N$106)+1),"")</f>
        <v>0</v>
      </c>
      <c r="O122">
        <f>IFERROR(SMALL(O39:O103,ROW()-ROW($O$106)+1),"")</f>
        <v>0</v>
      </c>
      <c r="P122">
        <f>IFERROR(SMALL(P39:P103,ROW()-ROW($P$106)+1),"")</f>
        <v>0</v>
      </c>
      <c r="Q122">
        <f>IFERROR(SMALL(Q39:Q103,ROW()-ROW($Q$106)+1),"")</f>
        <v>0</v>
      </c>
      <c r="R122">
        <f>IFERROR(SMALL(R39:R103,ROW()-ROW($R$106)+1),"")</f>
        <v>0</v>
      </c>
      <c r="S122">
        <f>IFERROR(SMALL(S39:S103,ROW()-ROW($S$106)+1),"")</f>
        <v>0</v>
      </c>
      <c r="T122">
        <f>IFERROR(SMALL(T39:T103,ROW()-ROW($T$106)+1),"")</f>
        <v>0</v>
      </c>
      <c r="U122">
        <f>IFERROR(SMALL(U39:U103,ROW()-ROW($U$106)+1),"")</f>
        <v>0</v>
      </c>
      <c r="V122">
        <f>IFERROR(SMALL(V39:V103,ROW()-ROW($V$106)+1),"")</f>
        <v>0</v>
      </c>
      <c r="W122">
        <f>IFERROR(SMALL(W39:W103,ROW()-ROW($W$106)+1),"")</f>
        <v>0</v>
      </c>
      <c r="X122">
        <f>IFERROR(SMALL(X39:X103,ROW()-ROW($X$106)+1),"")</f>
        <v>0</v>
      </c>
      <c r="Y122">
        <f>IFERROR(SMALL(Y39:Y103,ROW()-ROW($Y$106)+1),"")</f>
        <v>0</v>
      </c>
      <c r="Z122">
        <f>IFERROR(SMALL(Z39:Z103,ROW()-ROW($Z$106)+1),"")</f>
        <v>0</v>
      </c>
      <c r="AA122">
        <f>IFERROR(SMALL(AA39:AA103,ROW()-ROW($AA$106)+1),"")</f>
        <v>0</v>
      </c>
      <c r="AB122">
        <f>IFERROR(SMALL(AB39:AB103,ROW()-ROW($AB$106)+1),"")</f>
        <v>0</v>
      </c>
      <c r="AC122">
        <f>IFERROR(SMALL(AC39:AC103,ROW()-ROW($AC$106)+1),"")</f>
        <v>0</v>
      </c>
      <c r="AD122">
        <f>IFERROR(SMALL(AD39:AD103,ROW()-ROW($AD$106)+1),"")</f>
        <v>0</v>
      </c>
      <c r="AE122">
        <f>IFERROR(SMALL(AE39:AE103,ROW()-ROW($AE$106)+1),"")</f>
        <v>0</v>
      </c>
      <c r="AF122">
        <f>IFERROR(SMALL(AF39:AF103,ROW()-ROW($AF$106)+1),"")</f>
        <v>0</v>
      </c>
      <c r="AG122">
        <f>IFERROR(SMALL(AG39:AG103,ROW()-ROW($AG$106)+1),"")</f>
        <v>0</v>
      </c>
      <c r="AH122">
        <f>IFERROR(SMALL(AH39:AH103,ROW()-ROW($AH$106)+1),"")</f>
        <v>0</v>
      </c>
      <c r="AI122">
        <f>IFERROR(SMALL(AI39:AI103,ROW()-ROW($AI$106)+1),"")</f>
        <v>0</v>
      </c>
      <c r="AJ122">
        <f>IFERROR(SMALL(AJ39:AJ103,ROW()-ROW($AJ$106)+1),"")</f>
        <v>0</v>
      </c>
      <c r="AK122">
        <f>IFERROR(SMALL(AK39:AK103,ROW()-ROW($AK$106)+1),"")</f>
        <v>0</v>
      </c>
      <c r="AL122">
        <f>IFERROR(SMALL(AL39:AL103,ROW()-ROW($AL$106)+1),"")</f>
        <v>0</v>
      </c>
      <c r="AM122">
        <f>IFERROR(SMALL(AM39:AM103,ROW()-ROW($AM$106)+1),"")</f>
        <v>0</v>
      </c>
      <c r="AN122">
        <f>IFERROR(SMALL(AN39:AN103,ROW()-ROW($AN$106)+1),"")</f>
        <v>0</v>
      </c>
      <c r="AO122">
        <f>IFERROR(SMALL(AO39:AO103,ROW()-ROW($AO$106)+1),"")</f>
        <v>0</v>
      </c>
      <c r="AP122">
        <f>IFERROR(SMALL(AP39:AP103,ROW()-ROW($AP$106)+1),"")</f>
        <v>0</v>
      </c>
      <c r="AQ122">
        <f>IFERROR(SMALL(AQ39:AQ103,ROW()-ROW($AQ$106)+1),"")</f>
        <v>0</v>
      </c>
      <c r="AR122">
        <f>IFERROR(SMALL(AR39:AR103,ROW()-ROW($AR$106)+1),"")</f>
        <v>0</v>
      </c>
      <c r="AS122">
        <f>IFERROR(SMALL(AS39:AS103,ROW()-ROW($AS$106)+1),"")</f>
        <v>0</v>
      </c>
      <c r="AT122">
        <f>IFERROR(SMALL(AT39:AT103,ROW()-ROW($AT$106)+1),"")</f>
        <v>0</v>
      </c>
      <c r="AU122">
        <f>IFERROR(SMALL(AU39:AU103,ROW()-ROW($AU$106)+1),"")</f>
        <v>0</v>
      </c>
      <c r="AV122">
        <f>IFERROR(SMALL(AV39:AV103,ROW()-ROW($AV$106)+1),"")</f>
        <v>0</v>
      </c>
      <c r="AW122">
        <f>IFERROR(SMALL(AW39:AW103,ROW()-ROW($AW$106)+1),"")</f>
        <v>0</v>
      </c>
      <c r="AX122">
        <f>IFERROR(SMALL(AX39:AX103,ROW()-ROW($AX$106)+1),"")</f>
        <v>0</v>
      </c>
      <c r="AY122">
        <f>IFERROR(SMALL(AY39:AY103,ROW()-ROW($AY$106)+1),"")</f>
        <v>0</v>
      </c>
      <c r="AZ122">
        <f>IFERROR(SMALL(AZ39:AZ103,ROW()-ROW($AZ$106)+1),"")</f>
        <v>0</v>
      </c>
      <c r="BA122">
        <f>IFERROR(SMALL(BA39:BA103,ROW()-ROW($BA$106)+1),"")</f>
        <v>0</v>
      </c>
      <c r="BB122">
        <f>IFERROR(SMALL(BB39:BB103,ROW()-ROW($BB$106)+1),"")</f>
        <v>0</v>
      </c>
      <c r="BC122">
        <f>IFERROR(SMALL(BC39:BC103,ROW()-ROW($BC$106)+1),"")</f>
        <v>0</v>
      </c>
      <c r="BD122">
        <f>IFERROR(SMALL(BD39:BD103,ROW()-ROW($BD$106)+1),"")</f>
        <v>0</v>
      </c>
      <c r="BE122">
        <f>IFERROR(SMALL(BE39:BE103,ROW()-ROW($BE$106)+1),"")</f>
        <v>0</v>
      </c>
      <c r="BF122">
        <f>IFERROR(SMALL(BF39:BF103,ROW()-ROW($BF$106)+1),"")</f>
        <v>0</v>
      </c>
      <c r="BG122">
        <f>IFERROR(SMALL(BG39:BG103,ROW()-ROW($BG$106)+1),"")</f>
        <v>0</v>
      </c>
      <c r="BH122">
        <f>IFERROR(SMALL(BH39:BH103,ROW()-ROW($BH$106)+1),"")</f>
        <v>0</v>
      </c>
      <c r="BI122">
        <f>IFERROR(SMALL(BI39:BI103,ROW()-ROW($BI$106)+1),"")</f>
        <v>0</v>
      </c>
      <c r="BJ122">
        <f>IFERROR(SMALL(BJ39:BJ103,ROW()-ROW($BJ$106)+1),"")</f>
        <v>0</v>
      </c>
      <c r="BK122">
        <f>IFERROR(SMALL(BK39:BK103,ROW()-ROW($BK$106)+1),"")</f>
        <v>0</v>
      </c>
      <c r="BL122">
        <f>IFERROR(SMALL(BL39:BL103,ROW()-ROW($BL$106)+1),"")</f>
        <v>0</v>
      </c>
      <c r="BM122">
        <f>IFERROR(SMALL(BM39:BM103,ROW()-ROW($BM$106)+1),"")</f>
        <v>0</v>
      </c>
      <c r="BN122">
        <f>IFERROR(SMALL(BN39:BN103,ROW()-ROW($BN$106)+1),"")</f>
        <v>0</v>
      </c>
      <c r="BO122">
        <f>IFERROR(SMALL(BO39:BO103,ROW()-ROW($BO$106)+1),"")</f>
        <v>0</v>
      </c>
      <c r="BP122">
        <f>IFERROR(SMALL(BP39:BP103,ROW()-ROW($BP$106)+1),"")</f>
        <v>0</v>
      </c>
      <c r="BS122">
        <f>IFERROR(SMALL(BS39:BS103,ROW()-ROW($BS$106)+1),"")</f>
        <v>0</v>
      </c>
      <c r="BT122">
        <f>IFERROR(SMALL(BT39:BT103,ROW()-ROW($BT$106)+1),"")</f>
        <v>0</v>
      </c>
      <c r="BU122">
        <f>IFERROR(SMALL(BU39:BU103,ROW()-ROW($BU$106)+1),"")</f>
        <v>0</v>
      </c>
      <c r="BV122">
        <f>IFERROR(SMALL(BV39:BV103,ROW()-ROW($BV$106)+1),"")</f>
        <v>0</v>
      </c>
      <c r="BW122">
        <f>IFERROR(SMALL(BW39:BW103,ROW()-ROW($BW$106)+1),"")</f>
        <v>0</v>
      </c>
      <c r="BX122">
        <f>IFERROR(SMALL(BX39:BX103,ROW()-ROW($BX$106)+1),"")</f>
        <v>0</v>
      </c>
      <c r="BY122">
        <f>IFERROR(SMALL(BY39:BY103,ROW()-ROW($BY$106)+1),"")</f>
        <v>0</v>
      </c>
      <c r="BZ122">
        <f>IFERROR(SMALL(BZ39:BZ103,ROW()-ROW($BZ$106)+1),"")</f>
        <v>0</v>
      </c>
      <c r="CA122">
        <f>IFERROR(SMALL(CA39:CA103,ROW()-ROW($CA$106)+1),"")</f>
        <v>0</v>
      </c>
      <c r="CB122">
        <f>IFERROR(SMALL(CB39:CB103,ROW()-ROW($CB$106)+1),"")</f>
        <v>0</v>
      </c>
      <c r="CC122">
        <f>IFERROR(SMALL(CC39:CC103,ROW()-ROW($CC$106)+1),"")</f>
        <v>0</v>
      </c>
      <c r="CD122">
        <f>IFERROR(SMALL(CD39:CD103,ROW()-ROW($CD$106)+1),"")</f>
        <v>0</v>
      </c>
      <c r="CE122">
        <f>IFERROR(SMALL(CE39:CE103,ROW()-ROW($CE$106)+1),"")</f>
        <v>0</v>
      </c>
      <c r="CF122">
        <f>IFERROR(SMALL(CF39:CF103,ROW()-ROW($CF$106)+1),"")</f>
        <v>0</v>
      </c>
      <c r="CG122">
        <f>IFERROR(SMALL(CG39:CG103,ROW()-ROW($CG$106)+1),"")</f>
        <v>0</v>
      </c>
      <c r="CH122">
        <f>IFERROR(SMALL(CH39:CH103,ROW()-ROW($CH$106)+1),"")</f>
        <v>0</v>
      </c>
      <c r="CI122">
        <f>IFERROR(SMALL(CI39:CI103,ROW()-ROW($CI$106)+1),"")</f>
        <v>0</v>
      </c>
      <c r="CJ122">
        <f>IFERROR(SMALL(CJ39:CJ103,ROW()-ROW($CJ$106)+1),"")</f>
        <v>0</v>
      </c>
      <c r="CK122">
        <f>IFERROR(SMALL(CK39:CK103,ROW()-ROW($CK$106)+1),"")</f>
        <v>0</v>
      </c>
      <c r="CL122">
        <f>IFERROR(SMALL(CL39:CL103,ROW()-ROW($CL$106)+1),"")</f>
        <v>0</v>
      </c>
      <c r="CM122">
        <f>IFERROR(SMALL(CM39:CM103,ROW()-ROW($CM$106)+1),"")</f>
        <v>0</v>
      </c>
      <c r="CN122">
        <f>IFERROR(SMALL(CN39:CN103,ROW()-ROW($CN$106)+1),"")</f>
        <v>0</v>
      </c>
      <c r="CO122">
        <f>IFERROR(SMALL(CO39:CO103,ROW()-ROW($CO$106)+1),"")</f>
        <v>0</v>
      </c>
      <c r="CP122">
        <f>IFERROR(SMALL(CP39:CP103,ROW()-ROW($CP$106)+1),"")</f>
        <v>0</v>
      </c>
      <c r="CQ122">
        <f>IFERROR(SMALL(CQ39:CQ103,ROW()-ROW($CQ$106)+1),"")</f>
        <v>0</v>
      </c>
      <c r="CR122">
        <f>IFERROR(SMALL(CR39:CR103,ROW()-ROW($CR$106)+1),"")</f>
        <v>0</v>
      </c>
      <c r="CS122">
        <f>IFERROR(SMALL(CS39:CS103,ROW()-ROW($CS$106)+1),"")</f>
        <v>0</v>
      </c>
      <c r="CT122">
        <f>IFERROR(SMALL(CT39:CT103,ROW()-ROW($CT$106)+1),"")</f>
        <v>0</v>
      </c>
      <c r="CU122">
        <f>IFERROR(SMALL(CU39:CU103,ROW()-ROW($CU$106)+1),"")</f>
        <v>0</v>
      </c>
      <c r="CV122">
        <f>IFERROR(SMALL(CV39:CV103,ROW()-ROW($CV$106)+1),"")</f>
        <v>0</v>
      </c>
      <c r="CW122">
        <f>IFERROR(SMALL(CW39:CW103,ROW()-ROW($CW$106)+1),"")</f>
        <v>0</v>
      </c>
      <c r="CX122">
        <f>IFERROR(SMALL(CX39:CX103,ROW()-ROW($CX$106)+1),"")</f>
        <v>0</v>
      </c>
      <c r="CY122">
        <f>IFERROR(SMALL(CY39:CY103,ROW()-ROW($CY$106)+1),"")</f>
        <v>0</v>
      </c>
      <c r="CZ122">
        <f>IFERROR(SMALL(CZ39:CZ103,ROW()-ROW($CZ$106)+1),"")</f>
        <v>0</v>
      </c>
      <c r="DA122">
        <f>IFERROR(SMALL(DA39:DA103,ROW()-ROW($DA$106)+1),"")</f>
        <v>0</v>
      </c>
      <c r="DB122">
        <f>IFERROR(SMALL(DB39:DB103,ROW()-ROW($DB$106)+1),"")</f>
        <v>0</v>
      </c>
      <c r="DC122">
        <f>IFERROR(SMALL(DC39:DC103,ROW()-ROW($DC$106)+1),"")</f>
        <v>0</v>
      </c>
      <c r="DD122">
        <f>IFERROR(SMALL(DD39:DD103,ROW()-ROW($DD$106)+1),"")</f>
        <v>0</v>
      </c>
      <c r="DE122">
        <f>IFERROR(SMALL(DE39:DE103,ROW()-ROW($DE$106)+1),"")</f>
        <v>0</v>
      </c>
      <c r="DF122">
        <f>IFERROR(SMALL(DF39:DF103,ROW()-ROW($DF$106)+1),"")</f>
        <v>0</v>
      </c>
      <c r="DG122">
        <f>IFERROR(SMALL(DG39:DG103,ROW()-ROW($DG$106)+1),"")</f>
        <v>0</v>
      </c>
      <c r="DH122">
        <f>IFERROR(SMALL(DH39:DH103,ROW()-ROW($DH$106)+1),"")</f>
        <v>0</v>
      </c>
      <c r="DI122">
        <f>IFERROR(SMALL(DI39:DI103,ROW()-ROW($DI$106)+1),"")</f>
        <v>0</v>
      </c>
      <c r="DJ122">
        <f>IFERROR(SMALL(DJ39:DJ103,ROW()-ROW($DJ$106)+1),"")</f>
        <v>0</v>
      </c>
      <c r="DK122">
        <f>IFERROR(SMALL(DK39:DK103,ROW()-ROW($DK$106)+1),"")</f>
        <v>0</v>
      </c>
      <c r="DL122">
        <f>IFERROR(SMALL(DL39:DL103,ROW()-ROW($DL$106)+1),"")</f>
        <v>0</v>
      </c>
      <c r="DM122">
        <f>IFERROR(SMALL(DM39:DM103,ROW()-ROW($DM$106)+1),"")</f>
        <v>0</v>
      </c>
      <c r="DN122">
        <f>IFERROR(SMALL(DN39:DN103,ROW()-ROW($DN$106)+1),"")</f>
        <v>0</v>
      </c>
      <c r="DO122">
        <f>IFERROR(SMALL(DO39:DO103,ROW()-ROW($DO$106)+1),"")</f>
        <v>0</v>
      </c>
      <c r="DP122">
        <f>IFERROR(SMALL(DP39:DP103,ROW()-ROW($DP$106)+1),"")</f>
        <v>0</v>
      </c>
      <c r="DQ122">
        <f>IFERROR(SMALL(DQ39:DQ103,ROW()-ROW($DQ$106)+1),"")</f>
        <v>0</v>
      </c>
      <c r="DR122">
        <f>IFERROR(SMALL(DR39:DR103,ROW()-ROW($DR$106)+1),"")</f>
        <v>0</v>
      </c>
      <c r="DS122">
        <f>IFERROR(SMALL(DS39:DS103,ROW()-ROW($DS$106)+1),"")</f>
        <v>0</v>
      </c>
      <c r="DT122">
        <f>IFERROR(SMALL(DT39:DT103,ROW()-ROW($DT$106)+1),"")</f>
        <v>0</v>
      </c>
      <c r="DU122">
        <f>IFERROR(SMALL(DU39:DU103,ROW()-ROW($DU$106)+1),"")</f>
        <v>0</v>
      </c>
      <c r="DV122">
        <f>IFERROR(SMALL(DV39:DV103,ROW()-ROW($DV$106)+1),"")</f>
        <v>0</v>
      </c>
      <c r="DW122">
        <f>IFERROR(SMALL(DW39:DW103,ROW()-ROW($DW$106)+1),"")</f>
        <v>0</v>
      </c>
      <c r="DX122">
        <f>IFERROR(SMALL(DX39:DX103,ROW()-ROW($DX$106)+1),"")</f>
        <v>0</v>
      </c>
      <c r="DY122">
        <f>IFERROR(SMALL(DY39:DY103,ROW()-ROW($DY$106)+1),"")</f>
        <v>0</v>
      </c>
      <c r="DZ122">
        <f>IFERROR(SMALL(DZ39:DZ103,ROW()-ROW($DZ$106)+1),"")</f>
        <v>0</v>
      </c>
      <c r="EA122">
        <f>IFERROR(SMALL(EA39:EA103,ROW()-ROW($EA$106)+1),"")</f>
        <v>0</v>
      </c>
      <c r="EB122">
        <f>IFERROR(SMALL(EB39:EB103,ROW()-ROW($EB$106)+1),"")</f>
        <v>0</v>
      </c>
      <c r="EC122">
        <f>IFERROR(SMALL(EC39:EC103,ROW()-ROW($EC$106)+1),"")</f>
        <v>0</v>
      </c>
      <c r="ED122">
        <f>IFERROR(SMALL(ED39:ED103,ROW()-ROW($ED$106)+1),"")</f>
        <v>0</v>
      </c>
    </row>
    <row r="123" spans="5:134">
      <c r="E123">
        <f>IFERROR(SMALL(E39:E103,ROW()-ROW($E$106)+1),"")</f>
        <v>0</v>
      </c>
      <c r="F123">
        <f>IFERROR(SMALL(F39:F103,ROW()-ROW($F$106)+1),"")</f>
        <v>0</v>
      </c>
      <c r="G123">
        <f>IFERROR(SMALL(G39:G103,ROW()-ROW($G$106)+1),"")</f>
        <v>0</v>
      </c>
      <c r="H123">
        <f>IFERROR(SMALL(H39:H103,ROW()-ROW($H$106)+1),"")</f>
        <v>0</v>
      </c>
      <c r="I123">
        <f>IFERROR(SMALL(I39:I103,ROW()-ROW($I$106)+1),"")</f>
        <v>0</v>
      </c>
      <c r="J123">
        <f>IFERROR(SMALL(J39:J103,ROW()-ROW($J$106)+1),"")</f>
        <v>0</v>
      </c>
      <c r="K123">
        <f>IFERROR(SMALL(K39:K103,ROW()-ROW($K$106)+1),"")</f>
        <v>0</v>
      </c>
      <c r="L123">
        <f>IFERROR(SMALL(L39:L103,ROW()-ROW($L$106)+1),"")</f>
        <v>0</v>
      </c>
      <c r="M123">
        <f>IFERROR(SMALL(M39:M103,ROW()-ROW($M$106)+1),"")</f>
        <v>0</v>
      </c>
      <c r="N123">
        <f>IFERROR(SMALL(N39:N103,ROW()-ROW($N$106)+1),"")</f>
        <v>0</v>
      </c>
      <c r="O123">
        <f>IFERROR(SMALL(O39:O103,ROW()-ROW($O$106)+1),"")</f>
        <v>0</v>
      </c>
      <c r="P123">
        <f>IFERROR(SMALL(P39:P103,ROW()-ROW($P$106)+1),"")</f>
        <v>0</v>
      </c>
      <c r="Q123">
        <f>IFERROR(SMALL(Q39:Q103,ROW()-ROW($Q$106)+1),"")</f>
        <v>0</v>
      </c>
      <c r="R123">
        <f>IFERROR(SMALL(R39:R103,ROW()-ROW($R$106)+1),"")</f>
        <v>0</v>
      </c>
      <c r="S123">
        <f>IFERROR(SMALL(S39:S103,ROW()-ROW($S$106)+1),"")</f>
        <v>0</v>
      </c>
      <c r="T123">
        <f>IFERROR(SMALL(T39:T103,ROW()-ROW($T$106)+1),"")</f>
        <v>0</v>
      </c>
      <c r="U123">
        <f>IFERROR(SMALL(U39:U103,ROW()-ROW($U$106)+1),"")</f>
        <v>0</v>
      </c>
      <c r="V123">
        <f>IFERROR(SMALL(V39:V103,ROW()-ROW($V$106)+1),"")</f>
        <v>0</v>
      </c>
      <c r="W123">
        <f>IFERROR(SMALL(W39:W103,ROW()-ROW($W$106)+1),"")</f>
        <v>0</v>
      </c>
      <c r="X123">
        <f>IFERROR(SMALL(X39:X103,ROW()-ROW($X$106)+1),"")</f>
        <v>0</v>
      </c>
      <c r="Y123">
        <f>IFERROR(SMALL(Y39:Y103,ROW()-ROW($Y$106)+1),"")</f>
        <v>0</v>
      </c>
      <c r="Z123">
        <f>IFERROR(SMALL(Z39:Z103,ROW()-ROW($Z$106)+1),"")</f>
        <v>0</v>
      </c>
      <c r="AA123">
        <f>IFERROR(SMALL(AA39:AA103,ROW()-ROW($AA$106)+1),"")</f>
        <v>0</v>
      </c>
      <c r="AB123">
        <f>IFERROR(SMALL(AB39:AB103,ROW()-ROW($AB$106)+1),"")</f>
        <v>0</v>
      </c>
      <c r="AC123">
        <f>IFERROR(SMALL(AC39:AC103,ROW()-ROW($AC$106)+1),"")</f>
        <v>0</v>
      </c>
      <c r="AD123">
        <f>IFERROR(SMALL(AD39:AD103,ROW()-ROW($AD$106)+1),"")</f>
        <v>0</v>
      </c>
      <c r="AE123">
        <f>IFERROR(SMALL(AE39:AE103,ROW()-ROW($AE$106)+1),"")</f>
        <v>0</v>
      </c>
      <c r="AF123">
        <f>IFERROR(SMALL(AF39:AF103,ROW()-ROW($AF$106)+1),"")</f>
        <v>0</v>
      </c>
      <c r="AG123">
        <f>IFERROR(SMALL(AG39:AG103,ROW()-ROW($AG$106)+1),"")</f>
        <v>0</v>
      </c>
      <c r="AH123">
        <f>IFERROR(SMALL(AH39:AH103,ROW()-ROW($AH$106)+1),"")</f>
        <v>0</v>
      </c>
      <c r="AI123">
        <f>IFERROR(SMALL(AI39:AI103,ROW()-ROW($AI$106)+1),"")</f>
        <v>0</v>
      </c>
      <c r="AJ123">
        <f>IFERROR(SMALL(AJ39:AJ103,ROW()-ROW($AJ$106)+1),"")</f>
        <v>0</v>
      </c>
      <c r="AK123">
        <f>IFERROR(SMALL(AK39:AK103,ROW()-ROW($AK$106)+1),"")</f>
        <v>0</v>
      </c>
      <c r="AL123">
        <f>IFERROR(SMALL(AL39:AL103,ROW()-ROW($AL$106)+1),"")</f>
        <v>0</v>
      </c>
      <c r="AM123">
        <f>IFERROR(SMALL(AM39:AM103,ROW()-ROW($AM$106)+1),"")</f>
        <v>0</v>
      </c>
      <c r="AN123">
        <f>IFERROR(SMALL(AN39:AN103,ROW()-ROW($AN$106)+1),"")</f>
        <v>0</v>
      </c>
      <c r="AO123">
        <f>IFERROR(SMALL(AO39:AO103,ROW()-ROW($AO$106)+1),"")</f>
        <v>0</v>
      </c>
      <c r="AP123">
        <f>IFERROR(SMALL(AP39:AP103,ROW()-ROW($AP$106)+1),"")</f>
        <v>0</v>
      </c>
      <c r="AQ123">
        <f>IFERROR(SMALL(AQ39:AQ103,ROW()-ROW($AQ$106)+1),"")</f>
        <v>0</v>
      </c>
      <c r="AR123">
        <f>IFERROR(SMALL(AR39:AR103,ROW()-ROW($AR$106)+1),"")</f>
        <v>0</v>
      </c>
      <c r="AS123">
        <f>IFERROR(SMALL(AS39:AS103,ROW()-ROW($AS$106)+1),"")</f>
        <v>0</v>
      </c>
      <c r="AT123">
        <f>IFERROR(SMALL(AT39:AT103,ROW()-ROW($AT$106)+1),"")</f>
        <v>0</v>
      </c>
      <c r="AU123">
        <f>IFERROR(SMALL(AU39:AU103,ROW()-ROW($AU$106)+1),"")</f>
        <v>0</v>
      </c>
      <c r="AV123">
        <f>IFERROR(SMALL(AV39:AV103,ROW()-ROW($AV$106)+1),"")</f>
        <v>0</v>
      </c>
      <c r="AW123">
        <f>IFERROR(SMALL(AW39:AW103,ROW()-ROW($AW$106)+1),"")</f>
        <v>0</v>
      </c>
      <c r="AX123">
        <f>IFERROR(SMALL(AX39:AX103,ROW()-ROW($AX$106)+1),"")</f>
        <v>0</v>
      </c>
      <c r="AY123">
        <f>IFERROR(SMALL(AY39:AY103,ROW()-ROW($AY$106)+1),"")</f>
        <v>0</v>
      </c>
      <c r="AZ123">
        <f>IFERROR(SMALL(AZ39:AZ103,ROW()-ROW($AZ$106)+1),"")</f>
        <v>0</v>
      </c>
      <c r="BA123">
        <f>IFERROR(SMALL(BA39:BA103,ROW()-ROW($BA$106)+1),"")</f>
        <v>0</v>
      </c>
      <c r="BB123">
        <f>IFERROR(SMALL(BB39:BB103,ROW()-ROW($BB$106)+1),"")</f>
        <v>0</v>
      </c>
      <c r="BC123">
        <f>IFERROR(SMALL(BC39:BC103,ROW()-ROW($BC$106)+1),"")</f>
        <v>0</v>
      </c>
      <c r="BD123">
        <f>IFERROR(SMALL(BD39:BD103,ROW()-ROW($BD$106)+1),"")</f>
        <v>0</v>
      </c>
      <c r="BE123">
        <f>IFERROR(SMALL(BE39:BE103,ROW()-ROW($BE$106)+1),"")</f>
        <v>0</v>
      </c>
      <c r="BF123">
        <f>IFERROR(SMALL(BF39:BF103,ROW()-ROW($BF$106)+1),"")</f>
        <v>0</v>
      </c>
      <c r="BG123">
        <f>IFERROR(SMALL(BG39:BG103,ROW()-ROW($BG$106)+1),"")</f>
        <v>0</v>
      </c>
      <c r="BH123">
        <f>IFERROR(SMALL(BH39:BH103,ROW()-ROW($BH$106)+1),"")</f>
        <v>0</v>
      </c>
      <c r="BI123">
        <f>IFERROR(SMALL(BI39:BI103,ROW()-ROW($BI$106)+1),"")</f>
        <v>0</v>
      </c>
      <c r="BJ123">
        <f>IFERROR(SMALL(BJ39:BJ103,ROW()-ROW($BJ$106)+1),"")</f>
        <v>0</v>
      </c>
      <c r="BK123">
        <f>IFERROR(SMALL(BK39:BK103,ROW()-ROW($BK$106)+1),"")</f>
        <v>0</v>
      </c>
      <c r="BL123">
        <f>IFERROR(SMALL(BL39:BL103,ROW()-ROW($BL$106)+1),"")</f>
        <v>0</v>
      </c>
      <c r="BM123">
        <f>IFERROR(SMALL(BM39:BM103,ROW()-ROW($BM$106)+1),"")</f>
        <v>0</v>
      </c>
      <c r="BN123">
        <f>IFERROR(SMALL(BN39:BN103,ROW()-ROW($BN$106)+1),"")</f>
        <v>0</v>
      </c>
      <c r="BO123">
        <f>IFERROR(SMALL(BO39:BO103,ROW()-ROW($BO$106)+1),"")</f>
        <v>0</v>
      </c>
      <c r="BP123">
        <f>IFERROR(SMALL(BP39:BP103,ROW()-ROW($BP$106)+1),"")</f>
        <v>0</v>
      </c>
      <c r="BS123">
        <f>IFERROR(SMALL(BS39:BS103,ROW()-ROW($BS$106)+1),"")</f>
        <v>0</v>
      </c>
      <c r="BT123">
        <f>IFERROR(SMALL(BT39:BT103,ROW()-ROW($BT$106)+1),"")</f>
        <v>0</v>
      </c>
      <c r="BU123">
        <f>IFERROR(SMALL(BU39:BU103,ROW()-ROW($BU$106)+1),"")</f>
        <v>0</v>
      </c>
      <c r="BV123">
        <f>IFERROR(SMALL(BV39:BV103,ROW()-ROW($BV$106)+1),"")</f>
        <v>0</v>
      </c>
      <c r="BW123">
        <f>IFERROR(SMALL(BW39:BW103,ROW()-ROW($BW$106)+1),"")</f>
        <v>0</v>
      </c>
      <c r="BX123">
        <f>IFERROR(SMALL(BX39:BX103,ROW()-ROW($BX$106)+1),"")</f>
        <v>0</v>
      </c>
      <c r="BY123">
        <f>IFERROR(SMALL(BY39:BY103,ROW()-ROW($BY$106)+1),"")</f>
        <v>0</v>
      </c>
      <c r="BZ123">
        <f>IFERROR(SMALL(BZ39:BZ103,ROW()-ROW($BZ$106)+1),"")</f>
        <v>0</v>
      </c>
      <c r="CA123">
        <f>IFERROR(SMALL(CA39:CA103,ROW()-ROW($CA$106)+1),"")</f>
        <v>0</v>
      </c>
      <c r="CB123">
        <f>IFERROR(SMALL(CB39:CB103,ROW()-ROW($CB$106)+1),"")</f>
        <v>0</v>
      </c>
      <c r="CC123">
        <f>IFERROR(SMALL(CC39:CC103,ROW()-ROW($CC$106)+1),"")</f>
        <v>0</v>
      </c>
      <c r="CD123">
        <f>IFERROR(SMALL(CD39:CD103,ROW()-ROW($CD$106)+1),"")</f>
        <v>0</v>
      </c>
      <c r="CE123">
        <f>IFERROR(SMALL(CE39:CE103,ROW()-ROW($CE$106)+1),"")</f>
        <v>0</v>
      </c>
      <c r="CF123">
        <f>IFERROR(SMALL(CF39:CF103,ROW()-ROW($CF$106)+1),"")</f>
        <v>0</v>
      </c>
      <c r="CG123">
        <f>IFERROR(SMALL(CG39:CG103,ROW()-ROW($CG$106)+1),"")</f>
        <v>0</v>
      </c>
      <c r="CH123">
        <f>IFERROR(SMALL(CH39:CH103,ROW()-ROW($CH$106)+1),"")</f>
        <v>0</v>
      </c>
      <c r="CI123">
        <f>IFERROR(SMALL(CI39:CI103,ROW()-ROW($CI$106)+1),"")</f>
        <v>0</v>
      </c>
      <c r="CJ123">
        <f>IFERROR(SMALL(CJ39:CJ103,ROW()-ROW($CJ$106)+1),"")</f>
        <v>0</v>
      </c>
      <c r="CK123">
        <f>IFERROR(SMALL(CK39:CK103,ROW()-ROW($CK$106)+1),"")</f>
        <v>0</v>
      </c>
      <c r="CL123">
        <f>IFERROR(SMALL(CL39:CL103,ROW()-ROW($CL$106)+1),"")</f>
        <v>0</v>
      </c>
      <c r="CM123">
        <f>IFERROR(SMALL(CM39:CM103,ROW()-ROW($CM$106)+1),"")</f>
        <v>0</v>
      </c>
      <c r="CN123">
        <f>IFERROR(SMALL(CN39:CN103,ROW()-ROW($CN$106)+1),"")</f>
        <v>0</v>
      </c>
      <c r="CO123">
        <f>IFERROR(SMALL(CO39:CO103,ROW()-ROW($CO$106)+1),"")</f>
        <v>0</v>
      </c>
      <c r="CP123">
        <f>IFERROR(SMALL(CP39:CP103,ROW()-ROW($CP$106)+1),"")</f>
        <v>0</v>
      </c>
      <c r="CQ123">
        <f>IFERROR(SMALL(CQ39:CQ103,ROW()-ROW($CQ$106)+1),"")</f>
        <v>0</v>
      </c>
      <c r="CR123">
        <f>IFERROR(SMALL(CR39:CR103,ROW()-ROW($CR$106)+1),"")</f>
        <v>0</v>
      </c>
      <c r="CS123">
        <f>IFERROR(SMALL(CS39:CS103,ROW()-ROW($CS$106)+1),"")</f>
        <v>0</v>
      </c>
      <c r="CT123">
        <f>IFERROR(SMALL(CT39:CT103,ROW()-ROW($CT$106)+1),"")</f>
        <v>0</v>
      </c>
      <c r="CU123">
        <f>IFERROR(SMALL(CU39:CU103,ROW()-ROW($CU$106)+1),"")</f>
        <v>0</v>
      </c>
      <c r="CV123">
        <f>IFERROR(SMALL(CV39:CV103,ROW()-ROW($CV$106)+1),"")</f>
        <v>0</v>
      </c>
      <c r="CW123">
        <f>IFERROR(SMALL(CW39:CW103,ROW()-ROW($CW$106)+1),"")</f>
        <v>0</v>
      </c>
      <c r="CX123">
        <f>IFERROR(SMALL(CX39:CX103,ROW()-ROW($CX$106)+1),"")</f>
        <v>0</v>
      </c>
      <c r="CY123">
        <f>IFERROR(SMALL(CY39:CY103,ROW()-ROW($CY$106)+1),"")</f>
        <v>0</v>
      </c>
      <c r="CZ123">
        <f>IFERROR(SMALL(CZ39:CZ103,ROW()-ROW($CZ$106)+1),"")</f>
        <v>0</v>
      </c>
      <c r="DA123">
        <f>IFERROR(SMALL(DA39:DA103,ROW()-ROW($DA$106)+1),"")</f>
        <v>0</v>
      </c>
      <c r="DB123">
        <f>IFERROR(SMALL(DB39:DB103,ROW()-ROW($DB$106)+1),"")</f>
        <v>0</v>
      </c>
      <c r="DC123">
        <f>IFERROR(SMALL(DC39:DC103,ROW()-ROW($DC$106)+1),"")</f>
        <v>0</v>
      </c>
      <c r="DD123">
        <f>IFERROR(SMALL(DD39:DD103,ROW()-ROW($DD$106)+1),"")</f>
        <v>0</v>
      </c>
      <c r="DE123">
        <f>IFERROR(SMALL(DE39:DE103,ROW()-ROW($DE$106)+1),"")</f>
        <v>0</v>
      </c>
      <c r="DF123">
        <f>IFERROR(SMALL(DF39:DF103,ROW()-ROW($DF$106)+1),"")</f>
        <v>0</v>
      </c>
      <c r="DG123">
        <f>IFERROR(SMALL(DG39:DG103,ROW()-ROW($DG$106)+1),"")</f>
        <v>0</v>
      </c>
      <c r="DH123">
        <f>IFERROR(SMALL(DH39:DH103,ROW()-ROW($DH$106)+1),"")</f>
        <v>0</v>
      </c>
      <c r="DI123">
        <f>IFERROR(SMALL(DI39:DI103,ROW()-ROW($DI$106)+1),"")</f>
        <v>0</v>
      </c>
      <c r="DJ123">
        <f>IFERROR(SMALL(DJ39:DJ103,ROW()-ROW($DJ$106)+1),"")</f>
        <v>0</v>
      </c>
      <c r="DK123">
        <f>IFERROR(SMALL(DK39:DK103,ROW()-ROW($DK$106)+1),"")</f>
        <v>0</v>
      </c>
      <c r="DL123">
        <f>IFERROR(SMALL(DL39:DL103,ROW()-ROW($DL$106)+1),"")</f>
        <v>0</v>
      </c>
      <c r="DM123">
        <f>IFERROR(SMALL(DM39:DM103,ROW()-ROW($DM$106)+1),"")</f>
        <v>0</v>
      </c>
      <c r="DN123">
        <f>IFERROR(SMALL(DN39:DN103,ROW()-ROW($DN$106)+1),"")</f>
        <v>0</v>
      </c>
      <c r="DO123">
        <f>IFERROR(SMALL(DO39:DO103,ROW()-ROW($DO$106)+1),"")</f>
        <v>0</v>
      </c>
      <c r="DP123">
        <f>IFERROR(SMALL(DP39:DP103,ROW()-ROW($DP$106)+1),"")</f>
        <v>0</v>
      </c>
      <c r="DQ123">
        <f>IFERROR(SMALL(DQ39:DQ103,ROW()-ROW($DQ$106)+1),"")</f>
        <v>0</v>
      </c>
      <c r="DR123">
        <f>IFERROR(SMALL(DR39:DR103,ROW()-ROW($DR$106)+1),"")</f>
        <v>0</v>
      </c>
      <c r="DS123">
        <f>IFERROR(SMALL(DS39:DS103,ROW()-ROW($DS$106)+1),"")</f>
        <v>0</v>
      </c>
      <c r="DT123">
        <f>IFERROR(SMALL(DT39:DT103,ROW()-ROW($DT$106)+1),"")</f>
        <v>0</v>
      </c>
      <c r="DU123">
        <f>IFERROR(SMALL(DU39:DU103,ROW()-ROW($DU$106)+1),"")</f>
        <v>0</v>
      </c>
      <c r="DV123">
        <f>IFERROR(SMALL(DV39:DV103,ROW()-ROW($DV$106)+1),"")</f>
        <v>0</v>
      </c>
      <c r="DW123">
        <f>IFERROR(SMALL(DW39:DW103,ROW()-ROW($DW$106)+1),"")</f>
        <v>0</v>
      </c>
      <c r="DX123">
        <f>IFERROR(SMALL(DX39:DX103,ROW()-ROW($DX$106)+1),"")</f>
        <v>0</v>
      </c>
      <c r="DY123">
        <f>IFERROR(SMALL(DY39:DY103,ROW()-ROW($DY$106)+1),"")</f>
        <v>0</v>
      </c>
      <c r="DZ123">
        <f>IFERROR(SMALL(DZ39:DZ103,ROW()-ROW($DZ$106)+1),"")</f>
        <v>0</v>
      </c>
      <c r="EA123">
        <f>IFERROR(SMALL(EA39:EA103,ROW()-ROW($EA$106)+1),"")</f>
        <v>0</v>
      </c>
      <c r="EB123">
        <f>IFERROR(SMALL(EB39:EB103,ROW()-ROW($EB$106)+1),"")</f>
        <v>0</v>
      </c>
      <c r="EC123">
        <f>IFERROR(SMALL(EC39:EC103,ROW()-ROW($EC$106)+1),"")</f>
        <v>0</v>
      </c>
      <c r="ED123">
        <f>IFERROR(SMALL(ED39:ED103,ROW()-ROW($ED$106)+1),"")</f>
        <v>0</v>
      </c>
    </row>
    <row r="124" spans="5:134">
      <c r="E124">
        <f>IFERROR(SMALL(E39:E103,ROW()-ROW($E$106)+1),"")</f>
        <v>0</v>
      </c>
      <c r="F124">
        <f>IFERROR(SMALL(F39:F103,ROW()-ROW($F$106)+1),"")</f>
        <v>0</v>
      </c>
      <c r="G124">
        <f>IFERROR(SMALL(G39:G103,ROW()-ROW($G$106)+1),"")</f>
        <v>0</v>
      </c>
      <c r="H124">
        <f>IFERROR(SMALL(H39:H103,ROW()-ROW($H$106)+1),"")</f>
        <v>0</v>
      </c>
      <c r="I124">
        <f>IFERROR(SMALL(I39:I103,ROW()-ROW($I$106)+1),"")</f>
        <v>0</v>
      </c>
      <c r="J124">
        <f>IFERROR(SMALL(J39:J103,ROW()-ROW($J$106)+1),"")</f>
        <v>0</v>
      </c>
      <c r="K124">
        <f>IFERROR(SMALL(K39:K103,ROW()-ROW($K$106)+1),"")</f>
        <v>0</v>
      </c>
      <c r="L124">
        <f>IFERROR(SMALL(L39:L103,ROW()-ROW($L$106)+1),"")</f>
        <v>0</v>
      </c>
      <c r="M124">
        <f>IFERROR(SMALL(M39:M103,ROW()-ROW($M$106)+1),"")</f>
        <v>0</v>
      </c>
      <c r="N124">
        <f>IFERROR(SMALL(N39:N103,ROW()-ROW($N$106)+1),"")</f>
        <v>0</v>
      </c>
      <c r="O124">
        <f>IFERROR(SMALL(O39:O103,ROW()-ROW($O$106)+1),"")</f>
        <v>0</v>
      </c>
      <c r="P124">
        <f>IFERROR(SMALL(P39:P103,ROW()-ROW($P$106)+1),"")</f>
        <v>0</v>
      </c>
      <c r="Q124">
        <f>IFERROR(SMALL(Q39:Q103,ROW()-ROW($Q$106)+1),"")</f>
        <v>0</v>
      </c>
      <c r="R124">
        <f>IFERROR(SMALL(R39:R103,ROW()-ROW($R$106)+1),"")</f>
        <v>0</v>
      </c>
      <c r="S124">
        <f>IFERROR(SMALL(S39:S103,ROW()-ROW($S$106)+1),"")</f>
        <v>0</v>
      </c>
      <c r="T124">
        <f>IFERROR(SMALL(T39:T103,ROW()-ROW($T$106)+1),"")</f>
        <v>0</v>
      </c>
      <c r="U124">
        <f>IFERROR(SMALL(U39:U103,ROW()-ROW($U$106)+1),"")</f>
        <v>0</v>
      </c>
      <c r="V124">
        <f>IFERROR(SMALL(V39:V103,ROW()-ROW($V$106)+1),"")</f>
        <v>0</v>
      </c>
      <c r="W124">
        <f>IFERROR(SMALL(W39:W103,ROW()-ROW($W$106)+1),"")</f>
        <v>0</v>
      </c>
      <c r="X124">
        <f>IFERROR(SMALL(X39:X103,ROW()-ROW($X$106)+1),"")</f>
        <v>0</v>
      </c>
      <c r="Y124">
        <f>IFERROR(SMALL(Y39:Y103,ROW()-ROW($Y$106)+1),"")</f>
        <v>0</v>
      </c>
      <c r="Z124">
        <f>IFERROR(SMALL(Z39:Z103,ROW()-ROW($Z$106)+1),"")</f>
        <v>0</v>
      </c>
      <c r="AA124">
        <f>IFERROR(SMALL(AA39:AA103,ROW()-ROW($AA$106)+1),"")</f>
        <v>0</v>
      </c>
      <c r="AB124">
        <f>IFERROR(SMALL(AB39:AB103,ROW()-ROW($AB$106)+1),"")</f>
        <v>0</v>
      </c>
      <c r="AC124">
        <f>IFERROR(SMALL(AC39:AC103,ROW()-ROW($AC$106)+1),"")</f>
        <v>0</v>
      </c>
      <c r="AD124">
        <f>IFERROR(SMALL(AD39:AD103,ROW()-ROW($AD$106)+1),"")</f>
        <v>0</v>
      </c>
      <c r="AE124">
        <f>IFERROR(SMALL(AE39:AE103,ROW()-ROW($AE$106)+1),"")</f>
        <v>0</v>
      </c>
      <c r="AF124">
        <f>IFERROR(SMALL(AF39:AF103,ROW()-ROW($AF$106)+1),"")</f>
        <v>0</v>
      </c>
      <c r="AG124">
        <f>IFERROR(SMALL(AG39:AG103,ROW()-ROW($AG$106)+1),"")</f>
        <v>0</v>
      </c>
      <c r="AH124">
        <f>IFERROR(SMALL(AH39:AH103,ROW()-ROW($AH$106)+1),"")</f>
        <v>0</v>
      </c>
      <c r="AI124">
        <f>IFERROR(SMALL(AI39:AI103,ROW()-ROW($AI$106)+1),"")</f>
        <v>0</v>
      </c>
      <c r="AJ124">
        <f>IFERROR(SMALL(AJ39:AJ103,ROW()-ROW($AJ$106)+1),"")</f>
        <v>0</v>
      </c>
      <c r="AK124">
        <f>IFERROR(SMALL(AK39:AK103,ROW()-ROW($AK$106)+1),"")</f>
        <v>0</v>
      </c>
      <c r="AL124">
        <f>IFERROR(SMALL(AL39:AL103,ROW()-ROW($AL$106)+1),"")</f>
        <v>0</v>
      </c>
      <c r="AM124">
        <f>IFERROR(SMALL(AM39:AM103,ROW()-ROW($AM$106)+1),"")</f>
        <v>0</v>
      </c>
      <c r="AN124">
        <f>IFERROR(SMALL(AN39:AN103,ROW()-ROW($AN$106)+1),"")</f>
        <v>0</v>
      </c>
      <c r="AO124">
        <f>IFERROR(SMALL(AO39:AO103,ROW()-ROW($AO$106)+1),"")</f>
        <v>0</v>
      </c>
      <c r="AP124">
        <f>IFERROR(SMALL(AP39:AP103,ROW()-ROW($AP$106)+1),"")</f>
        <v>0</v>
      </c>
      <c r="AQ124">
        <f>IFERROR(SMALL(AQ39:AQ103,ROW()-ROW($AQ$106)+1),"")</f>
        <v>0</v>
      </c>
      <c r="AR124">
        <f>IFERROR(SMALL(AR39:AR103,ROW()-ROW($AR$106)+1),"")</f>
        <v>0</v>
      </c>
      <c r="AS124">
        <f>IFERROR(SMALL(AS39:AS103,ROW()-ROW($AS$106)+1),"")</f>
        <v>0</v>
      </c>
      <c r="AT124">
        <f>IFERROR(SMALL(AT39:AT103,ROW()-ROW($AT$106)+1),"")</f>
        <v>0</v>
      </c>
      <c r="AU124">
        <f>IFERROR(SMALL(AU39:AU103,ROW()-ROW($AU$106)+1),"")</f>
        <v>0</v>
      </c>
      <c r="AV124">
        <f>IFERROR(SMALL(AV39:AV103,ROW()-ROW($AV$106)+1),"")</f>
        <v>0</v>
      </c>
      <c r="AW124">
        <f>IFERROR(SMALL(AW39:AW103,ROW()-ROW($AW$106)+1),"")</f>
        <v>0</v>
      </c>
      <c r="AX124">
        <f>IFERROR(SMALL(AX39:AX103,ROW()-ROW($AX$106)+1),"")</f>
        <v>0</v>
      </c>
      <c r="AY124">
        <f>IFERROR(SMALL(AY39:AY103,ROW()-ROW($AY$106)+1),"")</f>
        <v>0</v>
      </c>
      <c r="AZ124">
        <f>IFERROR(SMALL(AZ39:AZ103,ROW()-ROW($AZ$106)+1),"")</f>
        <v>0</v>
      </c>
      <c r="BA124">
        <f>IFERROR(SMALL(BA39:BA103,ROW()-ROW($BA$106)+1),"")</f>
        <v>0</v>
      </c>
      <c r="BB124">
        <f>IFERROR(SMALL(BB39:BB103,ROW()-ROW($BB$106)+1),"")</f>
        <v>0</v>
      </c>
      <c r="BC124">
        <f>IFERROR(SMALL(BC39:BC103,ROW()-ROW($BC$106)+1),"")</f>
        <v>0</v>
      </c>
      <c r="BD124">
        <f>IFERROR(SMALL(BD39:BD103,ROW()-ROW($BD$106)+1),"")</f>
        <v>0</v>
      </c>
      <c r="BE124">
        <f>IFERROR(SMALL(BE39:BE103,ROW()-ROW($BE$106)+1),"")</f>
        <v>0</v>
      </c>
      <c r="BF124">
        <f>IFERROR(SMALL(BF39:BF103,ROW()-ROW($BF$106)+1),"")</f>
        <v>0</v>
      </c>
      <c r="BG124">
        <f>IFERROR(SMALL(BG39:BG103,ROW()-ROW($BG$106)+1),"")</f>
        <v>0</v>
      </c>
      <c r="BH124">
        <f>IFERROR(SMALL(BH39:BH103,ROW()-ROW($BH$106)+1),"")</f>
        <v>0</v>
      </c>
      <c r="BI124">
        <f>IFERROR(SMALL(BI39:BI103,ROW()-ROW($BI$106)+1),"")</f>
        <v>0</v>
      </c>
      <c r="BJ124">
        <f>IFERROR(SMALL(BJ39:BJ103,ROW()-ROW($BJ$106)+1),"")</f>
        <v>0</v>
      </c>
      <c r="BK124">
        <f>IFERROR(SMALL(BK39:BK103,ROW()-ROW($BK$106)+1),"")</f>
        <v>0</v>
      </c>
      <c r="BL124">
        <f>IFERROR(SMALL(BL39:BL103,ROW()-ROW($BL$106)+1),"")</f>
        <v>0</v>
      </c>
      <c r="BM124">
        <f>IFERROR(SMALL(BM39:BM103,ROW()-ROW($BM$106)+1),"")</f>
        <v>0</v>
      </c>
      <c r="BN124">
        <f>IFERROR(SMALL(BN39:BN103,ROW()-ROW($BN$106)+1),"")</f>
        <v>0</v>
      </c>
      <c r="BO124">
        <f>IFERROR(SMALL(BO39:BO103,ROW()-ROW($BO$106)+1),"")</f>
        <v>0</v>
      </c>
      <c r="BP124">
        <f>IFERROR(SMALL(BP39:BP103,ROW()-ROW($BP$106)+1),"")</f>
        <v>0</v>
      </c>
      <c r="BS124">
        <f>IFERROR(SMALL(BS39:BS103,ROW()-ROW($BS$106)+1),"")</f>
        <v>0</v>
      </c>
      <c r="BT124">
        <f>IFERROR(SMALL(BT39:BT103,ROW()-ROW($BT$106)+1),"")</f>
        <v>0</v>
      </c>
      <c r="BU124">
        <f>IFERROR(SMALL(BU39:BU103,ROW()-ROW($BU$106)+1),"")</f>
        <v>0</v>
      </c>
      <c r="BV124">
        <f>IFERROR(SMALL(BV39:BV103,ROW()-ROW($BV$106)+1),"")</f>
        <v>0</v>
      </c>
      <c r="BW124">
        <f>IFERROR(SMALL(BW39:BW103,ROW()-ROW($BW$106)+1),"")</f>
        <v>0</v>
      </c>
      <c r="BX124">
        <f>IFERROR(SMALL(BX39:BX103,ROW()-ROW($BX$106)+1),"")</f>
        <v>0</v>
      </c>
      <c r="BY124">
        <f>IFERROR(SMALL(BY39:BY103,ROW()-ROW($BY$106)+1),"")</f>
        <v>0</v>
      </c>
      <c r="BZ124">
        <f>IFERROR(SMALL(BZ39:BZ103,ROW()-ROW($BZ$106)+1),"")</f>
        <v>0</v>
      </c>
      <c r="CA124">
        <f>IFERROR(SMALL(CA39:CA103,ROW()-ROW($CA$106)+1),"")</f>
        <v>0</v>
      </c>
      <c r="CB124">
        <f>IFERROR(SMALL(CB39:CB103,ROW()-ROW($CB$106)+1),"")</f>
        <v>0</v>
      </c>
      <c r="CC124">
        <f>IFERROR(SMALL(CC39:CC103,ROW()-ROW($CC$106)+1),"")</f>
        <v>0</v>
      </c>
      <c r="CD124">
        <f>IFERROR(SMALL(CD39:CD103,ROW()-ROW($CD$106)+1),"")</f>
        <v>0</v>
      </c>
      <c r="CE124">
        <f>IFERROR(SMALL(CE39:CE103,ROW()-ROW($CE$106)+1),"")</f>
        <v>0</v>
      </c>
      <c r="CF124">
        <f>IFERROR(SMALL(CF39:CF103,ROW()-ROW($CF$106)+1),"")</f>
        <v>0</v>
      </c>
      <c r="CG124">
        <f>IFERROR(SMALL(CG39:CG103,ROW()-ROW($CG$106)+1),"")</f>
        <v>0</v>
      </c>
      <c r="CH124">
        <f>IFERROR(SMALL(CH39:CH103,ROW()-ROW($CH$106)+1),"")</f>
        <v>0</v>
      </c>
      <c r="CI124">
        <f>IFERROR(SMALL(CI39:CI103,ROW()-ROW($CI$106)+1),"")</f>
        <v>0</v>
      </c>
      <c r="CJ124">
        <f>IFERROR(SMALL(CJ39:CJ103,ROW()-ROW($CJ$106)+1),"")</f>
        <v>0</v>
      </c>
      <c r="CK124">
        <f>IFERROR(SMALL(CK39:CK103,ROW()-ROW($CK$106)+1),"")</f>
        <v>0</v>
      </c>
      <c r="CL124">
        <f>IFERROR(SMALL(CL39:CL103,ROW()-ROW($CL$106)+1),"")</f>
        <v>0</v>
      </c>
      <c r="CM124">
        <f>IFERROR(SMALL(CM39:CM103,ROW()-ROW($CM$106)+1),"")</f>
        <v>0</v>
      </c>
      <c r="CN124">
        <f>IFERROR(SMALL(CN39:CN103,ROW()-ROW($CN$106)+1),"")</f>
        <v>0</v>
      </c>
      <c r="CO124">
        <f>IFERROR(SMALL(CO39:CO103,ROW()-ROW($CO$106)+1),"")</f>
        <v>0</v>
      </c>
      <c r="CP124">
        <f>IFERROR(SMALL(CP39:CP103,ROW()-ROW($CP$106)+1),"")</f>
        <v>0</v>
      </c>
      <c r="CQ124">
        <f>IFERROR(SMALL(CQ39:CQ103,ROW()-ROW($CQ$106)+1),"")</f>
        <v>0</v>
      </c>
      <c r="CR124">
        <f>IFERROR(SMALL(CR39:CR103,ROW()-ROW($CR$106)+1),"")</f>
        <v>0</v>
      </c>
      <c r="CS124">
        <f>IFERROR(SMALL(CS39:CS103,ROW()-ROW($CS$106)+1),"")</f>
        <v>0</v>
      </c>
      <c r="CT124">
        <f>IFERROR(SMALL(CT39:CT103,ROW()-ROW($CT$106)+1),"")</f>
        <v>0</v>
      </c>
      <c r="CU124">
        <f>IFERROR(SMALL(CU39:CU103,ROW()-ROW($CU$106)+1),"")</f>
        <v>0</v>
      </c>
      <c r="CV124">
        <f>IFERROR(SMALL(CV39:CV103,ROW()-ROW($CV$106)+1),"")</f>
        <v>0</v>
      </c>
      <c r="CW124">
        <f>IFERROR(SMALL(CW39:CW103,ROW()-ROW($CW$106)+1),"")</f>
        <v>0</v>
      </c>
      <c r="CX124">
        <f>IFERROR(SMALL(CX39:CX103,ROW()-ROW($CX$106)+1),"")</f>
        <v>0</v>
      </c>
      <c r="CY124">
        <f>IFERROR(SMALL(CY39:CY103,ROW()-ROW($CY$106)+1),"")</f>
        <v>0</v>
      </c>
      <c r="CZ124">
        <f>IFERROR(SMALL(CZ39:CZ103,ROW()-ROW($CZ$106)+1),"")</f>
        <v>0</v>
      </c>
      <c r="DA124">
        <f>IFERROR(SMALL(DA39:DA103,ROW()-ROW($DA$106)+1),"")</f>
        <v>0</v>
      </c>
      <c r="DB124">
        <f>IFERROR(SMALL(DB39:DB103,ROW()-ROW($DB$106)+1),"")</f>
        <v>0</v>
      </c>
      <c r="DC124">
        <f>IFERROR(SMALL(DC39:DC103,ROW()-ROW($DC$106)+1),"")</f>
        <v>0</v>
      </c>
      <c r="DD124">
        <f>IFERROR(SMALL(DD39:DD103,ROW()-ROW($DD$106)+1),"")</f>
        <v>0</v>
      </c>
      <c r="DE124">
        <f>IFERROR(SMALL(DE39:DE103,ROW()-ROW($DE$106)+1),"")</f>
        <v>0</v>
      </c>
      <c r="DF124">
        <f>IFERROR(SMALL(DF39:DF103,ROW()-ROW($DF$106)+1),"")</f>
        <v>0</v>
      </c>
      <c r="DG124">
        <f>IFERROR(SMALL(DG39:DG103,ROW()-ROW($DG$106)+1),"")</f>
        <v>0</v>
      </c>
      <c r="DH124">
        <f>IFERROR(SMALL(DH39:DH103,ROW()-ROW($DH$106)+1),"")</f>
        <v>0</v>
      </c>
      <c r="DI124">
        <f>IFERROR(SMALL(DI39:DI103,ROW()-ROW($DI$106)+1),"")</f>
        <v>0</v>
      </c>
      <c r="DJ124">
        <f>IFERROR(SMALL(DJ39:DJ103,ROW()-ROW($DJ$106)+1),"")</f>
        <v>0</v>
      </c>
      <c r="DK124">
        <f>IFERROR(SMALL(DK39:DK103,ROW()-ROW($DK$106)+1),"")</f>
        <v>0</v>
      </c>
      <c r="DL124">
        <f>IFERROR(SMALL(DL39:DL103,ROW()-ROW($DL$106)+1),"")</f>
        <v>0</v>
      </c>
      <c r="DM124">
        <f>IFERROR(SMALL(DM39:DM103,ROW()-ROW($DM$106)+1),"")</f>
        <v>0</v>
      </c>
      <c r="DN124">
        <f>IFERROR(SMALL(DN39:DN103,ROW()-ROW($DN$106)+1),"")</f>
        <v>0</v>
      </c>
      <c r="DO124">
        <f>IFERROR(SMALL(DO39:DO103,ROW()-ROW($DO$106)+1),"")</f>
        <v>0</v>
      </c>
      <c r="DP124">
        <f>IFERROR(SMALL(DP39:DP103,ROW()-ROW($DP$106)+1),"")</f>
        <v>0</v>
      </c>
      <c r="DQ124">
        <f>IFERROR(SMALL(DQ39:DQ103,ROW()-ROW($DQ$106)+1),"")</f>
        <v>0</v>
      </c>
      <c r="DR124">
        <f>IFERROR(SMALL(DR39:DR103,ROW()-ROW($DR$106)+1),"")</f>
        <v>0</v>
      </c>
      <c r="DS124">
        <f>IFERROR(SMALL(DS39:DS103,ROW()-ROW($DS$106)+1),"")</f>
        <v>0</v>
      </c>
      <c r="DT124">
        <f>IFERROR(SMALL(DT39:DT103,ROW()-ROW($DT$106)+1),"")</f>
        <v>0</v>
      </c>
      <c r="DU124">
        <f>IFERROR(SMALL(DU39:DU103,ROW()-ROW($DU$106)+1),"")</f>
        <v>0</v>
      </c>
      <c r="DV124">
        <f>IFERROR(SMALL(DV39:DV103,ROW()-ROW($DV$106)+1),"")</f>
        <v>0</v>
      </c>
      <c r="DW124">
        <f>IFERROR(SMALL(DW39:DW103,ROW()-ROW($DW$106)+1),"")</f>
        <v>0</v>
      </c>
      <c r="DX124">
        <f>IFERROR(SMALL(DX39:DX103,ROW()-ROW($DX$106)+1),"")</f>
        <v>0</v>
      </c>
      <c r="DY124">
        <f>IFERROR(SMALL(DY39:DY103,ROW()-ROW($DY$106)+1),"")</f>
        <v>0</v>
      </c>
      <c r="DZ124">
        <f>IFERROR(SMALL(DZ39:DZ103,ROW()-ROW($DZ$106)+1),"")</f>
        <v>0</v>
      </c>
      <c r="EA124">
        <f>IFERROR(SMALL(EA39:EA103,ROW()-ROW($EA$106)+1),"")</f>
        <v>0</v>
      </c>
      <c r="EB124">
        <f>IFERROR(SMALL(EB39:EB103,ROW()-ROW($EB$106)+1),"")</f>
        <v>0</v>
      </c>
      <c r="EC124">
        <f>IFERROR(SMALL(EC39:EC103,ROW()-ROW($EC$106)+1),"")</f>
        <v>0</v>
      </c>
      <c r="ED124">
        <f>IFERROR(SMALL(ED39:ED103,ROW()-ROW($ED$106)+1),"")</f>
        <v>0</v>
      </c>
    </row>
    <row r="125" spans="5:134">
      <c r="E125">
        <f>IFERROR(SMALL(E39:E103,ROW()-ROW($E$106)+1),"")</f>
        <v>0</v>
      </c>
      <c r="F125">
        <f>IFERROR(SMALL(F39:F103,ROW()-ROW($F$106)+1),"")</f>
        <v>0</v>
      </c>
      <c r="G125">
        <f>IFERROR(SMALL(G39:G103,ROW()-ROW($G$106)+1),"")</f>
        <v>0</v>
      </c>
      <c r="H125">
        <f>IFERROR(SMALL(H39:H103,ROW()-ROW($H$106)+1),"")</f>
        <v>0</v>
      </c>
      <c r="I125">
        <f>IFERROR(SMALL(I39:I103,ROW()-ROW($I$106)+1),"")</f>
        <v>0</v>
      </c>
      <c r="J125">
        <f>IFERROR(SMALL(J39:J103,ROW()-ROW($J$106)+1),"")</f>
        <v>0</v>
      </c>
      <c r="K125">
        <f>IFERROR(SMALL(K39:K103,ROW()-ROW($K$106)+1),"")</f>
        <v>0</v>
      </c>
      <c r="L125">
        <f>IFERROR(SMALL(L39:L103,ROW()-ROW($L$106)+1),"")</f>
        <v>0</v>
      </c>
      <c r="M125">
        <f>IFERROR(SMALL(M39:M103,ROW()-ROW($M$106)+1),"")</f>
        <v>0</v>
      </c>
      <c r="N125">
        <f>IFERROR(SMALL(N39:N103,ROW()-ROW($N$106)+1),"")</f>
        <v>0</v>
      </c>
      <c r="O125">
        <f>IFERROR(SMALL(O39:O103,ROW()-ROW($O$106)+1),"")</f>
        <v>0</v>
      </c>
      <c r="P125">
        <f>IFERROR(SMALL(P39:P103,ROW()-ROW($P$106)+1),"")</f>
        <v>0</v>
      </c>
      <c r="Q125">
        <f>IFERROR(SMALL(Q39:Q103,ROW()-ROW($Q$106)+1),"")</f>
        <v>0</v>
      </c>
      <c r="R125">
        <f>IFERROR(SMALL(R39:R103,ROW()-ROW($R$106)+1),"")</f>
        <v>0</v>
      </c>
      <c r="S125">
        <f>IFERROR(SMALL(S39:S103,ROW()-ROW($S$106)+1),"")</f>
        <v>0</v>
      </c>
      <c r="T125">
        <f>IFERROR(SMALL(T39:T103,ROW()-ROW($T$106)+1),"")</f>
        <v>0</v>
      </c>
      <c r="U125">
        <f>IFERROR(SMALL(U39:U103,ROW()-ROW($U$106)+1),"")</f>
        <v>0</v>
      </c>
      <c r="V125">
        <f>IFERROR(SMALL(V39:V103,ROW()-ROW($V$106)+1),"")</f>
        <v>0</v>
      </c>
      <c r="W125">
        <f>IFERROR(SMALL(W39:W103,ROW()-ROW($W$106)+1),"")</f>
        <v>0</v>
      </c>
      <c r="X125">
        <f>IFERROR(SMALL(X39:X103,ROW()-ROW($X$106)+1),"")</f>
        <v>0</v>
      </c>
      <c r="Y125">
        <f>IFERROR(SMALL(Y39:Y103,ROW()-ROW($Y$106)+1),"")</f>
        <v>0</v>
      </c>
      <c r="Z125">
        <f>IFERROR(SMALL(Z39:Z103,ROW()-ROW($Z$106)+1),"")</f>
        <v>0</v>
      </c>
      <c r="AA125">
        <f>IFERROR(SMALL(AA39:AA103,ROW()-ROW($AA$106)+1),"")</f>
        <v>0</v>
      </c>
      <c r="AB125">
        <f>IFERROR(SMALL(AB39:AB103,ROW()-ROW($AB$106)+1),"")</f>
        <v>0</v>
      </c>
      <c r="AC125">
        <f>IFERROR(SMALL(AC39:AC103,ROW()-ROW($AC$106)+1),"")</f>
        <v>0</v>
      </c>
      <c r="AD125">
        <f>IFERROR(SMALL(AD39:AD103,ROW()-ROW($AD$106)+1),"")</f>
        <v>0</v>
      </c>
      <c r="AE125">
        <f>IFERROR(SMALL(AE39:AE103,ROW()-ROW($AE$106)+1),"")</f>
        <v>0</v>
      </c>
      <c r="AF125">
        <f>IFERROR(SMALL(AF39:AF103,ROW()-ROW($AF$106)+1),"")</f>
        <v>0</v>
      </c>
      <c r="AG125">
        <f>IFERROR(SMALL(AG39:AG103,ROW()-ROW($AG$106)+1),"")</f>
        <v>0</v>
      </c>
      <c r="AH125">
        <f>IFERROR(SMALL(AH39:AH103,ROW()-ROW($AH$106)+1),"")</f>
        <v>0</v>
      </c>
      <c r="AI125">
        <f>IFERROR(SMALL(AI39:AI103,ROW()-ROW($AI$106)+1),"")</f>
        <v>0</v>
      </c>
      <c r="AJ125">
        <f>IFERROR(SMALL(AJ39:AJ103,ROW()-ROW($AJ$106)+1),"")</f>
        <v>0</v>
      </c>
      <c r="AK125">
        <f>IFERROR(SMALL(AK39:AK103,ROW()-ROW($AK$106)+1),"")</f>
        <v>0</v>
      </c>
      <c r="AL125">
        <f>IFERROR(SMALL(AL39:AL103,ROW()-ROW($AL$106)+1),"")</f>
        <v>0</v>
      </c>
      <c r="AM125">
        <f>IFERROR(SMALL(AM39:AM103,ROW()-ROW($AM$106)+1),"")</f>
        <v>0</v>
      </c>
      <c r="AN125">
        <f>IFERROR(SMALL(AN39:AN103,ROW()-ROW($AN$106)+1),"")</f>
        <v>0</v>
      </c>
      <c r="AO125">
        <f>IFERROR(SMALL(AO39:AO103,ROW()-ROW($AO$106)+1),"")</f>
        <v>0</v>
      </c>
      <c r="AP125">
        <f>IFERROR(SMALL(AP39:AP103,ROW()-ROW($AP$106)+1),"")</f>
        <v>0</v>
      </c>
      <c r="AQ125">
        <f>IFERROR(SMALL(AQ39:AQ103,ROW()-ROW($AQ$106)+1),"")</f>
        <v>0</v>
      </c>
      <c r="AR125">
        <f>IFERROR(SMALL(AR39:AR103,ROW()-ROW($AR$106)+1),"")</f>
        <v>0</v>
      </c>
      <c r="AS125">
        <f>IFERROR(SMALL(AS39:AS103,ROW()-ROW($AS$106)+1),"")</f>
        <v>0</v>
      </c>
      <c r="AT125">
        <f>IFERROR(SMALL(AT39:AT103,ROW()-ROW($AT$106)+1),"")</f>
        <v>0</v>
      </c>
      <c r="AU125">
        <f>IFERROR(SMALL(AU39:AU103,ROW()-ROW($AU$106)+1),"")</f>
        <v>0</v>
      </c>
      <c r="AV125">
        <f>IFERROR(SMALL(AV39:AV103,ROW()-ROW($AV$106)+1),"")</f>
        <v>0</v>
      </c>
      <c r="AW125">
        <f>IFERROR(SMALL(AW39:AW103,ROW()-ROW($AW$106)+1),"")</f>
        <v>0</v>
      </c>
      <c r="AX125">
        <f>IFERROR(SMALL(AX39:AX103,ROW()-ROW($AX$106)+1),"")</f>
        <v>0</v>
      </c>
      <c r="AY125">
        <f>IFERROR(SMALL(AY39:AY103,ROW()-ROW($AY$106)+1),"")</f>
        <v>0</v>
      </c>
      <c r="AZ125">
        <f>IFERROR(SMALL(AZ39:AZ103,ROW()-ROW($AZ$106)+1),"")</f>
        <v>0</v>
      </c>
      <c r="BA125">
        <f>IFERROR(SMALL(BA39:BA103,ROW()-ROW($BA$106)+1),"")</f>
        <v>0</v>
      </c>
      <c r="BB125">
        <f>IFERROR(SMALL(BB39:BB103,ROW()-ROW($BB$106)+1),"")</f>
        <v>0</v>
      </c>
      <c r="BC125">
        <f>IFERROR(SMALL(BC39:BC103,ROW()-ROW($BC$106)+1),"")</f>
        <v>0</v>
      </c>
      <c r="BD125">
        <f>IFERROR(SMALL(BD39:BD103,ROW()-ROW($BD$106)+1),"")</f>
        <v>0</v>
      </c>
      <c r="BE125">
        <f>IFERROR(SMALL(BE39:BE103,ROW()-ROW($BE$106)+1),"")</f>
        <v>0</v>
      </c>
      <c r="BF125">
        <f>IFERROR(SMALL(BF39:BF103,ROW()-ROW($BF$106)+1),"")</f>
        <v>0</v>
      </c>
      <c r="BG125">
        <f>IFERROR(SMALL(BG39:BG103,ROW()-ROW($BG$106)+1),"")</f>
        <v>0</v>
      </c>
      <c r="BH125">
        <f>IFERROR(SMALL(BH39:BH103,ROW()-ROW($BH$106)+1),"")</f>
        <v>0</v>
      </c>
      <c r="BI125">
        <f>IFERROR(SMALL(BI39:BI103,ROW()-ROW($BI$106)+1),"")</f>
        <v>0</v>
      </c>
      <c r="BJ125">
        <f>IFERROR(SMALL(BJ39:BJ103,ROW()-ROW($BJ$106)+1),"")</f>
        <v>0</v>
      </c>
      <c r="BK125">
        <f>IFERROR(SMALL(BK39:BK103,ROW()-ROW($BK$106)+1),"")</f>
        <v>0</v>
      </c>
      <c r="BL125">
        <f>IFERROR(SMALL(BL39:BL103,ROW()-ROW($BL$106)+1),"")</f>
        <v>0</v>
      </c>
      <c r="BM125">
        <f>IFERROR(SMALL(BM39:BM103,ROW()-ROW($BM$106)+1),"")</f>
        <v>0</v>
      </c>
      <c r="BN125">
        <f>IFERROR(SMALL(BN39:BN103,ROW()-ROW($BN$106)+1),"")</f>
        <v>0</v>
      </c>
      <c r="BO125">
        <f>IFERROR(SMALL(BO39:BO103,ROW()-ROW($BO$106)+1),"")</f>
        <v>0</v>
      </c>
      <c r="BP125">
        <f>IFERROR(SMALL(BP39:BP103,ROW()-ROW($BP$106)+1),"")</f>
        <v>0</v>
      </c>
      <c r="BS125">
        <f>IFERROR(SMALL(BS39:BS103,ROW()-ROW($BS$106)+1),"")</f>
        <v>0</v>
      </c>
      <c r="BT125">
        <f>IFERROR(SMALL(BT39:BT103,ROW()-ROW($BT$106)+1),"")</f>
        <v>0</v>
      </c>
      <c r="BU125">
        <f>IFERROR(SMALL(BU39:BU103,ROW()-ROW($BU$106)+1),"")</f>
        <v>0</v>
      </c>
      <c r="BV125">
        <f>IFERROR(SMALL(BV39:BV103,ROW()-ROW($BV$106)+1),"")</f>
        <v>0</v>
      </c>
      <c r="BW125">
        <f>IFERROR(SMALL(BW39:BW103,ROW()-ROW($BW$106)+1),"")</f>
        <v>0</v>
      </c>
      <c r="BX125">
        <f>IFERROR(SMALL(BX39:BX103,ROW()-ROW($BX$106)+1),"")</f>
        <v>0</v>
      </c>
      <c r="BY125">
        <f>IFERROR(SMALL(BY39:BY103,ROW()-ROW($BY$106)+1),"")</f>
        <v>0</v>
      </c>
      <c r="BZ125">
        <f>IFERROR(SMALL(BZ39:BZ103,ROW()-ROW($BZ$106)+1),"")</f>
        <v>0</v>
      </c>
      <c r="CA125">
        <f>IFERROR(SMALL(CA39:CA103,ROW()-ROW($CA$106)+1),"")</f>
        <v>0</v>
      </c>
      <c r="CB125">
        <f>IFERROR(SMALL(CB39:CB103,ROW()-ROW($CB$106)+1),"")</f>
        <v>0</v>
      </c>
      <c r="CC125">
        <f>IFERROR(SMALL(CC39:CC103,ROW()-ROW($CC$106)+1),"")</f>
        <v>0</v>
      </c>
      <c r="CD125">
        <f>IFERROR(SMALL(CD39:CD103,ROW()-ROW($CD$106)+1),"")</f>
        <v>0</v>
      </c>
      <c r="CE125">
        <f>IFERROR(SMALL(CE39:CE103,ROW()-ROW($CE$106)+1),"")</f>
        <v>0</v>
      </c>
      <c r="CF125">
        <f>IFERROR(SMALL(CF39:CF103,ROW()-ROW($CF$106)+1),"")</f>
        <v>0</v>
      </c>
      <c r="CG125">
        <f>IFERROR(SMALL(CG39:CG103,ROW()-ROW($CG$106)+1),"")</f>
        <v>0</v>
      </c>
      <c r="CH125">
        <f>IFERROR(SMALL(CH39:CH103,ROW()-ROW($CH$106)+1),"")</f>
        <v>0</v>
      </c>
      <c r="CI125">
        <f>IFERROR(SMALL(CI39:CI103,ROW()-ROW($CI$106)+1),"")</f>
        <v>0</v>
      </c>
      <c r="CJ125">
        <f>IFERROR(SMALL(CJ39:CJ103,ROW()-ROW($CJ$106)+1),"")</f>
        <v>0</v>
      </c>
      <c r="CK125">
        <f>IFERROR(SMALL(CK39:CK103,ROW()-ROW($CK$106)+1),"")</f>
        <v>0</v>
      </c>
      <c r="CL125">
        <f>IFERROR(SMALL(CL39:CL103,ROW()-ROW($CL$106)+1),"")</f>
        <v>0</v>
      </c>
      <c r="CM125">
        <f>IFERROR(SMALL(CM39:CM103,ROW()-ROW($CM$106)+1),"")</f>
        <v>0</v>
      </c>
      <c r="CN125">
        <f>IFERROR(SMALL(CN39:CN103,ROW()-ROW($CN$106)+1),"")</f>
        <v>0</v>
      </c>
      <c r="CO125">
        <f>IFERROR(SMALL(CO39:CO103,ROW()-ROW($CO$106)+1),"")</f>
        <v>0</v>
      </c>
      <c r="CP125">
        <f>IFERROR(SMALL(CP39:CP103,ROW()-ROW($CP$106)+1),"")</f>
        <v>0</v>
      </c>
      <c r="CQ125">
        <f>IFERROR(SMALL(CQ39:CQ103,ROW()-ROW($CQ$106)+1),"")</f>
        <v>0</v>
      </c>
      <c r="CR125">
        <f>IFERROR(SMALL(CR39:CR103,ROW()-ROW($CR$106)+1),"")</f>
        <v>0</v>
      </c>
      <c r="CS125">
        <f>IFERROR(SMALL(CS39:CS103,ROW()-ROW($CS$106)+1),"")</f>
        <v>0</v>
      </c>
      <c r="CT125">
        <f>IFERROR(SMALL(CT39:CT103,ROW()-ROW($CT$106)+1),"")</f>
        <v>0</v>
      </c>
      <c r="CU125">
        <f>IFERROR(SMALL(CU39:CU103,ROW()-ROW($CU$106)+1),"")</f>
        <v>0</v>
      </c>
      <c r="CV125">
        <f>IFERROR(SMALL(CV39:CV103,ROW()-ROW($CV$106)+1),"")</f>
        <v>0</v>
      </c>
      <c r="CW125">
        <f>IFERROR(SMALL(CW39:CW103,ROW()-ROW($CW$106)+1),"")</f>
        <v>0</v>
      </c>
      <c r="CX125">
        <f>IFERROR(SMALL(CX39:CX103,ROW()-ROW($CX$106)+1),"")</f>
        <v>0</v>
      </c>
      <c r="CY125">
        <f>IFERROR(SMALL(CY39:CY103,ROW()-ROW($CY$106)+1),"")</f>
        <v>0</v>
      </c>
      <c r="CZ125">
        <f>IFERROR(SMALL(CZ39:CZ103,ROW()-ROW($CZ$106)+1),"")</f>
        <v>0</v>
      </c>
      <c r="DA125">
        <f>IFERROR(SMALL(DA39:DA103,ROW()-ROW($DA$106)+1),"")</f>
        <v>0</v>
      </c>
      <c r="DB125">
        <f>IFERROR(SMALL(DB39:DB103,ROW()-ROW($DB$106)+1),"")</f>
        <v>0</v>
      </c>
      <c r="DC125">
        <f>IFERROR(SMALL(DC39:DC103,ROW()-ROW($DC$106)+1),"")</f>
        <v>0</v>
      </c>
      <c r="DD125">
        <f>IFERROR(SMALL(DD39:DD103,ROW()-ROW($DD$106)+1),"")</f>
        <v>0</v>
      </c>
      <c r="DE125">
        <f>IFERROR(SMALL(DE39:DE103,ROW()-ROW($DE$106)+1),"")</f>
        <v>0</v>
      </c>
      <c r="DF125">
        <f>IFERROR(SMALL(DF39:DF103,ROW()-ROW($DF$106)+1),"")</f>
        <v>0</v>
      </c>
      <c r="DG125">
        <f>IFERROR(SMALL(DG39:DG103,ROW()-ROW($DG$106)+1),"")</f>
        <v>0</v>
      </c>
      <c r="DH125">
        <f>IFERROR(SMALL(DH39:DH103,ROW()-ROW($DH$106)+1),"")</f>
        <v>0</v>
      </c>
      <c r="DI125">
        <f>IFERROR(SMALL(DI39:DI103,ROW()-ROW($DI$106)+1),"")</f>
        <v>0</v>
      </c>
      <c r="DJ125">
        <f>IFERROR(SMALL(DJ39:DJ103,ROW()-ROW($DJ$106)+1),"")</f>
        <v>0</v>
      </c>
      <c r="DK125">
        <f>IFERROR(SMALL(DK39:DK103,ROW()-ROW($DK$106)+1),"")</f>
        <v>0</v>
      </c>
      <c r="DL125">
        <f>IFERROR(SMALL(DL39:DL103,ROW()-ROW($DL$106)+1),"")</f>
        <v>0</v>
      </c>
      <c r="DM125">
        <f>IFERROR(SMALL(DM39:DM103,ROW()-ROW($DM$106)+1),"")</f>
        <v>0</v>
      </c>
      <c r="DN125">
        <f>IFERROR(SMALL(DN39:DN103,ROW()-ROW($DN$106)+1),"")</f>
        <v>0</v>
      </c>
      <c r="DO125">
        <f>IFERROR(SMALL(DO39:DO103,ROW()-ROW($DO$106)+1),"")</f>
        <v>0</v>
      </c>
      <c r="DP125">
        <f>IFERROR(SMALL(DP39:DP103,ROW()-ROW($DP$106)+1),"")</f>
        <v>0</v>
      </c>
      <c r="DQ125">
        <f>IFERROR(SMALL(DQ39:DQ103,ROW()-ROW($DQ$106)+1),"")</f>
        <v>0</v>
      </c>
      <c r="DR125">
        <f>IFERROR(SMALL(DR39:DR103,ROW()-ROW($DR$106)+1),"")</f>
        <v>0</v>
      </c>
      <c r="DS125">
        <f>IFERROR(SMALL(DS39:DS103,ROW()-ROW($DS$106)+1),"")</f>
        <v>0</v>
      </c>
      <c r="DT125">
        <f>IFERROR(SMALL(DT39:DT103,ROW()-ROW($DT$106)+1),"")</f>
        <v>0</v>
      </c>
      <c r="DU125">
        <f>IFERROR(SMALL(DU39:DU103,ROW()-ROW($DU$106)+1),"")</f>
        <v>0</v>
      </c>
      <c r="DV125">
        <f>IFERROR(SMALL(DV39:DV103,ROW()-ROW($DV$106)+1),"")</f>
        <v>0</v>
      </c>
      <c r="DW125">
        <f>IFERROR(SMALL(DW39:DW103,ROW()-ROW($DW$106)+1),"")</f>
        <v>0</v>
      </c>
      <c r="DX125">
        <f>IFERROR(SMALL(DX39:DX103,ROW()-ROW($DX$106)+1),"")</f>
        <v>0</v>
      </c>
      <c r="DY125">
        <f>IFERROR(SMALL(DY39:DY103,ROW()-ROW($DY$106)+1),"")</f>
        <v>0</v>
      </c>
      <c r="DZ125">
        <f>IFERROR(SMALL(DZ39:DZ103,ROW()-ROW($DZ$106)+1),"")</f>
        <v>0</v>
      </c>
      <c r="EA125">
        <f>IFERROR(SMALL(EA39:EA103,ROW()-ROW($EA$106)+1),"")</f>
        <v>0</v>
      </c>
      <c r="EB125">
        <f>IFERROR(SMALL(EB39:EB103,ROW()-ROW($EB$106)+1),"")</f>
        <v>0</v>
      </c>
      <c r="EC125">
        <f>IFERROR(SMALL(EC39:EC103,ROW()-ROW($EC$106)+1),"")</f>
        <v>0</v>
      </c>
      <c r="ED125">
        <f>IFERROR(SMALL(ED39:ED103,ROW()-ROW($ED$106)+1),"")</f>
        <v>0</v>
      </c>
    </row>
    <row r="126" spans="5:134">
      <c r="E126">
        <f>IFERROR(SMALL(E39:E103,ROW()-ROW($E$106)+1),"")</f>
        <v>0</v>
      </c>
      <c r="F126">
        <f>IFERROR(SMALL(F39:F103,ROW()-ROW($F$106)+1),"")</f>
        <v>0</v>
      </c>
      <c r="G126">
        <f>IFERROR(SMALL(G39:G103,ROW()-ROW($G$106)+1),"")</f>
        <v>0</v>
      </c>
      <c r="H126">
        <f>IFERROR(SMALL(H39:H103,ROW()-ROW($H$106)+1),"")</f>
        <v>0</v>
      </c>
      <c r="I126">
        <f>IFERROR(SMALL(I39:I103,ROW()-ROW($I$106)+1),"")</f>
        <v>0</v>
      </c>
      <c r="J126">
        <f>IFERROR(SMALL(J39:J103,ROW()-ROW($J$106)+1),"")</f>
        <v>0</v>
      </c>
      <c r="K126">
        <f>IFERROR(SMALL(K39:K103,ROW()-ROW($K$106)+1),"")</f>
        <v>0</v>
      </c>
      <c r="L126">
        <f>IFERROR(SMALL(L39:L103,ROW()-ROW($L$106)+1),"")</f>
        <v>0</v>
      </c>
      <c r="M126">
        <f>IFERROR(SMALL(M39:M103,ROW()-ROW($M$106)+1),"")</f>
        <v>0</v>
      </c>
      <c r="N126">
        <f>IFERROR(SMALL(N39:N103,ROW()-ROW($N$106)+1),"")</f>
        <v>0</v>
      </c>
      <c r="O126">
        <f>IFERROR(SMALL(O39:O103,ROW()-ROW($O$106)+1),"")</f>
        <v>0</v>
      </c>
      <c r="P126">
        <f>IFERROR(SMALL(P39:P103,ROW()-ROW($P$106)+1),"")</f>
        <v>0</v>
      </c>
      <c r="Q126">
        <f>IFERROR(SMALL(Q39:Q103,ROW()-ROW($Q$106)+1),"")</f>
        <v>0</v>
      </c>
      <c r="R126">
        <f>IFERROR(SMALL(R39:R103,ROW()-ROW($R$106)+1),"")</f>
        <v>0</v>
      </c>
      <c r="S126">
        <f>IFERROR(SMALL(S39:S103,ROW()-ROW($S$106)+1),"")</f>
        <v>0</v>
      </c>
      <c r="T126">
        <f>IFERROR(SMALL(T39:T103,ROW()-ROW($T$106)+1),"")</f>
        <v>0</v>
      </c>
      <c r="U126">
        <f>IFERROR(SMALL(U39:U103,ROW()-ROW($U$106)+1),"")</f>
        <v>0</v>
      </c>
      <c r="V126">
        <f>IFERROR(SMALL(V39:V103,ROW()-ROW($V$106)+1),"")</f>
        <v>0</v>
      </c>
      <c r="W126">
        <f>IFERROR(SMALL(W39:W103,ROW()-ROW($W$106)+1),"")</f>
        <v>0</v>
      </c>
      <c r="X126">
        <f>IFERROR(SMALL(X39:X103,ROW()-ROW($X$106)+1),"")</f>
        <v>0</v>
      </c>
      <c r="Y126">
        <f>IFERROR(SMALL(Y39:Y103,ROW()-ROW($Y$106)+1),"")</f>
        <v>0</v>
      </c>
      <c r="Z126">
        <f>IFERROR(SMALL(Z39:Z103,ROW()-ROW($Z$106)+1),"")</f>
        <v>0</v>
      </c>
      <c r="AA126">
        <f>IFERROR(SMALL(AA39:AA103,ROW()-ROW($AA$106)+1),"")</f>
        <v>0</v>
      </c>
      <c r="AB126">
        <f>IFERROR(SMALL(AB39:AB103,ROW()-ROW($AB$106)+1),"")</f>
        <v>0</v>
      </c>
      <c r="AC126">
        <f>IFERROR(SMALL(AC39:AC103,ROW()-ROW($AC$106)+1),"")</f>
        <v>0</v>
      </c>
      <c r="AD126">
        <f>IFERROR(SMALL(AD39:AD103,ROW()-ROW($AD$106)+1),"")</f>
        <v>0</v>
      </c>
      <c r="AE126">
        <f>IFERROR(SMALL(AE39:AE103,ROW()-ROW($AE$106)+1),"")</f>
        <v>0</v>
      </c>
      <c r="AF126">
        <f>IFERROR(SMALL(AF39:AF103,ROW()-ROW($AF$106)+1),"")</f>
        <v>0</v>
      </c>
      <c r="AG126">
        <f>IFERROR(SMALL(AG39:AG103,ROW()-ROW($AG$106)+1),"")</f>
        <v>0</v>
      </c>
      <c r="AH126">
        <f>IFERROR(SMALL(AH39:AH103,ROW()-ROW($AH$106)+1),"")</f>
        <v>0</v>
      </c>
      <c r="AI126">
        <f>IFERROR(SMALL(AI39:AI103,ROW()-ROW($AI$106)+1),"")</f>
        <v>0</v>
      </c>
      <c r="AJ126">
        <f>IFERROR(SMALL(AJ39:AJ103,ROW()-ROW($AJ$106)+1),"")</f>
        <v>0</v>
      </c>
      <c r="AK126">
        <f>IFERROR(SMALL(AK39:AK103,ROW()-ROW($AK$106)+1),"")</f>
        <v>0</v>
      </c>
      <c r="AL126">
        <f>IFERROR(SMALL(AL39:AL103,ROW()-ROW($AL$106)+1),"")</f>
        <v>0</v>
      </c>
      <c r="AM126">
        <f>IFERROR(SMALL(AM39:AM103,ROW()-ROW($AM$106)+1),"")</f>
        <v>0</v>
      </c>
      <c r="AN126">
        <f>IFERROR(SMALL(AN39:AN103,ROW()-ROW($AN$106)+1),"")</f>
        <v>0</v>
      </c>
      <c r="AO126">
        <f>IFERROR(SMALL(AO39:AO103,ROW()-ROW($AO$106)+1),"")</f>
        <v>0</v>
      </c>
      <c r="AP126">
        <f>IFERROR(SMALL(AP39:AP103,ROW()-ROW($AP$106)+1),"")</f>
        <v>0</v>
      </c>
      <c r="AQ126">
        <f>IFERROR(SMALL(AQ39:AQ103,ROW()-ROW($AQ$106)+1),"")</f>
        <v>0</v>
      </c>
      <c r="AR126">
        <f>IFERROR(SMALL(AR39:AR103,ROW()-ROW($AR$106)+1),"")</f>
        <v>0</v>
      </c>
      <c r="AS126">
        <f>IFERROR(SMALL(AS39:AS103,ROW()-ROW($AS$106)+1),"")</f>
        <v>0</v>
      </c>
      <c r="AT126">
        <f>IFERROR(SMALL(AT39:AT103,ROW()-ROW($AT$106)+1),"")</f>
        <v>0</v>
      </c>
      <c r="AU126">
        <f>IFERROR(SMALL(AU39:AU103,ROW()-ROW($AU$106)+1),"")</f>
        <v>0</v>
      </c>
      <c r="AV126">
        <f>IFERROR(SMALL(AV39:AV103,ROW()-ROW($AV$106)+1),"")</f>
        <v>0</v>
      </c>
      <c r="AW126">
        <f>IFERROR(SMALL(AW39:AW103,ROW()-ROW($AW$106)+1),"")</f>
        <v>0</v>
      </c>
      <c r="AX126">
        <f>IFERROR(SMALL(AX39:AX103,ROW()-ROW($AX$106)+1),"")</f>
        <v>0</v>
      </c>
      <c r="AY126">
        <f>IFERROR(SMALL(AY39:AY103,ROW()-ROW($AY$106)+1),"")</f>
        <v>0</v>
      </c>
      <c r="AZ126">
        <f>IFERROR(SMALL(AZ39:AZ103,ROW()-ROW($AZ$106)+1),"")</f>
        <v>0</v>
      </c>
      <c r="BA126">
        <f>IFERROR(SMALL(BA39:BA103,ROW()-ROW($BA$106)+1),"")</f>
        <v>0</v>
      </c>
      <c r="BB126">
        <f>IFERROR(SMALL(BB39:BB103,ROW()-ROW($BB$106)+1),"")</f>
        <v>0</v>
      </c>
      <c r="BC126">
        <f>IFERROR(SMALL(BC39:BC103,ROW()-ROW($BC$106)+1),"")</f>
        <v>0</v>
      </c>
      <c r="BD126">
        <f>IFERROR(SMALL(BD39:BD103,ROW()-ROW($BD$106)+1),"")</f>
        <v>0</v>
      </c>
      <c r="BE126">
        <f>IFERROR(SMALL(BE39:BE103,ROW()-ROW($BE$106)+1),"")</f>
        <v>0</v>
      </c>
      <c r="BF126">
        <f>IFERROR(SMALL(BF39:BF103,ROW()-ROW($BF$106)+1),"")</f>
        <v>0</v>
      </c>
      <c r="BG126">
        <f>IFERROR(SMALL(BG39:BG103,ROW()-ROW($BG$106)+1),"")</f>
        <v>0</v>
      </c>
      <c r="BH126">
        <f>IFERROR(SMALL(BH39:BH103,ROW()-ROW($BH$106)+1),"")</f>
        <v>0</v>
      </c>
      <c r="BI126">
        <f>IFERROR(SMALL(BI39:BI103,ROW()-ROW($BI$106)+1),"")</f>
        <v>0</v>
      </c>
      <c r="BJ126">
        <f>IFERROR(SMALL(BJ39:BJ103,ROW()-ROW($BJ$106)+1),"")</f>
        <v>0</v>
      </c>
      <c r="BK126">
        <f>IFERROR(SMALL(BK39:BK103,ROW()-ROW($BK$106)+1),"")</f>
        <v>0</v>
      </c>
      <c r="BL126">
        <f>IFERROR(SMALL(BL39:BL103,ROW()-ROW($BL$106)+1),"")</f>
        <v>0</v>
      </c>
      <c r="BM126">
        <f>IFERROR(SMALL(BM39:BM103,ROW()-ROW($BM$106)+1),"")</f>
        <v>0</v>
      </c>
      <c r="BN126">
        <f>IFERROR(SMALL(BN39:BN103,ROW()-ROW($BN$106)+1),"")</f>
        <v>0</v>
      </c>
      <c r="BO126">
        <f>IFERROR(SMALL(BO39:BO103,ROW()-ROW($BO$106)+1),"")</f>
        <v>0</v>
      </c>
      <c r="BP126">
        <f>IFERROR(SMALL(BP39:BP103,ROW()-ROW($BP$106)+1),"")</f>
        <v>0</v>
      </c>
      <c r="BS126">
        <f>IFERROR(SMALL(BS39:BS103,ROW()-ROW($BS$106)+1),"")</f>
        <v>0</v>
      </c>
      <c r="BT126">
        <f>IFERROR(SMALL(BT39:BT103,ROW()-ROW($BT$106)+1),"")</f>
        <v>0</v>
      </c>
      <c r="BU126">
        <f>IFERROR(SMALL(BU39:BU103,ROW()-ROW($BU$106)+1),"")</f>
        <v>0</v>
      </c>
      <c r="BV126">
        <f>IFERROR(SMALL(BV39:BV103,ROW()-ROW($BV$106)+1),"")</f>
        <v>0</v>
      </c>
      <c r="BW126">
        <f>IFERROR(SMALL(BW39:BW103,ROW()-ROW($BW$106)+1),"")</f>
        <v>0</v>
      </c>
      <c r="BX126">
        <f>IFERROR(SMALL(BX39:BX103,ROW()-ROW($BX$106)+1),"")</f>
        <v>0</v>
      </c>
      <c r="BY126">
        <f>IFERROR(SMALL(BY39:BY103,ROW()-ROW($BY$106)+1),"")</f>
        <v>0</v>
      </c>
      <c r="BZ126">
        <f>IFERROR(SMALL(BZ39:BZ103,ROW()-ROW($BZ$106)+1),"")</f>
        <v>0</v>
      </c>
      <c r="CA126">
        <f>IFERROR(SMALL(CA39:CA103,ROW()-ROW($CA$106)+1),"")</f>
        <v>0</v>
      </c>
      <c r="CB126">
        <f>IFERROR(SMALL(CB39:CB103,ROW()-ROW($CB$106)+1),"")</f>
        <v>0</v>
      </c>
      <c r="CC126">
        <f>IFERROR(SMALL(CC39:CC103,ROW()-ROW($CC$106)+1),"")</f>
        <v>0</v>
      </c>
      <c r="CD126">
        <f>IFERROR(SMALL(CD39:CD103,ROW()-ROW($CD$106)+1),"")</f>
        <v>0</v>
      </c>
      <c r="CE126">
        <f>IFERROR(SMALL(CE39:CE103,ROW()-ROW($CE$106)+1),"")</f>
        <v>0</v>
      </c>
      <c r="CF126">
        <f>IFERROR(SMALL(CF39:CF103,ROW()-ROW($CF$106)+1),"")</f>
        <v>0</v>
      </c>
      <c r="CG126">
        <f>IFERROR(SMALL(CG39:CG103,ROW()-ROW($CG$106)+1),"")</f>
        <v>0</v>
      </c>
      <c r="CH126">
        <f>IFERROR(SMALL(CH39:CH103,ROW()-ROW($CH$106)+1),"")</f>
        <v>0</v>
      </c>
      <c r="CI126">
        <f>IFERROR(SMALL(CI39:CI103,ROW()-ROW($CI$106)+1),"")</f>
        <v>0</v>
      </c>
      <c r="CJ126">
        <f>IFERROR(SMALL(CJ39:CJ103,ROW()-ROW($CJ$106)+1),"")</f>
        <v>0</v>
      </c>
      <c r="CK126">
        <f>IFERROR(SMALL(CK39:CK103,ROW()-ROW($CK$106)+1),"")</f>
        <v>0</v>
      </c>
      <c r="CL126">
        <f>IFERROR(SMALL(CL39:CL103,ROW()-ROW($CL$106)+1),"")</f>
        <v>0</v>
      </c>
      <c r="CM126">
        <f>IFERROR(SMALL(CM39:CM103,ROW()-ROW($CM$106)+1),"")</f>
        <v>0</v>
      </c>
      <c r="CN126">
        <f>IFERROR(SMALL(CN39:CN103,ROW()-ROW($CN$106)+1),"")</f>
        <v>0</v>
      </c>
      <c r="CO126">
        <f>IFERROR(SMALL(CO39:CO103,ROW()-ROW($CO$106)+1),"")</f>
        <v>0</v>
      </c>
      <c r="CP126">
        <f>IFERROR(SMALL(CP39:CP103,ROW()-ROW($CP$106)+1),"")</f>
        <v>0</v>
      </c>
      <c r="CQ126">
        <f>IFERROR(SMALL(CQ39:CQ103,ROW()-ROW($CQ$106)+1),"")</f>
        <v>0</v>
      </c>
      <c r="CR126">
        <f>IFERROR(SMALL(CR39:CR103,ROW()-ROW($CR$106)+1),"")</f>
        <v>0</v>
      </c>
      <c r="CS126">
        <f>IFERROR(SMALL(CS39:CS103,ROW()-ROW($CS$106)+1),"")</f>
        <v>0</v>
      </c>
      <c r="CT126">
        <f>IFERROR(SMALL(CT39:CT103,ROW()-ROW($CT$106)+1),"")</f>
        <v>0</v>
      </c>
      <c r="CU126">
        <f>IFERROR(SMALL(CU39:CU103,ROW()-ROW($CU$106)+1),"")</f>
        <v>0</v>
      </c>
      <c r="CV126">
        <f>IFERROR(SMALL(CV39:CV103,ROW()-ROW($CV$106)+1),"")</f>
        <v>0</v>
      </c>
      <c r="CW126">
        <f>IFERROR(SMALL(CW39:CW103,ROW()-ROW($CW$106)+1),"")</f>
        <v>0</v>
      </c>
      <c r="CX126">
        <f>IFERROR(SMALL(CX39:CX103,ROW()-ROW($CX$106)+1),"")</f>
        <v>0</v>
      </c>
      <c r="CY126">
        <f>IFERROR(SMALL(CY39:CY103,ROW()-ROW($CY$106)+1),"")</f>
        <v>0</v>
      </c>
      <c r="CZ126">
        <f>IFERROR(SMALL(CZ39:CZ103,ROW()-ROW($CZ$106)+1),"")</f>
        <v>0</v>
      </c>
      <c r="DA126">
        <f>IFERROR(SMALL(DA39:DA103,ROW()-ROW($DA$106)+1),"")</f>
        <v>0</v>
      </c>
      <c r="DB126">
        <f>IFERROR(SMALL(DB39:DB103,ROW()-ROW($DB$106)+1),"")</f>
        <v>0</v>
      </c>
      <c r="DC126">
        <f>IFERROR(SMALL(DC39:DC103,ROW()-ROW($DC$106)+1),"")</f>
        <v>0</v>
      </c>
      <c r="DD126">
        <f>IFERROR(SMALL(DD39:DD103,ROW()-ROW($DD$106)+1),"")</f>
        <v>0</v>
      </c>
      <c r="DE126">
        <f>IFERROR(SMALL(DE39:DE103,ROW()-ROW($DE$106)+1),"")</f>
        <v>0</v>
      </c>
      <c r="DF126">
        <f>IFERROR(SMALL(DF39:DF103,ROW()-ROW($DF$106)+1),"")</f>
        <v>0</v>
      </c>
      <c r="DG126">
        <f>IFERROR(SMALL(DG39:DG103,ROW()-ROW($DG$106)+1),"")</f>
        <v>0</v>
      </c>
      <c r="DH126">
        <f>IFERROR(SMALL(DH39:DH103,ROW()-ROW($DH$106)+1),"")</f>
        <v>0</v>
      </c>
      <c r="DI126">
        <f>IFERROR(SMALL(DI39:DI103,ROW()-ROW($DI$106)+1),"")</f>
        <v>0</v>
      </c>
      <c r="DJ126">
        <f>IFERROR(SMALL(DJ39:DJ103,ROW()-ROW($DJ$106)+1),"")</f>
        <v>0</v>
      </c>
      <c r="DK126">
        <f>IFERROR(SMALL(DK39:DK103,ROW()-ROW($DK$106)+1),"")</f>
        <v>0</v>
      </c>
      <c r="DL126">
        <f>IFERROR(SMALL(DL39:DL103,ROW()-ROW($DL$106)+1),"")</f>
        <v>0</v>
      </c>
      <c r="DM126">
        <f>IFERROR(SMALL(DM39:DM103,ROW()-ROW($DM$106)+1),"")</f>
        <v>0</v>
      </c>
      <c r="DN126">
        <f>IFERROR(SMALL(DN39:DN103,ROW()-ROW($DN$106)+1),"")</f>
        <v>0</v>
      </c>
      <c r="DO126">
        <f>IFERROR(SMALL(DO39:DO103,ROW()-ROW($DO$106)+1),"")</f>
        <v>0</v>
      </c>
      <c r="DP126">
        <f>IFERROR(SMALL(DP39:DP103,ROW()-ROW($DP$106)+1),"")</f>
        <v>0</v>
      </c>
      <c r="DQ126">
        <f>IFERROR(SMALL(DQ39:DQ103,ROW()-ROW($DQ$106)+1),"")</f>
        <v>0</v>
      </c>
      <c r="DR126">
        <f>IFERROR(SMALL(DR39:DR103,ROW()-ROW($DR$106)+1),"")</f>
        <v>0</v>
      </c>
      <c r="DS126">
        <f>IFERROR(SMALL(DS39:DS103,ROW()-ROW($DS$106)+1),"")</f>
        <v>0</v>
      </c>
      <c r="DT126">
        <f>IFERROR(SMALL(DT39:DT103,ROW()-ROW($DT$106)+1),"")</f>
        <v>0</v>
      </c>
      <c r="DU126">
        <f>IFERROR(SMALL(DU39:DU103,ROW()-ROW($DU$106)+1),"")</f>
        <v>0</v>
      </c>
      <c r="DV126">
        <f>IFERROR(SMALL(DV39:DV103,ROW()-ROW($DV$106)+1),"")</f>
        <v>0</v>
      </c>
      <c r="DW126">
        <f>IFERROR(SMALL(DW39:DW103,ROW()-ROW($DW$106)+1),"")</f>
        <v>0</v>
      </c>
      <c r="DX126">
        <f>IFERROR(SMALL(DX39:DX103,ROW()-ROW($DX$106)+1),"")</f>
        <v>0</v>
      </c>
      <c r="DY126">
        <f>IFERROR(SMALL(DY39:DY103,ROW()-ROW($DY$106)+1),"")</f>
        <v>0</v>
      </c>
      <c r="DZ126">
        <f>IFERROR(SMALL(DZ39:DZ103,ROW()-ROW($DZ$106)+1),"")</f>
        <v>0</v>
      </c>
      <c r="EA126">
        <f>IFERROR(SMALL(EA39:EA103,ROW()-ROW($EA$106)+1),"")</f>
        <v>0</v>
      </c>
      <c r="EB126">
        <f>IFERROR(SMALL(EB39:EB103,ROW()-ROW($EB$106)+1),"")</f>
        <v>0</v>
      </c>
      <c r="EC126">
        <f>IFERROR(SMALL(EC39:EC103,ROW()-ROW($EC$106)+1),"")</f>
        <v>0</v>
      </c>
      <c r="ED126">
        <f>IFERROR(SMALL(ED39:ED103,ROW()-ROW($ED$106)+1),"")</f>
        <v>0</v>
      </c>
    </row>
    <row r="127" spans="5:134">
      <c r="E127">
        <f>IFERROR(SMALL(E39:E103,ROW()-ROW($E$106)+1),"")</f>
        <v>0</v>
      </c>
      <c r="F127">
        <f>IFERROR(SMALL(F39:F103,ROW()-ROW($F$106)+1),"")</f>
        <v>0</v>
      </c>
      <c r="G127">
        <f>IFERROR(SMALL(G39:G103,ROW()-ROW($G$106)+1),"")</f>
        <v>0</v>
      </c>
      <c r="H127">
        <f>IFERROR(SMALL(H39:H103,ROW()-ROW($H$106)+1),"")</f>
        <v>0</v>
      </c>
      <c r="I127">
        <f>IFERROR(SMALL(I39:I103,ROW()-ROW($I$106)+1),"")</f>
        <v>0</v>
      </c>
      <c r="J127">
        <f>IFERROR(SMALL(J39:J103,ROW()-ROW($J$106)+1),"")</f>
        <v>0</v>
      </c>
      <c r="K127">
        <f>IFERROR(SMALL(K39:K103,ROW()-ROW($K$106)+1),"")</f>
        <v>0</v>
      </c>
      <c r="L127">
        <f>IFERROR(SMALL(L39:L103,ROW()-ROW($L$106)+1),"")</f>
        <v>0</v>
      </c>
      <c r="M127">
        <f>IFERROR(SMALL(M39:M103,ROW()-ROW($M$106)+1),"")</f>
        <v>0</v>
      </c>
      <c r="N127">
        <f>IFERROR(SMALL(N39:N103,ROW()-ROW($N$106)+1),"")</f>
        <v>0</v>
      </c>
      <c r="O127">
        <f>IFERROR(SMALL(O39:O103,ROW()-ROW($O$106)+1),"")</f>
        <v>0</v>
      </c>
      <c r="P127">
        <f>IFERROR(SMALL(P39:P103,ROW()-ROW($P$106)+1),"")</f>
        <v>0</v>
      </c>
      <c r="Q127">
        <f>IFERROR(SMALL(Q39:Q103,ROW()-ROW($Q$106)+1),"")</f>
        <v>0</v>
      </c>
      <c r="R127">
        <f>IFERROR(SMALL(R39:R103,ROW()-ROW($R$106)+1),"")</f>
        <v>0</v>
      </c>
      <c r="S127">
        <f>IFERROR(SMALL(S39:S103,ROW()-ROW($S$106)+1),"")</f>
        <v>0</v>
      </c>
      <c r="T127">
        <f>IFERROR(SMALL(T39:T103,ROW()-ROW($T$106)+1),"")</f>
        <v>0</v>
      </c>
      <c r="U127">
        <f>IFERROR(SMALL(U39:U103,ROW()-ROW($U$106)+1),"")</f>
        <v>0</v>
      </c>
      <c r="V127">
        <f>IFERROR(SMALL(V39:V103,ROW()-ROW($V$106)+1),"")</f>
        <v>0</v>
      </c>
      <c r="W127">
        <f>IFERROR(SMALL(W39:W103,ROW()-ROW($W$106)+1),"")</f>
        <v>0</v>
      </c>
      <c r="X127">
        <f>IFERROR(SMALL(X39:X103,ROW()-ROW($X$106)+1),"")</f>
        <v>0</v>
      </c>
      <c r="Y127">
        <f>IFERROR(SMALL(Y39:Y103,ROW()-ROW($Y$106)+1),"")</f>
        <v>0</v>
      </c>
      <c r="Z127">
        <f>IFERROR(SMALL(Z39:Z103,ROW()-ROW($Z$106)+1),"")</f>
        <v>0</v>
      </c>
      <c r="AA127">
        <f>IFERROR(SMALL(AA39:AA103,ROW()-ROW($AA$106)+1),"")</f>
        <v>0</v>
      </c>
      <c r="AB127">
        <f>IFERROR(SMALL(AB39:AB103,ROW()-ROW($AB$106)+1),"")</f>
        <v>0</v>
      </c>
      <c r="AC127">
        <f>IFERROR(SMALL(AC39:AC103,ROW()-ROW($AC$106)+1),"")</f>
        <v>0</v>
      </c>
      <c r="AD127">
        <f>IFERROR(SMALL(AD39:AD103,ROW()-ROW($AD$106)+1),"")</f>
        <v>0</v>
      </c>
      <c r="AE127">
        <f>IFERROR(SMALL(AE39:AE103,ROW()-ROW($AE$106)+1),"")</f>
        <v>0</v>
      </c>
      <c r="AF127">
        <f>IFERROR(SMALL(AF39:AF103,ROW()-ROW($AF$106)+1),"")</f>
        <v>0</v>
      </c>
      <c r="AG127">
        <f>IFERROR(SMALL(AG39:AG103,ROW()-ROW($AG$106)+1),"")</f>
        <v>0</v>
      </c>
      <c r="AH127">
        <f>IFERROR(SMALL(AH39:AH103,ROW()-ROW($AH$106)+1),"")</f>
        <v>0</v>
      </c>
      <c r="AI127">
        <f>IFERROR(SMALL(AI39:AI103,ROW()-ROW($AI$106)+1),"")</f>
        <v>0</v>
      </c>
      <c r="AJ127">
        <f>IFERROR(SMALL(AJ39:AJ103,ROW()-ROW($AJ$106)+1),"")</f>
        <v>0</v>
      </c>
      <c r="AK127">
        <f>IFERROR(SMALL(AK39:AK103,ROW()-ROW($AK$106)+1),"")</f>
        <v>0</v>
      </c>
      <c r="AL127">
        <f>IFERROR(SMALL(AL39:AL103,ROW()-ROW($AL$106)+1),"")</f>
        <v>0</v>
      </c>
      <c r="AM127">
        <f>IFERROR(SMALL(AM39:AM103,ROW()-ROW($AM$106)+1),"")</f>
        <v>0</v>
      </c>
      <c r="AN127">
        <f>IFERROR(SMALL(AN39:AN103,ROW()-ROW($AN$106)+1),"")</f>
        <v>0</v>
      </c>
      <c r="AO127">
        <f>IFERROR(SMALL(AO39:AO103,ROW()-ROW($AO$106)+1),"")</f>
        <v>0</v>
      </c>
      <c r="AP127">
        <f>IFERROR(SMALL(AP39:AP103,ROW()-ROW($AP$106)+1),"")</f>
        <v>0</v>
      </c>
      <c r="AQ127">
        <f>IFERROR(SMALL(AQ39:AQ103,ROW()-ROW($AQ$106)+1),"")</f>
        <v>0</v>
      </c>
      <c r="AR127">
        <f>IFERROR(SMALL(AR39:AR103,ROW()-ROW($AR$106)+1),"")</f>
        <v>0</v>
      </c>
      <c r="AS127">
        <f>IFERROR(SMALL(AS39:AS103,ROW()-ROW($AS$106)+1),"")</f>
        <v>0</v>
      </c>
      <c r="AT127">
        <f>IFERROR(SMALL(AT39:AT103,ROW()-ROW($AT$106)+1),"")</f>
        <v>0</v>
      </c>
      <c r="AU127">
        <f>IFERROR(SMALL(AU39:AU103,ROW()-ROW($AU$106)+1),"")</f>
        <v>0</v>
      </c>
      <c r="AV127">
        <f>IFERROR(SMALL(AV39:AV103,ROW()-ROW($AV$106)+1),"")</f>
        <v>0</v>
      </c>
      <c r="AW127">
        <f>IFERROR(SMALL(AW39:AW103,ROW()-ROW($AW$106)+1),"")</f>
        <v>0</v>
      </c>
      <c r="AX127">
        <f>IFERROR(SMALL(AX39:AX103,ROW()-ROW($AX$106)+1),"")</f>
        <v>0</v>
      </c>
      <c r="AY127">
        <f>IFERROR(SMALL(AY39:AY103,ROW()-ROW($AY$106)+1),"")</f>
        <v>0</v>
      </c>
      <c r="AZ127">
        <f>IFERROR(SMALL(AZ39:AZ103,ROW()-ROW($AZ$106)+1),"")</f>
        <v>0</v>
      </c>
      <c r="BA127">
        <f>IFERROR(SMALL(BA39:BA103,ROW()-ROW($BA$106)+1),"")</f>
        <v>0</v>
      </c>
      <c r="BB127">
        <f>IFERROR(SMALL(BB39:BB103,ROW()-ROW($BB$106)+1),"")</f>
        <v>0</v>
      </c>
      <c r="BC127">
        <f>IFERROR(SMALL(BC39:BC103,ROW()-ROW($BC$106)+1),"")</f>
        <v>0</v>
      </c>
      <c r="BD127">
        <f>IFERROR(SMALL(BD39:BD103,ROW()-ROW($BD$106)+1),"")</f>
        <v>0</v>
      </c>
      <c r="BE127">
        <f>IFERROR(SMALL(BE39:BE103,ROW()-ROW($BE$106)+1),"")</f>
        <v>0</v>
      </c>
      <c r="BF127">
        <f>IFERROR(SMALL(BF39:BF103,ROW()-ROW($BF$106)+1),"")</f>
        <v>0</v>
      </c>
      <c r="BG127">
        <f>IFERROR(SMALL(BG39:BG103,ROW()-ROW($BG$106)+1),"")</f>
        <v>0</v>
      </c>
      <c r="BH127">
        <f>IFERROR(SMALL(BH39:BH103,ROW()-ROW($BH$106)+1),"")</f>
        <v>0</v>
      </c>
      <c r="BI127">
        <f>IFERROR(SMALL(BI39:BI103,ROW()-ROW($BI$106)+1),"")</f>
        <v>0</v>
      </c>
      <c r="BJ127">
        <f>IFERROR(SMALL(BJ39:BJ103,ROW()-ROW($BJ$106)+1),"")</f>
        <v>0</v>
      </c>
      <c r="BK127">
        <f>IFERROR(SMALL(BK39:BK103,ROW()-ROW($BK$106)+1),"")</f>
        <v>0</v>
      </c>
      <c r="BL127">
        <f>IFERROR(SMALL(BL39:BL103,ROW()-ROW($BL$106)+1),"")</f>
        <v>0</v>
      </c>
      <c r="BM127">
        <f>IFERROR(SMALL(BM39:BM103,ROW()-ROW($BM$106)+1),"")</f>
        <v>0</v>
      </c>
      <c r="BN127">
        <f>IFERROR(SMALL(BN39:BN103,ROW()-ROW($BN$106)+1),"")</f>
        <v>0</v>
      </c>
      <c r="BO127">
        <f>IFERROR(SMALL(BO39:BO103,ROW()-ROW($BO$106)+1),"")</f>
        <v>0</v>
      </c>
      <c r="BP127">
        <f>IFERROR(SMALL(BP39:BP103,ROW()-ROW($BP$106)+1),"")</f>
        <v>0</v>
      </c>
      <c r="BS127">
        <f>IFERROR(SMALL(BS39:BS103,ROW()-ROW($BS$106)+1),"")</f>
        <v>0</v>
      </c>
      <c r="BT127">
        <f>IFERROR(SMALL(BT39:BT103,ROW()-ROW($BT$106)+1),"")</f>
        <v>0</v>
      </c>
      <c r="BU127">
        <f>IFERROR(SMALL(BU39:BU103,ROW()-ROW($BU$106)+1),"")</f>
        <v>0</v>
      </c>
      <c r="BV127">
        <f>IFERROR(SMALL(BV39:BV103,ROW()-ROW($BV$106)+1),"")</f>
        <v>0</v>
      </c>
      <c r="BW127">
        <f>IFERROR(SMALL(BW39:BW103,ROW()-ROW($BW$106)+1),"")</f>
        <v>0</v>
      </c>
      <c r="BX127">
        <f>IFERROR(SMALL(BX39:BX103,ROW()-ROW($BX$106)+1),"")</f>
        <v>0</v>
      </c>
      <c r="BY127">
        <f>IFERROR(SMALL(BY39:BY103,ROW()-ROW($BY$106)+1),"")</f>
        <v>0</v>
      </c>
      <c r="BZ127">
        <f>IFERROR(SMALL(BZ39:BZ103,ROW()-ROW($BZ$106)+1),"")</f>
        <v>0</v>
      </c>
      <c r="CA127">
        <f>IFERROR(SMALL(CA39:CA103,ROW()-ROW($CA$106)+1),"")</f>
        <v>0</v>
      </c>
      <c r="CB127">
        <f>IFERROR(SMALL(CB39:CB103,ROW()-ROW($CB$106)+1),"")</f>
        <v>0</v>
      </c>
      <c r="CC127">
        <f>IFERROR(SMALL(CC39:CC103,ROW()-ROW($CC$106)+1),"")</f>
        <v>0</v>
      </c>
      <c r="CD127">
        <f>IFERROR(SMALL(CD39:CD103,ROW()-ROW($CD$106)+1),"")</f>
        <v>0</v>
      </c>
      <c r="CE127">
        <f>IFERROR(SMALL(CE39:CE103,ROW()-ROW($CE$106)+1),"")</f>
        <v>0</v>
      </c>
      <c r="CF127">
        <f>IFERROR(SMALL(CF39:CF103,ROW()-ROW($CF$106)+1),"")</f>
        <v>0</v>
      </c>
      <c r="CG127">
        <f>IFERROR(SMALL(CG39:CG103,ROW()-ROW($CG$106)+1),"")</f>
        <v>0</v>
      </c>
      <c r="CH127">
        <f>IFERROR(SMALL(CH39:CH103,ROW()-ROW($CH$106)+1),"")</f>
        <v>0</v>
      </c>
      <c r="CI127">
        <f>IFERROR(SMALL(CI39:CI103,ROW()-ROW($CI$106)+1),"")</f>
        <v>0</v>
      </c>
      <c r="CJ127">
        <f>IFERROR(SMALL(CJ39:CJ103,ROW()-ROW($CJ$106)+1),"")</f>
        <v>0</v>
      </c>
      <c r="CK127">
        <f>IFERROR(SMALL(CK39:CK103,ROW()-ROW($CK$106)+1),"")</f>
        <v>0</v>
      </c>
      <c r="CL127">
        <f>IFERROR(SMALL(CL39:CL103,ROW()-ROW($CL$106)+1),"")</f>
        <v>0</v>
      </c>
      <c r="CM127">
        <f>IFERROR(SMALL(CM39:CM103,ROW()-ROW($CM$106)+1),"")</f>
        <v>0</v>
      </c>
      <c r="CN127">
        <f>IFERROR(SMALL(CN39:CN103,ROW()-ROW($CN$106)+1),"")</f>
        <v>0</v>
      </c>
      <c r="CO127">
        <f>IFERROR(SMALL(CO39:CO103,ROW()-ROW($CO$106)+1),"")</f>
        <v>0</v>
      </c>
      <c r="CP127">
        <f>IFERROR(SMALL(CP39:CP103,ROW()-ROW($CP$106)+1),"")</f>
        <v>0</v>
      </c>
      <c r="CQ127">
        <f>IFERROR(SMALL(CQ39:CQ103,ROW()-ROW($CQ$106)+1),"")</f>
        <v>0</v>
      </c>
      <c r="CR127">
        <f>IFERROR(SMALL(CR39:CR103,ROW()-ROW($CR$106)+1),"")</f>
        <v>0</v>
      </c>
      <c r="CS127">
        <f>IFERROR(SMALL(CS39:CS103,ROW()-ROW($CS$106)+1),"")</f>
        <v>0</v>
      </c>
      <c r="CT127">
        <f>IFERROR(SMALL(CT39:CT103,ROW()-ROW($CT$106)+1),"")</f>
        <v>0</v>
      </c>
      <c r="CU127">
        <f>IFERROR(SMALL(CU39:CU103,ROW()-ROW($CU$106)+1),"")</f>
        <v>0</v>
      </c>
      <c r="CV127">
        <f>IFERROR(SMALL(CV39:CV103,ROW()-ROW($CV$106)+1),"")</f>
        <v>0</v>
      </c>
      <c r="CW127">
        <f>IFERROR(SMALL(CW39:CW103,ROW()-ROW($CW$106)+1),"")</f>
        <v>0</v>
      </c>
      <c r="CX127">
        <f>IFERROR(SMALL(CX39:CX103,ROW()-ROW($CX$106)+1),"")</f>
        <v>0</v>
      </c>
      <c r="CY127">
        <f>IFERROR(SMALL(CY39:CY103,ROW()-ROW($CY$106)+1),"")</f>
        <v>0</v>
      </c>
      <c r="CZ127">
        <f>IFERROR(SMALL(CZ39:CZ103,ROW()-ROW($CZ$106)+1),"")</f>
        <v>0</v>
      </c>
      <c r="DA127">
        <f>IFERROR(SMALL(DA39:DA103,ROW()-ROW($DA$106)+1),"")</f>
        <v>0</v>
      </c>
      <c r="DB127">
        <f>IFERROR(SMALL(DB39:DB103,ROW()-ROW($DB$106)+1),"")</f>
        <v>0</v>
      </c>
      <c r="DC127">
        <f>IFERROR(SMALL(DC39:DC103,ROW()-ROW($DC$106)+1),"")</f>
        <v>0</v>
      </c>
      <c r="DD127">
        <f>IFERROR(SMALL(DD39:DD103,ROW()-ROW($DD$106)+1),"")</f>
        <v>0</v>
      </c>
      <c r="DE127">
        <f>IFERROR(SMALL(DE39:DE103,ROW()-ROW($DE$106)+1),"")</f>
        <v>0</v>
      </c>
      <c r="DF127">
        <f>IFERROR(SMALL(DF39:DF103,ROW()-ROW($DF$106)+1),"")</f>
        <v>0</v>
      </c>
      <c r="DG127">
        <f>IFERROR(SMALL(DG39:DG103,ROW()-ROW($DG$106)+1),"")</f>
        <v>0</v>
      </c>
      <c r="DH127">
        <f>IFERROR(SMALL(DH39:DH103,ROW()-ROW($DH$106)+1),"")</f>
        <v>0</v>
      </c>
      <c r="DI127">
        <f>IFERROR(SMALL(DI39:DI103,ROW()-ROW($DI$106)+1),"")</f>
        <v>0</v>
      </c>
      <c r="DJ127">
        <f>IFERROR(SMALL(DJ39:DJ103,ROW()-ROW($DJ$106)+1),"")</f>
        <v>0</v>
      </c>
      <c r="DK127">
        <f>IFERROR(SMALL(DK39:DK103,ROW()-ROW($DK$106)+1),"")</f>
        <v>0</v>
      </c>
      <c r="DL127">
        <f>IFERROR(SMALL(DL39:DL103,ROW()-ROW($DL$106)+1),"")</f>
        <v>0</v>
      </c>
      <c r="DM127">
        <f>IFERROR(SMALL(DM39:DM103,ROW()-ROW($DM$106)+1),"")</f>
        <v>0</v>
      </c>
      <c r="DN127">
        <f>IFERROR(SMALL(DN39:DN103,ROW()-ROW($DN$106)+1),"")</f>
        <v>0</v>
      </c>
      <c r="DO127">
        <f>IFERROR(SMALL(DO39:DO103,ROW()-ROW($DO$106)+1),"")</f>
        <v>0</v>
      </c>
      <c r="DP127">
        <f>IFERROR(SMALL(DP39:DP103,ROW()-ROW($DP$106)+1),"")</f>
        <v>0</v>
      </c>
      <c r="DQ127">
        <f>IFERROR(SMALL(DQ39:DQ103,ROW()-ROW($DQ$106)+1),"")</f>
        <v>0</v>
      </c>
      <c r="DR127">
        <f>IFERROR(SMALL(DR39:DR103,ROW()-ROW($DR$106)+1),"")</f>
        <v>0</v>
      </c>
      <c r="DS127">
        <f>IFERROR(SMALL(DS39:DS103,ROW()-ROW($DS$106)+1),"")</f>
        <v>0</v>
      </c>
      <c r="DT127">
        <f>IFERROR(SMALL(DT39:DT103,ROW()-ROW($DT$106)+1),"")</f>
        <v>0</v>
      </c>
      <c r="DU127">
        <f>IFERROR(SMALL(DU39:DU103,ROW()-ROW($DU$106)+1),"")</f>
        <v>0</v>
      </c>
      <c r="DV127">
        <f>IFERROR(SMALL(DV39:DV103,ROW()-ROW($DV$106)+1),"")</f>
        <v>0</v>
      </c>
      <c r="DW127">
        <f>IFERROR(SMALL(DW39:DW103,ROW()-ROW($DW$106)+1),"")</f>
        <v>0</v>
      </c>
      <c r="DX127">
        <f>IFERROR(SMALL(DX39:DX103,ROW()-ROW($DX$106)+1),"")</f>
        <v>0</v>
      </c>
      <c r="DY127">
        <f>IFERROR(SMALL(DY39:DY103,ROW()-ROW($DY$106)+1),"")</f>
        <v>0</v>
      </c>
      <c r="DZ127">
        <f>IFERROR(SMALL(DZ39:DZ103,ROW()-ROW($DZ$106)+1),"")</f>
        <v>0</v>
      </c>
      <c r="EA127">
        <f>IFERROR(SMALL(EA39:EA103,ROW()-ROW($EA$106)+1),"")</f>
        <v>0</v>
      </c>
      <c r="EB127">
        <f>IFERROR(SMALL(EB39:EB103,ROW()-ROW($EB$106)+1),"")</f>
        <v>0</v>
      </c>
      <c r="EC127">
        <f>IFERROR(SMALL(EC39:EC103,ROW()-ROW($EC$106)+1),"")</f>
        <v>0</v>
      </c>
      <c r="ED127">
        <f>IFERROR(SMALL(ED39:ED103,ROW()-ROW($ED$106)+1),"")</f>
        <v>0</v>
      </c>
    </row>
    <row r="128" spans="5:134">
      <c r="E128">
        <f>IFERROR(SMALL(E39:E103,ROW()-ROW($E$106)+1),"")</f>
        <v>0</v>
      </c>
      <c r="F128">
        <f>IFERROR(SMALL(F39:F103,ROW()-ROW($F$106)+1),"")</f>
        <v>0</v>
      </c>
      <c r="G128">
        <f>IFERROR(SMALL(G39:G103,ROW()-ROW($G$106)+1),"")</f>
        <v>0</v>
      </c>
      <c r="H128">
        <f>IFERROR(SMALL(H39:H103,ROW()-ROW($H$106)+1),"")</f>
        <v>0</v>
      </c>
      <c r="I128">
        <f>IFERROR(SMALL(I39:I103,ROW()-ROW($I$106)+1),"")</f>
        <v>0</v>
      </c>
      <c r="J128">
        <f>IFERROR(SMALL(J39:J103,ROW()-ROW($J$106)+1),"")</f>
        <v>0</v>
      </c>
      <c r="K128">
        <f>IFERROR(SMALL(K39:K103,ROW()-ROW($K$106)+1),"")</f>
        <v>0</v>
      </c>
      <c r="L128">
        <f>IFERROR(SMALL(L39:L103,ROW()-ROW($L$106)+1),"")</f>
        <v>0</v>
      </c>
      <c r="M128">
        <f>IFERROR(SMALL(M39:M103,ROW()-ROW($M$106)+1),"")</f>
        <v>0</v>
      </c>
      <c r="N128">
        <f>IFERROR(SMALL(N39:N103,ROW()-ROW($N$106)+1),"")</f>
        <v>0</v>
      </c>
      <c r="O128">
        <f>IFERROR(SMALL(O39:O103,ROW()-ROW($O$106)+1),"")</f>
        <v>0</v>
      </c>
      <c r="P128">
        <f>IFERROR(SMALL(P39:P103,ROW()-ROW($P$106)+1),"")</f>
        <v>0</v>
      </c>
      <c r="Q128">
        <f>IFERROR(SMALL(Q39:Q103,ROW()-ROW($Q$106)+1),"")</f>
        <v>0</v>
      </c>
      <c r="R128">
        <f>IFERROR(SMALL(R39:R103,ROW()-ROW($R$106)+1),"")</f>
        <v>0</v>
      </c>
      <c r="S128">
        <f>IFERROR(SMALL(S39:S103,ROW()-ROW($S$106)+1),"")</f>
        <v>0</v>
      </c>
      <c r="T128">
        <f>IFERROR(SMALL(T39:T103,ROW()-ROW($T$106)+1),"")</f>
        <v>0</v>
      </c>
      <c r="U128">
        <f>IFERROR(SMALL(U39:U103,ROW()-ROW($U$106)+1),"")</f>
        <v>0</v>
      </c>
      <c r="V128">
        <f>IFERROR(SMALL(V39:V103,ROW()-ROW($V$106)+1),"")</f>
        <v>0</v>
      </c>
      <c r="W128">
        <f>IFERROR(SMALL(W39:W103,ROW()-ROW($W$106)+1),"")</f>
        <v>0</v>
      </c>
      <c r="X128">
        <f>IFERROR(SMALL(X39:X103,ROW()-ROW($X$106)+1),"")</f>
        <v>0</v>
      </c>
      <c r="Y128">
        <f>IFERROR(SMALL(Y39:Y103,ROW()-ROW($Y$106)+1),"")</f>
        <v>0</v>
      </c>
      <c r="Z128">
        <f>IFERROR(SMALL(Z39:Z103,ROW()-ROW($Z$106)+1),"")</f>
        <v>0</v>
      </c>
      <c r="AA128">
        <f>IFERROR(SMALL(AA39:AA103,ROW()-ROW($AA$106)+1),"")</f>
        <v>0</v>
      </c>
      <c r="AB128">
        <f>IFERROR(SMALL(AB39:AB103,ROW()-ROW($AB$106)+1),"")</f>
        <v>0</v>
      </c>
      <c r="AC128">
        <f>IFERROR(SMALL(AC39:AC103,ROW()-ROW($AC$106)+1),"")</f>
        <v>0</v>
      </c>
      <c r="AD128">
        <f>IFERROR(SMALL(AD39:AD103,ROW()-ROW($AD$106)+1),"")</f>
        <v>0</v>
      </c>
      <c r="AE128">
        <f>IFERROR(SMALL(AE39:AE103,ROW()-ROW($AE$106)+1),"")</f>
        <v>0</v>
      </c>
      <c r="AF128">
        <f>IFERROR(SMALL(AF39:AF103,ROW()-ROW($AF$106)+1),"")</f>
        <v>0</v>
      </c>
      <c r="AG128">
        <f>IFERROR(SMALL(AG39:AG103,ROW()-ROW($AG$106)+1),"")</f>
        <v>0</v>
      </c>
      <c r="AH128">
        <f>IFERROR(SMALL(AH39:AH103,ROW()-ROW($AH$106)+1),"")</f>
        <v>0</v>
      </c>
      <c r="AI128">
        <f>IFERROR(SMALL(AI39:AI103,ROW()-ROW($AI$106)+1),"")</f>
        <v>0</v>
      </c>
      <c r="AJ128">
        <f>IFERROR(SMALL(AJ39:AJ103,ROW()-ROW($AJ$106)+1),"")</f>
        <v>0</v>
      </c>
      <c r="AK128">
        <f>IFERROR(SMALL(AK39:AK103,ROW()-ROW($AK$106)+1),"")</f>
        <v>0</v>
      </c>
      <c r="AL128">
        <f>IFERROR(SMALL(AL39:AL103,ROW()-ROW($AL$106)+1),"")</f>
        <v>0</v>
      </c>
      <c r="AM128">
        <f>IFERROR(SMALL(AM39:AM103,ROW()-ROW($AM$106)+1),"")</f>
        <v>0</v>
      </c>
      <c r="AN128">
        <f>IFERROR(SMALL(AN39:AN103,ROW()-ROW($AN$106)+1),"")</f>
        <v>0</v>
      </c>
      <c r="AO128">
        <f>IFERROR(SMALL(AO39:AO103,ROW()-ROW($AO$106)+1),"")</f>
        <v>0</v>
      </c>
      <c r="AP128">
        <f>IFERROR(SMALL(AP39:AP103,ROW()-ROW($AP$106)+1),"")</f>
        <v>0</v>
      </c>
      <c r="AQ128">
        <f>IFERROR(SMALL(AQ39:AQ103,ROW()-ROW($AQ$106)+1),"")</f>
        <v>0</v>
      </c>
      <c r="AR128">
        <f>IFERROR(SMALL(AR39:AR103,ROW()-ROW($AR$106)+1),"")</f>
        <v>0</v>
      </c>
      <c r="AS128">
        <f>IFERROR(SMALL(AS39:AS103,ROW()-ROW($AS$106)+1),"")</f>
        <v>0</v>
      </c>
      <c r="AT128">
        <f>IFERROR(SMALL(AT39:AT103,ROW()-ROW($AT$106)+1),"")</f>
        <v>0</v>
      </c>
      <c r="AU128">
        <f>IFERROR(SMALL(AU39:AU103,ROW()-ROW($AU$106)+1),"")</f>
        <v>0</v>
      </c>
      <c r="AV128">
        <f>IFERROR(SMALL(AV39:AV103,ROW()-ROW($AV$106)+1),"")</f>
        <v>0</v>
      </c>
      <c r="AW128">
        <f>IFERROR(SMALL(AW39:AW103,ROW()-ROW($AW$106)+1),"")</f>
        <v>0</v>
      </c>
      <c r="AX128">
        <f>IFERROR(SMALL(AX39:AX103,ROW()-ROW($AX$106)+1),"")</f>
        <v>0</v>
      </c>
      <c r="AY128">
        <f>IFERROR(SMALL(AY39:AY103,ROW()-ROW($AY$106)+1),"")</f>
        <v>0</v>
      </c>
      <c r="AZ128">
        <f>IFERROR(SMALL(AZ39:AZ103,ROW()-ROW($AZ$106)+1),"")</f>
        <v>0</v>
      </c>
      <c r="BA128">
        <f>IFERROR(SMALL(BA39:BA103,ROW()-ROW($BA$106)+1),"")</f>
        <v>0</v>
      </c>
      <c r="BB128">
        <f>IFERROR(SMALL(BB39:BB103,ROW()-ROW($BB$106)+1),"")</f>
        <v>0</v>
      </c>
      <c r="BC128">
        <f>IFERROR(SMALL(BC39:BC103,ROW()-ROW($BC$106)+1),"")</f>
        <v>0</v>
      </c>
      <c r="BD128">
        <f>IFERROR(SMALL(BD39:BD103,ROW()-ROW($BD$106)+1),"")</f>
        <v>0</v>
      </c>
      <c r="BE128">
        <f>IFERROR(SMALL(BE39:BE103,ROW()-ROW($BE$106)+1),"")</f>
        <v>0</v>
      </c>
      <c r="BF128">
        <f>IFERROR(SMALL(BF39:BF103,ROW()-ROW($BF$106)+1),"")</f>
        <v>0</v>
      </c>
      <c r="BG128">
        <f>IFERROR(SMALL(BG39:BG103,ROW()-ROW($BG$106)+1),"")</f>
        <v>0</v>
      </c>
      <c r="BH128">
        <f>IFERROR(SMALL(BH39:BH103,ROW()-ROW($BH$106)+1),"")</f>
        <v>0</v>
      </c>
      <c r="BI128">
        <f>IFERROR(SMALL(BI39:BI103,ROW()-ROW($BI$106)+1),"")</f>
        <v>0</v>
      </c>
      <c r="BJ128">
        <f>IFERROR(SMALL(BJ39:BJ103,ROW()-ROW($BJ$106)+1),"")</f>
        <v>0</v>
      </c>
      <c r="BK128">
        <f>IFERROR(SMALL(BK39:BK103,ROW()-ROW($BK$106)+1),"")</f>
        <v>0</v>
      </c>
      <c r="BL128">
        <f>IFERROR(SMALL(BL39:BL103,ROW()-ROW($BL$106)+1),"")</f>
        <v>0</v>
      </c>
      <c r="BM128">
        <f>IFERROR(SMALL(BM39:BM103,ROW()-ROW($BM$106)+1),"")</f>
        <v>0</v>
      </c>
      <c r="BN128">
        <f>IFERROR(SMALL(BN39:BN103,ROW()-ROW($BN$106)+1),"")</f>
        <v>0</v>
      </c>
      <c r="BO128">
        <f>IFERROR(SMALL(BO39:BO103,ROW()-ROW($BO$106)+1),"")</f>
        <v>0</v>
      </c>
      <c r="BP128">
        <f>IFERROR(SMALL(BP39:BP103,ROW()-ROW($BP$106)+1),"")</f>
        <v>0</v>
      </c>
      <c r="BS128">
        <f>IFERROR(SMALL(BS39:BS103,ROW()-ROW($BS$106)+1),"")</f>
        <v>0</v>
      </c>
      <c r="BT128">
        <f>IFERROR(SMALL(BT39:BT103,ROW()-ROW($BT$106)+1),"")</f>
        <v>0</v>
      </c>
      <c r="BU128">
        <f>IFERROR(SMALL(BU39:BU103,ROW()-ROW($BU$106)+1),"")</f>
        <v>0</v>
      </c>
      <c r="BV128">
        <f>IFERROR(SMALL(BV39:BV103,ROW()-ROW($BV$106)+1),"")</f>
        <v>0</v>
      </c>
      <c r="BW128">
        <f>IFERROR(SMALL(BW39:BW103,ROW()-ROW($BW$106)+1),"")</f>
        <v>0</v>
      </c>
      <c r="BX128">
        <f>IFERROR(SMALL(BX39:BX103,ROW()-ROW($BX$106)+1),"")</f>
        <v>0</v>
      </c>
      <c r="BY128">
        <f>IFERROR(SMALL(BY39:BY103,ROW()-ROW($BY$106)+1),"")</f>
        <v>0</v>
      </c>
      <c r="BZ128">
        <f>IFERROR(SMALL(BZ39:BZ103,ROW()-ROW($BZ$106)+1),"")</f>
        <v>0</v>
      </c>
      <c r="CA128">
        <f>IFERROR(SMALL(CA39:CA103,ROW()-ROW($CA$106)+1),"")</f>
        <v>0</v>
      </c>
      <c r="CB128">
        <f>IFERROR(SMALL(CB39:CB103,ROW()-ROW($CB$106)+1),"")</f>
        <v>0</v>
      </c>
      <c r="CC128">
        <f>IFERROR(SMALL(CC39:CC103,ROW()-ROW($CC$106)+1),"")</f>
        <v>0</v>
      </c>
      <c r="CD128">
        <f>IFERROR(SMALL(CD39:CD103,ROW()-ROW($CD$106)+1),"")</f>
        <v>0</v>
      </c>
      <c r="CE128">
        <f>IFERROR(SMALL(CE39:CE103,ROW()-ROW($CE$106)+1),"")</f>
        <v>0</v>
      </c>
      <c r="CF128">
        <f>IFERROR(SMALL(CF39:CF103,ROW()-ROW($CF$106)+1),"")</f>
        <v>0</v>
      </c>
      <c r="CG128">
        <f>IFERROR(SMALL(CG39:CG103,ROW()-ROW($CG$106)+1),"")</f>
        <v>0</v>
      </c>
      <c r="CH128">
        <f>IFERROR(SMALL(CH39:CH103,ROW()-ROW($CH$106)+1),"")</f>
        <v>0</v>
      </c>
      <c r="CI128">
        <f>IFERROR(SMALL(CI39:CI103,ROW()-ROW($CI$106)+1),"")</f>
        <v>0</v>
      </c>
      <c r="CJ128">
        <f>IFERROR(SMALL(CJ39:CJ103,ROW()-ROW($CJ$106)+1),"")</f>
        <v>0</v>
      </c>
      <c r="CK128">
        <f>IFERROR(SMALL(CK39:CK103,ROW()-ROW($CK$106)+1),"")</f>
        <v>0</v>
      </c>
      <c r="CL128">
        <f>IFERROR(SMALL(CL39:CL103,ROW()-ROW($CL$106)+1),"")</f>
        <v>0</v>
      </c>
      <c r="CM128">
        <f>IFERROR(SMALL(CM39:CM103,ROW()-ROW($CM$106)+1),"")</f>
        <v>0</v>
      </c>
      <c r="CN128">
        <f>IFERROR(SMALL(CN39:CN103,ROW()-ROW($CN$106)+1),"")</f>
        <v>0</v>
      </c>
      <c r="CO128">
        <f>IFERROR(SMALL(CO39:CO103,ROW()-ROW($CO$106)+1),"")</f>
        <v>0</v>
      </c>
      <c r="CP128">
        <f>IFERROR(SMALL(CP39:CP103,ROW()-ROW($CP$106)+1),"")</f>
        <v>0</v>
      </c>
      <c r="CQ128">
        <f>IFERROR(SMALL(CQ39:CQ103,ROW()-ROW($CQ$106)+1),"")</f>
        <v>0</v>
      </c>
      <c r="CR128">
        <f>IFERROR(SMALL(CR39:CR103,ROW()-ROW($CR$106)+1),"")</f>
        <v>0</v>
      </c>
      <c r="CS128">
        <f>IFERROR(SMALL(CS39:CS103,ROW()-ROW($CS$106)+1),"")</f>
        <v>0</v>
      </c>
      <c r="CT128">
        <f>IFERROR(SMALL(CT39:CT103,ROW()-ROW($CT$106)+1),"")</f>
        <v>0</v>
      </c>
      <c r="CU128">
        <f>IFERROR(SMALL(CU39:CU103,ROW()-ROW($CU$106)+1),"")</f>
        <v>0</v>
      </c>
      <c r="CV128">
        <f>IFERROR(SMALL(CV39:CV103,ROW()-ROW($CV$106)+1),"")</f>
        <v>0</v>
      </c>
      <c r="CW128">
        <f>IFERROR(SMALL(CW39:CW103,ROW()-ROW($CW$106)+1),"")</f>
        <v>0</v>
      </c>
      <c r="CX128">
        <f>IFERROR(SMALL(CX39:CX103,ROW()-ROW($CX$106)+1),"")</f>
        <v>0</v>
      </c>
      <c r="CY128">
        <f>IFERROR(SMALL(CY39:CY103,ROW()-ROW($CY$106)+1),"")</f>
        <v>0</v>
      </c>
      <c r="CZ128">
        <f>IFERROR(SMALL(CZ39:CZ103,ROW()-ROW($CZ$106)+1),"")</f>
        <v>0</v>
      </c>
      <c r="DA128">
        <f>IFERROR(SMALL(DA39:DA103,ROW()-ROW($DA$106)+1),"")</f>
        <v>0</v>
      </c>
      <c r="DB128">
        <f>IFERROR(SMALL(DB39:DB103,ROW()-ROW($DB$106)+1),"")</f>
        <v>0</v>
      </c>
      <c r="DC128">
        <f>IFERROR(SMALL(DC39:DC103,ROW()-ROW($DC$106)+1),"")</f>
        <v>0</v>
      </c>
      <c r="DD128">
        <f>IFERROR(SMALL(DD39:DD103,ROW()-ROW($DD$106)+1),"")</f>
        <v>0</v>
      </c>
      <c r="DE128">
        <f>IFERROR(SMALL(DE39:DE103,ROW()-ROW($DE$106)+1),"")</f>
        <v>0</v>
      </c>
      <c r="DF128">
        <f>IFERROR(SMALL(DF39:DF103,ROW()-ROW($DF$106)+1),"")</f>
        <v>0</v>
      </c>
      <c r="DG128">
        <f>IFERROR(SMALL(DG39:DG103,ROW()-ROW($DG$106)+1),"")</f>
        <v>0</v>
      </c>
      <c r="DH128">
        <f>IFERROR(SMALL(DH39:DH103,ROW()-ROW($DH$106)+1),"")</f>
        <v>0</v>
      </c>
      <c r="DI128">
        <f>IFERROR(SMALL(DI39:DI103,ROW()-ROW($DI$106)+1),"")</f>
        <v>0</v>
      </c>
      <c r="DJ128">
        <f>IFERROR(SMALL(DJ39:DJ103,ROW()-ROW($DJ$106)+1),"")</f>
        <v>0</v>
      </c>
      <c r="DK128">
        <f>IFERROR(SMALL(DK39:DK103,ROW()-ROW($DK$106)+1),"")</f>
        <v>0</v>
      </c>
      <c r="DL128">
        <f>IFERROR(SMALL(DL39:DL103,ROW()-ROW($DL$106)+1),"")</f>
        <v>0</v>
      </c>
      <c r="DM128">
        <f>IFERROR(SMALL(DM39:DM103,ROW()-ROW($DM$106)+1),"")</f>
        <v>0</v>
      </c>
      <c r="DN128">
        <f>IFERROR(SMALL(DN39:DN103,ROW()-ROW($DN$106)+1),"")</f>
        <v>0</v>
      </c>
      <c r="DO128">
        <f>IFERROR(SMALL(DO39:DO103,ROW()-ROW($DO$106)+1),"")</f>
        <v>0</v>
      </c>
      <c r="DP128">
        <f>IFERROR(SMALL(DP39:DP103,ROW()-ROW($DP$106)+1),"")</f>
        <v>0</v>
      </c>
      <c r="DQ128">
        <f>IFERROR(SMALL(DQ39:DQ103,ROW()-ROW($DQ$106)+1),"")</f>
        <v>0</v>
      </c>
      <c r="DR128">
        <f>IFERROR(SMALL(DR39:DR103,ROW()-ROW($DR$106)+1),"")</f>
        <v>0</v>
      </c>
      <c r="DS128">
        <f>IFERROR(SMALL(DS39:DS103,ROW()-ROW($DS$106)+1),"")</f>
        <v>0</v>
      </c>
      <c r="DT128">
        <f>IFERROR(SMALL(DT39:DT103,ROW()-ROW($DT$106)+1),"")</f>
        <v>0</v>
      </c>
      <c r="DU128">
        <f>IFERROR(SMALL(DU39:DU103,ROW()-ROW($DU$106)+1),"")</f>
        <v>0</v>
      </c>
      <c r="DV128">
        <f>IFERROR(SMALL(DV39:DV103,ROW()-ROW($DV$106)+1),"")</f>
        <v>0</v>
      </c>
      <c r="DW128">
        <f>IFERROR(SMALL(DW39:DW103,ROW()-ROW($DW$106)+1),"")</f>
        <v>0</v>
      </c>
      <c r="DX128">
        <f>IFERROR(SMALL(DX39:DX103,ROW()-ROW($DX$106)+1),"")</f>
        <v>0</v>
      </c>
      <c r="DY128">
        <f>IFERROR(SMALL(DY39:DY103,ROW()-ROW($DY$106)+1),"")</f>
        <v>0</v>
      </c>
      <c r="DZ128">
        <f>IFERROR(SMALL(DZ39:DZ103,ROW()-ROW($DZ$106)+1),"")</f>
        <v>0</v>
      </c>
      <c r="EA128">
        <f>IFERROR(SMALL(EA39:EA103,ROW()-ROW($EA$106)+1),"")</f>
        <v>0</v>
      </c>
      <c r="EB128">
        <f>IFERROR(SMALL(EB39:EB103,ROW()-ROW($EB$106)+1),"")</f>
        <v>0</v>
      </c>
      <c r="EC128">
        <f>IFERROR(SMALL(EC39:EC103,ROW()-ROW($EC$106)+1),"")</f>
        <v>0</v>
      </c>
      <c r="ED128">
        <f>IFERROR(SMALL(ED39:ED103,ROW()-ROW($ED$106)+1),"")</f>
        <v>0</v>
      </c>
    </row>
    <row r="129" spans="5:134">
      <c r="E129">
        <f>IFERROR(SMALL(E39:E103,ROW()-ROW($E$106)+1),"")</f>
        <v>0</v>
      </c>
      <c r="F129">
        <f>IFERROR(SMALL(F39:F103,ROW()-ROW($F$106)+1),"")</f>
        <v>0</v>
      </c>
      <c r="G129">
        <f>IFERROR(SMALL(G39:G103,ROW()-ROW($G$106)+1),"")</f>
        <v>0</v>
      </c>
      <c r="H129">
        <f>IFERROR(SMALL(H39:H103,ROW()-ROW($H$106)+1),"")</f>
        <v>0</v>
      </c>
      <c r="I129">
        <f>IFERROR(SMALL(I39:I103,ROW()-ROW($I$106)+1),"")</f>
        <v>0</v>
      </c>
      <c r="J129">
        <f>IFERROR(SMALL(J39:J103,ROW()-ROW($J$106)+1),"")</f>
        <v>0</v>
      </c>
      <c r="K129">
        <f>IFERROR(SMALL(K39:K103,ROW()-ROW($K$106)+1),"")</f>
        <v>0</v>
      </c>
      <c r="L129">
        <f>IFERROR(SMALL(L39:L103,ROW()-ROW($L$106)+1),"")</f>
        <v>0</v>
      </c>
      <c r="M129">
        <f>IFERROR(SMALL(M39:M103,ROW()-ROW($M$106)+1),"")</f>
        <v>0</v>
      </c>
      <c r="N129">
        <f>IFERROR(SMALL(N39:N103,ROW()-ROW($N$106)+1),"")</f>
        <v>0</v>
      </c>
      <c r="O129">
        <f>IFERROR(SMALL(O39:O103,ROW()-ROW($O$106)+1),"")</f>
        <v>0</v>
      </c>
      <c r="P129">
        <f>IFERROR(SMALL(P39:P103,ROW()-ROW($P$106)+1),"")</f>
        <v>0</v>
      </c>
      <c r="Q129">
        <f>IFERROR(SMALL(Q39:Q103,ROW()-ROW($Q$106)+1),"")</f>
        <v>0</v>
      </c>
      <c r="R129">
        <f>IFERROR(SMALL(R39:R103,ROW()-ROW($R$106)+1),"")</f>
        <v>0</v>
      </c>
      <c r="S129">
        <f>IFERROR(SMALL(S39:S103,ROW()-ROW($S$106)+1),"")</f>
        <v>0</v>
      </c>
      <c r="T129">
        <f>IFERROR(SMALL(T39:T103,ROW()-ROW($T$106)+1),"")</f>
        <v>0</v>
      </c>
      <c r="U129">
        <f>IFERROR(SMALL(U39:U103,ROW()-ROW($U$106)+1),"")</f>
        <v>0</v>
      </c>
      <c r="V129">
        <f>IFERROR(SMALL(V39:V103,ROW()-ROW($V$106)+1),"")</f>
        <v>0</v>
      </c>
      <c r="W129">
        <f>IFERROR(SMALL(W39:W103,ROW()-ROW($W$106)+1),"")</f>
        <v>0</v>
      </c>
      <c r="X129">
        <f>IFERROR(SMALL(X39:X103,ROW()-ROW($X$106)+1),"")</f>
        <v>0</v>
      </c>
      <c r="Y129">
        <f>IFERROR(SMALL(Y39:Y103,ROW()-ROW($Y$106)+1),"")</f>
        <v>0</v>
      </c>
      <c r="Z129">
        <f>IFERROR(SMALL(Z39:Z103,ROW()-ROW($Z$106)+1),"")</f>
        <v>0</v>
      </c>
      <c r="AA129">
        <f>IFERROR(SMALL(AA39:AA103,ROW()-ROW($AA$106)+1),"")</f>
        <v>0</v>
      </c>
      <c r="AB129">
        <f>IFERROR(SMALL(AB39:AB103,ROW()-ROW($AB$106)+1),"")</f>
        <v>0</v>
      </c>
      <c r="AC129">
        <f>IFERROR(SMALL(AC39:AC103,ROW()-ROW($AC$106)+1),"")</f>
        <v>0</v>
      </c>
      <c r="AD129">
        <f>IFERROR(SMALL(AD39:AD103,ROW()-ROW($AD$106)+1),"")</f>
        <v>0</v>
      </c>
      <c r="AE129">
        <f>IFERROR(SMALL(AE39:AE103,ROW()-ROW($AE$106)+1),"")</f>
        <v>0</v>
      </c>
      <c r="AF129">
        <f>IFERROR(SMALL(AF39:AF103,ROW()-ROW($AF$106)+1),"")</f>
        <v>0</v>
      </c>
      <c r="AG129">
        <f>IFERROR(SMALL(AG39:AG103,ROW()-ROW($AG$106)+1),"")</f>
        <v>0</v>
      </c>
      <c r="AH129">
        <f>IFERROR(SMALL(AH39:AH103,ROW()-ROW($AH$106)+1),"")</f>
        <v>0</v>
      </c>
      <c r="AI129">
        <f>IFERROR(SMALL(AI39:AI103,ROW()-ROW($AI$106)+1),"")</f>
        <v>0</v>
      </c>
      <c r="AJ129">
        <f>IFERROR(SMALL(AJ39:AJ103,ROW()-ROW($AJ$106)+1),"")</f>
        <v>0</v>
      </c>
      <c r="AK129">
        <f>IFERROR(SMALL(AK39:AK103,ROW()-ROW($AK$106)+1),"")</f>
        <v>0</v>
      </c>
      <c r="AL129">
        <f>IFERROR(SMALL(AL39:AL103,ROW()-ROW($AL$106)+1),"")</f>
        <v>0</v>
      </c>
      <c r="AM129">
        <f>IFERROR(SMALL(AM39:AM103,ROW()-ROW($AM$106)+1),"")</f>
        <v>0</v>
      </c>
      <c r="AN129">
        <f>IFERROR(SMALL(AN39:AN103,ROW()-ROW($AN$106)+1),"")</f>
        <v>0</v>
      </c>
      <c r="AO129">
        <f>IFERROR(SMALL(AO39:AO103,ROW()-ROW($AO$106)+1),"")</f>
        <v>0</v>
      </c>
      <c r="AP129">
        <f>IFERROR(SMALL(AP39:AP103,ROW()-ROW($AP$106)+1),"")</f>
        <v>0</v>
      </c>
      <c r="AQ129">
        <f>IFERROR(SMALL(AQ39:AQ103,ROW()-ROW($AQ$106)+1),"")</f>
        <v>0</v>
      </c>
      <c r="AR129">
        <f>IFERROR(SMALL(AR39:AR103,ROW()-ROW($AR$106)+1),"")</f>
        <v>0</v>
      </c>
      <c r="AS129">
        <f>IFERROR(SMALL(AS39:AS103,ROW()-ROW($AS$106)+1),"")</f>
        <v>0</v>
      </c>
      <c r="AT129">
        <f>IFERROR(SMALL(AT39:AT103,ROW()-ROW($AT$106)+1),"")</f>
        <v>0</v>
      </c>
      <c r="AU129">
        <f>IFERROR(SMALL(AU39:AU103,ROW()-ROW($AU$106)+1),"")</f>
        <v>0</v>
      </c>
      <c r="AV129">
        <f>IFERROR(SMALL(AV39:AV103,ROW()-ROW($AV$106)+1),"")</f>
        <v>0</v>
      </c>
      <c r="AW129">
        <f>IFERROR(SMALL(AW39:AW103,ROW()-ROW($AW$106)+1),"")</f>
        <v>0</v>
      </c>
      <c r="AX129">
        <f>IFERROR(SMALL(AX39:AX103,ROW()-ROW($AX$106)+1),"")</f>
        <v>0</v>
      </c>
      <c r="AY129">
        <f>IFERROR(SMALL(AY39:AY103,ROW()-ROW($AY$106)+1),"")</f>
        <v>0</v>
      </c>
      <c r="AZ129">
        <f>IFERROR(SMALL(AZ39:AZ103,ROW()-ROW($AZ$106)+1),"")</f>
        <v>0</v>
      </c>
      <c r="BA129">
        <f>IFERROR(SMALL(BA39:BA103,ROW()-ROW($BA$106)+1),"")</f>
        <v>0</v>
      </c>
      <c r="BB129">
        <f>IFERROR(SMALL(BB39:BB103,ROW()-ROW($BB$106)+1),"")</f>
        <v>0</v>
      </c>
      <c r="BC129">
        <f>IFERROR(SMALL(BC39:BC103,ROW()-ROW($BC$106)+1),"")</f>
        <v>0</v>
      </c>
      <c r="BD129">
        <f>IFERROR(SMALL(BD39:BD103,ROW()-ROW($BD$106)+1),"")</f>
        <v>0</v>
      </c>
      <c r="BE129">
        <f>IFERROR(SMALL(BE39:BE103,ROW()-ROW($BE$106)+1),"")</f>
        <v>0</v>
      </c>
      <c r="BF129">
        <f>IFERROR(SMALL(BF39:BF103,ROW()-ROW($BF$106)+1),"")</f>
        <v>0</v>
      </c>
      <c r="BG129">
        <f>IFERROR(SMALL(BG39:BG103,ROW()-ROW($BG$106)+1),"")</f>
        <v>0</v>
      </c>
      <c r="BH129">
        <f>IFERROR(SMALL(BH39:BH103,ROW()-ROW($BH$106)+1),"")</f>
        <v>0</v>
      </c>
      <c r="BI129">
        <f>IFERROR(SMALL(BI39:BI103,ROW()-ROW($BI$106)+1),"")</f>
        <v>0</v>
      </c>
      <c r="BJ129">
        <f>IFERROR(SMALL(BJ39:BJ103,ROW()-ROW($BJ$106)+1),"")</f>
        <v>0</v>
      </c>
      <c r="BK129">
        <f>IFERROR(SMALL(BK39:BK103,ROW()-ROW($BK$106)+1),"")</f>
        <v>0</v>
      </c>
      <c r="BL129">
        <f>IFERROR(SMALL(BL39:BL103,ROW()-ROW($BL$106)+1),"")</f>
        <v>0</v>
      </c>
      <c r="BM129">
        <f>IFERROR(SMALL(BM39:BM103,ROW()-ROW($BM$106)+1),"")</f>
        <v>0</v>
      </c>
      <c r="BN129">
        <f>IFERROR(SMALL(BN39:BN103,ROW()-ROW($BN$106)+1),"")</f>
        <v>0</v>
      </c>
      <c r="BO129">
        <f>IFERROR(SMALL(BO39:BO103,ROW()-ROW($BO$106)+1),"")</f>
        <v>0</v>
      </c>
      <c r="BP129">
        <f>IFERROR(SMALL(BP39:BP103,ROW()-ROW($BP$106)+1),"")</f>
        <v>0</v>
      </c>
      <c r="BS129">
        <f>IFERROR(SMALL(BS39:BS103,ROW()-ROW($BS$106)+1),"")</f>
        <v>0</v>
      </c>
      <c r="BT129">
        <f>IFERROR(SMALL(BT39:BT103,ROW()-ROW($BT$106)+1),"")</f>
        <v>0</v>
      </c>
      <c r="BU129">
        <f>IFERROR(SMALL(BU39:BU103,ROW()-ROW($BU$106)+1),"")</f>
        <v>0</v>
      </c>
      <c r="BV129">
        <f>IFERROR(SMALL(BV39:BV103,ROW()-ROW($BV$106)+1),"")</f>
        <v>0</v>
      </c>
      <c r="BW129">
        <f>IFERROR(SMALL(BW39:BW103,ROW()-ROW($BW$106)+1),"")</f>
        <v>0</v>
      </c>
      <c r="BX129">
        <f>IFERROR(SMALL(BX39:BX103,ROW()-ROW($BX$106)+1),"")</f>
        <v>0</v>
      </c>
      <c r="BY129">
        <f>IFERROR(SMALL(BY39:BY103,ROW()-ROW($BY$106)+1),"")</f>
        <v>0</v>
      </c>
      <c r="BZ129">
        <f>IFERROR(SMALL(BZ39:BZ103,ROW()-ROW($BZ$106)+1),"")</f>
        <v>0</v>
      </c>
      <c r="CA129">
        <f>IFERROR(SMALL(CA39:CA103,ROW()-ROW($CA$106)+1),"")</f>
        <v>0</v>
      </c>
      <c r="CB129">
        <f>IFERROR(SMALL(CB39:CB103,ROW()-ROW($CB$106)+1),"")</f>
        <v>0</v>
      </c>
      <c r="CC129">
        <f>IFERROR(SMALL(CC39:CC103,ROW()-ROW($CC$106)+1),"")</f>
        <v>0</v>
      </c>
      <c r="CD129">
        <f>IFERROR(SMALL(CD39:CD103,ROW()-ROW($CD$106)+1),"")</f>
        <v>0</v>
      </c>
      <c r="CE129">
        <f>IFERROR(SMALL(CE39:CE103,ROW()-ROW($CE$106)+1),"")</f>
        <v>0</v>
      </c>
      <c r="CF129">
        <f>IFERROR(SMALL(CF39:CF103,ROW()-ROW($CF$106)+1),"")</f>
        <v>0</v>
      </c>
      <c r="CG129">
        <f>IFERROR(SMALL(CG39:CG103,ROW()-ROW($CG$106)+1),"")</f>
        <v>0</v>
      </c>
      <c r="CH129">
        <f>IFERROR(SMALL(CH39:CH103,ROW()-ROW($CH$106)+1),"")</f>
        <v>0</v>
      </c>
      <c r="CI129">
        <f>IFERROR(SMALL(CI39:CI103,ROW()-ROW($CI$106)+1),"")</f>
        <v>0</v>
      </c>
      <c r="CJ129">
        <f>IFERROR(SMALL(CJ39:CJ103,ROW()-ROW($CJ$106)+1),"")</f>
        <v>0</v>
      </c>
      <c r="CK129">
        <f>IFERROR(SMALL(CK39:CK103,ROW()-ROW($CK$106)+1),"")</f>
        <v>0</v>
      </c>
      <c r="CL129">
        <f>IFERROR(SMALL(CL39:CL103,ROW()-ROW($CL$106)+1),"")</f>
        <v>0</v>
      </c>
      <c r="CM129">
        <f>IFERROR(SMALL(CM39:CM103,ROW()-ROW($CM$106)+1),"")</f>
        <v>0</v>
      </c>
      <c r="CN129">
        <f>IFERROR(SMALL(CN39:CN103,ROW()-ROW($CN$106)+1),"")</f>
        <v>0</v>
      </c>
      <c r="CO129">
        <f>IFERROR(SMALL(CO39:CO103,ROW()-ROW($CO$106)+1),"")</f>
        <v>0</v>
      </c>
      <c r="CP129">
        <f>IFERROR(SMALL(CP39:CP103,ROW()-ROW($CP$106)+1),"")</f>
        <v>0</v>
      </c>
      <c r="CQ129">
        <f>IFERROR(SMALL(CQ39:CQ103,ROW()-ROW($CQ$106)+1),"")</f>
        <v>0</v>
      </c>
      <c r="CR129">
        <f>IFERROR(SMALL(CR39:CR103,ROW()-ROW($CR$106)+1),"")</f>
        <v>0</v>
      </c>
      <c r="CS129">
        <f>IFERROR(SMALL(CS39:CS103,ROW()-ROW($CS$106)+1),"")</f>
        <v>0</v>
      </c>
      <c r="CT129">
        <f>IFERROR(SMALL(CT39:CT103,ROW()-ROW($CT$106)+1),"")</f>
        <v>0</v>
      </c>
      <c r="CU129">
        <f>IFERROR(SMALL(CU39:CU103,ROW()-ROW($CU$106)+1),"")</f>
        <v>0</v>
      </c>
      <c r="CV129">
        <f>IFERROR(SMALL(CV39:CV103,ROW()-ROW($CV$106)+1),"")</f>
        <v>0</v>
      </c>
      <c r="CW129">
        <f>IFERROR(SMALL(CW39:CW103,ROW()-ROW($CW$106)+1),"")</f>
        <v>0</v>
      </c>
      <c r="CX129">
        <f>IFERROR(SMALL(CX39:CX103,ROW()-ROW($CX$106)+1),"")</f>
        <v>0</v>
      </c>
      <c r="CY129">
        <f>IFERROR(SMALL(CY39:CY103,ROW()-ROW($CY$106)+1),"")</f>
        <v>0</v>
      </c>
      <c r="CZ129">
        <f>IFERROR(SMALL(CZ39:CZ103,ROW()-ROW($CZ$106)+1),"")</f>
        <v>0</v>
      </c>
      <c r="DA129">
        <f>IFERROR(SMALL(DA39:DA103,ROW()-ROW($DA$106)+1),"")</f>
        <v>0</v>
      </c>
      <c r="DB129">
        <f>IFERROR(SMALL(DB39:DB103,ROW()-ROW($DB$106)+1),"")</f>
        <v>0</v>
      </c>
      <c r="DC129">
        <f>IFERROR(SMALL(DC39:DC103,ROW()-ROW($DC$106)+1),"")</f>
        <v>0</v>
      </c>
      <c r="DD129">
        <f>IFERROR(SMALL(DD39:DD103,ROW()-ROW($DD$106)+1),"")</f>
        <v>0</v>
      </c>
      <c r="DE129">
        <f>IFERROR(SMALL(DE39:DE103,ROW()-ROW($DE$106)+1),"")</f>
        <v>0</v>
      </c>
      <c r="DF129">
        <f>IFERROR(SMALL(DF39:DF103,ROW()-ROW($DF$106)+1),"")</f>
        <v>0</v>
      </c>
      <c r="DG129">
        <f>IFERROR(SMALL(DG39:DG103,ROW()-ROW($DG$106)+1),"")</f>
        <v>0</v>
      </c>
      <c r="DH129">
        <f>IFERROR(SMALL(DH39:DH103,ROW()-ROW($DH$106)+1),"")</f>
        <v>0</v>
      </c>
      <c r="DI129">
        <f>IFERROR(SMALL(DI39:DI103,ROW()-ROW($DI$106)+1),"")</f>
        <v>0</v>
      </c>
      <c r="DJ129">
        <f>IFERROR(SMALL(DJ39:DJ103,ROW()-ROW($DJ$106)+1),"")</f>
        <v>0</v>
      </c>
      <c r="DK129">
        <f>IFERROR(SMALL(DK39:DK103,ROW()-ROW($DK$106)+1),"")</f>
        <v>0</v>
      </c>
      <c r="DL129">
        <f>IFERROR(SMALL(DL39:DL103,ROW()-ROW($DL$106)+1),"")</f>
        <v>0</v>
      </c>
      <c r="DM129">
        <f>IFERROR(SMALL(DM39:DM103,ROW()-ROW($DM$106)+1),"")</f>
        <v>0</v>
      </c>
      <c r="DN129">
        <f>IFERROR(SMALL(DN39:DN103,ROW()-ROW($DN$106)+1),"")</f>
        <v>0</v>
      </c>
      <c r="DO129">
        <f>IFERROR(SMALL(DO39:DO103,ROW()-ROW($DO$106)+1),"")</f>
        <v>0</v>
      </c>
      <c r="DP129">
        <f>IFERROR(SMALL(DP39:DP103,ROW()-ROW($DP$106)+1),"")</f>
        <v>0</v>
      </c>
      <c r="DQ129">
        <f>IFERROR(SMALL(DQ39:DQ103,ROW()-ROW($DQ$106)+1),"")</f>
        <v>0</v>
      </c>
      <c r="DR129">
        <f>IFERROR(SMALL(DR39:DR103,ROW()-ROW($DR$106)+1),"")</f>
        <v>0</v>
      </c>
      <c r="DS129">
        <f>IFERROR(SMALL(DS39:DS103,ROW()-ROW($DS$106)+1),"")</f>
        <v>0</v>
      </c>
      <c r="DT129">
        <f>IFERROR(SMALL(DT39:DT103,ROW()-ROW($DT$106)+1),"")</f>
        <v>0</v>
      </c>
      <c r="DU129">
        <f>IFERROR(SMALL(DU39:DU103,ROW()-ROW($DU$106)+1),"")</f>
        <v>0</v>
      </c>
      <c r="DV129">
        <f>IFERROR(SMALL(DV39:DV103,ROW()-ROW($DV$106)+1),"")</f>
        <v>0</v>
      </c>
      <c r="DW129">
        <f>IFERROR(SMALL(DW39:DW103,ROW()-ROW($DW$106)+1),"")</f>
        <v>0</v>
      </c>
      <c r="DX129">
        <f>IFERROR(SMALL(DX39:DX103,ROW()-ROW($DX$106)+1),"")</f>
        <v>0</v>
      </c>
      <c r="DY129">
        <f>IFERROR(SMALL(DY39:DY103,ROW()-ROW($DY$106)+1),"")</f>
        <v>0</v>
      </c>
      <c r="DZ129">
        <f>IFERROR(SMALL(DZ39:DZ103,ROW()-ROW($DZ$106)+1),"")</f>
        <v>0</v>
      </c>
      <c r="EA129">
        <f>IFERROR(SMALL(EA39:EA103,ROW()-ROW($EA$106)+1),"")</f>
        <v>0</v>
      </c>
      <c r="EB129">
        <f>IFERROR(SMALL(EB39:EB103,ROW()-ROW($EB$106)+1),"")</f>
        <v>0</v>
      </c>
      <c r="EC129">
        <f>IFERROR(SMALL(EC39:EC103,ROW()-ROW($EC$106)+1),"")</f>
        <v>0</v>
      </c>
      <c r="ED129">
        <f>IFERROR(SMALL(ED39:ED103,ROW()-ROW($ED$106)+1),"")</f>
        <v>0</v>
      </c>
    </row>
    <row r="130" spans="5:134">
      <c r="E130">
        <f>IFERROR(SMALL(E39:E103,ROW()-ROW($E$106)+1),"")</f>
        <v>0</v>
      </c>
      <c r="F130">
        <f>IFERROR(SMALL(F39:F103,ROW()-ROW($F$106)+1),"")</f>
        <v>0</v>
      </c>
      <c r="G130">
        <f>IFERROR(SMALL(G39:G103,ROW()-ROW($G$106)+1),"")</f>
        <v>0</v>
      </c>
      <c r="H130">
        <f>IFERROR(SMALL(H39:H103,ROW()-ROW($H$106)+1),"")</f>
        <v>0</v>
      </c>
      <c r="I130">
        <f>IFERROR(SMALL(I39:I103,ROW()-ROW($I$106)+1),"")</f>
        <v>0</v>
      </c>
      <c r="J130">
        <f>IFERROR(SMALL(J39:J103,ROW()-ROW($J$106)+1),"")</f>
        <v>0</v>
      </c>
      <c r="K130">
        <f>IFERROR(SMALL(K39:K103,ROW()-ROW($K$106)+1),"")</f>
        <v>0</v>
      </c>
      <c r="L130">
        <f>IFERROR(SMALL(L39:L103,ROW()-ROW($L$106)+1),"")</f>
        <v>0</v>
      </c>
      <c r="M130">
        <f>IFERROR(SMALL(M39:M103,ROW()-ROW($M$106)+1),"")</f>
        <v>0</v>
      </c>
      <c r="N130">
        <f>IFERROR(SMALL(N39:N103,ROW()-ROW($N$106)+1),"")</f>
        <v>0</v>
      </c>
      <c r="O130">
        <f>IFERROR(SMALL(O39:O103,ROW()-ROW($O$106)+1),"")</f>
        <v>0</v>
      </c>
      <c r="P130">
        <f>IFERROR(SMALL(P39:P103,ROW()-ROW($P$106)+1),"")</f>
        <v>0</v>
      </c>
      <c r="Q130">
        <f>IFERROR(SMALL(Q39:Q103,ROW()-ROW($Q$106)+1),"")</f>
        <v>0</v>
      </c>
      <c r="R130">
        <f>IFERROR(SMALL(R39:R103,ROW()-ROW($R$106)+1),"")</f>
        <v>0</v>
      </c>
      <c r="S130">
        <f>IFERROR(SMALL(S39:S103,ROW()-ROW($S$106)+1),"")</f>
        <v>0</v>
      </c>
      <c r="T130">
        <f>IFERROR(SMALL(T39:T103,ROW()-ROW($T$106)+1),"")</f>
        <v>0</v>
      </c>
      <c r="U130">
        <f>IFERROR(SMALL(U39:U103,ROW()-ROW($U$106)+1),"")</f>
        <v>0</v>
      </c>
      <c r="V130">
        <f>IFERROR(SMALL(V39:V103,ROW()-ROW($V$106)+1),"")</f>
        <v>0</v>
      </c>
      <c r="W130">
        <f>IFERROR(SMALL(W39:W103,ROW()-ROW($W$106)+1),"")</f>
        <v>0</v>
      </c>
      <c r="X130">
        <f>IFERROR(SMALL(X39:X103,ROW()-ROW($X$106)+1),"")</f>
        <v>0</v>
      </c>
      <c r="Y130">
        <f>IFERROR(SMALL(Y39:Y103,ROW()-ROW($Y$106)+1),"")</f>
        <v>0</v>
      </c>
      <c r="Z130">
        <f>IFERROR(SMALL(Z39:Z103,ROW()-ROW($Z$106)+1),"")</f>
        <v>0</v>
      </c>
      <c r="AA130">
        <f>IFERROR(SMALL(AA39:AA103,ROW()-ROW($AA$106)+1),"")</f>
        <v>0</v>
      </c>
      <c r="AB130">
        <f>IFERROR(SMALL(AB39:AB103,ROW()-ROW($AB$106)+1),"")</f>
        <v>0</v>
      </c>
      <c r="AC130">
        <f>IFERROR(SMALL(AC39:AC103,ROW()-ROW($AC$106)+1),"")</f>
        <v>0</v>
      </c>
      <c r="AD130">
        <f>IFERROR(SMALL(AD39:AD103,ROW()-ROW($AD$106)+1),"")</f>
        <v>0</v>
      </c>
      <c r="AE130">
        <f>IFERROR(SMALL(AE39:AE103,ROW()-ROW($AE$106)+1),"")</f>
        <v>0</v>
      </c>
      <c r="AF130">
        <f>IFERROR(SMALL(AF39:AF103,ROW()-ROW($AF$106)+1),"")</f>
        <v>0</v>
      </c>
      <c r="AG130">
        <f>IFERROR(SMALL(AG39:AG103,ROW()-ROW($AG$106)+1),"")</f>
        <v>0</v>
      </c>
      <c r="AH130">
        <f>IFERROR(SMALL(AH39:AH103,ROW()-ROW($AH$106)+1),"")</f>
        <v>0</v>
      </c>
      <c r="AI130">
        <f>IFERROR(SMALL(AI39:AI103,ROW()-ROW($AI$106)+1),"")</f>
        <v>0</v>
      </c>
      <c r="AJ130">
        <f>IFERROR(SMALL(AJ39:AJ103,ROW()-ROW($AJ$106)+1),"")</f>
        <v>0</v>
      </c>
      <c r="AK130">
        <f>IFERROR(SMALL(AK39:AK103,ROW()-ROW($AK$106)+1),"")</f>
        <v>0</v>
      </c>
      <c r="AL130">
        <f>IFERROR(SMALL(AL39:AL103,ROW()-ROW($AL$106)+1),"")</f>
        <v>0</v>
      </c>
      <c r="AM130">
        <f>IFERROR(SMALL(AM39:AM103,ROW()-ROW($AM$106)+1),"")</f>
        <v>0</v>
      </c>
      <c r="AN130">
        <f>IFERROR(SMALL(AN39:AN103,ROW()-ROW($AN$106)+1),"")</f>
        <v>0</v>
      </c>
      <c r="AO130">
        <f>IFERROR(SMALL(AO39:AO103,ROW()-ROW($AO$106)+1),"")</f>
        <v>0</v>
      </c>
      <c r="AP130">
        <f>IFERROR(SMALL(AP39:AP103,ROW()-ROW($AP$106)+1),"")</f>
        <v>0</v>
      </c>
      <c r="AQ130">
        <f>IFERROR(SMALL(AQ39:AQ103,ROW()-ROW($AQ$106)+1),"")</f>
        <v>0</v>
      </c>
      <c r="AR130">
        <f>IFERROR(SMALL(AR39:AR103,ROW()-ROW($AR$106)+1),"")</f>
        <v>0</v>
      </c>
      <c r="AS130">
        <f>IFERROR(SMALL(AS39:AS103,ROW()-ROW($AS$106)+1),"")</f>
        <v>0</v>
      </c>
      <c r="AT130">
        <f>IFERROR(SMALL(AT39:AT103,ROW()-ROW($AT$106)+1),"")</f>
        <v>0</v>
      </c>
      <c r="AU130">
        <f>IFERROR(SMALL(AU39:AU103,ROW()-ROW($AU$106)+1),"")</f>
        <v>0</v>
      </c>
      <c r="AV130">
        <f>IFERROR(SMALL(AV39:AV103,ROW()-ROW($AV$106)+1),"")</f>
        <v>0</v>
      </c>
      <c r="AW130">
        <f>IFERROR(SMALL(AW39:AW103,ROW()-ROW($AW$106)+1),"")</f>
        <v>0</v>
      </c>
      <c r="AX130">
        <f>IFERROR(SMALL(AX39:AX103,ROW()-ROW($AX$106)+1),"")</f>
        <v>0</v>
      </c>
      <c r="AY130">
        <f>IFERROR(SMALL(AY39:AY103,ROW()-ROW($AY$106)+1),"")</f>
        <v>0</v>
      </c>
      <c r="AZ130">
        <f>IFERROR(SMALL(AZ39:AZ103,ROW()-ROW($AZ$106)+1),"")</f>
        <v>0</v>
      </c>
      <c r="BA130">
        <f>IFERROR(SMALL(BA39:BA103,ROW()-ROW($BA$106)+1),"")</f>
        <v>0</v>
      </c>
      <c r="BB130">
        <f>IFERROR(SMALL(BB39:BB103,ROW()-ROW($BB$106)+1),"")</f>
        <v>0</v>
      </c>
      <c r="BC130">
        <f>IFERROR(SMALL(BC39:BC103,ROW()-ROW($BC$106)+1),"")</f>
        <v>0</v>
      </c>
      <c r="BD130">
        <f>IFERROR(SMALL(BD39:BD103,ROW()-ROW($BD$106)+1),"")</f>
        <v>0</v>
      </c>
      <c r="BE130">
        <f>IFERROR(SMALL(BE39:BE103,ROW()-ROW($BE$106)+1),"")</f>
        <v>0</v>
      </c>
      <c r="BF130">
        <f>IFERROR(SMALL(BF39:BF103,ROW()-ROW($BF$106)+1),"")</f>
        <v>0</v>
      </c>
      <c r="BG130">
        <f>IFERROR(SMALL(BG39:BG103,ROW()-ROW($BG$106)+1),"")</f>
        <v>0</v>
      </c>
      <c r="BH130">
        <f>IFERROR(SMALL(BH39:BH103,ROW()-ROW($BH$106)+1),"")</f>
        <v>0</v>
      </c>
      <c r="BI130">
        <f>IFERROR(SMALL(BI39:BI103,ROW()-ROW($BI$106)+1),"")</f>
        <v>0</v>
      </c>
      <c r="BJ130">
        <f>IFERROR(SMALL(BJ39:BJ103,ROW()-ROW($BJ$106)+1),"")</f>
        <v>0</v>
      </c>
      <c r="BK130">
        <f>IFERROR(SMALL(BK39:BK103,ROW()-ROW($BK$106)+1),"")</f>
        <v>0</v>
      </c>
      <c r="BL130">
        <f>IFERROR(SMALL(BL39:BL103,ROW()-ROW($BL$106)+1),"")</f>
        <v>0</v>
      </c>
      <c r="BM130">
        <f>IFERROR(SMALL(BM39:BM103,ROW()-ROW($BM$106)+1),"")</f>
        <v>0</v>
      </c>
      <c r="BN130">
        <f>IFERROR(SMALL(BN39:BN103,ROW()-ROW($BN$106)+1),"")</f>
        <v>0</v>
      </c>
      <c r="BO130">
        <f>IFERROR(SMALL(BO39:BO103,ROW()-ROW($BO$106)+1),"")</f>
        <v>0</v>
      </c>
      <c r="BP130">
        <f>IFERROR(SMALL(BP39:BP103,ROW()-ROW($BP$106)+1),"")</f>
        <v>0</v>
      </c>
      <c r="BS130">
        <f>IFERROR(SMALL(BS39:BS103,ROW()-ROW($BS$106)+1),"")</f>
        <v>0</v>
      </c>
      <c r="BT130">
        <f>IFERROR(SMALL(BT39:BT103,ROW()-ROW($BT$106)+1),"")</f>
        <v>0</v>
      </c>
      <c r="BU130">
        <f>IFERROR(SMALL(BU39:BU103,ROW()-ROW($BU$106)+1),"")</f>
        <v>0</v>
      </c>
      <c r="BV130">
        <f>IFERROR(SMALL(BV39:BV103,ROW()-ROW($BV$106)+1),"")</f>
        <v>0</v>
      </c>
      <c r="BW130">
        <f>IFERROR(SMALL(BW39:BW103,ROW()-ROW($BW$106)+1),"")</f>
        <v>0</v>
      </c>
      <c r="BX130">
        <f>IFERROR(SMALL(BX39:BX103,ROW()-ROW($BX$106)+1),"")</f>
        <v>0</v>
      </c>
      <c r="BY130">
        <f>IFERROR(SMALL(BY39:BY103,ROW()-ROW($BY$106)+1),"")</f>
        <v>0</v>
      </c>
      <c r="BZ130">
        <f>IFERROR(SMALL(BZ39:BZ103,ROW()-ROW($BZ$106)+1),"")</f>
        <v>0</v>
      </c>
      <c r="CA130">
        <f>IFERROR(SMALL(CA39:CA103,ROW()-ROW($CA$106)+1),"")</f>
        <v>0</v>
      </c>
      <c r="CB130">
        <f>IFERROR(SMALL(CB39:CB103,ROW()-ROW($CB$106)+1),"")</f>
        <v>0</v>
      </c>
      <c r="CC130">
        <f>IFERROR(SMALL(CC39:CC103,ROW()-ROW($CC$106)+1),"")</f>
        <v>0</v>
      </c>
      <c r="CD130">
        <f>IFERROR(SMALL(CD39:CD103,ROW()-ROW($CD$106)+1),"")</f>
        <v>0</v>
      </c>
      <c r="CE130">
        <f>IFERROR(SMALL(CE39:CE103,ROW()-ROW($CE$106)+1),"")</f>
        <v>0</v>
      </c>
      <c r="CF130">
        <f>IFERROR(SMALL(CF39:CF103,ROW()-ROW($CF$106)+1),"")</f>
        <v>0</v>
      </c>
      <c r="CG130">
        <f>IFERROR(SMALL(CG39:CG103,ROW()-ROW($CG$106)+1),"")</f>
        <v>0</v>
      </c>
      <c r="CH130">
        <f>IFERROR(SMALL(CH39:CH103,ROW()-ROW($CH$106)+1),"")</f>
        <v>0</v>
      </c>
      <c r="CI130">
        <f>IFERROR(SMALL(CI39:CI103,ROW()-ROW($CI$106)+1),"")</f>
        <v>0</v>
      </c>
      <c r="CJ130">
        <f>IFERROR(SMALL(CJ39:CJ103,ROW()-ROW($CJ$106)+1),"")</f>
        <v>0</v>
      </c>
      <c r="CK130">
        <f>IFERROR(SMALL(CK39:CK103,ROW()-ROW($CK$106)+1),"")</f>
        <v>0</v>
      </c>
      <c r="CL130">
        <f>IFERROR(SMALL(CL39:CL103,ROW()-ROW($CL$106)+1),"")</f>
        <v>0</v>
      </c>
      <c r="CM130">
        <f>IFERROR(SMALL(CM39:CM103,ROW()-ROW($CM$106)+1),"")</f>
        <v>0</v>
      </c>
      <c r="CN130">
        <f>IFERROR(SMALL(CN39:CN103,ROW()-ROW($CN$106)+1),"")</f>
        <v>0</v>
      </c>
      <c r="CO130">
        <f>IFERROR(SMALL(CO39:CO103,ROW()-ROW($CO$106)+1),"")</f>
        <v>0</v>
      </c>
      <c r="CP130">
        <f>IFERROR(SMALL(CP39:CP103,ROW()-ROW($CP$106)+1),"")</f>
        <v>0</v>
      </c>
      <c r="CQ130">
        <f>IFERROR(SMALL(CQ39:CQ103,ROW()-ROW($CQ$106)+1),"")</f>
        <v>0</v>
      </c>
      <c r="CR130">
        <f>IFERROR(SMALL(CR39:CR103,ROW()-ROW($CR$106)+1),"")</f>
        <v>0</v>
      </c>
      <c r="CS130">
        <f>IFERROR(SMALL(CS39:CS103,ROW()-ROW($CS$106)+1),"")</f>
        <v>0</v>
      </c>
      <c r="CT130">
        <f>IFERROR(SMALL(CT39:CT103,ROW()-ROW($CT$106)+1),"")</f>
        <v>0</v>
      </c>
      <c r="CU130">
        <f>IFERROR(SMALL(CU39:CU103,ROW()-ROW($CU$106)+1),"")</f>
        <v>0</v>
      </c>
      <c r="CV130">
        <f>IFERROR(SMALL(CV39:CV103,ROW()-ROW($CV$106)+1),"")</f>
        <v>0</v>
      </c>
      <c r="CW130">
        <f>IFERROR(SMALL(CW39:CW103,ROW()-ROW($CW$106)+1),"")</f>
        <v>0</v>
      </c>
      <c r="CX130">
        <f>IFERROR(SMALL(CX39:CX103,ROW()-ROW($CX$106)+1),"")</f>
        <v>0</v>
      </c>
      <c r="CY130">
        <f>IFERROR(SMALL(CY39:CY103,ROW()-ROW($CY$106)+1),"")</f>
        <v>0</v>
      </c>
      <c r="CZ130">
        <f>IFERROR(SMALL(CZ39:CZ103,ROW()-ROW($CZ$106)+1),"")</f>
        <v>0</v>
      </c>
      <c r="DA130">
        <f>IFERROR(SMALL(DA39:DA103,ROW()-ROW($DA$106)+1),"")</f>
        <v>0</v>
      </c>
      <c r="DB130">
        <f>IFERROR(SMALL(DB39:DB103,ROW()-ROW($DB$106)+1),"")</f>
        <v>0</v>
      </c>
      <c r="DC130">
        <f>IFERROR(SMALL(DC39:DC103,ROW()-ROW($DC$106)+1),"")</f>
        <v>0</v>
      </c>
      <c r="DD130">
        <f>IFERROR(SMALL(DD39:DD103,ROW()-ROW($DD$106)+1),"")</f>
        <v>0</v>
      </c>
      <c r="DE130">
        <f>IFERROR(SMALL(DE39:DE103,ROW()-ROW($DE$106)+1),"")</f>
        <v>0</v>
      </c>
      <c r="DF130">
        <f>IFERROR(SMALL(DF39:DF103,ROW()-ROW($DF$106)+1),"")</f>
        <v>0</v>
      </c>
      <c r="DG130">
        <f>IFERROR(SMALL(DG39:DG103,ROW()-ROW($DG$106)+1),"")</f>
        <v>0</v>
      </c>
      <c r="DH130">
        <f>IFERROR(SMALL(DH39:DH103,ROW()-ROW($DH$106)+1),"")</f>
        <v>0</v>
      </c>
      <c r="DI130">
        <f>IFERROR(SMALL(DI39:DI103,ROW()-ROW($DI$106)+1),"")</f>
        <v>0</v>
      </c>
      <c r="DJ130">
        <f>IFERROR(SMALL(DJ39:DJ103,ROW()-ROW($DJ$106)+1),"")</f>
        <v>0</v>
      </c>
      <c r="DK130">
        <f>IFERROR(SMALL(DK39:DK103,ROW()-ROW($DK$106)+1),"")</f>
        <v>0</v>
      </c>
      <c r="DL130">
        <f>IFERROR(SMALL(DL39:DL103,ROW()-ROW($DL$106)+1),"")</f>
        <v>0</v>
      </c>
      <c r="DM130">
        <f>IFERROR(SMALL(DM39:DM103,ROW()-ROW($DM$106)+1),"")</f>
        <v>0</v>
      </c>
      <c r="DN130">
        <f>IFERROR(SMALL(DN39:DN103,ROW()-ROW($DN$106)+1),"")</f>
        <v>0</v>
      </c>
      <c r="DO130">
        <f>IFERROR(SMALL(DO39:DO103,ROW()-ROW($DO$106)+1),"")</f>
        <v>0</v>
      </c>
      <c r="DP130">
        <f>IFERROR(SMALL(DP39:DP103,ROW()-ROW($DP$106)+1),"")</f>
        <v>0</v>
      </c>
      <c r="DQ130">
        <f>IFERROR(SMALL(DQ39:DQ103,ROW()-ROW($DQ$106)+1),"")</f>
        <v>0</v>
      </c>
      <c r="DR130">
        <f>IFERROR(SMALL(DR39:DR103,ROW()-ROW($DR$106)+1),"")</f>
        <v>0</v>
      </c>
      <c r="DS130">
        <f>IFERROR(SMALL(DS39:DS103,ROW()-ROW($DS$106)+1),"")</f>
        <v>0</v>
      </c>
      <c r="DT130">
        <f>IFERROR(SMALL(DT39:DT103,ROW()-ROW($DT$106)+1),"")</f>
        <v>0</v>
      </c>
      <c r="DU130">
        <f>IFERROR(SMALL(DU39:DU103,ROW()-ROW($DU$106)+1),"")</f>
        <v>0</v>
      </c>
      <c r="DV130">
        <f>IFERROR(SMALL(DV39:DV103,ROW()-ROW($DV$106)+1),"")</f>
        <v>0</v>
      </c>
      <c r="DW130">
        <f>IFERROR(SMALL(DW39:DW103,ROW()-ROW($DW$106)+1),"")</f>
        <v>0</v>
      </c>
      <c r="DX130">
        <f>IFERROR(SMALL(DX39:DX103,ROW()-ROW($DX$106)+1),"")</f>
        <v>0</v>
      </c>
      <c r="DY130">
        <f>IFERROR(SMALL(DY39:DY103,ROW()-ROW($DY$106)+1),"")</f>
        <v>0</v>
      </c>
      <c r="DZ130">
        <f>IFERROR(SMALL(DZ39:DZ103,ROW()-ROW($DZ$106)+1),"")</f>
        <v>0</v>
      </c>
      <c r="EA130">
        <f>IFERROR(SMALL(EA39:EA103,ROW()-ROW($EA$106)+1),"")</f>
        <v>0</v>
      </c>
      <c r="EB130">
        <f>IFERROR(SMALL(EB39:EB103,ROW()-ROW($EB$106)+1),"")</f>
        <v>0</v>
      </c>
      <c r="EC130">
        <f>IFERROR(SMALL(EC39:EC103,ROW()-ROW($EC$106)+1),"")</f>
        <v>0</v>
      </c>
      <c r="ED130">
        <f>IFERROR(SMALL(ED39:ED103,ROW()-ROW($ED$106)+1),"")</f>
        <v>0</v>
      </c>
    </row>
    <row r="131" spans="5:134">
      <c r="E131">
        <f>IFERROR(SMALL(E39:E103,ROW()-ROW($E$106)+1),"")</f>
        <v>0</v>
      </c>
      <c r="F131">
        <f>IFERROR(SMALL(F39:F103,ROW()-ROW($F$106)+1),"")</f>
        <v>0</v>
      </c>
      <c r="G131">
        <f>IFERROR(SMALL(G39:G103,ROW()-ROW($G$106)+1),"")</f>
        <v>0</v>
      </c>
      <c r="H131">
        <f>IFERROR(SMALL(H39:H103,ROW()-ROW($H$106)+1),"")</f>
        <v>0</v>
      </c>
      <c r="I131">
        <f>IFERROR(SMALL(I39:I103,ROW()-ROW($I$106)+1),"")</f>
        <v>0</v>
      </c>
      <c r="J131">
        <f>IFERROR(SMALL(J39:J103,ROW()-ROW($J$106)+1),"")</f>
        <v>0</v>
      </c>
      <c r="K131">
        <f>IFERROR(SMALL(K39:K103,ROW()-ROW($K$106)+1),"")</f>
        <v>0</v>
      </c>
      <c r="L131">
        <f>IFERROR(SMALL(L39:L103,ROW()-ROW($L$106)+1),"")</f>
        <v>0</v>
      </c>
      <c r="M131">
        <f>IFERROR(SMALL(M39:M103,ROW()-ROW($M$106)+1),"")</f>
        <v>0</v>
      </c>
      <c r="N131">
        <f>IFERROR(SMALL(N39:N103,ROW()-ROW($N$106)+1),"")</f>
        <v>0</v>
      </c>
      <c r="O131">
        <f>IFERROR(SMALL(O39:O103,ROW()-ROW($O$106)+1),"")</f>
        <v>0</v>
      </c>
      <c r="P131">
        <f>IFERROR(SMALL(P39:P103,ROW()-ROW($P$106)+1),"")</f>
        <v>0</v>
      </c>
      <c r="Q131">
        <f>IFERROR(SMALL(Q39:Q103,ROW()-ROW($Q$106)+1),"")</f>
        <v>0</v>
      </c>
      <c r="R131">
        <f>IFERROR(SMALL(R39:R103,ROW()-ROW($R$106)+1),"")</f>
        <v>0</v>
      </c>
      <c r="S131">
        <f>IFERROR(SMALL(S39:S103,ROW()-ROW($S$106)+1),"")</f>
        <v>0</v>
      </c>
      <c r="T131">
        <f>IFERROR(SMALL(T39:T103,ROW()-ROW($T$106)+1),"")</f>
        <v>0</v>
      </c>
      <c r="U131">
        <f>IFERROR(SMALL(U39:U103,ROW()-ROW($U$106)+1),"")</f>
        <v>0</v>
      </c>
      <c r="V131">
        <f>IFERROR(SMALL(V39:V103,ROW()-ROW($V$106)+1),"")</f>
        <v>0</v>
      </c>
      <c r="W131">
        <f>IFERROR(SMALL(W39:W103,ROW()-ROW($W$106)+1),"")</f>
        <v>0</v>
      </c>
      <c r="X131">
        <f>IFERROR(SMALL(X39:X103,ROW()-ROW($X$106)+1),"")</f>
        <v>0</v>
      </c>
      <c r="Y131">
        <f>IFERROR(SMALL(Y39:Y103,ROW()-ROW($Y$106)+1),"")</f>
        <v>0</v>
      </c>
      <c r="Z131">
        <f>IFERROR(SMALL(Z39:Z103,ROW()-ROW($Z$106)+1),"")</f>
        <v>0</v>
      </c>
      <c r="AA131">
        <f>IFERROR(SMALL(AA39:AA103,ROW()-ROW($AA$106)+1),"")</f>
        <v>0</v>
      </c>
      <c r="AB131">
        <f>IFERROR(SMALL(AB39:AB103,ROW()-ROW($AB$106)+1),"")</f>
        <v>0</v>
      </c>
      <c r="AC131">
        <f>IFERROR(SMALL(AC39:AC103,ROW()-ROW($AC$106)+1),"")</f>
        <v>0</v>
      </c>
      <c r="AD131">
        <f>IFERROR(SMALL(AD39:AD103,ROW()-ROW($AD$106)+1),"")</f>
        <v>0</v>
      </c>
      <c r="AE131">
        <f>IFERROR(SMALL(AE39:AE103,ROW()-ROW($AE$106)+1),"")</f>
        <v>0</v>
      </c>
      <c r="AF131">
        <f>IFERROR(SMALL(AF39:AF103,ROW()-ROW($AF$106)+1),"")</f>
        <v>0</v>
      </c>
      <c r="AG131">
        <f>IFERROR(SMALL(AG39:AG103,ROW()-ROW($AG$106)+1),"")</f>
        <v>0</v>
      </c>
      <c r="AH131">
        <f>IFERROR(SMALL(AH39:AH103,ROW()-ROW($AH$106)+1),"")</f>
        <v>0</v>
      </c>
      <c r="AI131">
        <f>IFERROR(SMALL(AI39:AI103,ROW()-ROW($AI$106)+1),"")</f>
        <v>0</v>
      </c>
      <c r="AJ131">
        <f>IFERROR(SMALL(AJ39:AJ103,ROW()-ROW($AJ$106)+1),"")</f>
        <v>0</v>
      </c>
      <c r="AK131">
        <f>IFERROR(SMALL(AK39:AK103,ROW()-ROW($AK$106)+1),"")</f>
        <v>0</v>
      </c>
      <c r="AL131">
        <f>IFERROR(SMALL(AL39:AL103,ROW()-ROW($AL$106)+1),"")</f>
        <v>0</v>
      </c>
      <c r="AM131">
        <f>IFERROR(SMALL(AM39:AM103,ROW()-ROW($AM$106)+1),"")</f>
        <v>0</v>
      </c>
      <c r="AN131">
        <f>IFERROR(SMALL(AN39:AN103,ROW()-ROW($AN$106)+1),"")</f>
        <v>0</v>
      </c>
      <c r="AO131">
        <f>IFERROR(SMALL(AO39:AO103,ROW()-ROW($AO$106)+1),"")</f>
        <v>0</v>
      </c>
      <c r="AP131">
        <f>IFERROR(SMALL(AP39:AP103,ROW()-ROW($AP$106)+1),"")</f>
        <v>0</v>
      </c>
      <c r="AQ131">
        <f>IFERROR(SMALL(AQ39:AQ103,ROW()-ROW($AQ$106)+1),"")</f>
        <v>0</v>
      </c>
      <c r="AR131">
        <f>IFERROR(SMALL(AR39:AR103,ROW()-ROW($AR$106)+1),"")</f>
        <v>0</v>
      </c>
      <c r="AS131">
        <f>IFERROR(SMALL(AS39:AS103,ROW()-ROW($AS$106)+1),"")</f>
        <v>0</v>
      </c>
      <c r="AT131">
        <f>IFERROR(SMALL(AT39:AT103,ROW()-ROW($AT$106)+1),"")</f>
        <v>0</v>
      </c>
      <c r="AU131">
        <f>IFERROR(SMALL(AU39:AU103,ROW()-ROW($AU$106)+1),"")</f>
        <v>0</v>
      </c>
      <c r="AV131">
        <f>IFERROR(SMALL(AV39:AV103,ROW()-ROW($AV$106)+1),"")</f>
        <v>0</v>
      </c>
      <c r="AW131">
        <f>IFERROR(SMALL(AW39:AW103,ROW()-ROW($AW$106)+1),"")</f>
        <v>0</v>
      </c>
      <c r="AX131">
        <f>IFERROR(SMALL(AX39:AX103,ROW()-ROW($AX$106)+1),"")</f>
        <v>0</v>
      </c>
      <c r="AY131">
        <f>IFERROR(SMALL(AY39:AY103,ROW()-ROW($AY$106)+1),"")</f>
        <v>0</v>
      </c>
      <c r="AZ131">
        <f>IFERROR(SMALL(AZ39:AZ103,ROW()-ROW($AZ$106)+1),"")</f>
        <v>0</v>
      </c>
      <c r="BA131">
        <f>IFERROR(SMALL(BA39:BA103,ROW()-ROW($BA$106)+1),"")</f>
        <v>0</v>
      </c>
      <c r="BB131">
        <f>IFERROR(SMALL(BB39:BB103,ROW()-ROW($BB$106)+1),"")</f>
        <v>0</v>
      </c>
      <c r="BC131">
        <f>IFERROR(SMALL(BC39:BC103,ROW()-ROW($BC$106)+1),"")</f>
        <v>0</v>
      </c>
      <c r="BD131">
        <f>IFERROR(SMALL(BD39:BD103,ROW()-ROW($BD$106)+1),"")</f>
        <v>0</v>
      </c>
      <c r="BE131">
        <f>IFERROR(SMALL(BE39:BE103,ROW()-ROW($BE$106)+1),"")</f>
        <v>0</v>
      </c>
      <c r="BF131">
        <f>IFERROR(SMALL(BF39:BF103,ROW()-ROW($BF$106)+1),"")</f>
        <v>0</v>
      </c>
      <c r="BG131">
        <f>IFERROR(SMALL(BG39:BG103,ROW()-ROW($BG$106)+1),"")</f>
        <v>0</v>
      </c>
      <c r="BH131">
        <f>IFERROR(SMALL(BH39:BH103,ROW()-ROW($BH$106)+1),"")</f>
        <v>0</v>
      </c>
      <c r="BI131">
        <f>IFERROR(SMALL(BI39:BI103,ROW()-ROW($BI$106)+1),"")</f>
        <v>0</v>
      </c>
      <c r="BJ131">
        <f>IFERROR(SMALL(BJ39:BJ103,ROW()-ROW($BJ$106)+1),"")</f>
        <v>0</v>
      </c>
      <c r="BK131">
        <f>IFERROR(SMALL(BK39:BK103,ROW()-ROW($BK$106)+1),"")</f>
        <v>0</v>
      </c>
      <c r="BL131">
        <f>IFERROR(SMALL(BL39:BL103,ROW()-ROW($BL$106)+1),"")</f>
        <v>0</v>
      </c>
      <c r="BM131">
        <f>IFERROR(SMALL(BM39:BM103,ROW()-ROW($BM$106)+1),"")</f>
        <v>0</v>
      </c>
      <c r="BN131">
        <f>IFERROR(SMALL(BN39:BN103,ROW()-ROW($BN$106)+1),"")</f>
        <v>0</v>
      </c>
      <c r="BO131">
        <f>IFERROR(SMALL(BO39:BO103,ROW()-ROW($BO$106)+1),"")</f>
        <v>0</v>
      </c>
      <c r="BP131">
        <f>IFERROR(SMALL(BP39:BP103,ROW()-ROW($BP$106)+1),"")</f>
        <v>0</v>
      </c>
      <c r="BS131">
        <f>IFERROR(SMALL(BS39:BS103,ROW()-ROW($BS$106)+1),"")</f>
        <v>0</v>
      </c>
      <c r="BT131">
        <f>IFERROR(SMALL(BT39:BT103,ROW()-ROW($BT$106)+1),"")</f>
        <v>0</v>
      </c>
      <c r="BU131">
        <f>IFERROR(SMALL(BU39:BU103,ROW()-ROW($BU$106)+1),"")</f>
        <v>0</v>
      </c>
      <c r="BV131">
        <f>IFERROR(SMALL(BV39:BV103,ROW()-ROW($BV$106)+1),"")</f>
        <v>0</v>
      </c>
      <c r="BW131">
        <f>IFERROR(SMALL(BW39:BW103,ROW()-ROW($BW$106)+1),"")</f>
        <v>0</v>
      </c>
      <c r="BX131">
        <f>IFERROR(SMALL(BX39:BX103,ROW()-ROW($BX$106)+1),"")</f>
        <v>0</v>
      </c>
      <c r="BY131">
        <f>IFERROR(SMALL(BY39:BY103,ROW()-ROW($BY$106)+1),"")</f>
        <v>0</v>
      </c>
      <c r="BZ131">
        <f>IFERROR(SMALL(BZ39:BZ103,ROW()-ROW($BZ$106)+1),"")</f>
        <v>0</v>
      </c>
      <c r="CA131">
        <f>IFERROR(SMALL(CA39:CA103,ROW()-ROW($CA$106)+1),"")</f>
        <v>0</v>
      </c>
      <c r="CB131">
        <f>IFERROR(SMALL(CB39:CB103,ROW()-ROW($CB$106)+1),"")</f>
        <v>0</v>
      </c>
      <c r="CC131">
        <f>IFERROR(SMALL(CC39:CC103,ROW()-ROW($CC$106)+1),"")</f>
        <v>0</v>
      </c>
      <c r="CD131">
        <f>IFERROR(SMALL(CD39:CD103,ROW()-ROW($CD$106)+1),"")</f>
        <v>0</v>
      </c>
      <c r="CE131">
        <f>IFERROR(SMALL(CE39:CE103,ROW()-ROW($CE$106)+1),"")</f>
        <v>0</v>
      </c>
      <c r="CF131">
        <f>IFERROR(SMALL(CF39:CF103,ROW()-ROW($CF$106)+1),"")</f>
        <v>0</v>
      </c>
      <c r="CG131">
        <f>IFERROR(SMALL(CG39:CG103,ROW()-ROW($CG$106)+1),"")</f>
        <v>0</v>
      </c>
      <c r="CH131">
        <f>IFERROR(SMALL(CH39:CH103,ROW()-ROW($CH$106)+1),"")</f>
        <v>0</v>
      </c>
      <c r="CI131">
        <f>IFERROR(SMALL(CI39:CI103,ROW()-ROW($CI$106)+1),"")</f>
        <v>0</v>
      </c>
      <c r="CJ131">
        <f>IFERROR(SMALL(CJ39:CJ103,ROW()-ROW($CJ$106)+1),"")</f>
        <v>0</v>
      </c>
      <c r="CK131">
        <f>IFERROR(SMALL(CK39:CK103,ROW()-ROW($CK$106)+1),"")</f>
        <v>0</v>
      </c>
      <c r="CL131">
        <f>IFERROR(SMALL(CL39:CL103,ROW()-ROW($CL$106)+1),"")</f>
        <v>0</v>
      </c>
      <c r="CM131">
        <f>IFERROR(SMALL(CM39:CM103,ROW()-ROW($CM$106)+1),"")</f>
        <v>0</v>
      </c>
      <c r="CN131">
        <f>IFERROR(SMALL(CN39:CN103,ROW()-ROW($CN$106)+1),"")</f>
        <v>0</v>
      </c>
      <c r="CO131">
        <f>IFERROR(SMALL(CO39:CO103,ROW()-ROW($CO$106)+1),"")</f>
        <v>0</v>
      </c>
      <c r="CP131">
        <f>IFERROR(SMALL(CP39:CP103,ROW()-ROW($CP$106)+1),"")</f>
        <v>0</v>
      </c>
      <c r="CQ131">
        <f>IFERROR(SMALL(CQ39:CQ103,ROW()-ROW($CQ$106)+1),"")</f>
        <v>0</v>
      </c>
      <c r="CR131">
        <f>IFERROR(SMALL(CR39:CR103,ROW()-ROW($CR$106)+1),"")</f>
        <v>0</v>
      </c>
      <c r="CS131">
        <f>IFERROR(SMALL(CS39:CS103,ROW()-ROW($CS$106)+1),"")</f>
        <v>0</v>
      </c>
      <c r="CT131">
        <f>IFERROR(SMALL(CT39:CT103,ROW()-ROW($CT$106)+1),"")</f>
        <v>0</v>
      </c>
      <c r="CU131">
        <f>IFERROR(SMALL(CU39:CU103,ROW()-ROW($CU$106)+1),"")</f>
        <v>0</v>
      </c>
      <c r="CV131">
        <f>IFERROR(SMALL(CV39:CV103,ROW()-ROW($CV$106)+1),"")</f>
        <v>0</v>
      </c>
      <c r="CW131">
        <f>IFERROR(SMALL(CW39:CW103,ROW()-ROW($CW$106)+1),"")</f>
        <v>0</v>
      </c>
      <c r="CX131">
        <f>IFERROR(SMALL(CX39:CX103,ROW()-ROW($CX$106)+1),"")</f>
        <v>0</v>
      </c>
      <c r="CY131">
        <f>IFERROR(SMALL(CY39:CY103,ROW()-ROW($CY$106)+1),"")</f>
        <v>0</v>
      </c>
      <c r="CZ131">
        <f>IFERROR(SMALL(CZ39:CZ103,ROW()-ROW($CZ$106)+1),"")</f>
        <v>0</v>
      </c>
      <c r="DA131">
        <f>IFERROR(SMALL(DA39:DA103,ROW()-ROW($DA$106)+1),"")</f>
        <v>0</v>
      </c>
      <c r="DB131">
        <f>IFERROR(SMALL(DB39:DB103,ROW()-ROW($DB$106)+1),"")</f>
        <v>0</v>
      </c>
      <c r="DC131">
        <f>IFERROR(SMALL(DC39:DC103,ROW()-ROW($DC$106)+1),"")</f>
        <v>0</v>
      </c>
      <c r="DD131">
        <f>IFERROR(SMALL(DD39:DD103,ROW()-ROW($DD$106)+1),"")</f>
        <v>0</v>
      </c>
      <c r="DE131">
        <f>IFERROR(SMALL(DE39:DE103,ROW()-ROW($DE$106)+1),"")</f>
        <v>0</v>
      </c>
      <c r="DF131">
        <f>IFERROR(SMALL(DF39:DF103,ROW()-ROW($DF$106)+1),"")</f>
        <v>0</v>
      </c>
      <c r="DG131">
        <f>IFERROR(SMALL(DG39:DG103,ROW()-ROW($DG$106)+1),"")</f>
        <v>0</v>
      </c>
      <c r="DH131">
        <f>IFERROR(SMALL(DH39:DH103,ROW()-ROW($DH$106)+1),"")</f>
        <v>0</v>
      </c>
      <c r="DI131">
        <f>IFERROR(SMALL(DI39:DI103,ROW()-ROW($DI$106)+1),"")</f>
        <v>0</v>
      </c>
      <c r="DJ131">
        <f>IFERROR(SMALL(DJ39:DJ103,ROW()-ROW($DJ$106)+1),"")</f>
        <v>0</v>
      </c>
      <c r="DK131">
        <f>IFERROR(SMALL(DK39:DK103,ROW()-ROW($DK$106)+1),"")</f>
        <v>0</v>
      </c>
      <c r="DL131">
        <f>IFERROR(SMALL(DL39:DL103,ROW()-ROW($DL$106)+1),"")</f>
        <v>0</v>
      </c>
      <c r="DM131">
        <f>IFERROR(SMALL(DM39:DM103,ROW()-ROW($DM$106)+1),"")</f>
        <v>0</v>
      </c>
      <c r="DN131">
        <f>IFERROR(SMALL(DN39:DN103,ROW()-ROW($DN$106)+1),"")</f>
        <v>0</v>
      </c>
      <c r="DO131">
        <f>IFERROR(SMALL(DO39:DO103,ROW()-ROW($DO$106)+1),"")</f>
        <v>0</v>
      </c>
      <c r="DP131">
        <f>IFERROR(SMALL(DP39:DP103,ROW()-ROW($DP$106)+1),"")</f>
        <v>0</v>
      </c>
      <c r="DQ131">
        <f>IFERROR(SMALL(DQ39:DQ103,ROW()-ROW($DQ$106)+1),"")</f>
        <v>0</v>
      </c>
      <c r="DR131">
        <f>IFERROR(SMALL(DR39:DR103,ROW()-ROW($DR$106)+1),"")</f>
        <v>0</v>
      </c>
      <c r="DS131">
        <f>IFERROR(SMALL(DS39:DS103,ROW()-ROW($DS$106)+1),"")</f>
        <v>0</v>
      </c>
      <c r="DT131">
        <f>IFERROR(SMALL(DT39:DT103,ROW()-ROW($DT$106)+1),"")</f>
        <v>0</v>
      </c>
      <c r="DU131">
        <f>IFERROR(SMALL(DU39:DU103,ROW()-ROW($DU$106)+1),"")</f>
        <v>0</v>
      </c>
      <c r="DV131">
        <f>IFERROR(SMALL(DV39:DV103,ROW()-ROW($DV$106)+1),"")</f>
        <v>0</v>
      </c>
      <c r="DW131">
        <f>IFERROR(SMALL(DW39:DW103,ROW()-ROW($DW$106)+1),"")</f>
        <v>0</v>
      </c>
      <c r="DX131">
        <f>IFERROR(SMALL(DX39:DX103,ROW()-ROW($DX$106)+1),"")</f>
        <v>0</v>
      </c>
      <c r="DY131">
        <f>IFERROR(SMALL(DY39:DY103,ROW()-ROW($DY$106)+1),"")</f>
        <v>0</v>
      </c>
      <c r="DZ131">
        <f>IFERROR(SMALL(DZ39:DZ103,ROW()-ROW($DZ$106)+1),"")</f>
        <v>0</v>
      </c>
      <c r="EA131">
        <f>IFERROR(SMALL(EA39:EA103,ROW()-ROW($EA$106)+1),"")</f>
        <v>0</v>
      </c>
      <c r="EB131">
        <f>IFERROR(SMALL(EB39:EB103,ROW()-ROW($EB$106)+1),"")</f>
        <v>0</v>
      </c>
      <c r="EC131">
        <f>IFERROR(SMALL(EC39:EC103,ROW()-ROW($EC$106)+1),"")</f>
        <v>0</v>
      </c>
      <c r="ED131">
        <f>IFERROR(SMALL(ED39:ED103,ROW()-ROW($ED$106)+1),"")</f>
        <v>0</v>
      </c>
    </row>
    <row r="132" spans="5:134">
      <c r="E132">
        <f>IFERROR(SMALL(E39:E103,ROW()-ROW($E$106)+1),"")</f>
        <v>0</v>
      </c>
      <c r="F132">
        <f>IFERROR(SMALL(F39:F103,ROW()-ROW($F$106)+1),"")</f>
        <v>0</v>
      </c>
      <c r="G132">
        <f>IFERROR(SMALL(G39:G103,ROW()-ROW($G$106)+1),"")</f>
        <v>0</v>
      </c>
      <c r="H132">
        <f>IFERROR(SMALL(H39:H103,ROW()-ROW($H$106)+1),"")</f>
        <v>0</v>
      </c>
      <c r="I132">
        <f>IFERROR(SMALL(I39:I103,ROW()-ROW($I$106)+1),"")</f>
        <v>0</v>
      </c>
      <c r="J132">
        <f>IFERROR(SMALL(J39:J103,ROW()-ROW($J$106)+1),"")</f>
        <v>0</v>
      </c>
      <c r="K132">
        <f>IFERROR(SMALL(K39:K103,ROW()-ROW($K$106)+1),"")</f>
        <v>0</v>
      </c>
      <c r="L132">
        <f>IFERROR(SMALL(L39:L103,ROW()-ROW($L$106)+1),"")</f>
        <v>0</v>
      </c>
      <c r="M132">
        <f>IFERROR(SMALL(M39:M103,ROW()-ROW($M$106)+1),"")</f>
        <v>0</v>
      </c>
      <c r="N132">
        <f>IFERROR(SMALL(N39:N103,ROW()-ROW($N$106)+1),"")</f>
        <v>0</v>
      </c>
      <c r="O132">
        <f>IFERROR(SMALL(O39:O103,ROW()-ROW($O$106)+1),"")</f>
        <v>0</v>
      </c>
      <c r="P132">
        <f>IFERROR(SMALL(P39:P103,ROW()-ROW($P$106)+1),"")</f>
        <v>0</v>
      </c>
      <c r="Q132">
        <f>IFERROR(SMALL(Q39:Q103,ROW()-ROW($Q$106)+1),"")</f>
        <v>0</v>
      </c>
      <c r="R132">
        <f>IFERROR(SMALL(R39:R103,ROW()-ROW($R$106)+1),"")</f>
        <v>0</v>
      </c>
      <c r="S132">
        <f>IFERROR(SMALL(S39:S103,ROW()-ROW($S$106)+1),"")</f>
        <v>0</v>
      </c>
      <c r="T132">
        <f>IFERROR(SMALL(T39:T103,ROW()-ROW($T$106)+1),"")</f>
        <v>0</v>
      </c>
      <c r="U132">
        <f>IFERROR(SMALL(U39:U103,ROW()-ROW($U$106)+1),"")</f>
        <v>0</v>
      </c>
      <c r="V132">
        <f>IFERROR(SMALL(V39:V103,ROW()-ROW($V$106)+1),"")</f>
        <v>0</v>
      </c>
      <c r="W132">
        <f>IFERROR(SMALL(W39:W103,ROW()-ROW($W$106)+1),"")</f>
        <v>0</v>
      </c>
      <c r="X132">
        <f>IFERROR(SMALL(X39:X103,ROW()-ROW($X$106)+1),"")</f>
        <v>0</v>
      </c>
      <c r="Y132">
        <f>IFERROR(SMALL(Y39:Y103,ROW()-ROW($Y$106)+1),"")</f>
        <v>0</v>
      </c>
      <c r="Z132">
        <f>IFERROR(SMALL(Z39:Z103,ROW()-ROW($Z$106)+1),"")</f>
        <v>0</v>
      </c>
      <c r="AA132">
        <f>IFERROR(SMALL(AA39:AA103,ROW()-ROW($AA$106)+1),"")</f>
        <v>0</v>
      </c>
      <c r="AB132">
        <f>IFERROR(SMALL(AB39:AB103,ROW()-ROW($AB$106)+1),"")</f>
        <v>0</v>
      </c>
      <c r="AC132">
        <f>IFERROR(SMALL(AC39:AC103,ROW()-ROW($AC$106)+1),"")</f>
        <v>0</v>
      </c>
      <c r="AD132">
        <f>IFERROR(SMALL(AD39:AD103,ROW()-ROW($AD$106)+1),"")</f>
        <v>0</v>
      </c>
      <c r="AE132">
        <f>IFERROR(SMALL(AE39:AE103,ROW()-ROW($AE$106)+1),"")</f>
        <v>0</v>
      </c>
      <c r="AF132">
        <f>IFERROR(SMALL(AF39:AF103,ROW()-ROW($AF$106)+1),"")</f>
        <v>0</v>
      </c>
      <c r="AG132">
        <f>IFERROR(SMALL(AG39:AG103,ROW()-ROW($AG$106)+1),"")</f>
        <v>0</v>
      </c>
      <c r="AH132">
        <f>IFERROR(SMALL(AH39:AH103,ROW()-ROW($AH$106)+1),"")</f>
        <v>0</v>
      </c>
      <c r="AI132">
        <f>IFERROR(SMALL(AI39:AI103,ROW()-ROW($AI$106)+1),"")</f>
        <v>0</v>
      </c>
      <c r="AJ132">
        <f>IFERROR(SMALL(AJ39:AJ103,ROW()-ROW($AJ$106)+1),"")</f>
        <v>0</v>
      </c>
      <c r="AK132">
        <f>IFERROR(SMALL(AK39:AK103,ROW()-ROW($AK$106)+1),"")</f>
        <v>0</v>
      </c>
      <c r="AL132">
        <f>IFERROR(SMALL(AL39:AL103,ROW()-ROW($AL$106)+1),"")</f>
        <v>0</v>
      </c>
      <c r="AM132">
        <f>IFERROR(SMALL(AM39:AM103,ROW()-ROW($AM$106)+1),"")</f>
        <v>0</v>
      </c>
      <c r="AN132">
        <f>IFERROR(SMALL(AN39:AN103,ROW()-ROW($AN$106)+1),"")</f>
        <v>0</v>
      </c>
      <c r="AO132">
        <f>IFERROR(SMALL(AO39:AO103,ROW()-ROW($AO$106)+1),"")</f>
        <v>0</v>
      </c>
      <c r="AP132">
        <f>IFERROR(SMALL(AP39:AP103,ROW()-ROW($AP$106)+1),"")</f>
        <v>0</v>
      </c>
      <c r="AQ132">
        <f>IFERROR(SMALL(AQ39:AQ103,ROW()-ROW($AQ$106)+1),"")</f>
        <v>0</v>
      </c>
      <c r="AR132">
        <f>IFERROR(SMALL(AR39:AR103,ROW()-ROW($AR$106)+1),"")</f>
        <v>0</v>
      </c>
      <c r="AS132">
        <f>IFERROR(SMALL(AS39:AS103,ROW()-ROW($AS$106)+1),"")</f>
        <v>0</v>
      </c>
      <c r="AT132">
        <f>IFERROR(SMALL(AT39:AT103,ROW()-ROW($AT$106)+1),"")</f>
        <v>0</v>
      </c>
      <c r="AU132">
        <f>IFERROR(SMALL(AU39:AU103,ROW()-ROW($AU$106)+1),"")</f>
        <v>0</v>
      </c>
      <c r="AV132">
        <f>IFERROR(SMALL(AV39:AV103,ROW()-ROW($AV$106)+1),"")</f>
        <v>0</v>
      </c>
      <c r="AW132">
        <f>IFERROR(SMALL(AW39:AW103,ROW()-ROW($AW$106)+1),"")</f>
        <v>0</v>
      </c>
      <c r="AX132">
        <f>IFERROR(SMALL(AX39:AX103,ROW()-ROW($AX$106)+1),"")</f>
        <v>0</v>
      </c>
      <c r="AY132">
        <f>IFERROR(SMALL(AY39:AY103,ROW()-ROW($AY$106)+1),"")</f>
        <v>0</v>
      </c>
      <c r="AZ132">
        <f>IFERROR(SMALL(AZ39:AZ103,ROW()-ROW($AZ$106)+1),"")</f>
        <v>0</v>
      </c>
      <c r="BA132">
        <f>IFERROR(SMALL(BA39:BA103,ROW()-ROW($BA$106)+1),"")</f>
        <v>0</v>
      </c>
      <c r="BB132">
        <f>IFERROR(SMALL(BB39:BB103,ROW()-ROW($BB$106)+1),"")</f>
        <v>0</v>
      </c>
      <c r="BC132">
        <f>IFERROR(SMALL(BC39:BC103,ROW()-ROW($BC$106)+1),"")</f>
        <v>0</v>
      </c>
      <c r="BD132">
        <f>IFERROR(SMALL(BD39:BD103,ROW()-ROW($BD$106)+1),"")</f>
        <v>0</v>
      </c>
      <c r="BE132">
        <f>IFERROR(SMALL(BE39:BE103,ROW()-ROW($BE$106)+1),"")</f>
        <v>0</v>
      </c>
      <c r="BF132">
        <f>IFERROR(SMALL(BF39:BF103,ROW()-ROW($BF$106)+1),"")</f>
        <v>0</v>
      </c>
      <c r="BG132">
        <f>IFERROR(SMALL(BG39:BG103,ROW()-ROW($BG$106)+1),"")</f>
        <v>0</v>
      </c>
      <c r="BH132">
        <f>IFERROR(SMALL(BH39:BH103,ROW()-ROW($BH$106)+1),"")</f>
        <v>0</v>
      </c>
      <c r="BI132">
        <f>IFERROR(SMALL(BI39:BI103,ROW()-ROW($BI$106)+1),"")</f>
        <v>0</v>
      </c>
      <c r="BJ132">
        <f>IFERROR(SMALL(BJ39:BJ103,ROW()-ROW($BJ$106)+1),"")</f>
        <v>0</v>
      </c>
      <c r="BK132">
        <f>IFERROR(SMALL(BK39:BK103,ROW()-ROW($BK$106)+1),"")</f>
        <v>0</v>
      </c>
      <c r="BL132">
        <f>IFERROR(SMALL(BL39:BL103,ROW()-ROW($BL$106)+1),"")</f>
        <v>0</v>
      </c>
      <c r="BM132">
        <f>IFERROR(SMALL(BM39:BM103,ROW()-ROW($BM$106)+1),"")</f>
        <v>0</v>
      </c>
      <c r="BN132">
        <f>IFERROR(SMALL(BN39:BN103,ROW()-ROW($BN$106)+1),"")</f>
        <v>0</v>
      </c>
      <c r="BO132">
        <f>IFERROR(SMALL(BO39:BO103,ROW()-ROW($BO$106)+1),"")</f>
        <v>0</v>
      </c>
      <c r="BP132">
        <f>IFERROR(SMALL(BP39:BP103,ROW()-ROW($BP$106)+1),"")</f>
        <v>0</v>
      </c>
      <c r="BS132">
        <f>IFERROR(SMALL(BS39:BS103,ROW()-ROW($BS$106)+1),"")</f>
        <v>0</v>
      </c>
      <c r="BT132">
        <f>IFERROR(SMALL(BT39:BT103,ROW()-ROW($BT$106)+1),"")</f>
        <v>0</v>
      </c>
      <c r="BU132">
        <f>IFERROR(SMALL(BU39:BU103,ROW()-ROW($BU$106)+1),"")</f>
        <v>0</v>
      </c>
      <c r="BV132">
        <f>IFERROR(SMALL(BV39:BV103,ROW()-ROW($BV$106)+1),"")</f>
        <v>0</v>
      </c>
      <c r="BW132">
        <f>IFERROR(SMALL(BW39:BW103,ROW()-ROW($BW$106)+1),"")</f>
        <v>0</v>
      </c>
      <c r="BX132">
        <f>IFERROR(SMALL(BX39:BX103,ROW()-ROW($BX$106)+1),"")</f>
        <v>0</v>
      </c>
      <c r="BY132">
        <f>IFERROR(SMALL(BY39:BY103,ROW()-ROW($BY$106)+1),"")</f>
        <v>0</v>
      </c>
      <c r="BZ132">
        <f>IFERROR(SMALL(BZ39:BZ103,ROW()-ROW($BZ$106)+1),"")</f>
        <v>0</v>
      </c>
      <c r="CA132">
        <f>IFERROR(SMALL(CA39:CA103,ROW()-ROW($CA$106)+1),"")</f>
        <v>0</v>
      </c>
      <c r="CB132">
        <f>IFERROR(SMALL(CB39:CB103,ROW()-ROW($CB$106)+1),"")</f>
        <v>0</v>
      </c>
      <c r="CC132">
        <f>IFERROR(SMALL(CC39:CC103,ROW()-ROW($CC$106)+1),"")</f>
        <v>0</v>
      </c>
      <c r="CD132">
        <f>IFERROR(SMALL(CD39:CD103,ROW()-ROW($CD$106)+1),"")</f>
        <v>0</v>
      </c>
      <c r="CE132">
        <f>IFERROR(SMALL(CE39:CE103,ROW()-ROW($CE$106)+1),"")</f>
        <v>0</v>
      </c>
      <c r="CF132">
        <f>IFERROR(SMALL(CF39:CF103,ROW()-ROW($CF$106)+1),"")</f>
        <v>0</v>
      </c>
      <c r="CG132">
        <f>IFERROR(SMALL(CG39:CG103,ROW()-ROW($CG$106)+1),"")</f>
        <v>0</v>
      </c>
      <c r="CH132">
        <f>IFERROR(SMALL(CH39:CH103,ROW()-ROW($CH$106)+1),"")</f>
        <v>0</v>
      </c>
      <c r="CI132">
        <f>IFERROR(SMALL(CI39:CI103,ROW()-ROW($CI$106)+1),"")</f>
        <v>0</v>
      </c>
      <c r="CJ132">
        <f>IFERROR(SMALL(CJ39:CJ103,ROW()-ROW($CJ$106)+1),"")</f>
        <v>0</v>
      </c>
      <c r="CK132">
        <f>IFERROR(SMALL(CK39:CK103,ROW()-ROW($CK$106)+1),"")</f>
        <v>0</v>
      </c>
      <c r="CL132">
        <f>IFERROR(SMALL(CL39:CL103,ROW()-ROW($CL$106)+1),"")</f>
        <v>0</v>
      </c>
      <c r="CM132">
        <f>IFERROR(SMALL(CM39:CM103,ROW()-ROW($CM$106)+1),"")</f>
        <v>0</v>
      </c>
      <c r="CN132">
        <f>IFERROR(SMALL(CN39:CN103,ROW()-ROW($CN$106)+1),"")</f>
        <v>0</v>
      </c>
      <c r="CO132">
        <f>IFERROR(SMALL(CO39:CO103,ROW()-ROW($CO$106)+1),"")</f>
        <v>0</v>
      </c>
      <c r="CP132">
        <f>IFERROR(SMALL(CP39:CP103,ROW()-ROW($CP$106)+1),"")</f>
        <v>0</v>
      </c>
      <c r="CQ132">
        <f>IFERROR(SMALL(CQ39:CQ103,ROW()-ROW($CQ$106)+1),"")</f>
        <v>0</v>
      </c>
      <c r="CR132">
        <f>IFERROR(SMALL(CR39:CR103,ROW()-ROW($CR$106)+1),"")</f>
        <v>0</v>
      </c>
      <c r="CS132">
        <f>IFERROR(SMALL(CS39:CS103,ROW()-ROW($CS$106)+1),"")</f>
        <v>0</v>
      </c>
      <c r="CT132">
        <f>IFERROR(SMALL(CT39:CT103,ROW()-ROW($CT$106)+1),"")</f>
        <v>0</v>
      </c>
      <c r="CU132">
        <f>IFERROR(SMALL(CU39:CU103,ROW()-ROW($CU$106)+1),"")</f>
        <v>0</v>
      </c>
      <c r="CV132">
        <f>IFERROR(SMALL(CV39:CV103,ROW()-ROW($CV$106)+1),"")</f>
        <v>0</v>
      </c>
      <c r="CW132">
        <f>IFERROR(SMALL(CW39:CW103,ROW()-ROW($CW$106)+1),"")</f>
        <v>0</v>
      </c>
      <c r="CX132">
        <f>IFERROR(SMALL(CX39:CX103,ROW()-ROW($CX$106)+1),"")</f>
        <v>0</v>
      </c>
      <c r="CY132">
        <f>IFERROR(SMALL(CY39:CY103,ROW()-ROW($CY$106)+1),"")</f>
        <v>0</v>
      </c>
      <c r="CZ132">
        <f>IFERROR(SMALL(CZ39:CZ103,ROW()-ROW($CZ$106)+1),"")</f>
        <v>0</v>
      </c>
      <c r="DA132">
        <f>IFERROR(SMALL(DA39:DA103,ROW()-ROW($DA$106)+1),"")</f>
        <v>0</v>
      </c>
      <c r="DB132">
        <f>IFERROR(SMALL(DB39:DB103,ROW()-ROW($DB$106)+1),"")</f>
        <v>0</v>
      </c>
      <c r="DC132">
        <f>IFERROR(SMALL(DC39:DC103,ROW()-ROW($DC$106)+1),"")</f>
        <v>0</v>
      </c>
      <c r="DD132">
        <f>IFERROR(SMALL(DD39:DD103,ROW()-ROW($DD$106)+1),"")</f>
        <v>0</v>
      </c>
      <c r="DE132">
        <f>IFERROR(SMALL(DE39:DE103,ROW()-ROW($DE$106)+1),"")</f>
        <v>0</v>
      </c>
      <c r="DF132">
        <f>IFERROR(SMALL(DF39:DF103,ROW()-ROW($DF$106)+1),"")</f>
        <v>0</v>
      </c>
      <c r="DG132">
        <f>IFERROR(SMALL(DG39:DG103,ROW()-ROW($DG$106)+1),"")</f>
        <v>0</v>
      </c>
      <c r="DH132">
        <f>IFERROR(SMALL(DH39:DH103,ROW()-ROW($DH$106)+1),"")</f>
        <v>0</v>
      </c>
      <c r="DI132">
        <f>IFERROR(SMALL(DI39:DI103,ROW()-ROW($DI$106)+1),"")</f>
        <v>0</v>
      </c>
      <c r="DJ132">
        <f>IFERROR(SMALL(DJ39:DJ103,ROW()-ROW($DJ$106)+1),"")</f>
        <v>0</v>
      </c>
      <c r="DK132">
        <f>IFERROR(SMALL(DK39:DK103,ROW()-ROW($DK$106)+1),"")</f>
        <v>0</v>
      </c>
      <c r="DL132">
        <f>IFERROR(SMALL(DL39:DL103,ROW()-ROW($DL$106)+1),"")</f>
        <v>0</v>
      </c>
      <c r="DM132">
        <f>IFERROR(SMALL(DM39:DM103,ROW()-ROW($DM$106)+1),"")</f>
        <v>0</v>
      </c>
      <c r="DN132">
        <f>IFERROR(SMALL(DN39:DN103,ROW()-ROW($DN$106)+1),"")</f>
        <v>0</v>
      </c>
      <c r="DO132">
        <f>IFERROR(SMALL(DO39:DO103,ROW()-ROW($DO$106)+1),"")</f>
        <v>0</v>
      </c>
      <c r="DP132">
        <f>IFERROR(SMALL(DP39:DP103,ROW()-ROW($DP$106)+1),"")</f>
        <v>0</v>
      </c>
      <c r="DQ132">
        <f>IFERROR(SMALL(DQ39:DQ103,ROW()-ROW($DQ$106)+1),"")</f>
        <v>0</v>
      </c>
      <c r="DR132">
        <f>IFERROR(SMALL(DR39:DR103,ROW()-ROW($DR$106)+1),"")</f>
        <v>0</v>
      </c>
      <c r="DS132">
        <f>IFERROR(SMALL(DS39:DS103,ROW()-ROW($DS$106)+1),"")</f>
        <v>0</v>
      </c>
      <c r="DT132">
        <f>IFERROR(SMALL(DT39:DT103,ROW()-ROW($DT$106)+1),"")</f>
        <v>0</v>
      </c>
      <c r="DU132">
        <f>IFERROR(SMALL(DU39:DU103,ROW()-ROW($DU$106)+1),"")</f>
        <v>0</v>
      </c>
      <c r="DV132">
        <f>IFERROR(SMALL(DV39:DV103,ROW()-ROW($DV$106)+1),"")</f>
        <v>0</v>
      </c>
      <c r="DW132">
        <f>IFERROR(SMALL(DW39:DW103,ROW()-ROW($DW$106)+1),"")</f>
        <v>0</v>
      </c>
      <c r="DX132">
        <f>IFERROR(SMALL(DX39:DX103,ROW()-ROW($DX$106)+1),"")</f>
        <v>0</v>
      </c>
      <c r="DY132">
        <f>IFERROR(SMALL(DY39:DY103,ROW()-ROW($DY$106)+1),"")</f>
        <v>0</v>
      </c>
      <c r="DZ132">
        <f>IFERROR(SMALL(DZ39:DZ103,ROW()-ROW($DZ$106)+1),"")</f>
        <v>0</v>
      </c>
      <c r="EA132">
        <f>IFERROR(SMALL(EA39:EA103,ROW()-ROW($EA$106)+1),"")</f>
        <v>0</v>
      </c>
      <c r="EB132">
        <f>IFERROR(SMALL(EB39:EB103,ROW()-ROW($EB$106)+1),"")</f>
        <v>0</v>
      </c>
      <c r="EC132">
        <f>IFERROR(SMALL(EC39:EC103,ROW()-ROW($EC$106)+1),"")</f>
        <v>0</v>
      </c>
      <c r="ED132">
        <f>IFERROR(SMALL(ED39:ED103,ROW()-ROW($ED$106)+1),"")</f>
        <v>0</v>
      </c>
    </row>
    <row r="133" spans="5:134">
      <c r="E133">
        <f>IFERROR(SMALL(E39:E103,ROW()-ROW($E$106)+1),"")</f>
        <v>0</v>
      </c>
      <c r="F133">
        <f>IFERROR(SMALL(F39:F103,ROW()-ROW($F$106)+1),"")</f>
        <v>0</v>
      </c>
      <c r="G133">
        <f>IFERROR(SMALL(G39:G103,ROW()-ROW($G$106)+1),"")</f>
        <v>0</v>
      </c>
      <c r="H133">
        <f>IFERROR(SMALL(H39:H103,ROW()-ROW($H$106)+1),"")</f>
        <v>0</v>
      </c>
      <c r="I133">
        <f>IFERROR(SMALL(I39:I103,ROW()-ROW($I$106)+1),"")</f>
        <v>0</v>
      </c>
      <c r="J133">
        <f>IFERROR(SMALL(J39:J103,ROW()-ROW($J$106)+1),"")</f>
        <v>0</v>
      </c>
      <c r="K133">
        <f>IFERROR(SMALL(K39:K103,ROW()-ROW($K$106)+1),"")</f>
        <v>0</v>
      </c>
      <c r="L133">
        <f>IFERROR(SMALL(L39:L103,ROW()-ROW($L$106)+1),"")</f>
        <v>0</v>
      </c>
      <c r="M133">
        <f>IFERROR(SMALL(M39:M103,ROW()-ROW($M$106)+1),"")</f>
        <v>0</v>
      </c>
      <c r="N133">
        <f>IFERROR(SMALL(N39:N103,ROW()-ROW($N$106)+1),"")</f>
        <v>0</v>
      </c>
      <c r="O133">
        <f>IFERROR(SMALL(O39:O103,ROW()-ROW($O$106)+1),"")</f>
        <v>0</v>
      </c>
      <c r="P133">
        <f>IFERROR(SMALL(P39:P103,ROW()-ROW($P$106)+1),"")</f>
        <v>0</v>
      </c>
      <c r="Q133">
        <f>IFERROR(SMALL(Q39:Q103,ROW()-ROW($Q$106)+1),"")</f>
        <v>0</v>
      </c>
      <c r="R133">
        <f>IFERROR(SMALL(R39:R103,ROW()-ROW($R$106)+1),"")</f>
        <v>0</v>
      </c>
      <c r="S133">
        <f>IFERROR(SMALL(S39:S103,ROW()-ROW($S$106)+1),"")</f>
        <v>0</v>
      </c>
      <c r="T133">
        <f>IFERROR(SMALL(T39:T103,ROW()-ROW($T$106)+1),"")</f>
        <v>0</v>
      </c>
      <c r="U133">
        <f>IFERROR(SMALL(U39:U103,ROW()-ROW($U$106)+1),"")</f>
        <v>0</v>
      </c>
      <c r="V133">
        <f>IFERROR(SMALL(V39:V103,ROW()-ROW($V$106)+1),"")</f>
        <v>0</v>
      </c>
      <c r="W133">
        <f>IFERROR(SMALL(W39:W103,ROW()-ROW($W$106)+1),"")</f>
        <v>0</v>
      </c>
      <c r="X133">
        <f>IFERROR(SMALL(X39:X103,ROW()-ROW($X$106)+1),"")</f>
        <v>0</v>
      </c>
      <c r="Y133">
        <f>IFERROR(SMALL(Y39:Y103,ROW()-ROW($Y$106)+1),"")</f>
        <v>0</v>
      </c>
      <c r="Z133">
        <f>IFERROR(SMALL(Z39:Z103,ROW()-ROW($Z$106)+1),"")</f>
        <v>0</v>
      </c>
      <c r="AA133">
        <f>IFERROR(SMALL(AA39:AA103,ROW()-ROW($AA$106)+1),"")</f>
        <v>0</v>
      </c>
      <c r="AB133">
        <f>IFERROR(SMALL(AB39:AB103,ROW()-ROW($AB$106)+1),"")</f>
        <v>0</v>
      </c>
      <c r="AC133">
        <f>IFERROR(SMALL(AC39:AC103,ROW()-ROW($AC$106)+1),"")</f>
        <v>0</v>
      </c>
      <c r="AD133">
        <f>IFERROR(SMALL(AD39:AD103,ROW()-ROW($AD$106)+1),"")</f>
        <v>0</v>
      </c>
      <c r="AE133">
        <f>IFERROR(SMALL(AE39:AE103,ROW()-ROW($AE$106)+1),"")</f>
        <v>0</v>
      </c>
      <c r="AF133">
        <f>IFERROR(SMALL(AF39:AF103,ROW()-ROW($AF$106)+1),"")</f>
        <v>0</v>
      </c>
      <c r="AG133">
        <f>IFERROR(SMALL(AG39:AG103,ROW()-ROW($AG$106)+1),"")</f>
        <v>0</v>
      </c>
      <c r="AH133">
        <f>IFERROR(SMALL(AH39:AH103,ROW()-ROW($AH$106)+1),"")</f>
        <v>0</v>
      </c>
      <c r="AI133">
        <f>IFERROR(SMALL(AI39:AI103,ROW()-ROW($AI$106)+1),"")</f>
        <v>0</v>
      </c>
      <c r="AJ133">
        <f>IFERROR(SMALL(AJ39:AJ103,ROW()-ROW($AJ$106)+1),"")</f>
        <v>0</v>
      </c>
      <c r="AK133">
        <f>IFERROR(SMALL(AK39:AK103,ROW()-ROW($AK$106)+1),"")</f>
        <v>0</v>
      </c>
      <c r="AL133">
        <f>IFERROR(SMALL(AL39:AL103,ROW()-ROW($AL$106)+1),"")</f>
        <v>0</v>
      </c>
      <c r="AM133">
        <f>IFERROR(SMALL(AM39:AM103,ROW()-ROW($AM$106)+1),"")</f>
        <v>0</v>
      </c>
      <c r="AN133">
        <f>IFERROR(SMALL(AN39:AN103,ROW()-ROW($AN$106)+1),"")</f>
        <v>0</v>
      </c>
      <c r="AO133">
        <f>IFERROR(SMALL(AO39:AO103,ROW()-ROW($AO$106)+1),"")</f>
        <v>0</v>
      </c>
      <c r="AP133">
        <f>IFERROR(SMALL(AP39:AP103,ROW()-ROW($AP$106)+1),"")</f>
        <v>0</v>
      </c>
      <c r="AQ133">
        <f>IFERROR(SMALL(AQ39:AQ103,ROW()-ROW($AQ$106)+1),"")</f>
        <v>0</v>
      </c>
      <c r="AR133">
        <f>IFERROR(SMALL(AR39:AR103,ROW()-ROW($AR$106)+1),"")</f>
        <v>0</v>
      </c>
      <c r="AS133">
        <f>IFERROR(SMALL(AS39:AS103,ROW()-ROW($AS$106)+1),"")</f>
        <v>0</v>
      </c>
      <c r="AT133">
        <f>IFERROR(SMALL(AT39:AT103,ROW()-ROW($AT$106)+1),"")</f>
        <v>0</v>
      </c>
      <c r="AU133">
        <f>IFERROR(SMALL(AU39:AU103,ROW()-ROW($AU$106)+1),"")</f>
        <v>0</v>
      </c>
      <c r="AV133">
        <f>IFERROR(SMALL(AV39:AV103,ROW()-ROW($AV$106)+1),"")</f>
        <v>0</v>
      </c>
      <c r="AW133">
        <f>IFERROR(SMALL(AW39:AW103,ROW()-ROW($AW$106)+1),"")</f>
        <v>0</v>
      </c>
      <c r="AX133">
        <f>IFERROR(SMALL(AX39:AX103,ROW()-ROW($AX$106)+1),"")</f>
        <v>0</v>
      </c>
      <c r="AY133">
        <f>IFERROR(SMALL(AY39:AY103,ROW()-ROW($AY$106)+1),"")</f>
        <v>0</v>
      </c>
      <c r="AZ133">
        <f>IFERROR(SMALL(AZ39:AZ103,ROW()-ROW($AZ$106)+1),"")</f>
        <v>0</v>
      </c>
      <c r="BA133">
        <f>IFERROR(SMALL(BA39:BA103,ROW()-ROW($BA$106)+1),"")</f>
        <v>0</v>
      </c>
      <c r="BB133">
        <f>IFERROR(SMALL(BB39:BB103,ROW()-ROW($BB$106)+1),"")</f>
        <v>0</v>
      </c>
      <c r="BC133">
        <f>IFERROR(SMALL(BC39:BC103,ROW()-ROW($BC$106)+1),"")</f>
        <v>0</v>
      </c>
      <c r="BD133">
        <f>IFERROR(SMALL(BD39:BD103,ROW()-ROW($BD$106)+1),"")</f>
        <v>0</v>
      </c>
      <c r="BE133">
        <f>IFERROR(SMALL(BE39:BE103,ROW()-ROW($BE$106)+1),"")</f>
        <v>0</v>
      </c>
      <c r="BF133">
        <f>IFERROR(SMALL(BF39:BF103,ROW()-ROW($BF$106)+1),"")</f>
        <v>0</v>
      </c>
      <c r="BG133">
        <f>IFERROR(SMALL(BG39:BG103,ROW()-ROW($BG$106)+1),"")</f>
        <v>0</v>
      </c>
      <c r="BH133">
        <f>IFERROR(SMALL(BH39:BH103,ROW()-ROW($BH$106)+1),"")</f>
        <v>0</v>
      </c>
      <c r="BI133">
        <f>IFERROR(SMALL(BI39:BI103,ROW()-ROW($BI$106)+1),"")</f>
        <v>0</v>
      </c>
      <c r="BJ133">
        <f>IFERROR(SMALL(BJ39:BJ103,ROW()-ROW($BJ$106)+1),"")</f>
        <v>0</v>
      </c>
      <c r="BK133">
        <f>IFERROR(SMALL(BK39:BK103,ROW()-ROW($BK$106)+1),"")</f>
        <v>0</v>
      </c>
      <c r="BL133">
        <f>IFERROR(SMALL(BL39:BL103,ROW()-ROW($BL$106)+1),"")</f>
        <v>0</v>
      </c>
      <c r="BM133">
        <f>IFERROR(SMALL(BM39:BM103,ROW()-ROW($BM$106)+1),"")</f>
        <v>0</v>
      </c>
      <c r="BN133">
        <f>IFERROR(SMALL(BN39:BN103,ROW()-ROW($BN$106)+1),"")</f>
        <v>0</v>
      </c>
      <c r="BO133">
        <f>IFERROR(SMALL(BO39:BO103,ROW()-ROW($BO$106)+1),"")</f>
        <v>0</v>
      </c>
      <c r="BP133">
        <f>IFERROR(SMALL(BP39:BP103,ROW()-ROW($BP$106)+1),"")</f>
        <v>0</v>
      </c>
      <c r="BS133">
        <f>IFERROR(SMALL(BS39:BS103,ROW()-ROW($BS$106)+1),"")</f>
        <v>0</v>
      </c>
      <c r="BT133">
        <f>IFERROR(SMALL(BT39:BT103,ROW()-ROW($BT$106)+1),"")</f>
        <v>0</v>
      </c>
      <c r="BU133">
        <f>IFERROR(SMALL(BU39:BU103,ROW()-ROW($BU$106)+1),"")</f>
        <v>0</v>
      </c>
      <c r="BV133">
        <f>IFERROR(SMALL(BV39:BV103,ROW()-ROW($BV$106)+1),"")</f>
        <v>0</v>
      </c>
      <c r="BW133">
        <f>IFERROR(SMALL(BW39:BW103,ROW()-ROW($BW$106)+1),"")</f>
        <v>0</v>
      </c>
      <c r="BX133">
        <f>IFERROR(SMALL(BX39:BX103,ROW()-ROW($BX$106)+1),"")</f>
        <v>0</v>
      </c>
      <c r="BY133">
        <f>IFERROR(SMALL(BY39:BY103,ROW()-ROW($BY$106)+1),"")</f>
        <v>0</v>
      </c>
      <c r="BZ133">
        <f>IFERROR(SMALL(BZ39:BZ103,ROW()-ROW($BZ$106)+1),"")</f>
        <v>0</v>
      </c>
      <c r="CA133">
        <f>IFERROR(SMALL(CA39:CA103,ROW()-ROW($CA$106)+1),"")</f>
        <v>0</v>
      </c>
      <c r="CB133">
        <f>IFERROR(SMALL(CB39:CB103,ROW()-ROW($CB$106)+1),"")</f>
        <v>0</v>
      </c>
      <c r="CC133">
        <f>IFERROR(SMALL(CC39:CC103,ROW()-ROW($CC$106)+1),"")</f>
        <v>0</v>
      </c>
      <c r="CD133">
        <f>IFERROR(SMALL(CD39:CD103,ROW()-ROW($CD$106)+1),"")</f>
        <v>0</v>
      </c>
      <c r="CE133">
        <f>IFERROR(SMALL(CE39:CE103,ROW()-ROW($CE$106)+1),"")</f>
        <v>0</v>
      </c>
      <c r="CF133">
        <f>IFERROR(SMALL(CF39:CF103,ROW()-ROW($CF$106)+1),"")</f>
        <v>0</v>
      </c>
      <c r="CG133">
        <f>IFERROR(SMALL(CG39:CG103,ROW()-ROW($CG$106)+1),"")</f>
        <v>0</v>
      </c>
      <c r="CH133">
        <f>IFERROR(SMALL(CH39:CH103,ROW()-ROW($CH$106)+1),"")</f>
        <v>0</v>
      </c>
      <c r="CI133">
        <f>IFERROR(SMALL(CI39:CI103,ROW()-ROW($CI$106)+1),"")</f>
        <v>0</v>
      </c>
      <c r="CJ133">
        <f>IFERROR(SMALL(CJ39:CJ103,ROW()-ROW($CJ$106)+1),"")</f>
        <v>0</v>
      </c>
      <c r="CK133">
        <f>IFERROR(SMALL(CK39:CK103,ROW()-ROW($CK$106)+1),"")</f>
        <v>0</v>
      </c>
      <c r="CL133">
        <f>IFERROR(SMALL(CL39:CL103,ROW()-ROW($CL$106)+1),"")</f>
        <v>0</v>
      </c>
      <c r="CM133">
        <f>IFERROR(SMALL(CM39:CM103,ROW()-ROW($CM$106)+1),"")</f>
        <v>0</v>
      </c>
      <c r="CN133">
        <f>IFERROR(SMALL(CN39:CN103,ROW()-ROW($CN$106)+1),"")</f>
        <v>0</v>
      </c>
      <c r="CO133">
        <f>IFERROR(SMALL(CO39:CO103,ROW()-ROW($CO$106)+1),"")</f>
        <v>0</v>
      </c>
      <c r="CP133">
        <f>IFERROR(SMALL(CP39:CP103,ROW()-ROW($CP$106)+1),"")</f>
        <v>0</v>
      </c>
      <c r="CQ133">
        <f>IFERROR(SMALL(CQ39:CQ103,ROW()-ROW($CQ$106)+1),"")</f>
        <v>0</v>
      </c>
      <c r="CR133">
        <f>IFERROR(SMALL(CR39:CR103,ROW()-ROW($CR$106)+1),"")</f>
        <v>0</v>
      </c>
      <c r="CS133">
        <f>IFERROR(SMALL(CS39:CS103,ROW()-ROW($CS$106)+1),"")</f>
        <v>0</v>
      </c>
      <c r="CT133">
        <f>IFERROR(SMALL(CT39:CT103,ROW()-ROW($CT$106)+1),"")</f>
        <v>0</v>
      </c>
      <c r="CU133">
        <f>IFERROR(SMALL(CU39:CU103,ROW()-ROW($CU$106)+1),"")</f>
        <v>0</v>
      </c>
      <c r="CV133">
        <f>IFERROR(SMALL(CV39:CV103,ROW()-ROW($CV$106)+1),"")</f>
        <v>0</v>
      </c>
      <c r="CW133">
        <f>IFERROR(SMALL(CW39:CW103,ROW()-ROW($CW$106)+1),"")</f>
        <v>0</v>
      </c>
      <c r="CX133">
        <f>IFERROR(SMALL(CX39:CX103,ROW()-ROW($CX$106)+1),"")</f>
        <v>0</v>
      </c>
      <c r="CY133">
        <f>IFERROR(SMALL(CY39:CY103,ROW()-ROW($CY$106)+1),"")</f>
        <v>0</v>
      </c>
      <c r="CZ133">
        <f>IFERROR(SMALL(CZ39:CZ103,ROW()-ROW($CZ$106)+1),"")</f>
        <v>0</v>
      </c>
      <c r="DA133">
        <f>IFERROR(SMALL(DA39:DA103,ROW()-ROW($DA$106)+1),"")</f>
        <v>0</v>
      </c>
      <c r="DB133">
        <f>IFERROR(SMALL(DB39:DB103,ROW()-ROW($DB$106)+1),"")</f>
        <v>0</v>
      </c>
      <c r="DC133">
        <f>IFERROR(SMALL(DC39:DC103,ROW()-ROW($DC$106)+1),"")</f>
        <v>0</v>
      </c>
      <c r="DD133">
        <f>IFERROR(SMALL(DD39:DD103,ROW()-ROW($DD$106)+1),"")</f>
        <v>0</v>
      </c>
      <c r="DE133">
        <f>IFERROR(SMALL(DE39:DE103,ROW()-ROW($DE$106)+1),"")</f>
        <v>0</v>
      </c>
      <c r="DF133">
        <f>IFERROR(SMALL(DF39:DF103,ROW()-ROW($DF$106)+1),"")</f>
        <v>0</v>
      </c>
      <c r="DG133">
        <f>IFERROR(SMALL(DG39:DG103,ROW()-ROW($DG$106)+1),"")</f>
        <v>0</v>
      </c>
      <c r="DH133">
        <f>IFERROR(SMALL(DH39:DH103,ROW()-ROW($DH$106)+1),"")</f>
        <v>0</v>
      </c>
      <c r="DI133">
        <f>IFERROR(SMALL(DI39:DI103,ROW()-ROW($DI$106)+1),"")</f>
        <v>0</v>
      </c>
      <c r="DJ133">
        <f>IFERROR(SMALL(DJ39:DJ103,ROW()-ROW($DJ$106)+1),"")</f>
        <v>0</v>
      </c>
      <c r="DK133">
        <f>IFERROR(SMALL(DK39:DK103,ROW()-ROW($DK$106)+1),"")</f>
        <v>0</v>
      </c>
      <c r="DL133">
        <f>IFERROR(SMALL(DL39:DL103,ROW()-ROW($DL$106)+1),"")</f>
        <v>0</v>
      </c>
      <c r="DM133">
        <f>IFERROR(SMALL(DM39:DM103,ROW()-ROW($DM$106)+1),"")</f>
        <v>0</v>
      </c>
      <c r="DN133">
        <f>IFERROR(SMALL(DN39:DN103,ROW()-ROW($DN$106)+1),"")</f>
        <v>0</v>
      </c>
      <c r="DO133">
        <f>IFERROR(SMALL(DO39:DO103,ROW()-ROW($DO$106)+1),"")</f>
        <v>0</v>
      </c>
      <c r="DP133">
        <f>IFERROR(SMALL(DP39:DP103,ROW()-ROW($DP$106)+1),"")</f>
        <v>0</v>
      </c>
      <c r="DQ133">
        <f>IFERROR(SMALL(DQ39:DQ103,ROW()-ROW($DQ$106)+1),"")</f>
        <v>0</v>
      </c>
      <c r="DR133">
        <f>IFERROR(SMALL(DR39:DR103,ROW()-ROW($DR$106)+1),"")</f>
        <v>0</v>
      </c>
      <c r="DS133">
        <f>IFERROR(SMALL(DS39:DS103,ROW()-ROW($DS$106)+1),"")</f>
        <v>0</v>
      </c>
      <c r="DT133">
        <f>IFERROR(SMALL(DT39:DT103,ROW()-ROW($DT$106)+1),"")</f>
        <v>0</v>
      </c>
      <c r="DU133">
        <f>IFERROR(SMALL(DU39:DU103,ROW()-ROW($DU$106)+1),"")</f>
        <v>0</v>
      </c>
      <c r="DV133">
        <f>IFERROR(SMALL(DV39:DV103,ROW()-ROW($DV$106)+1),"")</f>
        <v>0</v>
      </c>
      <c r="DW133">
        <f>IFERROR(SMALL(DW39:DW103,ROW()-ROW($DW$106)+1),"")</f>
        <v>0</v>
      </c>
      <c r="DX133">
        <f>IFERROR(SMALL(DX39:DX103,ROW()-ROW($DX$106)+1),"")</f>
        <v>0</v>
      </c>
      <c r="DY133">
        <f>IFERROR(SMALL(DY39:DY103,ROW()-ROW($DY$106)+1),"")</f>
        <v>0</v>
      </c>
      <c r="DZ133">
        <f>IFERROR(SMALL(DZ39:DZ103,ROW()-ROW($DZ$106)+1),"")</f>
        <v>0</v>
      </c>
      <c r="EA133">
        <f>IFERROR(SMALL(EA39:EA103,ROW()-ROW($EA$106)+1),"")</f>
        <v>0</v>
      </c>
      <c r="EB133">
        <f>IFERROR(SMALL(EB39:EB103,ROW()-ROW($EB$106)+1),"")</f>
        <v>0</v>
      </c>
      <c r="EC133">
        <f>IFERROR(SMALL(EC39:EC103,ROW()-ROW($EC$106)+1),"")</f>
        <v>0</v>
      </c>
      <c r="ED133">
        <f>IFERROR(SMALL(ED39:ED103,ROW()-ROW($ED$106)+1),"")</f>
        <v>0</v>
      </c>
    </row>
    <row r="134" spans="5:134">
      <c r="E134">
        <f>IFERROR(SMALL(E39:E103,ROW()-ROW($E$106)+1),"")</f>
        <v>0</v>
      </c>
      <c r="F134">
        <f>IFERROR(SMALL(F39:F103,ROW()-ROW($F$106)+1),"")</f>
        <v>0</v>
      </c>
      <c r="G134">
        <f>IFERROR(SMALL(G39:G103,ROW()-ROW($G$106)+1),"")</f>
        <v>0</v>
      </c>
      <c r="H134">
        <f>IFERROR(SMALL(H39:H103,ROW()-ROW($H$106)+1),"")</f>
        <v>0</v>
      </c>
      <c r="I134">
        <f>IFERROR(SMALL(I39:I103,ROW()-ROW($I$106)+1),"")</f>
        <v>0</v>
      </c>
      <c r="J134">
        <f>IFERROR(SMALL(J39:J103,ROW()-ROW($J$106)+1),"")</f>
        <v>0</v>
      </c>
      <c r="K134">
        <f>IFERROR(SMALL(K39:K103,ROW()-ROW($K$106)+1),"")</f>
        <v>0</v>
      </c>
      <c r="L134">
        <f>IFERROR(SMALL(L39:L103,ROW()-ROW($L$106)+1),"")</f>
        <v>0</v>
      </c>
      <c r="M134">
        <f>IFERROR(SMALL(M39:M103,ROW()-ROW($M$106)+1),"")</f>
        <v>0</v>
      </c>
      <c r="N134">
        <f>IFERROR(SMALL(N39:N103,ROW()-ROW($N$106)+1),"")</f>
        <v>0</v>
      </c>
      <c r="O134">
        <f>IFERROR(SMALL(O39:O103,ROW()-ROW($O$106)+1),"")</f>
        <v>0</v>
      </c>
      <c r="P134">
        <f>IFERROR(SMALL(P39:P103,ROW()-ROW($P$106)+1),"")</f>
        <v>0</v>
      </c>
      <c r="Q134">
        <f>IFERROR(SMALL(Q39:Q103,ROW()-ROW($Q$106)+1),"")</f>
        <v>0</v>
      </c>
      <c r="R134">
        <f>IFERROR(SMALL(R39:R103,ROW()-ROW($R$106)+1),"")</f>
        <v>0</v>
      </c>
      <c r="S134">
        <f>IFERROR(SMALL(S39:S103,ROW()-ROW($S$106)+1),"")</f>
        <v>0</v>
      </c>
      <c r="T134">
        <f>IFERROR(SMALL(T39:T103,ROW()-ROW($T$106)+1),"")</f>
        <v>0</v>
      </c>
      <c r="U134">
        <f>IFERROR(SMALL(U39:U103,ROW()-ROW($U$106)+1),"")</f>
        <v>0</v>
      </c>
      <c r="V134">
        <f>IFERROR(SMALL(V39:V103,ROW()-ROW($V$106)+1),"")</f>
        <v>0</v>
      </c>
      <c r="W134">
        <f>IFERROR(SMALL(W39:W103,ROW()-ROW($W$106)+1),"")</f>
        <v>0</v>
      </c>
      <c r="X134">
        <f>IFERROR(SMALL(X39:X103,ROW()-ROW($X$106)+1),"")</f>
        <v>0</v>
      </c>
      <c r="Y134">
        <f>IFERROR(SMALL(Y39:Y103,ROW()-ROW($Y$106)+1),"")</f>
        <v>0</v>
      </c>
      <c r="Z134">
        <f>IFERROR(SMALL(Z39:Z103,ROW()-ROW($Z$106)+1),"")</f>
        <v>0</v>
      </c>
      <c r="AA134">
        <f>IFERROR(SMALL(AA39:AA103,ROW()-ROW($AA$106)+1),"")</f>
        <v>0</v>
      </c>
      <c r="AB134">
        <f>IFERROR(SMALL(AB39:AB103,ROW()-ROW($AB$106)+1),"")</f>
        <v>0</v>
      </c>
      <c r="AC134">
        <f>IFERROR(SMALL(AC39:AC103,ROW()-ROW($AC$106)+1),"")</f>
        <v>0</v>
      </c>
      <c r="AD134">
        <f>IFERROR(SMALL(AD39:AD103,ROW()-ROW($AD$106)+1),"")</f>
        <v>0</v>
      </c>
      <c r="AE134">
        <f>IFERROR(SMALL(AE39:AE103,ROW()-ROW($AE$106)+1),"")</f>
        <v>0</v>
      </c>
      <c r="AF134">
        <f>IFERROR(SMALL(AF39:AF103,ROW()-ROW($AF$106)+1),"")</f>
        <v>0</v>
      </c>
      <c r="AG134">
        <f>IFERROR(SMALL(AG39:AG103,ROW()-ROW($AG$106)+1),"")</f>
        <v>0</v>
      </c>
      <c r="AH134">
        <f>IFERROR(SMALL(AH39:AH103,ROW()-ROW($AH$106)+1),"")</f>
        <v>0</v>
      </c>
      <c r="AI134">
        <f>IFERROR(SMALL(AI39:AI103,ROW()-ROW($AI$106)+1),"")</f>
        <v>0</v>
      </c>
      <c r="AJ134">
        <f>IFERROR(SMALL(AJ39:AJ103,ROW()-ROW($AJ$106)+1),"")</f>
        <v>0</v>
      </c>
      <c r="AK134">
        <f>IFERROR(SMALL(AK39:AK103,ROW()-ROW($AK$106)+1),"")</f>
        <v>0</v>
      </c>
      <c r="AL134">
        <f>IFERROR(SMALL(AL39:AL103,ROW()-ROW($AL$106)+1),"")</f>
        <v>0</v>
      </c>
      <c r="AM134">
        <f>IFERROR(SMALL(AM39:AM103,ROW()-ROW($AM$106)+1),"")</f>
        <v>0</v>
      </c>
      <c r="AN134">
        <f>IFERROR(SMALL(AN39:AN103,ROW()-ROW($AN$106)+1),"")</f>
        <v>0</v>
      </c>
      <c r="AO134">
        <f>IFERROR(SMALL(AO39:AO103,ROW()-ROW($AO$106)+1),"")</f>
        <v>0</v>
      </c>
      <c r="AP134">
        <f>IFERROR(SMALL(AP39:AP103,ROW()-ROW($AP$106)+1),"")</f>
        <v>0</v>
      </c>
      <c r="AQ134">
        <f>IFERROR(SMALL(AQ39:AQ103,ROW()-ROW($AQ$106)+1),"")</f>
        <v>0</v>
      </c>
      <c r="AR134">
        <f>IFERROR(SMALL(AR39:AR103,ROW()-ROW($AR$106)+1),"")</f>
        <v>0</v>
      </c>
      <c r="AS134">
        <f>IFERROR(SMALL(AS39:AS103,ROW()-ROW($AS$106)+1),"")</f>
        <v>0</v>
      </c>
      <c r="AT134">
        <f>IFERROR(SMALL(AT39:AT103,ROW()-ROW($AT$106)+1),"")</f>
        <v>0</v>
      </c>
      <c r="AU134">
        <f>IFERROR(SMALL(AU39:AU103,ROW()-ROW($AU$106)+1),"")</f>
        <v>0</v>
      </c>
      <c r="AV134">
        <f>IFERROR(SMALL(AV39:AV103,ROW()-ROW($AV$106)+1),"")</f>
        <v>0</v>
      </c>
      <c r="AW134">
        <f>IFERROR(SMALL(AW39:AW103,ROW()-ROW($AW$106)+1),"")</f>
        <v>0</v>
      </c>
      <c r="AX134">
        <f>IFERROR(SMALL(AX39:AX103,ROW()-ROW($AX$106)+1),"")</f>
        <v>0</v>
      </c>
      <c r="AY134">
        <f>IFERROR(SMALL(AY39:AY103,ROW()-ROW($AY$106)+1),"")</f>
        <v>0</v>
      </c>
      <c r="AZ134">
        <f>IFERROR(SMALL(AZ39:AZ103,ROW()-ROW($AZ$106)+1),"")</f>
        <v>0</v>
      </c>
      <c r="BA134">
        <f>IFERROR(SMALL(BA39:BA103,ROW()-ROW($BA$106)+1),"")</f>
        <v>0</v>
      </c>
      <c r="BB134">
        <f>IFERROR(SMALL(BB39:BB103,ROW()-ROW($BB$106)+1),"")</f>
        <v>0</v>
      </c>
      <c r="BC134">
        <f>IFERROR(SMALL(BC39:BC103,ROW()-ROW($BC$106)+1),"")</f>
        <v>0</v>
      </c>
      <c r="BD134">
        <f>IFERROR(SMALL(BD39:BD103,ROW()-ROW($BD$106)+1),"")</f>
        <v>0</v>
      </c>
      <c r="BE134">
        <f>IFERROR(SMALL(BE39:BE103,ROW()-ROW($BE$106)+1),"")</f>
        <v>0</v>
      </c>
      <c r="BF134">
        <f>IFERROR(SMALL(BF39:BF103,ROW()-ROW($BF$106)+1),"")</f>
        <v>0</v>
      </c>
      <c r="BG134">
        <f>IFERROR(SMALL(BG39:BG103,ROW()-ROW($BG$106)+1),"")</f>
        <v>0</v>
      </c>
      <c r="BH134">
        <f>IFERROR(SMALL(BH39:BH103,ROW()-ROW($BH$106)+1),"")</f>
        <v>0</v>
      </c>
      <c r="BI134">
        <f>IFERROR(SMALL(BI39:BI103,ROW()-ROW($BI$106)+1),"")</f>
        <v>0</v>
      </c>
      <c r="BJ134">
        <f>IFERROR(SMALL(BJ39:BJ103,ROW()-ROW($BJ$106)+1),"")</f>
        <v>0</v>
      </c>
      <c r="BK134">
        <f>IFERROR(SMALL(BK39:BK103,ROW()-ROW($BK$106)+1),"")</f>
        <v>0</v>
      </c>
      <c r="BL134">
        <f>IFERROR(SMALL(BL39:BL103,ROW()-ROW($BL$106)+1),"")</f>
        <v>0</v>
      </c>
      <c r="BM134">
        <f>IFERROR(SMALL(BM39:BM103,ROW()-ROW($BM$106)+1),"")</f>
        <v>0</v>
      </c>
      <c r="BN134">
        <f>IFERROR(SMALL(BN39:BN103,ROW()-ROW($BN$106)+1),"")</f>
        <v>0</v>
      </c>
      <c r="BO134">
        <f>IFERROR(SMALL(BO39:BO103,ROW()-ROW($BO$106)+1),"")</f>
        <v>0</v>
      </c>
      <c r="BP134">
        <f>IFERROR(SMALL(BP39:BP103,ROW()-ROW($BP$106)+1),"")</f>
        <v>0</v>
      </c>
      <c r="BS134">
        <f>IFERROR(SMALL(BS39:BS103,ROW()-ROW($BS$106)+1),"")</f>
        <v>0</v>
      </c>
      <c r="BT134">
        <f>IFERROR(SMALL(BT39:BT103,ROW()-ROW($BT$106)+1),"")</f>
        <v>0</v>
      </c>
      <c r="BU134">
        <f>IFERROR(SMALL(BU39:BU103,ROW()-ROW($BU$106)+1),"")</f>
        <v>0</v>
      </c>
      <c r="BV134">
        <f>IFERROR(SMALL(BV39:BV103,ROW()-ROW($BV$106)+1),"")</f>
        <v>0</v>
      </c>
      <c r="BW134">
        <f>IFERROR(SMALL(BW39:BW103,ROW()-ROW($BW$106)+1),"")</f>
        <v>0</v>
      </c>
      <c r="BX134">
        <f>IFERROR(SMALL(BX39:BX103,ROW()-ROW($BX$106)+1),"")</f>
        <v>0</v>
      </c>
      <c r="BY134">
        <f>IFERROR(SMALL(BY39:BY103,ROW()-ROW($BY$106)+1),"")</f>
        <v>0</v>
      </c>
      <c r="BZ134">
        <f>IFERROR(SMALL(BZ39:BZ103,ROW()-ROW($BZ$106)+1),"")</f>
        <v>0</v>
      </c>
      <c r="CA134">
        <f>IFERROR(SMALL(CA39:CA103,ROW()-ROW($CA$106)+1),"")</f>
        <v>0</v>
      </c>
      <c r="CB134">
        <f>IFERROR(SMALL(CB39:CB103,ROW()-ROW($CB$106)+1),"")</f>
        <v>0</v>
      </c>
      <c r="CC134">
        <f>IFERROR(SMALL(CC39:CC103,ROW()-ROW($CC$106)+1),"")</f>
        <v>0</v>
      </c>
      <c r="CD134">
        <f>IFERROR(SMALL(CD39:CD103,ROW()-ROW($CD$106)+1),"")</f>
        <v>0</v>
      </c>
      <c r="CE134">
        <f>IFERROR(SMALL(CE39:CE103,ROW()-ROW($CE$106)+1),"")</f>
        <v>0</v>
      </c>
      <c r="CF134">
        <f>IFERROR(SMALL(CF39:CF103,ROW()-ROW($CF$106)+1),"")</f>
        <v>0</v>
      </c>
      <c r="CG134">
        <f>IFERROR(SMALL(CG39:CG103,ROW()-ROW($CG$106)+1),"")</f>
        <v>0</v>
      </c>
      <c r="CH134">
        <f>IFERROR(SMALL(CH39:CH103,ROW()-ROW($CH$106)+1),"")</f>
        <v>0</v>
      </c>
      <c r="CI134">
        <f>IFERROR(SMALL(CI39:CI103,ROW()-ROW($CI$106)+1),"")</f>
        <v>0</v>
      </c>
      <c r="CJ134">
        <f>IFERROR(SMALL(CJ39:CJ103,ROW()-ROW($CJ$106)+1),"")</f>
        <v>0</v>
      </c>
      <c r="CK134">
        <f>IFERROR(SMALL(CK39:CK103,ROW()-ROW($CK$106)+1),"")</f>
        <v>0</v>
      </c>
      <c r="CL134">
        <f>IFERROR(SMALL(CL39:CL103,ROW()-ROW($CL$106)+1),"")</f>
        <v>0</v>
      </c>
      <c r="CM134">
        <f>IFERROR(SMALL(CM39:CM103,ROW()-ROW($CM$106)+1),"")</f>
        <v>0</v>
      </c>
      <c r="CN134">
        <f>IFERROR(SMALL(CN39:CN103,ROW()-ROW($CN$106)+1),"")</f>
        <v>0</v>
      </c>
      <c r="CO134">
        <f>IFERROR(SMALL(CO39:CO103,ROW()-ROW($CO$106)+1),"")</f>
        <v>0</v>
      </c>
      <c r="CP134">
        <f>IFERROR(SMALL(CP39:CP103,ROW()-ROW($CP$106)+1),"")</f>
        <v>0</v>
      </c>
      <c r="CQ134">
        <f>IFERROR(SMALL(CQ39:CQ103,ROW()-ROW($CQ$106)+1),"")</f>
        <v>0</v>
      </c>
      <c r="CR134">
        <f>IFERROR(SMALL(CR39:CR103,ROW()-ROW($CR$106)+1),"")</f>
        <v>0</v>
      </c>
      <c r="CS134">
        <f>IFERROR(SMALL(CS39:CS103,ROW()-ROW($CS$106)+1),"")</f>
        <v>0</v>
      </c>
      <c r="CT134">
        <f>IFERROR(SMALL(CT39:CT103,ROW()-ROW($CT$106)+1),"")</f>
        <v>0</v>
      </c>
      <c r="CU134">
        <f>IFERROR(SMALL(CU39:CU103,ROW()-ROW($CU$106)+1),"")</f>
        <v>0</v>
      </c>
      <c r="CV134">
        <f>IFERROR(SMALL(CV39:CV103,ROW()-ROW($CV$106)+1),"")</f>
        <v>0</v>
      </c>
      <c r="CW134">
        <f>IFERROR(SMALL(CW39:CW103,ROW()-ROW($CW$106)+1),"")</f>
        <v>0</v>
      </c>
      <c r="CX134">
        <f>IFERROR(SMALL(CX39:CX103,ROW()-ROW($CX$106)+1),"")</f>
        <v>0</v>
      </c>
      <c r="CY134">
        <f>IFERROR(SMALL(CY39:CY103,ROW()-ROW($CY$106)+1),"")</f>
        <v>0</v>
      </c>
      <c r="CZ134">
        <f>IFERROR(SMALL(CZ39:CZ103,ROW()-ROW($CZ$106)+1),"")</f>
        <v>0</v>
      </c>
      <c r="DA134">
        <f>IFERROR(SMALL(DA39:DA103,ROW()-ROW($DA$106)+1),"")</f>
        <v>0</v>
      </c>
      <c r="DB134">
        <f>IFERROR(SMALL(DB39:DB103,ROW()-ROW($DB$106)+1),"")</f>
        <v>0</v>
      </c>
      <c r="DC134">
        <f>IFERROR(SMALL(DC39:DC103,ROW()-ROW($DC$106)+1),"")</f>
        <v>0</v>
      </c>
      <c r="DD134">
        <f>IFERROR(SMALL(DD39:DD103,ROW()-ROW($DD$106)+1),"")</f>
        <v>0</v>
      </c>
      <c r="DE134">
        <f>IFERROR(SMALL(DE39:DE103,ROW()-ROW($DE$106)+1),"")</f>
        <v>0</v>
      </c>
      <c r="DF134">
        <f>IFERROR(SMALL(DF39:DF103,ROW()-ROW($DF$106)+1),"")</f>
        <v>0</v>
      </c>
      <c r="DG134">
        <f>IFERROR(SMALL(DG39:DG103,ROW()-ROW($DG$106)+1),"")</f>
        <v>0</v>
      </c>
      <c r="DH134">
        <f>IFERROR(SMALL(DH39:DH103,ROW()-ROW($DH$106)+1),"")</f>
        <v>0</v>
      </c>
      <c r="DI134">
        <f>IFERROR(SMALL(DI39:DI103,ROW()-ROW($DI$106)+1),"")</f>
        <v>0</v>
      </c>
      <c r="DJ134">
        <f>IFERROR(SMALL(DJ39:DJ103,ROW()-ROW($DJ$106)+1),"")</f>
        <v>0</v>
      </c>
      <c r="DK134">
        <f>IFERROR(SMALL(DK39:DK103,ROW()-ROW($DK$106)+1),"")</f>
        <v>0</v>
      </c>
      <c r="DL134">
        <f>IFERROR(SMALL(DL39:DL103,ROW()-ROW($DL$106)+1),"")</f>
        <v>0</v>
      </c>
      <c r="DM134">
        <f>IFERROR(SMALL(DM39:DM103,ROW()-ROW($DM$106)+1),"")</f>
        <v>0</v>
      </c>
      <c r="DN134">
        <f>IFERROR(SMALL(DN39:DN103,ROW()-ROW($DN$106)+1),"")</f>
        <v>0</v>
      </c>
      <c r="DO134">
        <f>IFERROR(SMALL(DO39:DO103,ROW()-ROW($DO$106)+1),"")</f>
        <v>0</v>
      </c>
      <c r="DP134">
        <f>IFERROR(SMALL(DP39:DP103,ROW()-ROW($DP$106)+1),"")</f>
        <v>0</v>
      </c>
      <c r="DQ134">
        <f>IFERROR(SMALL(DQ39:DQ103,ROW()-ROW($DQ$106)+1),"")</f>
        <v>0</v>
      </c>
      <c r="DR134">
        <f>IFERROR(SMALL(DR39:DR103,ROW()-ROW($DR$106)+1),"")</f>
        <v>0</v>
      </c>
      <c r="DS134">
        <f>IFERROR(SMALL(DS39:DS103,ROW()-ROW($DS$106)+1),"")</f>
        <v>0</v>
      </c>
      <c r="DT134">
        <f>IFERROR(SMALL(DT39:DT103,ROW()-ROW($DT$106)+1),"")</f>
        <v>0</v>
      </c>
      <c r="DU134">
        <f>IFERROR(SMALL(DU39:DU103,ROW()-ROW($DU$106)+1),"")</f>
        <v>0</v>
      </c>
      <c r="DV134">
        <f>IFERROR(SMALL(DV39:DV103,ROW()-ROW($DV$106)+1),"")</f>
        <v>0</v>
      </c>
      <c r="DW134">
        <f>IFERROR(SMALL(DW39:DW103,ROW()-ROW($DW$106)+1),"")</f>
        <v>0</v>
      </c>
      <c r="DX134">
        <f>IFERROR(SMALL(DX39:DX103,ROW()-ROW($DX$106)+1),"")</f>
        <v>0</v>
      </c>
      <c r="DY134">
        <f>IFERROR(SMALL(DY39:DY103,ROW()-ROW($DY$106)+1),"")</f>
        <v>0</v>
      </c>
      <c r="DZ134">
        <f>IFERROR(SMALL(DZ39:DZ103,ROW()-ROW($DZ$106)+1),"")</f>
        <v>0</v>
      </c>
      <c r="EA134">
        <f>IFERROR(SMALL(EA39:EA103,ROW()-ROW($EA$106)+1),"")</f>
        <v>0</v>
      </c>
      <c r="EB134">
        <f>IFERROR(SMALL(EB39:EB103,ROW()-ROW($EB$106)+1),"")</f>
        <v>0</v>
      </c>
      <c r="EC134">
        <f>IFERROR(SMALL(EC39:EC103,ROW()-ROW($EC$106)+1),"")</f>
        <v>0</v>
      </c>
      <c r="ED134">
        <f>IFERROR(SMALL(ED39:ED103,ROW()-ROW($ED$106)+1),"")</f>
        <v>0</v>
      </c>
    </row>
    <row r="135" spans="5:134">
      <c r="E135">
        <f>IFERROR(SMALL(E39:E103,ROW()-ROW($E$106)+1),"")</f>
        <v>0</v>
      </c>
      <c r="F135">
        <f>IFERROR(SMALL(F39:F103,ROW()-ROW($F$106)+1),"")</f>
        <v>0</v>
      </c>
      <c r="G135">
        <f>IFERROR(SMALL(G39:G103,ROW()-ROW($G$106)+1),"")</f>
        <v>0</v>
      </c>
      <c r="H135">
        <f>IFERROR(SMALL(H39:H103,ROW()-ROW($H$106)+1),"")</f>
        <v>0</v>
      </c>
      <c r="I135">
        <f>IFERROR(SMALL(I39:I103,ROW()-ROW($I$106)+1),"")</f>
        <v>0</v>
      </c>
      <c r="J135">
        <f>IFERROR(SMALL(J39:J103,ROW()-ROW($J$106)+1),"")</f>
        <v>0</v>
      </c>
      <c r="K135">
        <f>IFERROR(SMALL(K39:K103,ROW()-ROW($K$106)+1),"")</f>
        <v>0</v>
      </c>
      <c r="L135">
        <f>IFERROR(SMALL(L39:L103,ROW()-ROW($L$106)+1),"")</f>
        <v>0</v>
      </c>
      <c r="M135">
        <f>IFERROR(SMALL(M39:M103,ROW()-ROW($M$106)+1),"")</f>
        <v>0</v>
      </c>
      <c r="N135">
        <f>IFERROR(SMALL(N39:N103,ROW()-ROW($N$106)+1),"")</f>
        <v>0</v>
      </c>
      <c r="O135">
        <f>IFERROR(SMALL(O39:O103,ROW()-ROW($O$106)+1),"")</f>
        <v>0</v>
      </c>
      <c r="P135">
        <f>IFERROR(SMALL(P39:P103,ROW()-ROW($P$106)+1),"")</f>
        <v>0</v>
      </c>
      <c r="Q135">
        <f>IFERROR(SMALL(Q39:Q103,ROW()-ROW($Q$106)+1),"")</f>
        <v>0</v>
      </c>
      <c r="R135">
        <f>IFERROR(SMALL(R39:R103,ROW()-ROW($R$106)+1),"")</f>
        <v>0</v>
      </c>
      <c r="S135">
        <f>IFERROR(SMALL(S39:S103,ROW()-ROW($S$106)+1),"")</f>
        <v>0</v>
      </c>
      <c r="T135">
        <f>IFERROR(SMALL(T39:T103,ROW()-ROW($T$106)+1),"")</f>
        <v>0</v>
      </c>
      <c r="U135">
        <f>IFERROR(SMALL(U39:U103,ROW()-ROW($U$106)+1),"")</f>
        <v>0</v>
      </c>
      <c r="V135">
        <f>IFERROR(SMALL(V39:V103,ROW()-ROW($V$106)+1),"")</f>
        <v>0</v>
      </c>
      <c r="W135">
        <f>IFERROR(SMALL(W39:W103,ROW()-ROW($W$106)+1),"")</f>
        <v>0</v>
      </c>
      <c r="X135">
        <f>IFERROR(SMALL(X39:X103,ROW()-ROW($X$106)+1),"")</f>
        <v>0</v>
      </c>
      <c r="Y135">
        <f>IFERROR(SMALL(Y39:Y103,ROW()-ROW($Y$106)+1),"")</f>
        <v>0</v>
      </c>
      <c r="Z135">
        <f>IFERROR(SMALL(Z39:Z103,ROW()-ROW($Z$106)+1),"")</f>
        <v>0</v>
      </c>
      <c r="AA135">
        <f>IFERROR(SMALL(AA39:AA103,ROW()-ROW($AA$106)+1),"")</f>
        <v>0</v>
      </c>
      <c r="AB135">
        <f>IFERROR(SMALL(AB39:AB103,ROW()-ROW($AB$106)+1),"")</f>
        <v>0</v>
      </c>
      <c r="AC135">
        <f>IFERROR(SMALL(AC39:AC103,ROW()-ROW($AC$106)+1),"")</f>
        <v>0</v>
      </c>
      <c r="AD135">
        <f>IFERROR(SMALL(AD39:AD103,ROW()-ROW($AD$106)+1),"")</f>
        <v>0</v>
      </c>
      <c r="AE135">
        <f>IFERROR(SMALL(AE39:AE103,ROW()-ROW($AE$106)+1),"")</f>
        <v>0</v>
      </c>
      <c r="AF135">
        <f>IFERROR(SMALL(AF39:AF103,ROW()-ROW($AF$106)+1),"")</f>
        <v>0</v>
      </c>
      <c r="AG135">
        <f>IFERROR(SMALL(AG39:AG103,ROW()-ROW($AG$106)+1),"")</f>
        <v>0</v>
      </c>
      <c r="AH135">
        <f>IFERROR(SMALL(AH39:AH103,ROW()-ROW($AH$106)+1),"")</f>
        <v>0</v>
      </c>
      <c r="AI135">
        <f>IFERROR(SMALL(AI39:AI103,ROW()-ROW($AI$106)+1),"")</f>
        <v>0</v>
      </c>
      <c r="AJ135">
        <f>IFERROR(SMALL(AJ39:AJ103,ROW()-ROW($AJ$106)+1),"")</f>
        <v>0</v>
      </c>
      <c r="AK135">
        <f>IFERROR(SMALL(AK39:AK103,ROW()-ROW($AK$106)+1),"")</f>
        <v>0</v>
      </c>
      <c r="AL135">
        <f>IFERROR(SMALL(AL39:AL103,ROW()-ROW($AL$106)+1),"")</f>
        <v>0</v>
      </c>
      <c r="AM135">
        <f>IFERROR(SMALL(AM39:AM103,ROW()-ROW($AM$106)+1),"")</f>
        <v>0</v>
      </c>
      <c r="AN135">
        <f>IFERROR(SMALL(AN39:AN103,ROW()-ROW($AN$106)+1),"")</f>
        <v>0</v>
      </c>
      <c r="AO135">
        <f>IFERROR(SMALL(AO39:AO103,ROW()-ROW($AO$106)+1),"")</f>
        <v>0</v>
      </c>
      <c r="AP135">
        <f>IFERROR(SMALL(AP39:AP103,ROW()-ROW($AP$106)+1),"")</f>
        <v>0</v>
      </c>
      <c r="AQ135">
        <f>IFERROR(SMALL(AQ39:AQ103,ROW()-ROW($AQ$106)+1),"")</f>
        <v>0</v>
      </c>
      <c r="AR135">
        <f>IFERROR(SMALL(AR39:AR103,ROW()-ROW($AR$106)+1),"")</f>
        <v>0</v>
      </c>
      <c r="AS135">
        <f>IFERROR(SMALL(AS39:AS103,ROW()-ROW($AS$106)+1),"")</f>
        <v>0</v>
      </c>
      <c r="AT135">
        <f>IFERROR(SMALL(AT39:AT103,ROW()-ROW($AT$106)+1),"")</f>
        <v>0</v>
      </c>
      <c r="AU135">
        <f>IFERROR(SMALL(AU39:AU103,ROW()-ROW($AU$106)+1),"")</f>
        <v>0</v>
      </c>
      <c r="AV135">
        <f>IFERROR(SMALL(AV39:AV103,ROW()-ROW($AV$106)+1),"")</f>
        <v>0</v>
      </c>
      <c r="AW135">
        <f>IFERROR(SMALL(AW39:AW103,ROW()-ROW($AW$106)+1),"")</f>
        <v>0</v>
      </c>
      <c r="AX135">
        <f>IFERROR(SMALL(AX39:AX103,ROW()-ROW($AX$106)+1),"")</f>
        <v>0</v>
      </c>
      <c r="AY135">
        <f>IFERROR(SMALL(AY39:AY103,ROW()-ROW($AY$106)+1),"")</f>
        <v>0</v>
      </c>
      <c r="AZ135">
        <f>IFERROR(SMALL(AZ39:AZ103,ROW()-ROW($AZ$106)+1),"")</f>
        <v>0</v>
      </c>
      <c r="BA135">
        <f>IFERROR(SMALL(BA39:BA103,ROW()-ROW($BA$106)+1),"")</f>
        <v>0</v>
      </c>
      <c r="BB135">
        <f>IFERROR(SMALL(BB39:BB103,ROW()-ROW($BB$106)+1),"")</f>
        <v>0</v>
      </c>
      <c r="BC135">
        <f>IFERROR(SMALL(BC39:BC103,ROW()-ROW($BC$106)+1),"")</f>
        <v>0</v>
      </c>
      <c r="BD135">
        <f>IFERROR(SMALL(BD39:BD103,ROW()-ROW($BD$106)+1),"")</f>
        <v>0</v>
      </c>
      <c r="BE135">
        <f>IFERROR(SMALL(BE39:BE103,ROW()-ROW($BE$106)+1),"")</f>
        <v>0</v>
      </c>
      <c r="BF135">
        <f>IFERROR(SMALL(BF39:BF103,ROW()-ROW($BF$106)+1),"")</f>
        <v>0</v>
      </c>
      <c r="BG135">
        <f>IFERROR(SMALL(BG39:BG103,ROW()-ROW($BG$106)+1),"")</f>
        <v>0</v>
      </c>
      <c r="BH135">
        <f>IFERROR(SMALL(BH39:BH103,ROW()-ROW($BH$106)+1),"")</f>
        <v>0</v>
      </c>
      <c r="BI135">
        <f>IFERROR(SMALL(BI39:BI103,ROW()-ROW($BI$106)+1),"")</f>
        <v>0</v>
      </c>
      <c r="BJ135">
        <f>IFERROR(SMALL(BJ39:BJ103,ROW()-ROW($BJ$106)+1),"")</f>
        <v>0</v>
      </c>
      <c r="BK135">
        <f>IFERROR(SMALL(BK39:BK103,ROW()-ROW($BK$106)+1),"")</f>
        <v>0</v>
      </c>
      <c r="BL135">
        <f>IFERROR(SMALL(BL39:BL103,ROW()-ROW($BL$106)+1),"")</f>
        <v>0</v>
      </c>
      <c r="BM135">
        <f>IFERROR(SMALL(BM39:BM103,ROW()-ROW($BM$106)+1),"")</f>
        <v>0</v>
      </c>
      <c r="BN135">
        <f>IFERROR(SMALL(BN39:BN103,ROW()-ROW($BN$106)+1),"")</f>
        <v>0</v>
      </c>
      <c r="BO135">
        <f>IFERROR(SMALL(BO39:BO103,ROW()-ROW($BO$106)+1),"")</f>
        <v>0</v>
      </c>
      <c r="BP135">
        <f>IFERROR(SMALL(BP39:BP103,ROW()-ROW($BP$106)+1),"")</f>
        <v>0</v>
      </c>
      <c r="BS135">
        <f>IFERROR(SMALL(BS39:BS103,ROW()-ROW($BS$106)+1),"")</f>
        <v>0</v>
      </c>
      <c r="BT135">
        <f>IFERROR(SMALL(BT39:BT103,ROW()-ROW($BT$106)+1),"")</f>
        <v>0</v>
      </c>
      <c r="BU135">
        <f>IFERROR(SMALL(BU39:BU103,ROW()-ROW($BU$106)+1),"")</f>
        <v>0</v>
      </c>
      <c r="BV135">
        <f>IFERROR(SMALL(BV39:BV103,ROW()-ROW($BV$106)+1),"")</f>
        <v>0</v>
      </c>
      <c r="BW135">
        <f>IFERROR(SMALL(BW39:BW103,ROW()-ROW($BW$106)+1),"")</f>
        <v>0</v>
      </c>
      <c r="BX135">
        <f>IFERROR(SMALL(BX39:BX103,ROW()-ROW($BX$106)+1),"")</f>
        <v>0</v>
      </c>
      <c r="BY135">
        <f>IFERROR(SMALL(BY39:BY103,ROW()-ROW($BY$106)+1),"")</f>
        <v>0</v>
      </c>
      <c r="BZ135">
        <f>IFERROR(SMALL(BZ39:BZ103,ROW()-ROW($BZ$106)+1),"")</f>
        <v>0</v>
      </c>
      <c r="CA135">
        <f>IFERROR(SMALL(CA39:CA103,ROW()-ROW($CA$106)+1),"")</f>
        <v>0</v>
      </c>
      <c r="CB135">
        <f>IFERROR(SMALL(CB39:CB103,ROW()-ROW($CB$106)+1),"")</f>
        <v>0</v>
      </c>
      <c r="CC135">
        <f>IFERROR(SMALL(CC39:CC103,ROW()-ROW($CC$106)+1),"")</f>
        <v>0</v>
      </c>
      <c r="CD135">
        <f>IFERROR(SMALL(CD39:CD103,ROW()-ROW($CD$106)+1),"")</f>
        <v>0</v>
      </c>
      <c r="CE135">
        <f>IFERROR(SMALL(CE39:CE103,ROW()-ROW($CE$106)+1),"")</f>
        <v>0</v>
      </c>
      <c r="CF135">
        <f>IFERROR(SMALL(CF39:CF103,ROW()-ROW($CF$106)+1),"")</f>
        <v>0</v>
      </c>
      <c r="CG135">
        <f>IFERROR(SMALL(CG39:CG103,ROW()-ROW($CG$106)+1),"")</f>
        <v>0</v>
      </c>
      <c r="CH135">
        <f>IFERROR(SMALL(CH39:CH103,ROW()-ROW($CH$106)+1),"")</f>
        <v>0</v>
      </c>
      <c r="CI135">
        <f>IFERROR(SMALL(CI39:CI103,ROW()-ROW($CI$106)+1),"")</f>
        <v>0</v>
      </c>
      <c r="CJ135">
        <f>IFERROR(SMALL(CJ39:CJ103,ROW()-ROW($CJ$106)+1),"")</f>
        <v>0</v>
      </c>
      <c r="CK135">
        <f>IFERROR(SMALL(CK39:CK103,ROW()-ROW($CK$106)+1),"")</f>
        <v>0</v>
      </c>
      <c r="CL135">
        <f>IFERROR(SMALL(CL39:CL103,ROW()-ROW($CL$106)+1),"")</f>
        <v>0</v>
      </c>
      <c r="CM135">
        <f>IFERROR(SMALL(CM39:CM103,ROW()-ROW($CM$106)+1),"")</f>
        <v>0</v>
      </c>
      <c r="CN135">
        <f>IFERROR(SMALL(CN39:CN103,ROW()-ROW($CN$106)+1),"")</f>
        <v>0</v>
      </c>
      <c r="CO135">
        <f>IFERROR(SMALL(CO39:CO103,ROW()-ROW($CO$106)+1),"")</f>
        <v>0</v>
      </c>
      <c r="CP135">
        <f>IFERROR(SMALL(CP39:CP103,ROW()-ROW($CP$106)+1),"")</f>
        <v>0</v>
      </c>
      <c r="CQ135">
        <f>IFERROR(SMALL(CQ39:CQ103,ROW()-ROW($CQ$106)+1),"")</f>
        <v>0</v>
      </c>
      <c r="CR135">
        <f>IFERROR(SMALL(CR39:CR103,ROW()-ROW($CR$106)+1),"")</f>
        <v>0</v>
      </c>
      <c r="CS135">
        <f>IFERROR(SMALL(CS39:CS103,ROW()-ROW($CS$106)+1),"")</f>
        <v>0</v>
      </c>
      <c r="CT135">
        <f>IFERROR(SMALL(CT39:CT103,ROW()-ROW($CT$106)+1),"")</f>
        <v>0</v>
      </c>
      <c r="CU135">
        <f>IFERROR(SMALL(CU39:CU103,ROW()-ROW($CU$106)+1),"")</f>
        <v>0</v>
      </c>
      <c r="CV135">
        <f>IFERROR(SMALL(CV39:CV103,ROW()-ROW($CV$106)+1),"")</f>
        <v>0</v>
      </c>
      <c r="CW135">
        <f>IFERROR(SMALL(CW39:CW103,ROW()-ROW($CW$106)+1),"")</f>
        <v>0</v>
      </c>
      <c r="CX135">
        <f>IFERROR(SMALL(CX39:CX103,ROW()-ROW($CX$106)+1),"")</f>
        <v>0</v>
      </c>
      <c r="CY135">
        <f>IFERROR(SMALL(CY39:CY103,ROW()-ROW($CY$106)+1),"")</f>
        <v>0</v>
      </c>
      <c r="CZ135">
        <f>IFERROR(SMALL(CZ39:CZ103,ROW()-ROW($CZ$106)+1),"")</f>
        <v>0</v>
      </c>
      <c r="DA135">
        <f>IFERROR(SMALL(DA39:DA103,ROW()-ROW($DA$106)+1),"")</f>
        <v>0</v>
      </c>
      <c r="DB135">
        <f>IFERROR(SMALL(DB39:DB103,ROW()-ROW($DB$106)+1),"")</f>
        <v>0</v>
      </c>
      <c r="DC135">
        <f>IFERROR(SMALL(DC39:DC103,ROW()-ROW($DC$106)+1),"")</f>
        <v>0</v>
      </c>
      <c r="DD135">
        <f>IFERROR(SMALL(DD39:DD103,ROW()-ROW($DD$106)+1),"")</f>
        <v>0</v>
      </c>
      <c r="DE135">
        <f>IFERROR(SMALL(DE39:DE103,ROW()-ROW($DE$106)+1),"")</f>
        <v>0</v>
      </c>
      <c r="DF135">
        <f>IFERROR(SMALL(DF39:DF103,ROW()-ROW($DF$106)+1),"")</f>
        <v>0</v>
      </c>
      <c r="DG135">
        <f>IFERROR(SMALL(DG39:DG103,ROW()-ROW($DG$106)+1),"")</f>
        <v>0</v>
      </c>
      <c r="DH135">
        <f>IFERROR(SMALL(DH39:DH103,ROW()-ROW($DH$106)+1),"")</f>
        <v>0</v>
      </c>
      <c r="DI135">
        <f>IFERROR(SMALL(DI39:DI103,ROW()-ROW($DI$106)+1),"")</f>
        <v>0</v>
      </c>
      <c r="DJ135">
        <f>IFERROR(SMALL(DJ39:DJ103,ROW()-ROW($DJ$106)+1),"")</f>
        <v>0</v>
      </c>
      <c r="DK135">
        <f>IFERROR(SMALL(DK39:DK103,ROW()-ROW($DK$106)+1),"")</f>
        <v>0</v>
      </c>
      <c r="DL135">
        <f>IFERROR(SMALL(DL39:DL103,ROW()-ROW($DL$106)+1),"")</f>
        <v>0</v>
      </c>
      <c r="DM135">
        <f>IFERROR(SMALL(DM39:DM103,ROW()-ROW($DM$106)+1),"")</f>
        <v>0</v>
      </c>
      <c r="DN135">
        <f>IFERROR(SMALL(DN39:DN103,ROW()-ROW($DN$106)+1),"")</f>
        <v>0</v>
      </c>
      <c r="DO135">
        <f>IFERROR(SMALL(DO39:DO103,ROW()-ROW($DO$106)+1),"")</f>
        <v>0</v>
      </c>
      <c r="DP135">
        <f>IFERROR(SMALL(DP39:DP103,ROW()-ROW($DP$106)+1),"")</f>
        <v>0</v>
      </c>
      <c r="DQ135">
        <f>IFERROR(SMALL(DQ39:DQ103,ROW()-ROW($DQ$106)+1),"")</f>
        <v>0</v>
      </c>
      <c r="DR135">
        <f>IFERROR(SMALL(DR39:DR103,ROW()-ROW($DR$106)+1),"")</f>
        <v>0</v>
      </c>
      <c r="DS135">
        <f>IFERROR(SMALL(DS39:DS103,ROW()-ROW($DS$106)+1),"")</f>
        <v>0</v>
      </c>
      <c r="DT135">
        <f>IFERROR(SMALL(DT39:DT103,ROW()-ROW($DT$106)+1),"")</f>
        <v>0</v>
      </c>
      <c r="DU135">
        <f>IFERROR(SMALL(DU39:DU103,ROW()-ROW($DU$106)+1),"")</f>
        <v>0</v>
      </c>
      <c r="DV135">
        <f>IFERROR(SMALL(DV39:DV103,ROW()-ROW($DV$106)+1),"")</f>
        <v>0</v>
      </c>
      <c r="DW135">
        <f>IFERROR(SMALL(DW39:DW103,ROW()-ROW($DW$106)+1),"")</f>
        <v>0</v>
      </c>
      <c r="DX135">
        <f>IFERROR(SMALL(DX39:DX103,ROW()-ROW($DX$106)+1),"")</f>
        <v>0</v>
      </c>
      <c r="DY135">
        <f>IFERROR(SMALL(DY39:DY103,ROW()-ROW($DY$106)+1),"")</f>
        <v>0</v>
      </c>
      <c r="DZ135">
        <f>IFERROR(SMALL(DZ39:DZ103,ROW()-ROW($DZ$106)+1),"")</f>
        <v>0</v>
      </c>
      <c r="EA135">
        <f>IFERROR(SMALL(EA39:EA103,ROW()-ROW($EA$106)+1),"")</f>
        <v>0</v>
      </c>
      <c r="EB135">
        <f>IFERROR(SMALL(EB39:EB103,ROW()-ROW($EB$106)+1),"")</f>
        <v>0</v>
      </c>
      <c r="EC135">
        <f>IFERROR(SMALL(EC39:EC103,ROW()-ROW($EC$106)+1),"")</f>
        <v>0</v>
      </c>
      <c r="ED135">
        <f>IFERROR(SMALL(ED39:ED103,ROW()-ROW($ED$106)+1),"")</f>
        <v>0</v>
      </c>
    </row>
    <row r="136" spans="5:134">
      <c r="E136">
        <f>IFERROR(SMALL(E39:E103,ROW()-ROW($E$106)+1),"")</f>
        <v>0</v>
      </c>
      <c r="F136">
        <f>IFERROR(SMALL(F39:F103,ROW()-ROW($F$106)+1),"")</f>
        <v>0</v>
      </c>
      <c r="G136">
        <f>IFERROR(SMALL(G39:G103,ROW()-ROW($G$106)+1),"")</f>
        <v>0</v>
      </c>
      <c r="H136">
        <f>IFERROR(SMALL(H39:H103,ROW()-ROW($H$106)+1),"")</f>
        <v>0</v>
      </c>
      <c r="I136">
        <f>IFERROR(SMALL(I39:I103,ROW()-ROW($I$106)+1),"")</f>
        <v>0</v>
      </c>
      <c r="J136">
        <f>IFERROR(SMALL(J39:J103,ROW()-ROW($J$106)+1),"")</f>
        <v>0</v>
      </c>
      <c r="K136">
        <f>IFERROR(SMALL(K39:K103,ROW()-ROW($K$106)+1),"")</f>
        <v>0</v>
      </c>
      <c r="L136">
        <f>IFERROR(SMALL(L39:L103,ROW()-ROW($L$106)+1),"")</f>
        <v>0</v>
      </c>
      <c r="M136">
        <f>IFERROR(SMALL(M39:M103,ROW()-ROW($M$106)+1),"")</f>
        <v>0</v>
      </c>
      <c r="N136">
        <f>IFERROR(SMALL(N39:N103,ROW()-ROW($N$106)+1),"")</f>
        <v>0</v>
      </c>
      <c r="O136">
        <f>IFERROR(SMALL(O39:O103,ROW()-ROW($O$106)+1),"")</f>
        <v>0</v>
      </c>
      <c r="P136">
        <f>IFERROR(SMALL(P39:P103,ROW()-ROW($P$106)+1),"")</f>
        <v>0</v>
      </c>
      <c r="Q136">
        <f>IFERROR(SMALL(Q39:Q103,ROW()-ROW($Q$106)+1),"")</f>
        <v>0</v>
      </c>
      <c r="R136">
        <f>IFERROR(SMALL(R39:R103,ROW()-ROW($R$106)+1),"")</f>
        <v>0</v>
      </c>
      <c r="S136">
        <f>IFERROR(SMALL(S39:S103,ROW()-ROW($S$106)+1),"")</f>
        <v>0</v>
      </c>
      <c r="T136">
        <f>IFERROR(SMALL(T39:T103,ROW()-ROW($T$106)+1),"")</f>
        <v>0</v>
      </c>
      <c r="U136">
        <f>IFERROR(SMALL(U39:U103,ROW()-ROW($U$106)+1),"")</f>
        <v>0</v>
      </c>
      <c r="V136">
        <f>IFERROR(SMALL(V39:V103,ROW()-ROW($V$106)+1),"")</f>
        <v>0</v>
      </c>
      <c r="W136">
        <f>IFERROR(SMALL(W39:W103,ROW()-ROW($W$106)+1),"")</f>
        <v>0</v>
      </c>
      <c r="X136">
        <f>IFERROR(SMALL(X39:X103,ROW()-ROW($X$106)+1),"")</f>
        <v>0</v>
      </c>
      <c r="Y136">
        <f>IFERROR(SMALL(Y39:Y103,ROW()-ROW($Y$106)+1),"")</f>
        <v>0</v>
      </c>
      <c r="Z136">
        <f>IFERROR(SMALL(Z39:Z103,ROW()-ROW($Z$106)+1),"")</f>
        <v>0</v>
      </c>
      <c r="AA136">
        <f>IFERROR(SMALL(AA39:AA103,ROW()-ROW($AA$106)+1),"")</f>
        <v>0</v>
      </c>
      <c r="AB136">
        <f>IFERROR(SMALL(AB39:AB103,ROW()-ROW($AB$106)+1),"")</f>
        <v>0</v>
      </c>
      <c r="AC136">
        <f>IFERROR(SMALL(AC39:AC103,ROW()-ROW($AC$106)+1),"")</f>
        <v>0</v>
      </c>
      <c r="AD136">
        <f>IFERROR(SMALL(AD39:AD103,ROW()-ROW($AD$106)+1),"")</f>
        <v>0</v>
      </c>
      <c r="AE136">
        <f>IFERROR(SMALL(AE39:AE103,ROW()-ROW($AE$106)+1),"")</f>
        <v>0</v>
      </c>
      <c r="AF136">
        <f>IFERROR(SMALL(AF39:AF103,ROW()-ROW($AF$106)+1),"")</f>
        <v>0</v>
      </c>
      <c r="AG136">
        <f>IFERROR(SMALL(AG39:AG103,ROW()-ROW($AG$106)+1),"")</f>
        <v>0</v>
      </c>
      <c r="AH136">
        <f>IFERROR(SMALL(AH39:AH103,ROW()-ROW($AH$106)+1),"")</f>
        <v>0</v>
      </c>
      <c r="AI136">
        <f>IFERROR(SMALL(AI39:AI103,ROW()-ROW($AI$106)+1),"")</f>
        <v>0</v>
      </c>
      <c r="AJ136">
        <f>IFERROR(SMALL(AJ39:AJ103,ROW()-ROW($AJ$106)+1),"")</f>
        <v>0</v>
      </c>
      <c r="AK136">
        <f>IFERROR(SMALL(AK39:AK103,ROW()-ROW($AK$106)+1),"")</f>
        <v>0</v>
      </c>
      <c r="AL136">
        <f>IFERROR(SMALL(AL39:AL103,ROW()-ROW($AL$106)+1),"")</f>
        <v>0</v>
      </c>
      <c r="AM136">
        <f>IFERROR(SMALL(AM39:AM103,ROW()-ROW($AM$106)+1),"")</f>
        <v>0</v>
      </c>
      <c r="AN136">
        <f>IFERROR(SMALL(AN39:AN103,ROW()-ROW($AN$106)+1),"")</f>
        <v>0</v>
      </c>
      <c r="AO136">
        <f>IFERROR(SMALL(AO39:AO103,ROW()-ROW($AO$106)+1),"")</f>
        <v>0</v>
      </c>
      <c r="AP136">
        <f>IFERROR(SMALL(AP39:AP103,ROW()-ROW($AP$106)+1),"")</f>
        <v>0</v>
      </c>
      <c r="AQ136">
        <f>IFERROR(SMALL(AQ39:AQ103,ROW()-ROW($AQ$106)+1),"")</f>
        <v>0</v>
      </c>
      <c r="AR136">
        <f>IFERROR(SMALL(AR39:AR103,ROW()-ROW($AR$106)+1),"")</f>
        <v>0</v>
      </c>
      <c r="AS136">
        <f>IFERROR(SMALL(AS39:AS103,ROW()-ROW($AS$106)+1),"")</f>
        <v>0</v>
      </c>
      <c r="AT136">
        <f>IFERROR(SMALL(AT39:AT103,ROW()-ROW($AT$106)+1),"")</f>
        <v>0</v>
      </c>
      <c r="AU136">
        <f>IFERROR(SMALL(AU39:AU103,ROW()-ROW($AU$106)+1),"")</f>
        <v>0</v>
      </c>
      <c r="AV136">
        <f>IFERROR(SMALL(AV39:AV103,ROW()-ROW($AV$106)+1),"")</f>
        <v>0</v>
      </c>
      <c r="AW136">
        <f>IFERROR(SMALL(AW39:AW103,ROW()-ROW($AW$106)+1),"")</f>
        <v>0</v>
      </c>
      <c r="AX136">
        <f>IFERROR(SMALL(AX39:AX103,ROW()-ROW($AX$106)+1),"")</f>
        <v>0</v>
      </c>
      <c r="AY136">
        <f>IFERROR(SMALL(AY39:AY103,ROW()-ROW($AY$106)+1),"")</f>
        <v>0</v>
      </c>
      <c r="AZ136">
        <f>IFERROR(SMALL(AZ39:AZ103,ROW()-ROW($AZ$106)+1),"")</f>
        <v>0</v>
      </c>
      <c r="BA136">
        <f>IFERROR(SMALL(BA39:BA103,ROW()-ROW($BA$106)+1),"")</f>
        <v>0</v>
      </c>
      <c r="BB136">
        <f>IFERROR(SMALL(BB39:BB103,ROW()-ROW($BB$106)+1),"")</f>
        <v>0</v>
      </c>
      <c r="BC136">
        <f>IFERROR(SMALL(BC39:BC103,ROW()-ROW($BC$106)+1),"")</f>
        <v>0</v>
      </c>
      <c r="BD136">
        <f>IFERROR(SMALL(BD39:BD103,ROW()-ROW($BD$106)+1),"")</f>
        <v>0</v>
      </c>
      <c r="BE136">
        <f>IFERROR(SMALL(BE39:BE103,ROW()-ROW($BE$106)+1),"")</f>
        <v>0</v>
      </c>
      <c r="BF136">
        <f>IFERROR(SMALL(BF39:BF103,ROW()-ROW($BF$106)+1),"")</f>
        <v>0</v>
      </c>
      <c r="BG136">
        <f>IFERROR(SMALL(BG39:BG103,ROW()-ROW($BG$106)+1),"")</f>
        <v>0</v>
      </c>
      <c r="BH136">
        <f>IFERROR(SMALL(BH39:BH103,ROW()-ROW($BH$106)+1),"")</f>
        <v>0</v>
      </c>
      <c r="BI136">
        <f>IFERROR(SMALL(BI39:BI103,ROW()-ROW($BI$106)+1),"")</f>
        <v>0</v>
      </c>
      <c r="BJ136">
        <f>IFERROR(SMALL(BJ39:BJ103,ROW()-ROW($BJ$106)+1),"")</f>
        <v>0</v>
      </c>
      <c r="BK136">
        <f>IFERROR(SMALL(BK39:BK103,ROW()-ROW($BK$106)+1),"")</f>
        <v>0</v>
      </c>
      <c r="BL136">
        <f>IFERROR(SMALL(BL39:BL103,ROW()-ROW($BL$106)+1),"")</f>
        <v>0</v>
      </c>
      <c r="BM136">
        <f>IFERROR(SMALL(BM39:BM103,ROW()-ROW($BM$106)+1),"")</f>
        <v>0</v>
      </c>
      <c r="BN136">
        <f>IFERROR(SMALL(BN39:BN103,ROW()-ROW($BN$106)+1),"")</f>
        <v>0</v>
      </c>
      <c r="BO136">
        <f>IFERROR(SMALL(BO39:BO103,ROW()-ROW($BO$106)+1),"")</f>
        <v>0</v>
      </c>
      <c r="BP136">
        <f>IFERROR(SMALL(BP39:BP103,ROW()-ROW($BP$106)+1),"")</f>
        <v>0</v>
      </c>
      <c r="BS136">
        <f>IFERROR(SMALL(BS39:BS103,ROW()-ROW($BS$106)+1),"")</f>
        <v>0</v>
      </c>
      <c r="BT136">
        <f>IFERROR(SMALL(BT39:BT103,ROW()-ROW($BT$106)+1),"")</f>
        <v>0</v>
      </c>
      <c r="BU136">
        <f>IFERROR(SMALL(BU39:BU103,ROW()-ROW($BU$106)+1),"")</f>
        <v>0</v>
      </c>
      <c r="BV136">
        <f>IFERROR(SMALL(BV39:BV103,ROW()-ROW($BV$106)+1),"")</f>
        <v>0</v>
      </c>
      <c r="BW136">
        <f>IFERROR(SMALL(BW39:BW103,ROW()-ROW($BW$106)+1),"")</f>
        <v>0</v>
      </c>
      <c r="BX136">
        <f>IFERROR(SMALL(BX39:BX103,ROW()-ROW($BX$106)+1),"")</f>
        <v>0</v>
      </c>
      <c r="BY136">
        <f>IFERROR(SMALL(BY39:BY103,ROW()-ROW($BY$106)+1),"")</f>
        <v>0</v>
      </c>
      <c r="BZ136">
        <f>IFERROR(SMALL(BZ39:BZ103,ROW()-ROW($BZ$106)+1),"")</f>
        <v>0</v>
      </c>
      <c r="CA136">
        <f>IFERROR(SMALL(CA39:CA103,ROW()-ROW($CA$106)+1),"")</f>
        <v>0</v>
      </c>
      <c r="CB136">
        <f>IFERROR(SMALL(CB39:CB103,ROW()-ROW($CB$106)+1),"")</f>
        <v>0</v>
      </c>
      <c r="CC136">
        <f>IFERROR(SMALL(CC39:CC103,ROW()-ROW($CC$106)+1),"")</f>
        <v>0</v>
      </c>
      <c r="CD136">
        <f>IFERROR(SMALL(CD39:CD103,ROW()-ROW($CD$106)+1),"")</f>
        <v>0</v>
      </c>
      <c r="CE136">
        <f>IFERROR(SMALL(CE39:CE103,ROW()-ROW($CE$106)+1),"")</f>
        <v>0</v>
      </c>
      <c r="CF136">
        <f>IFERROR(SMALL(CF39:CF103,ROW()-ROW($CF$106)+1),"")</f>
        <v>0</v>
      </c>
      <c r="CG136">
        <f>IFERROR(SMALL(CG39:CG103,ROW()-ROW($CG$106)+1),"")</f>
        <v>0</v>
      </c>
      <c r="CH136">
        <f>IFERROR(SMALL(CH39:CH103,ROW()-ROW($CH$106)+1),"")</f>
        <v>0</v>
      </c>
      <c r="CI136">
        <f>IFERROR(SMALL(CI39:CI103,ROW()-ROW($CI$106)+1),"")</f>
        <v>0</v>
      </c>
      <c r="CJ136">
        <f>IFERROR(SMALL(CJ39:CJ103,ROW()-ROW($CJ$106)+1),"")</f>
        <v>0</v>
      </c>
      <c r="CK136">
        <f>IFERROR(SMALL(CK39:CK103,ROW()-ROW($CK$106)+1),"")</f>
        <v>0</v>
      </c>
      <c r="CL136">
        <f>IFERROR(SMALL(CL39:CL103,ROW()-ROW($CL$106)+1),"")</f>
        <v>0</v>
      </c>
      <c r="CM136">
        <f>IFERROR(SMALL(CM39:CM103,ROW()-ROW($CM$106)+1),"")</f>
        <v>0</v>
      </c>
      <c r="CN136">
        <f>IFERROR(SMALL(CN39:CN103,ROW()-ROW($CN$106)+1),"")</f>
        <v>0</v>
      </c>
      <c r="CO136">
        <f>IFERROR(SMALL(CO39:CO103,ROW()-ROW($CO$106)+1),"")</f>
        <v>0</v>
      </c>
      <c r="CP136">
        <f>IFERROR(SMALL(CP39:CP103,ROW()-ROW($CP$106)+1),"")</f>
        <v>0</v>
      </c>
      <c r="CQ136">
        <f>IFERROR(SMALL(CQ39:CQ103,ROW()-ROW($CQ$106)+1),"")</f>
        <v>0</v>
      </c>
      <c r="CR136">
        <f>IFERROR(SMALL(CR39:CR103,ROW()-ROW($CR$106)+1),"")</f>
        <v>0</v>
      </c>
      <c r="CS136">
        <f>IFERROR(SMALL(CS39:CS103,ROW()-ROW($CS$106)+1),"")</f>
        <v>0</v>
      </c>
      <c r="CT136">
        <f>IFERROR(SMALL(CT39:CT103,ROW()-ROW($CT$106)+1),"")</f>
        <v>0</v>
      </c>
      <c r="CU136">
        <f>IFERROR(SMALL(CU39:CU103,ROW()-ROW($CU$106)+1),"")</f>
        <v>0</v>
      </c>
      <c r="CV136">
        <f>IFERROR(SMALL(CV39:CV103,ROW()-ROW($CV$106)+1),"")</f>
        <v>0</v>
      </c>
      <c r="CW136">
        <f>IFERROR(SMALL(CW39:CW103,ROW()-ROW($CW$106)+1),"")</f>
        <v>0</v>
      </c>
      <c r="CX136">
        <f>IFERROR(SMALL(CX39:CX103,ROW()-ROW($CX$106)+1),"")</f>
        <v>0</v>
      </c>
      <c r="CY136">
        <f>IFERROR(SMALL(CY39:CY103,ROW()-ROW($CY$106)+1),"")</f>
        <v>0</v>
      </c>
      <c r="CZ136">
        <f>IFERROR(SMALL(CZ39:CZ103,ROW()-ROW($CZ$106)+1),"")</f>
        <v>0</v>
      </c>
      <c r="DA136">
        <f>IFERROR(SMALL(DA39:DA103,ROW()-ROW($DA$106)+1),"")</f>
        <v>0</v>
      </c>
      <c r="DB136">
        <f>IFERROR(SMALL(DB39:DB103,ROW()-ROW($DB$106)+1),"")</f>
        <v>0</v>
      </c>
      <c r="DC136">
        <f>IFERROR(SMALL(DC39:DC103,ROW()-ROW($DC$106)+1),"")</f>
        <v>0</v>
      </c>
      <c r="DD136">
        <f>IFERROR(SMALL(DD39:DD103,ROW()-ROW($DD$106)+1),"")</f>
        <v>0</v>
      </c>
      <c r="DE136">
        <f>IFERROR(SMALL(DE39:DE103,ROW()-ROW($DE$106)+1),"")</f>
        <v>0</v>
      </c>
      <c r="DF136">
        <f>IFERROR(SMALL(DF39:DF103,ROW()-ROW($DF$106)+1),"")</f>
        <v>0</v>
      </c>
      <c r="DG136">
        <f>IFERROR(SMALL(DG39:DG103,ROW()-ROW($DG$106)+1),"")</f>
        <v>0</v>
      </c>
      <c r="DH136">
        <f>IFERROR(SMALL(DH39:DH103,ROW()-ROW($DH$106)+1),"")</f>
        <v>0</v>
      </c>
      <c r="DI136">
        <f>IFERROR(SMALL(DI39:DI103,ROW()-ROW($DI$106)+1),"")</f>
        <v>0</v>
      </c>
      <c r="DJ136">
        <f>IFERROR(SMALL(DJ39:DJ103,ROW()-ROW($DJ$106)+1),"")</f>
        <v>0</v>
      </c>
      <c r="DK136">
        <f>IFERROR(SMALL(DK39:DK103,ROW()-ROW($DK$106)+1),"")</f>
        <v>0</v>
      </c>
      <c r="DL136">
        <f>IFERROR(SMALL(DL39:DL103,ROW()-ROW($DL$106)+1),"")</f>
        <v>0</v>
      </c>
      <c r="DM136">
        <f>IFERROR(SMALL(DM39:DM103,ROW()-ROW($DM$106)+1),"")</f>
        <v>0</v>
      </c>
      <c r="DN136">
        <f>IFERROR(SMALL(DN39:DN103,ROW()-ROW($DN$106)+1),"")</f>
        <v>0</v>
      </c>
      <c r="DO136">
        <f>IFERROR(SMALL(DO39:DO103,ROW()-ROW($DO$106)+1),"")</f>
        <v>0</v>
      </c>
      <c r="DP136">
        <f>IFERROR(SMALL(DP39:DP103,ROW()-ROW($DP$106)+1),"")</f>
        <v>0</v>
      </c>
      <c r="DQ136">
        <f>IFERROR(SMALL(DQ39:DQ103,ROW()-ROW($DQ$106)+1),"")</f>
        <v>0</v>
      </c>
      <c r="DR136">
        <f>IFERROR(SMALL(DR39:DR103,ROW()-ROW($DR$106)+1),"")</f>
        <v>0</v>
      </c>
      <c r="DS136">
        <f>IFERROR(SMALL(DS39:DS103,ROW()-ROW($DS$106)+1),"")</f>
        <v>0</v>
      </c>
      <c r="DT136">
        <f>IFERROR(SMALL(DT39:DT103,ROW()-ROW($DT$106)+1),"")</f>
        <v>0</v>
      </c>
      <c r="DU136">
        <f>IFERROR(SMALL(DU39:DU103,ROW()-ROW($DU$106)+1),"")</f>
        <v>0</v>
      </c>
      <c r="DV136">
        <f>IFERROR(SMALL(DV39:DV103,ROW()-ROW($DV$106)+1),"")</f>
        <v>0</v>
      </c>
      <c r="DW136">
        <f>IFERROR(SMALL(DW39:DW103,ROW()-ROW($DW$106)+1),"")</f>
        <v>0</v>
      </c>
      <c r="DX136">
        <f>IFERROR(SMALL(DX39:DX103,ROW()-ROW($DX$106)+1),"")</f>
        <v>0</v>
      </c>
      <c r="DY136">
        <f>IFERROR(SMALL(DY39:DY103,ROW()-ROW($DY$106)+1),"")</f>
        <v>0</v>
      </c>
      <c r="DZ136">
        <f>IFERROR(SMALL(DZ39:DZ103,ROW()-ROW($DZ$106)+1),"")</f>
        <v>0</v>
      </c>
      <c r="EA136">
        <f>IFERROR(SMALL(EA39:EA103,ROW()-ROW($EA$106)+1),"")</f>
        <v>0</v>
      </c>
      <c r="EB136">
        <f>IFERROR(SMALL(EB39:EB103,ROW()-ROW($EB$106)+1),"")</f>
        <v>0</v>
      </c>
      <c r="EC136">
        <f>IFERROR(SMALL(EC39:EC103,ROW()-ROW($EC$106)+1),"")</f>
        <v>0</v>
      </c>
      <c r="ED136">
        <f>IFERROR(SMALL(ED39:ED103,ROW()-ROW($ED$106)+1),"")</f>
        <v>0</v>
      </c>
    </row>
    <row r="137" spans="5:134">
      <c r="E137">
        <f>IFERROR(SMALL(E39:E103,ROW()-ROW($E$106)+1),"")</f>
        <v>0</v>
      </c>
      <c r="F137">
        <f>IFERROR(SMALL(F39:F103,ROW()-ROW($F$106)+1),"")</f>
        <v>0</v>
      </c>
      <c r="G137">
        <f>IFERROR(SMALL(G39:G103,ROW()-ROW($G$106)+1),"")</f>
        <v>0</v>
      </c>
      <c r="H137">
        <f>IFERROR(SMALL(H39:H103,ROW()-ROW($H$106)+1),"")</f>
        <v>0</v>
      </c>
      <c r="I137">
        <f>IFERROR(SMALL(I39:I103,ROW()-ROW($I$106)+1),"")</f>
        <v>0</v>
      </c>
      <c r="J137">
        <f>IFERROR(SMALL(J39:J103,ROW()-ROW($J$106)+1),"")</f>
        <v>0</v>
      </c>
      <c r="K137">
        <f>IFERROR(SMALL(K39:K103,ROW()-ROW($K$106)+1),"")</f>
        <v>0</v>
      </c>
      <c r="L137">
        <f>IFERROR(SMALL(L39:L103,ROW()-ROW($L$106)+1),"")</f>
        <v>0</v>
      </c>
      <c r="M137">
        <f>IFERROR(SMALL(M39:M103,ROW()-ROW($M$106)+1),"")</f>
        <v>0</v>
      </c>
      <c r="N137">
        <f>IFERROR(SMALL(N39:N103,ROW()-ROW($N$106)+1),"")</f>
        <v>0</v>
      </c>
      <c r="O137">
        <f>IFERROR(SMALL(O39:O103,ROW()-ROW($O$106)+1),"")</f>
        <v>0</v>
      </c>
      <c r="P137">
        <f>IFERROR(SMALL(P39:P103,ROW()-ROW($P$106)+1),"")</f>
        <v>0</v>
      </c>
      <c r="Q137">
        <f>IFERROR(SMALL(Q39:Q103,ROW()-ROW($Q$106)+1),"")</f>
        <v>0</v>
      </c>
      <c r="R137">
        <f>IFERROR(SMALL(R39:R103,ROW()-ROW($R$106)+1),"")</f>
        <v>0</v>
      </c>
      <c r="S137">
        <f>IFERROR(SMALL(S39:S103,ROW()-ROW($S$106)+1),"")</f>
        <v>0</v>
      </c>
      <c r="T137">
        <f>IFERROR(SMALL(T39:T103,ROW()-ROW($T$106)+1),"")</f>
        <v>0</v>
      </c>
      <c r="U137">
        <f>IFERROR(SMALL(U39:U103,ROW()-ROW($U$106)+1),"")</f>
        <v>0</v>
      </c>
      <c r="V137">
        <f>IFERROR(SMALL(V39:V103,ROW()-ROW($V$106)+1),"")</f>
        <v>0</v>
      </c>
      <c r="W137">
        <f>IFERROR(SMALL(W39:W103,ROW()-ROW($W$106)+1),"")</f>
        <v>0</v>
      </c>
      <c r="X137">
        <f>IFERROR(SMALL(X39:X103,ROW()-ROW($X$106)+1),"")</f>
        <v>0</v>
      </c>
      <c r="Y137">
        <f>IFERROR(SMALL(Y39:Y103,ROW()-ROW($Y$106)+1),"")</f>
        <v>0</v>
      </c>
      <c r="Z137">
        <f>IFERROR(SMALL(Z39:Z103,ROW()-ROW($Z$106)+1),"")</f>
        <v>0</v>
      </c>
      <c r="AA137">
        <f>IFERROR(SMALL(AA39:AA103,ROW()-ROW($AA$106)+1),"")</f>
        <v>0</v>
      </c>
      <c r="AB137">
        <f>IFERROR(SMALL(AB39:AB103,ROW()-ROW($AB$106)+1),"")</f>
        <v>0</v>
      </c>
      <c r="AC137">
        <f>IFERROR(SMALL(AC39:AC103,ROW()-ROW($AC$106)+1),"")</f>
        <v>0</v>
      </c>
      <c r="AD137">
        <f>IFERROR(SMALL(AD39:AD103,ROW()-ROW($AD$106)+1),"")</f>
        <v>0</v>
      </c>
      <c r="AE137">
        <f>IFERROR(SMALL(AE39:AE103,ROW()-ROW($AE$106)+1),"")</f>
        <v>0</v>
      </c>
      <c r="AF137">
        <f>IFERROR(SMALL(AF39:AF103,ROW()-ROW($AF$106)+1),"")</f>
        <v>0</v>
      </c>
      <c r="AG137">
        <f>IFERROR(SMALL(AG39:AG103,ROW()-ROW($AG$106)+1),"")</f>
        <v>0</v>
      </c>
      <c r="AH137">
        <f>IFERROR(SMALL(AH39:AH103,ROW()-ROW($AH$106)+1),"")</f>
        <v>0</v>
      </c>
      <c r="AI137">
        <f>IFERROR(SMALL(AI39:AI103,ROW()-ROW($AI$106)+1),"")</f>
        <v>0</v>
      </c>
      <c r="AJ137">
        <f>IFERROR(SMALL(AJ39:AJ103,ROW()-ROW($AJ$106)+1),"")</f>
        <v>0</v>
      </c>
      <c r="AK137">
        <f>IFERROR(SMALL(AK39:AK103,ROW()-ROW($AK$106)+1),"")</f>
        <v>0</v>
      </c>
      <c r="AL137">
        <f>IFERROR(SMALL(AL39:AL103,ROW()-ROW($AL$106)+1),"")</f>
        <v>0</v>
      </c>
      <c r="AM137">
        <f>IFERROR(SMALL(AM39:AM103,ROW()-ROW($AM$106)+1),"")</f>
        <v>0</v>
      </c>
      <c r="AN137">
        <f>IFERROR(SMALL(AN39:AN103,ROW()-ROW($AN$106)+1),"")</f>
        <v>0</v>
      </c>
      <c r="AO137">
        <f>IFERROR(SMALL(AO39:AO103,ROW()-ROW($AO$106)+1),"")</f>
        <v>0</v>
      </c>
      <c r="AP137">
        <f>IFERROR(SMALL(AP39:AP103,ROW()-ROW($AP$106)+1),"")</f>
        <v>0</v>
      </c>
      <c r="AQ137">
        <f>IFERROR(SMALL(AQ39:AQ103,ROW()-ROW($AQ$106)+1),"")</f>
        <v>0</v>
      </c>
      <c r="AR137">
        <f>IFERROR(SMALL(AR39:AR103,ROW()-ROW($AR$106)+1),"")</f>
        <v>0</v>
      </c>
      <c r="AS137">
        <f>IFERROR(SMALL(AS39:AS103,ROW()-ROW($AS$106)+1),"")</f>
        <v>0</v>
      </c>
      <c r="AT137">
        <f>IFERROR(SMALL(AT39:AT103,ROW()-ROW($AT$106)+1),"")</f>
        <v>0</v>
      </c>
      <c r="AU137">
        <f>IFERROR(SMALL(AU39:AU103,ROW()-ROW($AU$106)+1),"")</f>
        <v>0</v>
      </c>
      <c r="AV137">
        <f>IFERROR(SMALL(AV39:AV103,ROW()-ROW($AV$106)+1),"")</f>
        <v>0</v>
      </c>
      <c r="AW137">
        <f>IFERROR(SMALL(AW39:AW103,ROW()-ROW($AW$106)+1),"")</f>
        <v>0</v>
      </c>
      <c r="AX137">
        <f>IFERROR(SMALL(AX39:AX103,ROW()-ROW($AX$106)+1),"")</f>
        <v>0</v>
      </c>
      <c r="AY137">
        <f>IFERROR(SMALL(AY39:AY103,ROW()-ROW($AY$106)+1),"")</f>
        <v>0</v>
      </c>
      <c r="AZ137">
        <f>IFERROR(SMALL(AZ39:AZ103,ROW()-ROW($AZ$106)+1),"")</f>
        <v>0</v>
      </c>
      <c r="BA137">
        <f>IFERROR(SMALL(BA39:BA103,ROW()-ROW($BA$106)+1),"")</f>
        <v>0</v>
      </c>
      <c r="BB137">
        <f>IFERROR(SMALL(BB39:BB103,ROW()-ROW($BB$106)+1),"")</f>
        <v>0</v>
      </c>
      <c r="BC137">
        <f>IFERROR(SMALL(BC39:BC103,ROW()-ROW($BC$106)+1),"")</f>
        <v>0</v>
      </c>
      <c r="BD137">
        <f>IFERROR(SMALL(BD39:BD103,ROW()-ROW($BD$106)+1),"")</f>
        <v>0</v>
      </c>
      <c r="BE137">
        <f>IFERROR(SMALL(BE39:BE103,ROW()-ROW($BE$106)+1),"")</f>
        <v>0</v>
      </c>
      <c r="BF137">
        <f>IFERROR(SMALL(BF39:BF103,ROW()-ROW($BF$106)+1),"")</f>
        <v>0</v>
      </c>
      <c r="BG137">
        <f>IFERROR(SMALL(BG39:BG103,ROW()-ROW($BG$106)+1),"")</f>
        <v>0</v>
      </c>
      <c r="BH137">
        <f>IFERROR(SMALL(BH39:BH103,ROW()-ROW($BH$106)+1),"")</f>
        <v>0</v>
      </c>
      <c r="BI137">
        <f>IFERROR(SMALL(BI39:BI103,ROW()-ROW($BI$106)+1),"")</f>
        <v>0</v>
      </c>
      <c r="BJ137">
        <f>IFERROR(SMALL(BJ39:BJ103,ROW()-ROW($BJ$106)+1),"")</f>
        <v>0</v>
      </c>
      <c r="BK137">
        <f>IFERROR(SMALL(BK39:BK103,ROW()-ROW($BK$106)+1),"")</f>
        <v>0</v>
      </c>
      <c r="BL137">
        <f>IFERROR(SMALL(BL39:BL103,ROW()-ROW($BL$106)+1),"")</f>
        <v>0</v>
      </c>
      <c r="BM137">
        <f>IFERROR(SMALL(BM39:BM103,ROW()-ROW($BM$106)+1),"")</f>
        <v>0</v>
      </c>
      <c r="BN137">
        <f>IFERROR(SMALL(BN39:BN103,ROW()-ROW($BN$106)+1),"")</f>
        <v>0</v>
      </c>
      <c r="BO137">
        <f>IFERROR(SMALL(BO39:BO103,ROW()-ROW($BO$106)+1),"")</f>
        <v>0</v>
      </c>
      <c r="BP137">
        <f>IFERROR(SMALL(BP39:BP103,ROW()-ROW($BP$106)+1),"")</f>
        <v>0</v>
      </c>
      <c r="BS137">
        <f>IFERROR(SMALL(BS39:BS103,ROW()-ROW($BS$106)+1),"")</f>
        <v>0</v>
      </c>
      <c r="BT137">
        <f>IFERROR(SMALL(BT39:BT103,ROW()-ROW($BT$106)+1),"")</f>
        <v>0</v>
      </c>
      <c r="BU137">
        <f>IFERROR(SMALL(BU39:BU103,ROW()-ROW($BU$106)+1),"")</f>
        <v>0</v>
      </c>
      <c r="BV137">
        <f>IFERROR(SMALL(BV39:BV103,ROW()-ROW($BV$106)+1),"")</f>
        <v>0</v>
      </c>
      <c r="BW137">
        <f>IFERROR(SMALL(BW39:BW103,ROW()-ROW($BW$106)+1),"")</f>
        <v>0</v>
      </c>
      <c r="BX137">
        <f>IFERROR(SMALL(BX39:BX103,ROW()-ROW($BX$106)+1),"")</f>
        <v>0</v>
      </c>
      <c r="BY137">
        <f>IFERROR(SMALL(BY39:BY103,ROW()-ROW($BY$106)+1),"")</f>
        <v>0</v>
      </c>
      <c r="BZ137">
        <f>IFERROR(SMALL(BZ39:BZ103,ROW()-ROW($BZ$106)+1),"")</f>
        <v>0</v>
      </c>
      <c r="CA137">
        <f>IFERROR(SMALL(CA39:CA103,ROW()-ROW($CA$106)+1),"")</f>
        <v>0</v>
      </c>
      <c r="CB137">
        <f>IFERROR(SMALL(CB39:CB103,ROW()-ROW($CB$106)+1),"")</f>
        <v>0</v>
      </c>
      <c r="CC137">
        <f>IFERROR(SMALL(CC39:CC103,ROW()-ROW($CC$106)+1),"")</f>
        <v>0</v>
      </c>
      <c r="CD137">
        <f>IFERROR(SMALL(CD39:CD103,ROW()-ROW($CD$106)+1),"")</f>
        <v>0</v>
      </c>
      <c r="CE137">
        <f>IFERROR(SMALL(CE39:CE103,ROW()-ROW($CE$106)+1),"")</f>
        <v>0</v>
      </c>
      <c r="CF137">
        <f>IFERROR(SMALL(CF39:CF103,ROW()-ROW($CF$106)+1),"")</f>
        <v>0</v>
      </c>
      <c r="CG137">
        <f>IFERROR(SMALL(CG39:CG103,ROW()-ROW($CG$106)+1),"")</f>
        <v>0</v>
      </c>
      <c r="CH137">
        <f>IFERROR(SMALL(CH39:CH103,ROW()-ROW($CH$106)+1),"")</f>
        <v>0</v>
      </c>
      <c r="CI137">
        <f>IFERROR(SMALL(CI39:CI103,ROW()-ROW($CI$106)+1),"")</f>
        <v>0</v>
      </c>
      <c r="CJ137">
        <f>IFERROR(SMALL(CJ39:CJ103,ROW()-ROW($CJ$106)+1),"")</f>
        <v>0</v>
      </c>
      <c r="CK137">
        <f>IFERROR(SMALL(CK39:CK103,ROW()-ROW($CK$106)+1),"")</f>
        <v>0</v>
      </c>
      <c r="CL137">
        <f>IFERROR(SMALL(CL39:CL103,ROW()-ROW($CL$106)+1),"")</f>
        <v>0</v>
      </c>
      <c r="CM137">
        <f>IFERROR(SMALL(CM39:CM103,ROW()-ROW($CM$106)+1),"")</f>
        <v>0</v>
      </c>
      <c r="CN137">
        <f>IFERROR(SMALL(CN39:CN103,ROW()-ROW($CN$106)+1),"")</f>
        <v>0</v>
      </c>
      <c r="CO137">
        <f>IFERROR(SMALL(CO39:CO103,ROW()-ROW($CO$106)+1),"")</f>
        <v>0</v>
      </c>
      <c r="CP137">
        <f>IFERROR(SMALL(CP39:CP103,ROW()-ROW($CP$106)+1),"")</f>
        <v>0</v>
      </c>
      <c r="CQ137">
        <f>IFERROR(SMALL(CQ39:CQ103,ROW()-ROW($CQ$106)+1),"")</f>
        <v>0</v>
      </c>
      <c r="CR137">
        <f>IFERROR(SMALL(CR39:CR103,ROW()-ROW($CR$106)+1),"")</f>
        <v>0</v>
      </c>
      <c r="CS137">
        <f>IFERROR(SMALL(CS39:CS103,ROW()-ROW($CS$106)+1),"")</f>
        <v>0</v>
      </c>
      <c r="CT137">
        <f>IFERROR(SMALL(CT39:CT103,ROW()-ROW($CT$106)+1),"")</f>
        <v>0</v>
      </c>
      <c r="CU137">
        <f>IFERROR(SMALL(CU39:CU103,ROW()-ROW($CU$106)+1),"")</f>
        <v>0</v>
      </c>
      <c r="CV137">
        <f>IFERROR(SMALL(CV39:CV103,ROW()-ROW($CV$106)+1),"")</f>
        <v>0</v>
      </c>
      <c r="CW137">
        <f>IFERROR(SMALL(CW39:CW103,ROW()-ROW($CW$106)+1),"")</f>
        <v>0</v>
      </c>
      <c r="CX137">
        <f>IFERROR(SMALL(CX39:CX103,ROW()-ROW($CX$106)+1),"")</f>
        <v>0</v>
      </c>
      <c r="CY137">
        <f>IFERROR(SMALL(CY39:CY103,ROW()-ROW($CY$106)+1),"")</f>
        <v>0</v>
      </c>
      <c r="CZ137">
        <f>IFERROR(SMALL(CZ39:CZ103,ROW()-ROW($CZ$106)+1),"")</f>
        <v>0</v>
      </c>
      <c r="DA137">
        <f>IFERROR(SMALL(DA39:DA103,ROW()-ROW($DA$106)+1),"")</f>
        <v>0</v>
      </c>
      <c r="DB137">
        <f>IFERROR(SMALL(DB39:DB103,ROW()-ROW($DB$106)+1),"")</f>
        <v>0</v>
      </c>
      <c r="DC137">
        <f>IFERROR(SMALL(DC39:DC103,ROW()-ROW($DC$106)+1),"")</f>
        <v>0</v>
      </c>
      <c r="DD137">
        <f>IFERROR(SMALL(DD39:DD103,ROW()-ROW($DD$106)+1),"")</f>
        <v>0</v>
      </c>
      <c r="DE137">
        <f>IFERROR(SMALL(DE39:DE103,ROW()-ROW($DE$106)+1),"")</f>
        <v>0</v>
      </c>
      <c r="DF137">
        <f>IFERROR(SMALL(DF39:DF103,ROW()-ROW($DF$106)+1),"")</f>
        <v>0</v>
      </c>
      <c r="DG137">
        <f>IFERROR(SMALL(DG39:DG103,ROW()-ROW($DG$106)+1),"")</f>
        <v>0</v>
      </c>
      <c r="DH137">
        <f>IFERROR(SMALL(DH39:DH103,ROW()-ROW($DH$106)+1),"")</f>
        <v>0</v>
      </c>
      <c r="DI137">
        <f>IFERROR(SMALL(DI39:DI103,ROW()-ROW($DI$106)+1),"")</f>
        <v>0</v>
      </c>
      <c r="DJ137">
        <f>IFERROR(SMALL(DJ39:DJ103,ROW()-ROW($DJ$106)+1),"")</f>
        <v>0</v>
      </c>
      <c r="DK137">
        <f>IFERROR(SMALL(DK39:DK103,ROW()-ROW($DK$106)+1),"")</f>
        <v>0</v>
      </c>
      <c r="DL137">
        <f>IFERROR(SMALL(DL39:DL103,ROW()-ROW($DL$106)+1),"")</f>
        <v>0</v>
      </c>
      <c r="DM137">
        <f>IFERROR(SMALL(DM39:DM103,ROW()-ROW($DM$106)+1),"")</f>
        <v>0</v>
      </c>
      <c r="DN137">
        <f>IFERROR(SMALL(DN39:DN103,ROW()-ROW($DN$106)+1),"")</f>
        <v>0</v>
      </c>
      <c r="DO137">
        <f>IFERROR(SMALL(DO39:DO103,ROW()-ROW($DO$106)+1),"")</f>
        <v>0</v>
      </c>
      <c r="DP137">
        <f>IFERROR(SMALL(DP39:DP103,ROW()-ROW($DP$106)+1),"")</f>
        <v>0</v>
      </c>
      <c r="DQ137">
        <f>IFERROR(SMALL(DQ39:DQ103,ROW()-ROW($DQ$106)+1),"")</f>
        <v>0</v>
      </c>
      <c r="DR137">
        <f>IFERROR(SMALL(DR39:DR103,ROW()-ROW($DR$106)+1),"")</f>
        <v>0</v>
      </c>
      <c r="DS137">
        <f>IFERROR(SMALL(DS39:DS103,ROW()-ROW($DS$106)+1),"")</f>
        <v>0</v>
      </c>
      <c r="DT137">
        <f>IFERROR(SMALL(DT39:DT103,ROW()-ROW($DT$106)+1),"")</f>
        <v>0</v>
      </c>
      <c r="DU137">
        <f>IFERROR(SMALL(DU39:DU103,ROW()-ROW($DU$106)+1),"")</f>
        <v>0</v>
      </c>
      <c r="DV137">
        <f>IFERROR(SMALL(DV39:DV103,ROW()-ROW($DV$106)+1),"")</f>
        <v>0</v>
      </c>
      <c r="DW137">
        <f>IFERROR(SMALL(DW39:DW103,ROW()-ROW($DW$106)+1),"")</f>
        <v>0</v>
      </c>
      <c r="DX137">
        <f>IFERROR(SMALL(DX39:DX103,ROW()-ROW($DX$106)+1),"")</f>
        <v>0</v>
      </c>
      <c r="DY137">
        <f>IFERROR(SMALL(DY39:DY103,ROW()-ROW($DY$106)+1),"")</f>
        <v>0</v>
      </c>
      <c r="DZ137">
        <f>IFERROR(SMALL(DZ39:DZ103,ROW()-ROW($DZ$106)+1),"")</f>
        <v>0</v>
      </c>
      <c r="EA137">
        <f>IFERROR(SMALL(EA39:EA103,ROW()-ROW($EA$106)+1),"")</f>
        <v>0</v>
      </c>
      <c r="EB137">
        <f>IFERROR(SMALL(EB39:EB103,ROW()-ROW($EB$106)+1),"")</f>
        <v>0</v>
      </c>
      <c r="EC137">
        <f>IFERROR(SMALL(EC39:EC103,ROW()-ROW($EC$106)+1),"")</f>
        <v>0</v>
      </c>
      <c r="ED137">
        <f>IFERROR(SMALL(ED39:ED103,ROW()-ROW($ED$106)+1),"")</f>
        <v>0</v>
      </c>
    </row>
    <row r="138" spans="5:134">
      <c r="E138">
        <f>IFERROR(SMALL(E39:E103,ROW()-ROW($E$106)+1),"")</f>
        <v>0</v>
      </c>
      <c r="F138">
        <f>IFERROR(SMALL(F39:F103,ROW()-ROW($F$106)+1),"")</f>
        <v>0</v>
      </c>
      <c r="G138">
        <f>IFERROR(SMALL(G39:G103,ROW()-ROW($G$106)+1),"")</f>
        <v>0</v>
      </c>
      <c r="H138">
        <f>IFERROR(SMALL(H39:H103,ROW()-ROW($H$106)+1),"")</f>
        <v>0</v>
      </c>
      <c r="I138">
        <f>IFERROR(SMALL(I39:I103,ROW()-ROW($I$106)+1),"")</f>
        <v>0</v>
      </c>
      <c r="J138">
        <f>IFERROR(SMALL(J39:J103,ROW()-ROW($J$106)+1),"")</f>
        <v>0</v>
      </c>
      <c r="K138">
        <f>IFERROR(SMALL(K39:K103,ROW()-ROW($K$106)+1),"")</f>
        <v>0</v>
      </c>
      <c r="L138">
        <f>IFERROR(SMALL(L39:L103,ROW()-ROW($L$106)+1),"")</f>
        <v>0</v>
      </c>
      <c r="M138">
        <f>IFERROR(SMALL(M39:M103,ROW()-ROW($M$106)+1),"")</f>
        <v>0</v>
      </c>
      <c r="N138">
        <f>IFERROR(SMALL(N39:N103,ROW()-ROW($N$106)+1),"")</f>
        <v>0</v>
      </c>
      <c r="O138">
        <f>IFERROR(SMALL(O39:O103,ROW()-ROW($O$106)+1),"")</f>
        <v>0</v>
      </c>
      <c r="P138">
        <f>IFERROR(SMALL(P39:P103,ROW()-ROW($P$106)+1),"")</f>
        <v>0</v>
      </c>
      <c r="Q138">
        <f>IFERROR(SMALL(Q39:Q103,ROW()-ROW($Q$106)+1),"")</f>
        <v>0</v>
      </c>
      <c r="R138">
        <f>IFERROR(SMALL(R39:R103,ROW()-ROW($R$106)+1),"")</f>
        <v>0</v>
      </c>
      <c r="S138">
        <f>IFERROR(SMALL(S39:S103,ROW()-ROW($S$106)+1),"")</f>
        <v>0</v>
      </c>
      <c r="T138">
        <f>IFERROR(SMALL(T39:T103,ROW()-ROW($T$106)+1),"")</f>
        <v>0</v>
      </c>
      <c r="U138">
        <f>IFERROR(SMALL(U39:U103,ROW()-ROW($U$106)+1),"")</f>
        <v>0</v>
      </c>
      <c r="V138">
        <f>IFERROR(SMALL(V39:V103,ROW()-ROW($V$106)+1),"")</f>
        <v>0</v>
      </c>
      <c r="W138">
        <f>IFERROR(SMALL(W39:W103,ROW()-ROW($W$106)+1),"")</f>
        <v>0</v>
      </c>
      <c r="X138">
        <f>IFERROR(SMALL(X39:X103,ROW()-ROW($X$106)+1),"")</f>
        <v>0</v>
      </c>
      <c r="Y138">
        <f>IFERROR(SMALL(Y39:Y103,ROW()-ROW($Y$106)+1),"")</f>
        <v>0</v>
      </c>
      <c r="Z138">
        <f>IFERROR(SMALL(Z39:Z103,ROW()-ROW($Z$106)+1),"")</f>
        <v>0</v>
      </c>
      <c r="AA138">
        <f>IFERROR(SMALL(AA39:AA103,ROW()-ROW($AA$106)+1),"")</f>
        <v>0</v>
      </c>
      <c r="AB138">
        <f>IFERROR(SMALL(AB39:AB103,ROW()-ROW($AB$106)+1),"")</f>
        <v>0</v>
      </c>
      <c r="AC138">
        <f>IFERROR(SMALL(AC39:AC103,ROW()-ROW($AC$106)+1),"")</f>
        <v>0</v>
      </c>
      <c r="AD138">
        <f>IFERROR(SMALL(AD39:AD103,ROW()-ROW($AD$106)+1),"")</f>
        <v>0</v>
      </c>
      <c r="AE138">
        <f>IFERROR(SMALL(AE39:AE103,ROW()-ROW($AE$106)+1),"")</f>
        <v>0</v>
      </c>
      <c r="AF138">
        <f>IFERROR(SMALL(AF39:AF103,ROW()-ROW($AF$106)+1),"")</f>
        <v>0</v>
      </c>
      <c r="AG138">
        <f>IFERROR(SMALL(AG39:AG103,ROW()-ROW($AG$106)+1),"")</f>
        <v>0</v>
      </c>
      <c r="AH138">
        <f>IFERROR(SMALL(AH39:AH103,ROW()-ROW($AH$106)+1),"")</f>
        <v>0</v>
      </c>
      <c r="AI138">
        <f>IFERROR(SMALL(AI39:AI103,ROW()-ROW($AI$106)+1),"")</f>
        <v>0</v>
      </c>
      <c r="AJ138">
        <f>IFERROR(SMALL(AJ39:AJ103,ROW()-ROW($AJ$106)+1),"")</f>
        <v>0</v>
      </c>
      <c r="AK138">
        <f>IFERROR(SMALL(AK39:AK103,ROW()-ROW($AK$106)+1),"")</f>
        <v>0</v>
      </c>
      <c r="AL138">
        <f>IFERROR(SMALL(AL39:AL103,ROW()-ROW($AL$106)+1),"")</f>
        <v>0</v>
      </c>
      <c r="AM138">
        <f>IFERROR(SMALL(AM39:AM103,ROW()-ROW($AM$106)+1),"")</f>
        <v>0</v>
      </c>
      <c r="AN138">
        <f>IFERROR(SMALL(AN39:AN103,ROW()-ROW($AN$106)+1),"")</f>
        <v>0</v>
      </c>
      <c r="AO138">
        <f>IFERROR(SMALL(AO39:AO103,ROW()-ROW($AO$106)+1),"")</f>
        <v>0</v>
      </c>
      <c r="AP138">
        <f>IFERROR(SMALL(AP39:AP103,ROW()-ROW($AP$106)+1),"")</f>
        <v>0</v>
      </c>
      <c r="AQ138">
        <f>IFERROR(SMALL(AQ39:AQ103,ROW()-ROW($AQ$106)+1),"")</f>
        <v>0</v>
      </c>
      <c r="AR138">
        <f>IFERROR(SMALL(AR39:AR103,ROW()-ROW($AR$106)+1),"")</f>
        <v>0</v>
      </c>
      <c r="AS138">
        <f>IFERROR(SMALL(AS39:AS103,ROW()-ROW($AS$106)+1),"")</f>
        <v>0</v>
      </c>
      <c r="AT138">
        <f>IFERROR(SMALL(AT39:AT103,ROW()-ROW($AT$106)+1),"")</f>
        <v>0</v>
      </c>
      <c r="AU138">
        <f>IFERROR(SMALL(AU39:AU103,ROW()-ROW($AU$106)+1),"")</f>
        <v>0</v>
      </c>
      <c r="AV138">
        <f>IFERROR(SMALL(AV39:AV103,ROW()-ROW($AV$106)+1),"")</f>
        <v>0</v>
      </c>
      <c r="AW138">
        <f>IFERROR(SMALL(AW39:AW103,ROW()-ROW($AW$106)+1),"")</f>
        <v>0</v>
      </c>
      <c r="AX138">
        <f>IFERROR(SMALL(AX39:AX103,ROW()-ROW($AX$106)+1),"")</f>
        <v>0</v>
      </c>
      <c r="AY138">
        <f>IFERROR(SMALL(AY39:AY103,ROW()-ROW($AY$106)+1),"")</f>
        <v>0</v>
      </c>
      <c r="AZ138">
        <f>IFERROR(SMALL(AZ39:AZ103,ROW()-ROW($AZ$106)+1),"")</f>
        <v>0</v>
      </c>
      <c r="BA138">
        <f>IFERROR(SMALL(BA39:BA103,ROW()-ROW($BA$106)+1),"")</f>
        <v>0</v>
      </c>
      <c r="BB138">
        <f>IFERROR(SMALL(BB39:BB103,ROW()-ROW($BB$106)+1),"")</f>
        <v>0</v>
      </c>
      <c r="BC138">
        <f>IFERROR(SMALL(BC39:BC103,ROW()-ROW($BC$106)+1),"")</f>
        <v>0</v>
      </c>
      <c r="BD138">
        <f>IFERROR(SMALL(BD39:BD103,ROW()-ROW($BD$106)+1),"")</f>
        <v>0</v>
      </c>
      <c r="BE138">
        <f>IFERROR(SMALL(BE39:BE103,ROW()-ROW($BE$106)+1),"")</f>
        <v>0</v>
      </c>
      <c r="BF138">
        <f>IFERROR(SMALL(BF39:BF103,ROW()-ROW($BF$106)+1),"")</f>
        <v>0</v>
      </c>
      <c r="BG138">
        <f>IFERROR(SMALL(BG39:BG103,ROW()-ROW($BG$106)+1),"")</f>
        <v>0</v>
      </c>
      <c r="BH138">
        <f>IFERROR(SMALL(BH39:BH103,ROW()-ROW($BH$106)+1),"")</f>
        <v>0</v>
      </c>
      <c r="BI138">
        <f>IFERROR(SMALL(BI39:BI103,ROW()-ROW($BI$106)+1),"")</f>
        <v>0</v>
      </c>
      <c r="BJ138">
        <f>IFERROR(SMALL(BJ39:BJ103,ROW()-ROW($BJ$106)+1),"")</f>
        <v>0</v>
      </c>
      <c r="BK138">
        <f>IFERROR(SMALL(BK39:BK103,ROW()-ROW($BK$106)+1),"")</f>
        <v>0</v>
      </c>
      <c r="BL138">
        <f>IFERROR(SMALL(BL39:BL103,ROW()-ROW($BL$106)+1),"")</f>
        <v>0</v>
      </c>
      <c r="BM138">
        <f>IFERROR(SMALL(BM39:BM103,ROW()-ROW($BM$106)+1),"")</f>
        <v>0</v>
      </c>
      <c r="BN138">
        <f>IFERROR(SMALL(BN39:BN103,ROW()-ROW($BN$106)+1),"")</f>
        <v>0</v>
      </c>
      <c r="BO138">
        <f>IFERROR(SMALL(BO39:BO103,ROW()-ROW($BO$106)+1),"")</f>
        <v>0</v>
      </c>
      <c r="BP138">
        <f>IFERROR(SMALL(BP39:BP103,ROW()-ROW($BP$106)+1),"")</f>
        <v>0</v>
      </c>
      <c r="BS138">
        <f>IFERROR(SMALL(BS39:BS103,ROW()-ROW($BS$106)+1),"")</f>
        <v>0</v>
      </c>
      <c r="BT138">
        <f>IFERROR(SMALL(BT39:BT103,ROW()-ROW($BT$106)+1),"")</f>
        <v>0</v>
      </c>
      <c r="BU138">
        <f>IFERROR(SMALL(BU39:BU103,ROW()-ROW($BU$106)+1),"")</f>
        <v>0</v>
      </c>
      <c r="BV138">
        <f>IFERROR(SMALL(BV39:BV103,ROW()-ROW($BV$106)+1),"")</f>
        <v>0</v>
      </c>
      <c r="BW138">
        <f>IFERROR(SMALL(BW39:BW103,ROW()-ROW($BW$106)+1),"")</f>
        <v>0</v>
      </c>
      <c r="BX138">
        <f>IFERROR(SMALL(BX39:BX103,ROW()-ROW($BX$106)+1),"")</f>
        <v>0</v>
      </c>
      <c r="BY138">
        <f>IFERROR(SMALL(BY39:BY103,ROW()-ROW($BY$106)+1),"")</f>
        <v>0</v>
      </c>
      <c r="BZ138">
        <f>IFERROR(SMALL(BZ39:BZ103,ROW()-ROW($BZ$106)+1),"")</f>
        <v>0</v>
      </c>
      <c r="CA138">
        <f>IFERROR(SMALL(CA39:CA103,ROW()-ROW($CA$106)+1),"")</f>
        <v>0</v>
      </c>
      <c r="CB138">
        <f>IFERROR(SMALL(CB39:CB103,ROW()-ROW($CB$106)+1),"")</f>
        <v>0</v>
      </c>
      <c r="CC138">
        <f>IFERROR(SMALL(CC39:CC103,ROW()-ROW($CC$106)+1),"")</f>
        <v>0</v>
      </c>
      <c r="CD138">
        <f>IFERROR(SMALL(CD39:CD103,ROW()-ROW($CD$106)+1),"")</f>
        <v>0</v>
      </c>
      <c r="CE138">
        <f>IFERROR(SMALL(CE39:CE103,ROW()-ROW($CE$106)+1),"")</f>
        <v>0</v>
      </c>
      <c r="CF138">
        <f>IFERROR(SMALL(CF39:CF103,ROW()-ROW($CF$106)+1),"")</f>
        <v>0</v>
      </c>
      <c r="CG138">
        <f>IFERROR(SMALL(CG39:CG103,ROW()-ROW($CG$106)+1),"")</f>
        <v>0</v>
      </c>
      <c r="CH138">
        <f>IFERROR(SMALL(CH39:CH103,ROW()-ROW($CH$106)+1),"")</f>
        <v>0</v>
      </c>
      <c r="CI138">
        <f>IFERROR(SMALL(CI39:CI103,ROW()-ROW($CI$106)+1),"")</f>
        <v>0</v>
      </c>
      <c r="CJ138">
        <f>IFERROR(SMALL(CJ39:CJ103,ROW()-ROW($CJ$106)+1),"")</f>
        <v>0</v>
      </c>
      <c r="CK138">
        <f>IFERROR(SMALL(CK39:CK103,ROW()-ROW($CK$106)+1),"")</f>
        <v>0</v>
      </c>
      <c r="CL138">
        <f>IFERROR(SMALL(CL39:CL103,ROW()-ROW($CL$106)+1),"")</f>
        <v>0</v>
      </c>
      <c r="CM138">
        <f>IFERROR(SMALL(CM39:CM103,ROW()-ROW($CM$106)+1),"")</f>
        <v>0</v>
      </c>
      <c r="CN138">
        <f>IFERROR(SMALL(CN39:CN103,ROW()-ROW($CN$106)+1),"")</f>
        <v>0</v>
      </c>
      <c r="CO138">
        <f>IFERROR(SMALL(CO39:CO103,ROW()-ROW($CO$106)+1),"")</f>
        <v>0</v>
      </c>
      <c r="CP138">
        <f>IFERROR(SMALL(CP39:CP103,ROW()-ROW($CP$106)+1),"")</f>
        <v>0</v>
      </c>
      <c r="CQ138">
        <f>IFERROR(SMALL(CQ39:CQ103,ROW()-ROW($CQ$106)+1),"")</f>
        <v>0</v>
      </c>
      <c r="CR138">
        <f>IFERROR(SMALL(CR39:CR103,ROW()-ROW($CR$106)+1),"")</f>
        <v>0</v>
      </c>
      <c r="CS138">
        <f>IFERROR(SMALL(CS39:CS103,ROW()-ROW($CS$106)+1),"")</f>
        <v>0</v>
      </c>
      <c r="CT138">
        <f>IFERROR(SMALL(CT39:CT103,ROW()-ROW($CT$106)+1),"")</f>
        <v>0</v>
      </c>
      <c r="CU138">
        <f>IFERROR(SMALL(CU39:CU103,ROW()-ROW($CU$106)+1),"")</f>
        <v>0</v>
      </c>
      <c r="CV138">
        <f>IFERROR(SMALL(CV39:CV103,ROW()-ROW($CV$106)+1),"")</f>
        <v>0</v>
      </c>
      <c r="CW138">
        <f>IFERROR(SMALL(CW39:CW103,ROW()-ROW($CW$106)+1),"")</f>
        <v>0</v>
      </c>
      <c r="CX138">
        <f>IFERROR(SMALL(CX39:CX103,ROW()-ROW($CX$106)+1),"")</f>
        <v>0</v>
      </c>
      <c r="CY138">
        <f>IFERROR(SMALL(CY39:CY103,ROW()-ROW($CY$106)+1),"")</f>
        <v>0</v>
      </c>
      <c r="CZ138">
        <f>IFERROR(SMALL(CZ39:CZ103,ROW()-ROW($CZ$106)+1),"")</f>
        <v>0</v>
      </c>
      <c r="DA138">
        <f>IFERROR(SMALL(DA39:DA103,ROW()-ROW($DA$106)+1),"")</f>
        <v>0</v>
      </c>
      <c r="DB138">
        <f>IFERROR(SMALL(DB39:DB103,ROW()-ROW($DB$106)+1),"")</f>
        <v>0</v>
      </c>
      <c r="DC138">
        <f>IFERROR(SMALL(DC39:DC103,ROW()-ROW($DC$106)+1),"")</f>
        <v>0</v>
      </c>
      <c r="DD138">
        <f>IFERROR(SMALL(DD39:DD103,ROW()-ROW($DD$106)+1),"")</f>
        <v>0</v>
      </c>
      <c r="DE138">
        <f>IFERROR(SMALL(DE39:DE103,ROW()-ROW($DE$106)+1),"")</f>
        <v>0</v>
      </c>
      <c r="DF138">
        <f>IFERROR(SMALL(DF39:DF103,ROW()-ROW($DF$106)+1),"")</f>
        <v>0</v>
      </c>
      <c r="DG138">
        <f>IFERROR(SMALL(DG39:DG103,ROW()-ROW($DG$106)+1),"")</f>
        <v>0</v>
      </c>
      <c r="DH138">
        <f>IFERROR(SMALL(DH39:DH103,ROW()-ROW($DH$106)+1),"")</f>
        <v>0</v>
      </c>
      <c r="DI138">
        <f>IFERROR(SMALL(DI39:DI103,ROW()-ROW($DI$106)+1),"")</f>
        <v>0</v>
      </c>
      <c r="DJ138">
        <f>IFERROR(SMALL(DJ39:DJ103,ROW()-ROW($DJ$106)+1),"")</f>
        <v>0</v>
      </c>
      <c r="DK138">
        <f>IFERROR(SMALL(DK39:DK103,ROW()-ROW($DK$106)+1),"")</f>
        <v>0</v>
      </c>
      <c r="DL138">
        <f>IFERROR(SMALL(DL39:DL103,ROW()-ROW($DL$106)+1),"")</f>
        <v>0</v>
      </c>
      <c r="DM138">
        <f>IFERROR(SMALL(DM39:DM103,ROW()-ROW($DM$106)+1),"")</f>
        <v>0</v>
      </c>
      <c r="DN138">
        <f>IFERROR(SMALL(DN39:DN103,ROW()-ROW($DN$106)+1),"")</f>
        <v>0</v>
      </c>
      <c r="DO138">
        <f>IFERROR(SMALL(DO39:DO103,ROW()-ROW($DO$106)+1),"")</f>
        <v>0</v>
      </c>
      <c r="DP138">
        <f>IFERROR(SMALL(DP39:DP103,ROW()-ROW($DP$106)+1),"")</f>
        <v>0</v>
      </c>
      <c r="DQ138">
        <f>IFERROR(SMALL(DQ39:DQ103,ROW()-ROW($DQ$106)+1),"")</f>
        <v>0</v>
      </c>
      <c r="DR138">
        <f>IFERROR(SMALL(DR39:DR103,ROW()-ROW($DR$106)+1),"")</f>
        <v>0</v>
      </c>
      <c r="DS138">
        <f>IFERROR(SMALL(DS39:DS103,ROW()-ROW($DS$106)+1),"")</f>
        <v>0</v>
      </c>
      <c r="DT138">
        <f>IFERROR(SMALL(DT39:DT103,ROW()-ROW($DT$106)+1),"")</f>
        <v>0</v>
      </c>
      <c r="DU138">
        <f>IFERROR(SMALL(DU39:DU103,ROW()-ROW($DU$106)+1),"")</f>
        <v>0</v>
      </c>
      <c r="DV138">
        <f>IFERROR(SMALL(DV39:DV103,ROW()-ROW($DV$106)+1),"")</f>
        <v>0</v>
      </c>
      <c r="DW138">
        <f>IFERROR(SMALL(DW39:DW103,ROW()-ROW($DW$106)+1),"")</f>
        <v>0</v>
      </c>
      <c r="DX138">
        <f>IFERROR(SMALL(DX39:DX103,ROW()-ROW($DX$106)+1),"")</f>
        <v>0</v>
      </c>
      <c r="DY138">
        <f>IFERROR(SMALL(DY39:DY103,ROW()-ROW($DY$106)+1),"")</f>
        <v>0</v>
      </c>
      <c r="DZ138">
        <f>IFERROR(SMALL(DZ39:DZ103,ROW()-ROW($DZ$106)+1),"")</f>
        <v>0</v>
      </c>
      <c r="EA138">
        <f>IFERROR(SMALL(EA39:EA103,ROW()-ROW($EA$106)+1),"")</f>
        <v>0</v>
      </c>
      <c r="EB138">
        <f>IFERROR(SMALL(EB39:EB103,ROW()-ROW($EB$106)+1),"")</f>
        <v>0</v>
      </c>
      <c r="EC138">
        <f>IFERROR(SMALL(EC39:EC103,ROW()-ROW($EC$106)+1),"")</f>
        <v>0</v>
      </c>
      <c r="ED138">
        <f>IFERROR(SMALL(ED39:ED103,ROW()-ROW($ED$106)+1),"")</f>
        <v>0</v>
      </c>
    </row>
    <row r="139" spans="5:134">
      <c r="E139">
        <f>IFERROR(SMALL(E39:E103,ROW()-ROW($E$106)+1),"")</f>
        <v>0</v>
      </c>
      <c r="F139">
        <f>IFERROR(SMALL(F39:F103,ROW()-ROW($F$106)+1),"")</f>
        <v>0</v>
      </c>
      <c r="G139">
        <f>IFERROR(SMALL(G39:G103,ROW()-ROW($G$106)+1),"")</f>
        <v>0</v>
      </c>
      <c r="H139">
        <f>IFERROR(SMALL(H39:H103,ROW()-ROW($H$106)+1),"")</f>
        <v>0</v>
      </c>
      <c r="I139">
        <f>IFERROR(SMALL(I39:I103,ROW()-ROW($I$106)+1),"")</f>
        <v>0</v>
      </c>
      <c r="J139">
        <f>IFERROR(SMALL(J39:J103,ROW()-ROW($J$106)+1),"")</f>
        <v>0</v>
      </c>
      <c r="K139">
        <f>IFERROR(SMALL(K39:K103,ROW()-ROW($K$106)+1),"")</f>
        <v>0</v>
      </c>
      <c r="L139">
        <f>IFERROR(SMALL(L39:L103,ROW()-ROW($L$106)+1),"")</f>
        <v>0</v>
      </c>
      <c r="M139">
        <f>IFERROR(SMALL(M39:M103,ROW()-ROW($M$106)+1),"")</f>
        <v>0</v>
      </c>
      <c r="N139">
        <f>IFERROR(SMALL(N39:N103,ROW()-ROW($N$106)+1),"")</f>
        <v>0</v>
      </c>
      <c r="O139">
        <f>IFERROR(SMALL(O39:O103,ROW()-ROW($O$106)+1),"")</f>
        <v>0</v>
      </c>
      <c r="P139">
        <f>IFERROR(SMALL(P39:P103,ROW()-ROW($P$106)+1),"")</f>
        <v>0</v>
      </c>
      <c r="Q139">
        <f>IFERROR(SMALL(Q39:Q103,ROW()-ROW($Q$106)+1),"")</f>
        <v>0</v>
      </c>
      <c r="R139">
        <f>IFERROR(SMALL(R39:R103,ROW()-ROW($R$106)+1),"")</f>
        <v>0</v>
      </c>
      <c r="S139">
        <f>IFERROR(SMALL(S39:S103,ROW()-ROW($S$106)+1),"")</f>
        <v>0</v>
      </c>
      <c r="T139">
        <f>IFERROR(SMALL(T39:T103,ROW()-ROW($T$106)+1),"")</f>
        <v>0</v>
      </c>
      <c r="U139">
        <f>IFERROR(SMALL(U39:U103,ROW()-ROW($U$106)+1),"")</f>
        <v>0</v>
      </c>
      <c r="V139">
        <f>IFERROR(SMALL(V39:V103,ROW()-ROW($V$106)+1),"")</f>
        <v>0</v>
      </c>
      <c r="W139">
        <f>IFERROR(SMALL(W39:W103,ROW()-ROW($W$106)+1),"")</f>
        <v>0</v>
      </c>
      <c r="X139">
        <f>IFERROR(SMALL(X39:X103,ROW()-ROW($X$106)+1),"")</f>
        <v>0</v>
      </c>
      <c r="Y139">
        <f>IFERROR(SMALL(Y39:Y103,ROW()-ROW($Y$106)+1),"")</f>
        <v>0</v>
      </c>
      <c r="Z139">
        <f>IFERROR(SMALL(Z39:Z103,ROW()-ROW($Z$106)+1),"")</f>
        <v>0</v>
      </c>
      <c r="AA139">
        <f>IFERROR(SMALL(AA39:AA103,ROW()-ROW($AA$106)+1),"")</f>
        <v>0</v>
      </c>
      <c r="AB139">
        <f>IFERROR(SMALL(AB39:AB103,ROW()-ROW($AB$106)+1),"")</f>
        <v>0</v>
      </c>
      <c r="AC139">
        <f>IFERROR(SMALL(AC39:AC103,ROW()-ROW($AC$106)+1),"")</f>
        <v>0</v>
      </c>
      <c r="AD139">
        <f>IFERROR(SMALL(AD39:AD103,ROW()-ROW($AD$106)+1),"")</f>
        <v>0</v>
      </c>
      <c r="AE139">
        <f>IFERROR(SMALL(AE39:AE103,ROW()-ROW($AE$106)+1),"")</f>
        <v>0</v>
      </c>
      <c r="AF139">
        <f>IFERROR(SMALL(AF39:AF103,ROW()-ROW($AF$106)+1),"")</f>
        <v>0</v>
      </c>
      <c r="AG139">
        <f>IFERROR(SMALL(AG39:AG103,ROW()-ROW($AG$106)+1),"")</f>
        <v>0</v>
      </c>
      <c r="AH139">
        <f>IFERROR(SMALL(AH39:AH103,ROW()-ROW($AH$106)+1),"")</f>
        <v>0</v>
      </c>
      <c r="AI139">
        <f>IFERROR(SMALL(AI39:AI103,ROW()-ROW($AI$106)+1),"")</f>
        <v>0</v>
      </c>
      <c r="AJ139">
        <f>IFERROR(SMALL(AJ39:AJ103,ROW()-ROW($AJ$106)+1),"")</f>
        <v>0</v>
      </c>
      <c r="AK139">
        <f>IFERROR(SMALL(AK39:AK103,ROW()-ROW($AK$106)+1),"")</f>
        <v>0</v>
      </c>
      <c r="AL139">
        <f>IFERROR(SMALL(AL39:AL103,ROW()-ROW($AL$106)+1),"")</f>
        <v>0</v>
      </c>
      <c r="AM139">
        <f>IFERROR(SMALL(AM39:AM103,ROW()-ROW($AM$106)+1),"")</f>
        <v>0</v>
      </c>
      <c r="AN139">
        <f>IFERROR(SMALL(AN39:AN103,ROW()-ROW($AN$106)+1),"")</f>
        <v>0</v>
      </c>
      <c r="AO139">
        <f>IFERROR(SMALL(AO39:AO103,ROW()-ROW($AO$106)+1),"")</f>
        <v>0</v>
      </c>
      <c r="AP139">
        <f>IFERROR(SMALL(AP39:AP103,ROW()-ROW($AP$106)+1),"")</f>
        <v>0</v>
      </c>
      <c r="AQ139">
        <f>IFERROR(SMALL(AQ39:AQ103,ROW()-ROW($AQ$106)+1),"")</f>
        <v>0</v>
      </c>
      <c r="AR139">
        <f>IFERROR(SMALL(AR39:AR103,ROW()-ROW($AR$106)+1),"")</f>
        <v>0</v>
      </c>
      <c r="AS139">
        <f>IFERROR(SMALL(AS39:AS103,ROW()-ROW($AS$106)+1),"")</f>
        <v>0</v>
      </c>
      <c r="AT139">
        <f>IFERROR(SMALL(AT39:AT103,ROW()-ROW($AT$106)+1),"")</f>
        <v>0</v>
      </c>
      <c r="AU139">
        <f>IFERROR(SMALL(AU39:AU103,ROW()-ROW($AU$106)+1),"")</f>
        <v>0</v>
      </c>
      <c r="AV139">
        <f>IFERROR(SMALL(AV39:AV103,ROW()-ROW($AV$106)+1),"")</f>
        <v>0</v>
      </c>
      <c r="AW139">
        <f>IFERROR(SMALL(AW39:AW103,ROW()-ROW($AW$106)+1),"")</f>
        <v>0</v>
      </c>
      <c r="AX139">
        <f>IFERROR(SMALL(AX39:AX103,ROW()-ROW($AX$106)+1),"")</f>
        <v>0</v>
      </c>
      <c r="AY139">
        <f>IFERROR(SMALL(AY39:AY103,ROW()-ROW($AY$106)+1),"")</f>
        <v>0</v>
      </c>
      <c r="AZ139">
        <f>IFERROR(SMALL(AZ39:AZ103,ROW()-ROW($AZ$106)+1),"")</f>
        <v>0</v>
      </c>
      <c r="BA139">
        <f>IFERROR(SMALL(BA39:BA103,ROW()-ROW($BA$106)+1),"")</f>
        <v>0</v>
      </c>
      <c r="BB139">
        <f>IFERROR(SMALL(BB39:BB103,ROW()-ROW($BB$106)+1),"")</f>
        <v>0</v>
      </c>
      <c r="BC139">
        <f>IFERROR(SMALL(BC39:BC103,ROW()-ROW($BC$106)+1),"")</f>
        <v>0</v>
      </c>
      <c r="BD139">
        <f>IFERROR(SMALL(BD39:BD103,ROW()-ROW($BD$106)+1),"")</f>
        <v>0</v>
      </c>
      <c r="BE139">
        <f>IFERROR(SMALL(BE39:BE103,ROW()-ROW($BE$106)+1),"")</f>
        <v>0</v>
      </c>
      <c r="BF139">
        <f>IFERROR(SMALL(BF39:BF103,ROW()-ROW($BF$106)+1),"")</f>
        <v>0</v>
      </c>
      <c r="BG139">
        <f>IFERROR(SMALL(BG39:BG103,ROW()-ROW($BG$106)+1),"")</f>
        <v>0</v>
      </c>
      <c r="BH139">
        <f>IFERROR(SMALL(BH39:BH103,ROW()-ROW($BH$106)+1),"")</f>
        <v>0</v>
      </c>
      <c r="BI139">
        <f>IFERROR(SMALL(BI39:BI103,ROW()-ROW($BI$106)+1),"")</f>
        <v>0</v>
      </c>
      <c r="BJ139">
        <f>IFERROR(SMALL(BJ39:BJ103,ROW()-ROW($BJ$106)+1),"")</f>
        <v>0</v>
      </c>
      <c r="BK139">
        <f>IFERROR(SMALL(BK39:BK103,ROW()-ROW($BK$106)+1),"")</f>
        <v>0</v>
      </c>
      <c r="BL139">
        <f>IFERROR(SMALL(BL39:BL103,ROW()-ROW($BL$106)+1),"")</f>
        <v>0</v>
      </c>
      <c r="BM139">
        <f>IFERROR(SMALL(BM39:BM103,ROW()-ROW($BM$106)+1),"")</f>
        <v>0</v>
      </c>
      <c r="BN139">
        <f>IFERROR(SMALL(BN39:BN103,ROW()-ROW($BN$106)+1),"")</f>
        <v>0</v>
      </c>
      <c r="BO139">
        <f>IFERROR(SMALL(BO39:BO103,ROW()-ROW($BO$106)+1),"")</f>
        <v>0</v>
      </c>
      <c r="BP139">
        <f>IFERROR(SMALL(BP39:BP103,ROW()-ROW($BP$106)+1),"")</f>
        <v>0</v>
      </c>
      <c r="BS139">
        <f>IFERROR(SMALL(BS39:BS103,ROW()-ROW($BS$106)+1),"")</f>
        <v>0</v>
      </c>
      <c r="BT139">
        <f>IFERROR(SMALL(BT39:BT103,ROW()-ROW($BT$106)+1),"")</f>
        <v>0</v>
      </c>
      <c r="BU139">
        <f>IFERROR(SMALL(BU39:BU103,ROW()-ROW($BU$106)+1),"")</f>
        <v>0</v>
      </c>
      <c r="BV139">
        <f>IFERROR(SMALL(BV39:BV103,ROW()-ROW($BV$106)+1),"")</f>
        <v>0</v>
      </c>
      <c r="BW139">
        <f>IFERROR(SMALL(BW39:BW103,ROW()-ROW($BW$106)+1),"")</f>
        <v>0</v>
      </c>
      <c r="BX139">
        <f>IFERROR(SMALL(BX39:BX103,ROW()-ROW($BX$106)+1),"")</f>
        <v>0</v>
      </c>
      <c r="BY139">
        <f>IFERROR(SMALL(BY39:BY103,ROW()-ROW($BY$106)+1),"")</f>
        <v>0</v>
      </c>
      <c r="BZ139">
        <f>IFERROR(SMALL(BZ39:BZ103,ROW()-ROW($BZ$106)+1),"")</f>
        <v>0</v>
      </c>
      <c r="CA139">
        <f>IFERROR(SMALL(CA39:CA103,ROW()-ROW($CA$106)+1),"")</f>
        <v>0</v>
      </c>
      <c r="CB139">
        <f>IFERROR(SMALL(CB39:CB103,ROW()-ROW($CB$106)+1),"")</f>
        <v>0</v>
      </c>
      <c r="CC139">
        <f>IFERROR(SMALL(CC39:CC103,ROW()-ROW($CC$106)+1),"")</f>
        <v>0</v>
      </c>
      <c r="CD139">
        <f>IFERROR(SMALL(CD39:CD103,ROW()-ROW($CD$106)+1),"")</f>
        <v>0</v>
      </c>
      <c r="CE139">
        <f>IFERROR(SMALL(CE39:CE103,ROW()-ROW($CE$106)+1),"")</f>
        <v>0</v>
      </c>
      <c r="CF139">
        <f>IFERROR(SMALL(CF39:CF103,ROW()-ROW($CF$106)+1),"")</f>
        <v>0</v>
      </c>
      <c r="CG139">
        <f>IFERROR(SMALL(CG39:CG103,ROW()-ROW($CG$106)+1),"")</f>
        <v>0</v>
      </c>
      <c r="CH139">
        <f>IFERROR(SMALL(CH39:CH103,ROW()-ROW($CH$106)+1),"")</f>
        <v>0</v>
      </c>
      <c r="CI139">
        <f>IFERROR(SMALL(CI39:CI103,ROW()-ROW($CI$106)+1),"")</f>
        <v>0</v>
      </c>
      <c r="CJ139">
        <f>IFERROR(SMALL(CJ39:CJ103,ROW()-ROW($CJ$106)+1),"")</f>
        <v>0</v>
      </c>
      <c r="CK139">
        <f>IFERROR(SMALL(CK39:CK103,ROW()-ROW($CK$106)+1),"")</f>
        <v>0</v>
      </c>
      <c r="CL139">
        <f>IFERROR(SMALL(CL39:CL103,ROW()-ROW($CL$106)+1),"")</f>
        <v>0</v>
      </c>
      <c r="CM139">
        <f>IFERROR(SMALL(CM39:CM103,ROW()-ROW($CM$106)+1),"")</f>
        <v>0</v>
      </c>
      <c r="CN139">
        <f>IFERROR(SMALL(CN39:CN103,ROW()-ROW($CN$106)+1),"")</f>
        <v>0</v>
      </c>
      <c r="CO139">
        <f>IFERROR(SMALL(CO39:CO103,ROW()-ROW($CO$106)+1),"")</f>
        <v>0</v>
      </c>
      <c r="CP139">
        <f>IFERROR(SMALL(CP39:CP103,ROW()-ROW($CP$106)+1),"")</f>
        <v>0</v>
      </c>
      <c r="CQ139">
        <f>IFERROR(SMALL(CQ39:CQ103,ROW()-ROW($CQ$106)+1),"")</f>
        <v>0</v>
      </c>
      <c r="CR139">
        <f>IFERROR(SMALL(CR39:CR103,ROW()-ROW($CR$106)+1),"")</f>
        <v>0</v>
      </c>
      <c r="CS139">
        <f>IFERROR(SMALL(CS39:CS103,ROW()-ROW($CS$106)+1),"")</f>
        <v>0</v>
      </c>
      <c r="CT139">
        <f>IFERROR(SMALL(CT39:CT103,ROW()-ROW($CT$106)+1),"")</f>
        <v>0</v>
      </c>
      <c r="CU139">
        <f>IFERROR(SMALL(CU39:CU103,ROW()-ROW($CU$106)+1),"")</f>
        <v>0</v>
      </c>
      <c r="CV139">
        <f>IFERROR(SMALL(CV39:CV103,ROW()-ROW($CV$106)+1),"")</f>
        <v>0</v>
      </c>
      <c r="CW139">
        <f>IFERROR(SMALL(CW39:CW103,ROW()-ROW($CW$106)+1),"")</f>
        <v>0</v>
      </c>
      <c r="CX139">
        <f>IFERROR(SMALL(CX39:CX103,ROW()-ROW($CX$106)+1),"")</f>
        <v>0</v>
      </c>
      <c r="CY139">
        <f>IFERROR(SMALL(CY39:CY103,ROW()-ROW($CY$106)+1),"")</f>
        <v>0</v>
      </c>
      <c r="CZ139">
        <f>IFERROR(SMALL(CZ39:CZ103,ROW()-ROW($CZ$106)+1),"")</f>
        <v>0</v>
      </c>
      <c r="DA139">
        <f>IFERROR(SMALL(DA39:DA103,ROW()-ROW($DA$106)+1),"")</f>
        <v>0</v>
      </c>
      <c r="DB139">
        <f>IFERROR(SMALL(DB39:DB103,ROW()-ROW($DB$106)+1),"")</f>
        <v>0</v>
      </c>
      <c r="DC139">
        <f>IFERROR(SMALL(DC39:DC103,ROW()-ROW($DC$106)+1),"")</f>
        <v>0</v>
      </c>
      <c r="DD139">
        <f>IFERROR(SMALL(DD39:DD103,ROW()-ROW($DD$106)+1),"")</f>
        <v>0</v>
      </c>
      <c r="DE139">
        <f>IFERROR(SMALL(DE39:DE103,ROW()-ROW($DE$106)+1),"")</f>
        <v>0</v>
      </c>
      <c r="DF139">
        <f>IFERROR(SMALL(DF39:DF103,ROW()-ROW($DF$106)+1),"")</f>
        <v>0</v>
      </c>
      <c r="DG139">
        <f>IFERROR(SMALL(DG39:DG103,ROW()-ROW($DG$106)+1),"")</f>
        <v>0</v>
      </c>
      <c r="DH139">
        <f>IFERROR(SMALL(DH39:DH103,ROW()-ROW($DH$106)+1),"")</f>
        <v>0</v>
      </c>
      <c r="DI139">
        <f>IFERROR(SMALL(DI39:DI103,ROW()-ROW($DI$106)+1),"")</f>
        <v>0</v>
      </c>
      <c r="DJ139">
        <f>IFERROR(SMALL(DJ39:DJ103,ROW()-ROW($DJ$106)+1),"")</f>
        <v>0</v>
      </c>
      <c r="DK139">
        <f>IFERROR(SMALL(DK39:DK103,ROW()-ROW($DK$106)+1),"")</f>
        <v>0</v>
      </c>
      <c r="DL139">
        <f>IFERROR(SMALL(DL39:DL103,ROW()-ROW($DL$106)+1),"")</f>
        <v>0</v>
      </c>
      <c r="DM139">
        <f>IFERROR(SMALL(DM39:DM103,ROW()-ROW($DM$106)+1),"")</f>
        <v>0</v>
      </c>
      <c r="DN139">
        <f>IFERROR(SMALL(DN39:DN103,ROW()-ROW($DN$106)+1),"")</f>
        <v>0</v>
      </c>
      <c r="DO139">
        <f>IFERROR(SMALL(DO39:DO103,ROW()-ROW($DO$106)+1),"")</f>
        <v>0</v>
      </c>
      <c r="DP139">
        <f>IFERROR(SMALL(DP39:DP103,ROW()-ROW($DP$106)+1),"")</f>
        <v>0</v>
      </c>
      <c r="DQ139">
        <f>IFERROR(SMALL(DQ39:DQ103,ROW()-ROW($DQ$106)+1),"")</f>
        <v>0</v>
      </c>
      <c r="DR139">
        <f>IFERROR(SMALL(DR39:DR103,ROW()-ROW($DR$106)+1),"")</f>
        <v>0</v>
      </c>
      <c r="DS139">
        <f>IFERROR(SMALL(DS39:DS103,ROW()-ROW($DS$106)+1),"")</f>
        <v>0</v>
      </c>
      <c r="DT139">
        <f>IFERROR(SMALL(DT39:DT103,ROW()-ROW($DT$106)+1),"")</f>
        <v>0</v>
      </c>
      <c r="DU139">
        <f>IFERROR(SMALL(DU39:DU103,ROW()-ROW($DU$106)+1),"")</f>
        <v>0</v>
      </c>
      <c r="DV139">
        <f>IFERROR(SMALL(DV39:DV103,ROW()-ROW($DV$106)+1),"")</f>
        <v>0</v>
      </c>
      <c r="DW139">
        <f>IFERROR(SMALL(DW39:DW103,ROW()-ROW($DW$106)+1),"")</f>
        <v>0</v>
      </c>
      <c r="DX139">
        <f>IFERROR(SMALL(DX39:DX103,ROW()-ROW($DX$106)+1),"")</f>
        <v>0</v>
      </c>
      <c r="DY139">
        <f>IFERROR(SMALL(DY39:DY103,ROW()-ROW($DY$106)+1),"")</f>
        <v>0</v>
      </c>
      <c r="DZ139">
        <f>IFERROR(SMALL(DZ39:DZ103,ROW()-ROW($DZ$106)+1),"")</f>
        <v>0</v>
      </c>
      <c r="EA139">
        <f>IFERROR(SMALL(EA39:EA103,ROW()-ROW($EA$106)+1),"")</f>
        <v>0</v>
      </c>
      <c r="EB139">
        <f>IFERROR(SMALL(EB39:EB103,ROW()-ROW($EB$106)+1),"")</f>
        <v>0</v>
      </c>
      <c r="EC139">
        <f>IFERROR(SMALL(EC39:EC103,ROW()-ROW($EC$106)+1),"")</f>
        <v>0</v>
      </c>
      <c r="ED139">
        <f>IFERROR(SMALL(ED39:ED103,ROW()-ROW($ED$106)+1),"")</f>
        <v>0</v>
      </c>
    </row>
    <row r="140" spans="5:134">
      <c r="E140">
        <f>IFERROR(SMALL(E39:E103,ROW()-ROW($E$106)+1),"")</f>
        <v>0</v>
      </c>
      <c r="F140">
        <f>IFERROR(SMALL(F39:F103,ROW()-ROW($F$106)+1),"")</f>
        <v>0</v>
      </c>
      <c r="G140">
        <f>IFERROR(SMALL(G39:G103,ROW()-ROW($G$106)+1),"")</f>
        <v>0</v>
      </c>
      <c r="H140">
        <f>IFERROR(SMALL(H39:H103,ROW()-ROW($H$106)+1),"")</f>
        <v>0</v>
      </c>
      <c r="I140">
        <f>IFERROR(SMALL(I39:I103,ROW()-ROW($I$106)+1),"")</f>
        <v>0</v>
      </c>
      <c r="J140">
        <f>IFERROR(SMALL(J39:J103,ROW()-ROW($J$106)+1),"")</f>
        <v>0</v>
      </c>
      <c r="K140">
        <f>IFERROR(SMALL(K39:K103,ROW()-ROW($K$106)+1),"")</f>
        <v>0</v>
      </c>
      <c r="L140">
        <f>IFERROR(SMALL(L39:L103,ROW()-ROW($L$106)+1),"")</f>
        <v>0</v>
      </c>
      <c r="M140">
        <f>IFERROR(SMALL(M39:M103,ROW()-ROW($M$106)+1),"")</f>
        <v>0</v>
      </c>
      <c r="N140">
        <f>IFERROR(SMALL(N39:N103,ROW()-ROW($N$106)+1),"")</f>
        <v>0</v>
      </c>
      <c r="O140">
        <f>IFERROR(SMALL(O39:O103,ROW()-ROW($O$106)+1),"")</f>
        <v>0</v>
      </c>
      <c r="P140">
        <f>IFERROR(SMALL(P39:P103,ROW()-ROW($P$106)+1),"")</f>
        <v>0</v>
      </c>
      <c r="Q140">
        <f>IFERROR(SMALL(Q39:Q103,ROW()-ROW($Q$106)+1),"")</f>
        <v>0</v>
      </c>
      <c r="R140">
        <f>IFERROR(SMALL(R39:R103,ROW()-ROW($R$106)+1),"")</f>
        <v>0</v>
      </c>
      <c r="S140">
        <f>IFERROR(SMALL(S39:S103,ROW()-ROW($S$106)+1),"")</f>
        <v>0</v>
      </c>
      <c r="T140">
        <f>IFERROR(SMALL(T39:T103,ROW()-ROW($T$106)+1),"")</f>
        <v>0</v>
      </c>
      <c r="U140">
        <f>IFERROR(SMALL(U39:U103,ROW()-ROW($U$106)+1),"")</f>
        <v>0</v>
      </c>
      <c r="V140">
        <f>IFERROR(SMALL(V39:V103,ROW()-ROW($V$106)+1),"")</f>
        <v>0</v>
      </c>
      <c r="W140">
        <f>IFERROR(SMALL(W39:W103,ROW()-ROW($W$106)+1),"")</f>
        <v>0</v>
      </c>
      <c r="X140">
        <f>IFERROR(SMALL(X39:X103,ROW()-ROW($X$106)+1),"")</f>
        <v>0</v>
      </c>
      <c r="Y140">
        <f>IFERROR(SMALL(Y39:Y103,ROW()-ROW($Y$106)+1),"")</f>
        <v>0</v>
      </c>
      <c r="Z140">
        <f>IFERROR(SMALL(Z39:Z103,ROW()-ROW($Z$106)+1),"")</f>
        <v>0</v>
      </c>
      <c r="AA140">
        <f>IFERROR(SMALL(AA39:AA103,ROW()-ROW($AA$106)+1),"")</f>
        <v>0</v>
      </c>
      <c r="AB140">
        <f>IFERROR(SMALL(AB39:AB103,ROW()-ROW($AB$106)+1),"")</f>
        <v>0</v>
      </c>
      <c r="AC140">
        <f>IFERROR(SMALL(AC39:AC103,ROW()-ROW($AC$106)+1),"")</f>
        <v>0</v>
      </c>
      <c r="AD140">
        <f>IFERROR(SMALL(AD39:AD103,ROW()-ROW($AD$106)+1),"")</f>
        <v>0</v>
      </c>
      <c r="AE140">
        <f>IFERROR(SMALL(AE39:AE103,ROW()-ROW($AE$106)+1),"")</f>
        <v>0</v>
      </c>
      <c r="AF140">
        <f>IFERROR(SMALL(AF39:AF103,ROW()-ROW($AF$106)+1),"")</f>
        <v>0</v>
      </c>
      <c r="AG140">
        <f>IFERROR(SMALL(AG39:AG103,ROW()-ROW($AG$106)+1),"")</f>
        <v>0</v>
      </c>
      <c r="AH140">
        <f>IFERROR(SMALL(AH39:AH103,ROW()-ROW($AH$106)+1),"")</f>
        <v>0</v>
      </c>
      <c r="AI140">
        <f>IFERROR(SMALL(AI39:AI103,ROW()-ROW($AI$106)+1),"")</f>
        <v>0</v>
      </c>
      <c r="AJ140">
        <f>IFERROR(SMALL(AJ39:AJ103,ROW()-ROW($AJ$106)+1),"")</f>
        <v>0</v>
      </c>
      <c r="AK140">
        <f>IFERROR(SMALL(AK39:AK103,ROW()-ROW($AK$106)+1),"")</f>
        <v>0</v>
      </c>
      <c r="AL140">
        <f>IFERROR(SMALL(AL39:AL103,ROW()-ROW($AL$106)+1),"")</f>
        <v>0</v>
      </c>
      <c r="AM140">
        <f>IFERROR(SMALL(AM39:AM103,ROW()-ROW($AM$106)+1),"")</f>
        <v>0</v>
      </c>
      <c r="AN140">
        <f>IFERROR(SMALL(AN39:AN103,ROW()-ROW($AN$106)+1),"")</f>
        <v>0</v>
      </c>
      <c r="AO140">
        <f>IFERROR(SMALL(AO39:AO103,ROW()-ROW($AO$106)+1),"")</f>
        <v>0</v>
      </c>
      <c r="AP140">
        <f>IFERROR(SMALL(AP39:AP103,ROW()-ROW($AP$106)+1),"")</f>
        <v>0</v>
      </c>
      <c r="AQ140">
        <f>IFERROR(SMALL(AQ39:AQ103,ROW()-ROW($AQ$106)+1),"")</f>
        <v>0</v>
      </c>
      <c r="AR140">
        <f>IFERROR(SMALL(AR39:AR103,ROW()-ROW($AR$106)+1),"")</f>
        <v>0</v>
      </c>
      <c r="AS140">
        <f>IFERROR(SMALL(AS39:AS103,ROW()-ROW($AS$106)+1),"")</f>
        <v>0</v>
      </c>
      <c r="AT140">
        <f>IFERROR(SMALL(AT39:AT103,ROW()-ROW($AT$106)+1),"")</f>
        <v>0</v>
      </c>
      <c r="AU140">
        <f>IFERROR(SMALL(AU39:AU103,ROW()-ROW($AU$106)+1),"")</f>
        <v>0</v>
      </c>
      <c r="AV140">
        <f>IFERROR(SMALL(AV39:AV103,ROW()-ROW($AV$106)+1),"")</f>
        <v>0</v>
      </c>
      <c r="AW140">
        <f>IFERROR(SMALL(AW39:AW103,ROW()-ROW($AW$106)+1),"")</f>
        <v>0</v>
      </c>
      <c r="AX140">
        <f>IFERROR(SMALL(AX39:AX103,ROW()-ROW($AX$106)+1),"")</f>
        <v>0</v>
      </c>
      <c r="AY140">
        <f>IFERROR(SMALL(AY39:AY103,ROW()-ROW($AY$106)+1),"")</f>
        <v>0</v>
      </c>
      <c r="AZ140">
        <f>IFERROR(SMALL(AZ39:AZ103,ROW()-ROW($AZ$106)+1),"")</f>
        <v>0</v>
      </c>
      <c r="BA140">
        <f>IFERROR(SMALL(BA39:BA103,ROW()-ROW($BA$106)+1),"")</f>
        <v>0</v>
      </c>
      <c r="BB140">
        <f>IFERROR(SMALL(BB39:BB103,ROW()-ROW($BB$106)+1),"")</f>
        <v>0</v>
      </c>
      <c r="BC140">
        <f>IFERROR(SMALL(BC39:BC103,ROW()-ROW($BC$106)+1),"")</f>
        <v>0</v>
      </c>
      <c r="BD140">
        <f>IFERROR(SMALL(BD39:BD103,ROW()-ROW($BD$106)+1),"")</f>
        <v>0</v>
      </c>
      <c r="BE140">
        <f>IFERROR(SMALL(BE39:BE103,ROW()-ROW($BE$106)+1),"")</f>
        <v>0</v>
      </c>
      <c r="BF140">
        <f>IFERROR(SMALL(BF39:BF103,ROW()-ROW($BF$106)+1),"")</f>
        <v>0</v>
      </c>
      <c r="BG140">
        <f>IFERROR(SMALL(BG39:BG103,ROW()-ROW($BG$106)+1),"")</f>
        <v>0</v>
      </c>
      <c r="BH140">
        <f>IFERROR(SMALL(BH39:BH103,ROW()-ROW($BH$106)+1),"")</f>
        <v>0</v>
      </c>
      <c r="BI140">
        <f>IFERROR(SMALL(BI39:BI103,ROW()-ROW($BI$106)+1),"")</f>
        <v>0</v>
      </c>
      <c r="BJ140">
        <f>IFERROR(SMALL(BJ39:BJ103,ROW()-ROW($BJ$106)+1),"")</f>
        <v>0</v>
      </c>
      <c r="BK140">
        <f>IFERROR(SMALL(BK39:BK103,ROW()-ROW($BK$106)+1),"")</f>
        <v>0</v>
      </c>
      <c r="BL140">
        <f>IFERROR(SMALL(BL39:BL103,ROW()-ROW($BL$106)+1),"")</f>
        <v>0</v>
      </c>
      <c r="BM140">
        <f>IFERROR(SMALL(BM39:BM103,ROW()-ROW($BM$106)+1),"")</f>
        <v>0</v>
      </c>
      <c r="BN140">
        <f>IFERROR(SMALL(BN39:BN103,ROW()-ROW($BN$106)+1),"")</f>
        <v>0</v>
      </c>
      <c r="BO140">
        <f>IFERROR(SMALL(BO39:BO103,ROW()-ROW($BO$106)+1),"")</f>
        <v>0</v>
      </c>
      <c r="BP140">
        <f>IFERROR(SMALL(BP39:BP103,ROW()-ROW($BP$106)+1),"")</f>
        <v>0</v>
      </c>
      <c r="BS140">
        <f>IFERROR(SMALL(BS39:BS103,ROW()-ROW($BS$106)+1),"")</f>
        <v>0</v>
      </c>
      <c r="BT140">
        <f>IFERROR(SMALL(BT39:BT103,ROW()-ROW($BT$106)+1),"")</f>
        <v>0</v>
      </c>
      <c r="BU140">
        <f>IFERROR(SMALL(BU39:BU103,ROW()-ROW($BU$106)+1),"")</f>
        <v>0</v>
      </c>
      <c r="BV140">
        <f>IFERROR(SMALL(BV39:BV103,ROW()-ROW($BV$106)+1),"")</f>
        <v>0</v>
      </c>
      <c r="BW140">
        <f>IFERROR(SMALL(BW39:BW103,ROW()-ROW($BW$106)+1),"")</f>
        <v>0</v>
      </c>
      <c r="BX140">
        <f>IFERROR(SMALL(BX39:BX103,ROW()-ROW($BX$106)+1),"")</f>
        <v>0</v>
      </c>
      <c r="BY140">
        <f>IFERROR(SMALL(BY39:BY103,ROW()-ROW($BY$106)+1),"")</f>
        <v>0</v>
      </c>
      <c r="BZ140">
        <f>IFERROR(SMALL(BZ39:BZ103,ROW()-ROW($BZ$106)+1),"")</f>
        <v>0</v>
      </c>
      <c r="CA140">
        <f>IFERROR(SMALL(CA39:CA103,ROW()-ROW($CA$106)+1),"")</f>
        <v>0</v>
      </c>
      <c r="CB140">
        <f>IFERROR(SMALL(CB39:CB103,ROW()-ROW($CB$106)+1),"")</f>
        <v>0</v>
      </c>
      <c r="CC140">
        <f>IFERROR(SMALL(CC39:CC103,ROW()-ROW($CC$106)+1),"")</f>
        <v>0</v>
      </c>
      <c r="CD140">
        <f>IFERROR(SMALL(CD39:CD103,ROW()-ROW($CD$106)+1),"")</f>
        <v>0</v>
      </c>
      <c r="CE140">
        <f>IFERROR(SMALL(CE39:CE103,ROW()-ROW($CE$106)+1),"")</f>
        <v>0</v>
      </c>
      <c r="CF140">
        <f>IFERROR(SMALL(CF39:CF103,ROW()-ROW($CF$106)+1),"")</f>
        <v>0</v>
      </c>
      <c r="CG140">
        <f>IFERROR(SMALL(CG39:CG103,ROW()-ROW($CG$106)+1),"")</f>
        <v>0</v>
      </c>
      <c r="CH140">
        <f>IFERROR(SMALL(CH39:CH103,ROW()-ROW($CH$106)+1),"")</f>
        <v>0</v>
      </c>
      <c r="CI140">
        <f>IFERROR(SMALL(CI39:CI103,ROW()-ROW($CI$106)+1),"")</f>
        <v>0</v>
      </c>
      <c r="CJ140">
        <f>IFERROR(SMALL(CJ39:CJ103,ROW()-ROW($CJ$106)+1),"")</f>
        <v>0</v>
      </c>
      <c r="CK140">
        <f>IFERROR(SMALL(CK39:CK103,ROW()-ROW($CK$106)+1),"")</f>
        <v>0</v>
      </c>
      <c r="CL140">
        <f>IFERROR(SMALL(CL39:CL103,ROW()-ROW($CL$106)+1),"")</f>
        <v>0</v>
      </c>
      <c r="CM140">
        <f>IFERROR(SMALL(CM39:CM103,ROW()-ROW($CM$106)+1),"")</f>
        <v>0</v>
      </c>
      <c r="CN140">
        <f>IFERROR(SMALL(CN39:CN103,ROW()-ROW($CN$106)+1),"")</f>
        <v>0</v>
      </c>
      <c r="CO140">
        <f>IFERROR(SMALL(CO39:CO103,ROW()-ROW($CO$106)+1),"")</f>
        <v>0</v>
      </c>
      <c r="CP140">
        <f>IFERROR(SMALL(CP39:CP103,ROW()-ROW($CP$106)+1),"")</f>
        <v>0</v>
      </c>
      <c r="CQ140">
        <f>IFERROR(SMALL(CQ39:CQ103,ROW()-ROW($CQ$106)+1),"")</f>
        <v>0</v>
      </c>
      <c r="CR140">
        <f>IFERROR(SMALL(CR39:CR103,ROW()-ROW($CR$106)+1),"")</f>
        <v>0</v>
      </c>
      <c r="CS140">
        <f>IFERROR(SMALL(CS39:CS103,ROW()-ROW($CS$106)+1),"")</f>
        <v>0</v>
      </c>
      <c r="CT140">
        <f>IFERROR(SMALL(CT39:CT103,ROW()-ROW($CT$106)+1),"")</f>
        <v>0</v>
      </c>
      <c r="CU140">
        <f>IFERROR(SMALL(CU39:CU103,ROW()-ROW($CU$106)+1),"")</f>
        <v>0</v>
      </c>
      <c r="CV140">
        <f>IFERROR(SMALL(CV39:CV103,ROW()-ROW($CV$106)+1),"")</f>
        <v>0</v>
      </c>
      <c r="CW140">
        <f>IFERROR(SMALL(CW39:CW103,ROW()-ROW($CW$106)+1),"")</f>
        <v>0</v>
      </c>
      <c r="CX140">
        <f>IFERROR(SMALL(CX39:CX103,ROW()-ROW($CX$106)+1),"")</f>
        <v>0</v>
      </c>
      <c r="CY140">
        <f>IFERROR(SMALL(CY39:CY103,ROW()-ROW($CY$106)+1),"")</f>
        <v>0</v>
      </c>
      <c r="CZ140">
        <f>IFERROR(SMALL(CZ39:CZ103,ROW()-ROW($CZ$106)+1),"")</f>
        <v>0</v>
      </c>
      <c r="DA140">
        <f>IFERROR(SMALL(DA39:DA103,ROW()-ROW($DA$106)+1),"")</f>
        <v>0</v>
      </c>
      <c r="DB140">
        <f>IFERROR(SMALL(DB39:DB103,ROW()-ROW($DB$106)+1),"")</f>
        <v>0</v>
      </c>
      <c r="DC140">
        <f>IFERROR(SMALL(DC39:DC103,ROW()-ROW($DC$106)+1),"")</f>
        <v>0</v>
      </c>
      <c r="DD140">
        <f>IFERROR(SMALL(DD39:DD103,ROW()-ROW($DD$106)+1),"")</f>
        <v>0</v>
      </c>
      <c r="DE140">
        <f>IFERROR(SMALL(DE39:DE103,ROW()-ROW($DE$106)+1),"")</f>
        <v>0</v>
      </c>
      <c r="DF140">
        <f>IFERROR(SMALL(DF39:DF103,ROW()-ROW($DF$106)+1),"")</f>
        <v>0</v>
      </c>
      <c r="DG140">
        <f>IFERROR(SMALL(DG39:DG103,ROW()-ROW($DG$106)+1),"")</f>
        <v>0</v>
      </c>
      <c r="DH140">
        <f>IFERROR(SMALL(DH39:DH103,ROW()-ROW($DH$106)+1),"")</f>
        <v>0</v>
      </c>
      <c r="DI140">
        <f>IFERROR(SMALL(DI39:DI103,ROW()-ROW($DI$106)+1),"")</f>
        <v>0</v>
      </c>
      <c r="DJ140">
        <f>IFERROR(SMALL(DJ39:DJ103,ROW()-ROW($DJ$106)+1),"")</f>
        <v>0</v>
      </c>
      <c r="DK140">
        <f>IFERROR(SMALL(DK39:DK103,ROW()-ROW($DK$106)+1),"")</f>
        <v>0</v>
      </c>
      <c r="DL140">
        <f>IFERROR(SMALL(DL39:DL103,ROW()-ROW($DL$106)+1),"")</f>
        <v>0</v>
      </c>
      <c r="DM140">
        <f>IFERROR(SMALL(DM39:DM103,ROW()-ROW($DM$106)+1),"")</f>
        <v>0</v>
      </c>
      <c r="DN140">
        <f>IFERROR(SMALL(DN39:DN103,ROW()-ROW($DN$106)+1),"")</f>
        <v>0</v>
      </c>
      <c r="DO140">
        <f>IFERROR(SMALL(DO39:DO103,ROW()-ROW($DO$106)+1),"")</f>
        <v>0</v>
      </c>
      <c r="DP140">
        <f>IFERROR(SMALL(DP39:DP103,ROW()-ROW($DP$106)+1),"")</f>
        <v>0</v>
      </c>
      <c r="DQ140">
        <f>IFERROR(SMALL(DQ39:DQ103,ROW()-ROW($DQ$106)+1),"")</f>
        <v>0</v>
      </c>
      <c r="DR140">
        <f>IFERROR(SMALL(DR39:DR103,ROW()-ROW($DR$106)+1),"")</f>
        <v>0</v>
      </c>
      <c r="DS140">
        <f>IFERROR(SMALL(DS39:DS103,ROW()-ROW($DS$106)+1),"")</f>
        <v>0</v>
      </c>
      <c r="DT140">
        <f>IFERROR(SMALL(DT39:DT103,ROW()-ROW($DT$106)+1),"")</f>
        <v>0</v>
      </c>
      <c r="DU140">
        <f>IFERROR(SMALL(DU39:DU103,ROW()-ROW($DU$106)+1),"")</f>
        <v>0</v>
      </c>
      <c r="DV140">
        <f>IFERROR(SMALL(DV39:DV103,ROW()-ROW($DV$106)+1),"")</f>
        <v>0</v>
      </c>
      <c r="DW140">
        <f>IFERROR(SMALL(DW39:DW103,ROW()-ROW($DW$106)+1),"")</f>
        <v>0</v>
      </c>
      <c r="DX140">
        <f>IFERROR(SMALL(DX39:DX103,ROW()-ROW($DX$106)+1),"")</f>
        <v>0</v>
      </c>
      <c r="DY140">
        <f>IFERROR(SMALL(DY39:DY103,ROW()-ROW($DY$106)+1),"")</f>
        <v>0</v>
      </c>
      <c r="DZ140">
        <f>IFERROR(SMALL(DZ39:DZ103,ROW()-ROW($DZ$106)+1),"")</f>
        <v>0</v>
      </c>
      <c r="EA140">
        <f>IFERROR(SMALL(EA39:EA103,ROW()-ROW($EA$106)+1),"")</f>
        <v>0</v>
      </c>
      <c r="EB140">
        <f>IFERROR(SMALL(EB39:EB103,ROW()-ROW($EB$106)+1),"")</f>
        <v>0</v>
      </c>
      <c r="EC140">
        <f>IFERROR(SMALL(EC39:EC103,ROW()-ROW($EC$106)+1),"")</f>
        <v>0</v>
      </c>
      <c r="ED140">
        <f>IFERROR(SMALL(ED39:ED103,ROW()-ROW($ED$106)+1),"")</f>
        <v>0</v>
      </c>
    </row>
    <row r="141" spans="5:134">
      <c r="E141">
        <f>IFERROR(SMALL(E39:E103,ROW()-ROW($E$106)+1),"")</f>
        <v>0</v>
      </c>
      <c r="F141">
        <f>IFERROR(SMALL(F39:F103,ROW()-ROW($F$106)+1),"")</f>
        <v>0</v>
      </c>
      <c r="G141">
        <f>IFERROR(SMALL(G39:G103,ROW()-ROW($G$106)+1),"")</f>
        <v>0</v>
      </c>
      <c r="H141">
        <f>IFERROR(SMALL(H39:H103,ROW()-ROW($H$106)+1),"")</f>
        <v>0</v>
      </c>
      <c r="I141">
        <f>IFERROR(SMALL(I39:I103,ROW()-ROW($I$106)+1),"")</f>
        <v>0</v>
      </c>
      <c r="J141">
        <f>IFERROR(SMALL(J39:J103,ROW()-ROW($J$106)+1),"")</f>
        <v>0</v>
      </c>
      <c r="K141">
        <f>IFERROR(SMALL(K39:K103,ROW()-ROW($K$106)+1),"")</f>
        <v>0</v>
      </c>
      <c r="L141">
        <f>IFERROR(SMALL(L39:L103,ROW()-ROW($L$106)+1),"")</f>
        <v>0</v>
      </c>
      <c r="M141">
        <f>IFERROR(SMALL(M39:M103,ROW()-ROW($M$106)+1),"")</f>
        <v>0</v>
      </c>
      <c r="N141">
        <f>IFERROR(SMALL(N39:N103,ROW()-ROW($N$106)+1),"")</f>
        <v>0</v>
      </c>
      <c r="O141">
        <f>IFERROR(SMALL(O39:O103,ROW()-ROW($O$106)+1),"")</f>
        <v>0</v>
      </c>
      <c r="P141">
        <f>IFERROR(SMALL(P39:P103,ROW()-ROW($P$106)+1),"")</f>
        <v>0</v>
      </c>
      <c r="Q141">
        <f>IFERROR(SMALL(Q39:Q103,ROW()-ROW($Q$106)+1),"")</f>
        <v>0</v>
      </c>
      <c r="R141">
        <f>IFERROR(SMALL(R39:R103,ROW()-ROW($R$106)+1),"")</f>
        <v>0</v>
      </c>
      <c r="S141">
        <f>IFERROR(SMALL(S39:S103,ROW()-ROW($S$106)+1),"")</f>
        <v>0</v>
      </c>
      <c r="T141">
        <f>IFERROR(SMALL(T39:T103,ROW()-ROW($T$106)+1),"")</f>
        <v>0</v>
      </c>
      <c r="U141">
        <f>IFERROR(SMALL(U39:U103,ROW()-ROW($U$106)+1),"")</f>
        <v>0</v>
      </c>
      <c r="V141">
        <f>IFERROR(SMALL(V39:V103,ROW()-ROW($V$106)+1),"")</f>
        <v>0</v>
      </c>
      <c r="W141">
        <f>IFERROR(SMALL(W39:W103,ROW()-ROW($W$106)+1),"")</f>
        <v>0</v>
      </c>
      <c r="X141">
        <f>IFERROR(SMALL(X39:X103,ROW()-ROW($X$106)+1),"")</f>
        <v>0</v>
      </c>
      <c r="Y141">
        <f>IFERROR(SMALL(Y39:Y103,ROW()-ROW($Y$106)+1),"")</f>
        <v>0</v>
      </c>
      <c r="Z141">
        <f>IFERROR(SMALL(Z39:Z103,ROW()-ROW($Z$106)+1),"")</f>
        <v>0</v>
      </c>
      <c r="AA141">
        <f>IFERROR(SMALL(AA39:AA103,ROW()-ROW($AA$106)+1),"")</f>
        <v>0</v>
      </c>
      <c r="AB141">
        <f>IFERROR(SMALL(AB39:AB103,ROW()-ROW($AB$106)+1),"")</f>
        <v>0</v>
      </c>
      <c r="AC141">
        <f>IFERROR(SMALL(AC39:AC103,ROW()-ROW($AC$106)+1),"")</f>
        <v>0</v>
      </c>
      <c r="AD141">
        <f>IFERROR(SMALL(AD39:AD103,ROW()-ROW($AD$106)+1),"")</f>
        <v>0</v>
      </c>
      <c r="AE141">
        <f>IFERROR(SMALL(AE39:AE103,ROW()-ROW($AE$106)+1),"")</f>
        <v>0</v>
      </c>
      <c r="AF141">
        <f>IFERROR(SMALL(AF39:AF103,ROW()-ROW($AF$106)+1),"")</f>
        <v>0</v>
      </c>
      <c r="AG141">
        <f>IFERROR(SMALL(AG39:AG103,ROW()-ROW($AG$106)+1),"")</f>
        <v>0</v>
      </c>
      <c r="AH141">
        <f>IFERROR(SMALL(AH39:AH103,ROW()-ROW($AH$106)+1),"")</f>
        <v>0</v>
      </c>
      <c r="AI141">
        <f>IFERROR(SMALL(AI39:AI103,ROW()-ROW($AI$106)+1),"")</f>
        <v>0</v>
      </c>
      <c r="AJ141">
        <f>IFERROR(SMALL(AJ39:AJ103,ROW()-ROW($AJ$106)+1),"")</f>
        <v>0</v>
      </c>
      <c r="AK141">
        <f>IFERROR(SMALL(AK39:AK103,ROW()-ROW($AK$106)+1),"")</f>
        <v>0</v>
      </c>
      <c r="AL141">
        <f>IFERROR(SMALL(AL39:AL103,ROW()-ROW($AL$106)+1),"")</f>
        <v>0</v>
      </c>
      <c r="AM141">
        <f>IFERROR(SMALL(AM39:AM103,ROW()-ROW($AM$106)+1),"")</f>
        <v>0</v>
      </c>
      <c r="AN141">
        <f>IFERROR(SMALL(AN39:AN103,ROW()-ROW($AN$106)+1),"")</f>
        <v>0</v>
      </c>
      <c r="AO141">
        <f>IFERROR(SMALL(AO39:AO103,ROW()-ROW($AO$106)+1),"")</f>
        <v>0</v>
      </c>
      <c r="AP141">
        <f>IFERROR(SMALL(AP39:AP103,ROW()-ROW($AP$106)+1),"")</f>
        <v>0</v>
      </c>
      <c r="AQ141">
        <f>IFERROR(SMALL(AQ39:AQ103,ROW()-ROW($AQ$106)+1),"")</f>
        <v>0</v>
      </c>
      <c r="AR141">
        <f>IFERROR(SMALL(AR39:AR103,ROW()-ROW($AR$106)+1),"")</f>
        <v>0</v>
      </c>
      <c r="AS141">
        <f>IFERROR(SMALL(AS39:AS103,ROW()-ROW($AS$106)+1),"")</f>
        <v>0</v>
      </c>
      <c r="AT141">
        <f>IFERROR(SMALL(AT39:AT103,ROW()-ROW($AT$106)+1),"")</f>
        <v>0</v>
      </c>
      <c r="AU141">
        <f>IFERROR(SMALL(AU39:AU103,ROW()-ROW($AU$106)+1),"")</f>
        <v>0</v>
      </c>
      <c r="AV141">
        <f>IFERROR(SMALL(AV39:AV103,ROW()-ROW($AV$106)+1),"")</f>
        <v>0</v>
      </c>
      <c r="AW141">
        <f>IFERROR(SMALL(AW39:AW103,ROW()-ROW($AW$106)+1),"")</f>
        <v>0</v>
      </c>
      <c r="AX141">
        <f>IFERROR(SMALL(AX39:AX103,ROW()-ROW($AX$106)+1),"")</f>
        <v>0</v>
      </c>
      <c r="AY141">
        <f>IFERROR(SMALL(AY39:AY103,ROW()-ROW($AY$106)+1),"")</f>
        <v>0</v>
      </c>
      <c r="AZ141">
        <f>IFERROR(SMALL(AZ39:AZ103,ROW()-ROW($AZ$106)+1),"")</f>
        <v>0</v>
      </c>
      <c r="BA141">
        <f>IFERROR(SMALL(BA39:BA103,ROW()-ROW($BA$106)+1),"")</f>
        <v>0</v>
      </c>
      <c r="BB141">
        <f>IFERROR(SMALL(BB39:BB103,ROW()-ROW($BB$106)+1),"")</f>
        <v>0</v>
      </c>
      <c r="BC141">
        <f>IFERROR(SMALL(BC39:BC103,ROW()-ROW($BC$106)+1),"")</f>
        <v>0</v>
      </c>
      <c r="BD141">
        <f>IFERROR(SMALL(BD39:BD103,ROW()-ROW($BD$106)+1),"")</f>
        <v>0</v>
      </c>
      <c r="BE141">
        <f>IFERROR(SMALL(BE39:BE103,ROW()-ROW($BE$106)+1),"")</f>
        <v>0</v>
      </c>
      <c r="BF141">
        <f>IFERROR(SMALL(BF39:BF103,ROW()-ROW($BF$106)+1),"")</f>
        <v>0</v>
      </c>
      <c r="BG141">
        <f>IFERROR(SMALL(BG39:BG103,ROW()-ROW($BG$106)+1),"")</f>
        <v>0</v>
      </c>
      <c r="BH141">
        <f>IFERROR(SMALL(BH39:BH103,ROW()-ROW($BH$106)+1),"")</f>
        <v>0</v>
      </c>
      <c r="BI141">
        <f>IFERROR(SMALL(BI39:BI103,ROW()-ROW($BI$106)+1),"")</f>
        <v>0</v>
      </c>
      <c r="BJ141">
        <f>IFERROR(SMALL(BJ39:BJ103,ROW()-ROW($BJ$106)+1),"")</f>
        <v>0</v>
      </c>
      <c r="BK141">
        <f>IFERROR(SMALL(BK39:BK103,ROW()-ROW($BK$106)+1),"")</f>
        <v>0</v>
      </c>
      <c r="BL141">
        <f>IFERROR(SMALL(BL39:BL103,ROW()-ROW($BL$106)+1),"")</f>
        <v>0</v>
      </c>
      <c r="BM141">
        <f>IFERROR(SMALL(BM39:BM103,ROW()-ROW($BM$106)+1),"")</f>
        <v>0</v>
      </c>
      <c r="BN141">
        <f>IFERROR(SMALL(BN39:BN103,ROW()-ROW($BN$106)+1),"")</f>
        <v>0</v>
      </c>
      <c r="BO141">
        <f>IFERROR(SMALL(BO39:BO103,ROW()-ROW($BO$106)+1),"")</f>
        <v>0</v>
      </c>
      <c r="BP141">
        <f>IFERROR(SMALL(BP39:BP103,ROW()-ROW($BP$106)+1),"")</f>
        <v>0</v>
      </c>
      <c r="BS141">
        <f>IFERROR(SMALL(BS39:BS103,ROW()-ROW($BS$106)+1),"")</f>
        <v>0</v>
      </c>
      <c r="BT141">
        <f>IFERROR(SMALL(BT39:BT103,ROW()-ROW($BT$106)+1),"")</f>
        <v>0</v>
      </c>
      <c r="BU141">
        <f>IFERROR(SMALL(BU39:BU103,ROW()-ROW($BU$106)+1),"")</f>
        <v>0</v>
      </c>
      <c r="BV141">
        <f>IFERROR(SMALL(BV39:BV103,ROW()-ROW($BV$106)+1),"")</f>
        <v>0</v>
      </c>
      <c r="BW141">
        <f>IFERROR(SMALL(BW39:BW103,ROW()-ROW($BW$106)+1),"")</f>
        <v>0</v>
      </c>
      <c r="BX141">
        <f>IFERROR(SMALL(BX39:BX103,ROW()-ROW($BX$106)+1),"")</f>
        <v>0</v>
      </c>
      <c r="BY141">
        <f>IFERROR(SMALL(BY39:BY103,ROW()-ROW($BY$106)+1),"")</f>
        <v>0</v>
      </c>
      <c r="BZ141">
        <f>IFERROR(SMALL(BZ39:BZ103,ROW()-ROW($BZ$106)+1),"")</f>
        <v>0</v>
      </c>
      <c r="CA141">
        <f>IFERROR(SMALL(CA39:CA103,ROW()-ROW($CA$106)+1),"")</f>
        <v>0</v>
      </c>
      <c r="CB141">
        <f>IFERROR(SMALL(CB39:CB103,ROW()-ROW($CB$106)+1),"")</f>
        <v>0</v>
      </c>
      <c r="CC141">
        <f>IFERROR(SMALL(CC39:CC103,ROW()-ROW($CC$106)+1),"")</f>
        <v>0</v>
      </c>
      <c r="CD141">
        <f>IFERROR(SMALL(CD39:CD103,ROW()-ROW($CD$106)+1),"")</f>
        <v>0</v>
      </c>
      <c r="CE141">
        <f>IFERROR(SMALL(CE39:CE103,ROW()-ROW($CE$106)+1),"")</f>
        <v>0</v>
      </c>
      <c r="CF141">
        <f>IFERROR(SMALL(CF39:CF103,ROW()-ROW($CF$106)+1),"")</f>
        <v>0</v>
      </c>
      <c r="CG141">
        <f>IFERROR(SMALL(CG39:CG103,ROW()-ROW($CG$106)+1),"")</f>
        <v>0</v>
      </c>
      <c r="CH141">
        <f>IFERROR(SMALL(CH39:CH103,ROW()-ROW($CH$106)+1),"")</f>
        <v>0</v>
      </c>
      <c r="CI141">
        <f>IFERROR(SMALL(CI39:CI103,ROW()-ROW($CI$106)+1),"")</f>
        <v>0</v>
      </c>
      <c r="CJ141">
        <f>IFERROR(SMALL(CJ39:CJ103,ROW()-ROW($CJ$106)+1),"")</f>
        <v>0</v>
      </c>
      <c r="CK141">
        <f>IFERROR(SMALL(CK39:CK103,ROW()-ROW($CK$106)+1),"")</f>
        <v>0</v>
      </c>
      <c r="CL141">
        <f>IFERROR(SMALL(CL39:CL103,ROW()-ROW($CL$106)+1),"")</f>
        <v>0</v>
      </c>
      <c r="CM141">
        <f>IFERROR(SMALL(CM39:CM103,ROW()-ROW($CM$106)+1),"")</f>
        <v>0</v>
      </c>
      <c r="CN141">
        <f>IFERROR(SMALL(CN39:CN103,ROW()-ROW($CN$106)+1),"")</f>
        <v>0</v>
      </c>
      <c r="CO141">
        <f>IFERROR(SMALL(CO39:CO103,ROW()-ROW($CO$106)+1),"")</f>
        <v>0</v>
      </c>
      <c r="CP141">
        <f>IFERROR(SMALL(CP39:CP103,ROW()-ROW($CP$106)+1),"")</f>
        <v>0</v>
      </c>
      <c r="CQ141">
        <f>IFERROR(SMALL(CQ39:CQ103,ROW()-ROW($CQ$106)+1),"")</f>
        <v>0</v>
      </c>
      <c r="CR141">
        <f>IFERROR(SMALL(CR39:CR103,ROW()-ROW($CR$106)+1),"")</f>
        <v>0</v>
      </c>
      <c r="CS141">
        <f>IFERROR(SMALL(CS39:CS103,ROW()-ROW($CS$106)+1),"")</f>
        <v>0</v>
      </c>
      <c r="CT141">
        <f>IFERROR(SMALL(CT39:CT103,ROW()-ROW($CT$106)+1),"")</f>
        <v>0</v>
      </c>
      <c r="CU141">
        <f>IFERROR(SMALL(CU39:CU103,ROW()-ROW($CU$106)+1),"")</f>
        <v>0</v>
      </c>
      <c r="CV141">
        <f>IFERROR(SMALL(CV39:CV103,ROW()-ROW($CV$106)+1),"")</f>
        <v>0</v>
      </c>
      <c r="CW141">
        <f>IFERROR(SMALL(CW39:CW103,ROW()-ROW($CW$106)+1),"")</f>
        <v>0</v>
      </c>
      <c r="CX141">
        <f>IFERROR(SMALL(CX39:CX103,ROW()-ROW($CX$106)+1),"")</f>
        <v>0</v>
      </c>
      <c r="CY141">
        <f>IFERROR(SMALL(CY39:CY103,ROW()-ROW($CY$106)+1),"")</f>
        <v>0</v>
      </c>
      <c r="CZ141">
        <f>IFERROR(SMALL(CZ39:CZ103,ROW()-ROW($CZ$106)+1),"")</f>
        <v>0</v>
      </c>
      <c r="DA141">
        <f>IFERROR(SMALL(DA39:DA103,ROW()-ROW($DA$106)+1),"")</f>
        <v>0</v>
      </c>
      <c r="DB141">
        <f>IFERROR(SMALL(DB39:DB103,ROW()-ROW($DB$106)+1),"")</f>
        <v>0</v>
      </c>
      <c r="DC141">
        <f>IFERROR(SMALL(DC39:DC103,ROW()-ROW($DC$106)+1),"")</f>
        <v>0</v>
      </c>
      <c r="DD141">
        <f>IFERROR(SMALL(DD39:DD103,ROW()-ROW($DD$106)+1),"")</f>
        <v>0</v>
      </c>
      <c r="DE141">
        <f>IFERROR(SMALL(DE39:DE103,ROW()-ROW($DE$106)+1),"")</f>
        <v>0</v>
      </c>
      <c r="DF141">
        <f>IFERROR(SMALL(DF39:DF103,ROW()-ROW($DF$106)+1),"")</f>
        <v>0</v>
      </c>
      <c r="DG141">
        <f>IFERROR(SMALL(DG39:DG103,ROW()-ROW($DG$106)+1),"")</f>
        <v>0</v>
      </c>
      <c r="DH141">
        <f>IFERROR(SMALL(DH39:DH103,ROW()-ROW($DH$106)+1),"")</f>
        <v>0</v>
      </c>
      <c r="DI141">
        <f>IFERROR(SMALL(DI39:DI103,ROW()-ROW($DI$106)+1),"")</f>
        <v>0</v>
      </c>
      <c r="DJ141">
        <f>IFERROR(SMALL(DJ39:DJ103,ROW()-ROW($DJ$106)+1),"")</f>
        <v>0</v>
      </c>
      <c r="DK141">
        <f>IFERROR(SMALL(DK39:DK103,ROW()-ROW($DK$106)+1),"")</f>
        <v>0</v>
      </c>
      <c r="DL141">
        <f>IFERROR(SMALL(DL39:DL103,ROW()-ROW($DL$106)+1),"")</f>
        <v>0</v>
      </c>
      <c r="DM141">
        <f>IFERROR(SMALL(DM39:DM103,ROW()-ROW($DM$106)+1),"")</f>
        <v>0</v>
      </c>
      <c r="DN141">
        <f>IFERROR(SMALL(DN39:DN103,ROW()-ROW($DN$106)+1),"")</f>
        <v>0</v>
      </c>
      <c r="DO141">
        <f>IFERROR(SMALL(DO39:DO103,ROW()-ROW($DO$106)+1),"")</f>
        <v>0</v>
      </c>
      <c r="DP141">
        <f>IFERROR(SMALL(DP39:DP103,ROW()-ROW($DP$106)+1),"")</f>
        <v>0</v>
      </c>
      <c r="DQ141">
        <f>IFERROR(SMALL(DQ39:DQ103,ROW()-ROW($DQ$106)+1),"")</f>
        <v>0</v>
      </c>
      <c r="DR141">
        <f>IFERROR(SMALL(DR39:DR103,ROW()-ROW($DR$106)+1),"")</f>
        <v>0</v>
      </c>
      <c r="DS141">
        <f>IFERROR(SMALL(DS39:DS103,ROW()-ROW($DS$106)+1),"")</f>
        <v>0</v>
      </c>
      <c r="DT141">
        <f>IFERROR(SMALL(DT39:DT103,ROW()-ROW($DT$106)+1),"")</f>
        <v>0</v>
      </c>
      <c r="DU141">
        <f>IFERROR(SMALL(DU39:DU103,ROW()-ROW($DU$106)+1),"")</f>
        <v>0</v>
      </c>
      <c r="DV141">
        <f>IFERROR(SMALL(DV39:DV103,ROW()-ROW($DV$106)+1),"")</f>
        <v>0</v>
      </c>
      <c r="DW141">
        <f>IFERROR(SMALL(DW39:DW103,ROW()-ROW($DW$106)+1),"")</f>
        <v>0</v>
      </c>
      <c r="DX141">
        <f>IFERROR(SMALL(DX39:DX103,ROW()-ROW($DX$106)+1),"")</f>
        <v>0</v>
      </c>
      <c r="DY141">
        <f>IFERROR(SMALL(DY39:DY103,ROW()-ROW($DY$106)+1),"")</f>
        <v>0</v>
      </c>
      <c r="DZ141">
        <f>IFERROR(SMALL(DZ39:DZ103,ROW()-ROW($DZ$106)+1),"")</f>
        <v>0</v>
      </c>
      <c r="EA141">
        <f>IFERROR(SMALL(EA39:EA103,ROW()-ROW($EA$106)+1),"")</f>
        <v>0</v>
      </c>
      <c r="EB141">
        <f>IFERROR(SMALL(EB39:EB103,ROW()-ROW($EB$106)+1),"")</f>
        <v>0</v>
      </c>
      <c r="EC141">
        <f>IFERROR(SMALL(EC39:EC103,ROW()-ROW($EC$106)+1),"")</f>
        <v>0</v>
      </c>
      <c r="ED141">
        <f>IFERROR(SMALL(ED39:ED103,ROW()-ROW($ED$106)+1),"")</f>
        <v>0</v>
      </c>
    </row>
    <row r="142" spans="5:134">
      <c r="E142">
        <f>IFERROR(SMALL(E39:E103,ROW()-ROW($E$106)+1),"")</f>
        <v>0</v>
      </c>
      <c r="F142">
        <f>IFERROR(SMALL(F39:F103,ROW()-ROW($F$106)+1),"")</f>
        <v>0</v>
      </c>
      <c r="G142">
        <f>IFERROR(SMALL(G39:G103,ROW()-ROW($G$106)+1),"")</f>
        <v>0</v>
      </c>
      <c r="H142">
        <f>IFERROR(SMALL(H39:H103,ROW()-ROW($H$106)+1),"")</f>
        <v>0</v>
      </c>
      <c r="I142">
        <f>IFERROR(SMALL(I39:I103,ROW()-ROW($I$106)+1),"")</f>
        <v>0</v>
      </c>
      <c r="J142">
        <f>IFERROR(SMALL(J39:J103,ROW()-ROW($J$106)+1),"")</f>
        <v>0</v>
      </c>
      <c r="K142">
        <f>IFERROR(SMALL(K39:K103,ROW()-ROW($K$106)+1),"")</f>
        <v>0</v>
      </c>
      <c r="L142">
        <f>IFERROR(SMALL(L39:L103,ROW()-ROW($L$106)+1),"")</f>
        <v>0</v>
      </c>
      <c r="M142">
        <f>IFERROR(SMALL(M39:M103,ROW()-ROW($M$106)+1),"")</f>
        <v>0</v>
      </c>
      <c r="N142">
        <f>IFERROR(SMALL(N39:N103,ROW()-ROW($N$106)+1),"")</f>
        <v>0</v>
      </c>
      <c r="O142">
        <f>IFERROR(SMALL(O39:O103,ROW()-ROW($O$106)+1),"")</f>
        <v>0</v>
      </c>
      <c r="P142">
        <f>IFERROR(SMALL(P39:P103,ROW()-ROW($P$106)+1),"")</f>
        <v>0</v>
      </c>
      <c r="Q142">
        <f>IFERROR(SMALL(Q39:Q103,ROW()-ROW($Q$106)+1),"")</f>
        <v>0</v>
      </c>
      <c r="R142">
        <f>IFERROR(SMALL(R39:R103,ROW()-ROW($R$106)+1),"")</f>
        <v>0</v>
      </c>
      <c r="S142">
        <f>IFERROR(SMALL(S39:S103,ROW()-ROW($S$106)+1),"")</f>
        <v>0</v>
      </c>
      <c r="T142">
        <f>IFERROR(SMALL(T39:T103,ROW()-ROW($T$106)+1),"")</f>
        <v>0</v>
      </c>
      <c r="U142">
        <f>IFERROR(SMALL(U39:U103,ROW()-ROW($U$106)+1),"")</f>
        <v>0</v>
      </c>
      <c r="V142">
        <f>IFERROR(SMALL(V39:V103,ROW()-ROW($V$106)+1),"")</f>
        <v>0</v>
      </c>
      <c r="W142">
        <f>IFERROR(SMALL(W39:W103,ROW()-ROW($W$106)+1),"")</f>
        <v>0</v>
      </c>
      <c r="X142">
        <f>IFERROR(SMALL(X39:X103,ROW()-ROW($X$106)+1),"")</f>
        <v>0</v>
      </c>
      <c r="Y142">
        <f>IFERROR(SMALL(Y39:Y103,ROW()-ROW($Y$106)+1),"")</f>
        <v>0</v>
      </c>
      <c r="Z142">
        <f>IFERROR(SMALL(Z39:Z103,ROW()-ROW($Z$106)+1),"")</f>
        <v>0</v>
      </c>
      <c r="AA142">
        <f>IFERROR(SMALL(AA39:AA103,ROW()-ROW($AA$106)+1),"")</f>
        <v>0</v>
      </c>
      <c r="AB142">
        <f>IFERROR(SMALL(AB39:AB103,ROW()-ROW($AB$106)+1),"")</f>
        <v>0</v>
      </c>
      <c r="AC142">
        <f>IFERROR(SMALL(AC39:AC103,ROW()-ROW($AC$106)+1),"")</f>
        <v>0</v>
      </c>
      <c r="AD142">
        <f>IFERROR(SMALL(AD39:AD103,ROW()-ROW($AD$106)+1),"")</f>
        <v>0</v>
      </c>
      <c r="AE142">
        <f>IFERROR(SMALL(AE39:AE103,ROW()-ROW($AE$106)+1),"")</f>
        <v>0</v>
      </c>
      <c r="AF142">
        <f>IFERROR(SMALL(AF39:AF103,ROW()-ROW($AF$106)+1),"")</f>
        <v>0</v>
      </c>
      <c r="AG142">
        <f>IFERROR(SMALL(AG39:AG103,ROW()-ROW($AG$106)+1),"")</f>
        <v>0</v>
      </c>
      <c r="AH142">
        <f>IFERROR(SMALL(AH39:AH103,ROW()-ROW($AH$106)+1),"")</f>
        <v>0</v>
      </c>
      <c r="AI142">
        <f>IFERROR(SMALL(AI39:AI103,ROW()-ROW($AI$106)+1),"")</f>
        <v>0</v>
      </c>
      <c r="AJ142">
        <f>IFERROR(SMALL(AJ39:AJ103,ROW()-ROW($AJ$106)+1),"")</f>
        <v>0</v>
      </c>
      <c r="AK142">
        <f>IFERROR(SMALL(AK39:AK103,ROW()-ROW($AK$106)+1),"")</f>
        <v>0</v>
      </c>
      <c r="AL142">
        <f>IFERROR(SMALL(AL39:AL103,ROW()-ROW($AL$106)+1),"")</f>
        <v>0</v>
      </c>
      <c r="AM142">
        <f>IFERROR(SMALL(AM39:AM103,ROW()-ROW($AM$106)+1),"")</f>
        <v>0</v>
      </c>
      <c r="AN142">
        <f>IFERROR(SMALL(AN39:AN103,ROW()-ROW($AN$106)+1),"")</f>
        <v>0</v>
      </c>
      <c r="AO142">
        <f>IFERROR(SMALL(AO39:AO103,ROW()-ROW($AO$106)+1),"")</f>
        <v>0</v>
      </c>
      <c r="AP142">
        <f>IFERROR(SMALL(AP39:AP103,ROW()-ROW($AP$106)+1),"")</f>
        <v>0</v>
      </c>
      <c r="AQ142">
        <f>IFERROR(SMALL(AQ39:AQ103,ROW()-ROW($AQ$106)+1),"")</f>
        <v>0</v>
      </c>
      <c r="AR142">
        <f>IFERROR(SMALL(AR39:AR103,ROW()-ROW($AR$106)+1),"")</f>
        <v>0</v>
      </c>
      <c r="AS142">
        <f>IFERROR(SMALL(AS39:AS103,ROW()-ROW($AS$106)+1),"")</f>
        <v>0</v>
      </c>
      <c r="AT142">
        <f>IFERROR(SMALL(AT39:AT103,ROW()-ROW($AT$106)+1),"")</f>
        <v>0</v>
      </c>
      <c r="AU142">
        <f>IFERROR(SMALL(AU39:AU103,ROW()-ROW($AU$106)+1),"")</f>
        <v>0</v>
      </c>
      <c r="AV142">
        <f>IFERROR(SMALL(AV39:AV103,ROW()-ROW($AV$106)+1),"")</f>
        <v>0</v>
      </c>
      <c r="AW142">
        <f>IFERROR(SMALL(AW39:AW103,ROW()-ROW($AW$106)+1),"")</f>
        <v>0</v>
      </c>
      <c r="AX142">
        <f>IFERROR(SMALL(AX39:AX103,ROW()-ROW($AX$106)+1),"")</f>
        <v>0</v>
      </c>
      <c r="AY142">
        <f>IFERROR(SMALL(AY39:AY103,ROW()-ROW($AY$106)+1),"")</f>
        <v>0</v>
      </c>
      <c r="AZ142">
        <f>IFERROR(SMALL(AZ39:AZ103,ROW()-ROW($AZ$106)+1),"")</f>
        <v>0</v>
      </c>
      <c r="BA142">
        <f>IFERROR(SMALL(BA39:BA103,ROW()-ROW($BA$106)+1),"")</f>
        <v>0</v>
      </c>
      <c r="BB142">
        <f>IFERROR(SMALL(BB39:BB103,ROW()-ROW($BB$106)+1),"")</f>
        <v>0</v>
      </c>
      <c r="BC142">
        <f>IFERROR(SMALL(BC39:BC103,ROW()-ROW($BC$106)+1),"")</f>
        <v>0</v>
      </c>
      <c r="BD142">
        <f>IFERROR(SMALL(BD39:BD103,ROW()-ROW($BD$106)+1),"")</f>
        <v>0</v>
      </c>
      <c r="BE142">
        <f>IFERROR(SMALL(BE39:BE103,ROW()-ROW($BE$106)+1),"")</f>
        <v>0</v>
      </c>
      <c r="BF142">
        <f>IFERROR(SMALL(BF39:BF103,ROW()-ROW($BF$106)+1),"")</f>
        <v>0</v>
      </c>
      <c r="BG142">
        <f>IFERROR(SMALL(BG39:BG103,ROW()-ROW($BG$106)+1),"")</f>
        <v>0</v>
      </c>
      <c r="BH142">
        <f>IFERROR(SMALL(BH39:BH103,ROW()-ROW($BH$106)+1),"")</f>
        <v>0</v>
      </c>
      <c r="BI142">
        <f>IFERROR(SMALL(BI39:BI103,ROW()-ROW($BI$106)+1),"")</f>
        <v>0</v>
      </c>
      <c r="BJ142">
        <f>IFERROR(SMALL(BJ39:BJ103,ROW()-ROW($BJ$106)+1),"")</f>
        <v>0</v>
      </c>
      <c r="BK142">
        <f>IFERROR(SMALL(BK39:BK103,ROW()-ROW($BK$106)+1),"")</f>
        <v>0</v>
      </c>
      <c r="BL142">
        <f>IFERROR(SMALL(BL39:BL103,ROW()-ROW($BL$106)+1),"")</f>
        <v>0</v>
      </c>
      <c r="BM142">
        <f>IFERROR(SMALL(BM39:BM103,ROW()-ROW($BM$106)+1),"")</f>
        <v>0</v>
      </c>
      <c r="BN142">
        <f>IFERROR(SMALL(BN39:BN103,ROW()-ROW($BN$106)+1),"")</f>
        <v>0</v>
      </c>
      <c r="BO142">
        <f>IFERROR(SMALL(BO39:BO103,ROW()-ROW($BO$106)+1),"")</f>
        <v>0</v>
      </c>
      <c r="BP142">
        <f>IFERROR(SMALL(BP39:BP103,ROW()-ROW($BP$106)+1),"")</f>
        <v>0</v>
      </c>
      <c r="BS142">
        <f>IFERROR(SMALL(BS39:BS103,ROW()-ROW($BS$106)+1),"")</f>
        <v>0</v>
      </c>
      <c r="BT142">
        <f>IFERROR(SMALL(BT39:BT103,ROW()-ROW($BT$106)+1),"")</f>
        <v>0</v>
      </c>
      <c r="BU142">
        <f>IFERROR(SMALL(BU39:BU103,ROW()-ROW($BU$106)+1),"")</f>
        <v>0</v>
      </c>
      <c r="BV142">
        <f>IFERROR(SMALL(BV39:BV103,ROW()-ROW($BV$106)+1),"")</f>
        <v>0</v>
      </c>
      <c r="BW142">
        <f>IFERROR(SMALL(BW39:BW103,ROW()-ROW($BW$106)+1),"")</f>
        <v>0</v>
      </c>
      <c r="BX142">
        <f>IFERROR(SMALL(BX39:BX103,ROW()-ROW($BX$106)+1),"")</f>
        <v>0</v>
      </c>
      <c r="BY142">
        <f>IFERROR(SMALL(BY39:BY103,ROW()-ROW($BY$106)+1),"")</f>
        <v>0</v>
      </c>
      <c r="BZ142">
        <f>IFERROR(SMALL(BZ39:BZ103,ROW()-ROW($BZ$106)+1),"")</f>
        <v>0</v>
      </c>
      <c r="CA142">
        <f>IFERROR(SMALL(CA39:CA103,ROW()-ROW($CA$106)+1),"")</f>
        <v>0</v>
      </c>
      <c r="CB142">
        <f>IFERROR(SMALL(CB39:CB103,ROW()-ROW($CB$106)+1),"")</f>
        <v>0</v>
      </c>
      <c r="CC142">
        <f>IFERROR(SMALL(CC39:CC103,ROW()-ROW($CC$106)+1),"")</f>
        <v>0</v>
      </c>
      <c r="CD142">
        <f>IFERROR(SMALL(CD39:CD103,ROW()-ROW($CD$106)+1),"")</f>
        <v>0</v>
      </c>
      <c r="CE142">
        <f>IFERROR(SMALL(CE39:CE103,ROW()-ROW($CE$106)+1),"")</f>
        <v>0</v>
      </c>
      <c r="CF142">
        <f>IFERROR(SMALL(CF39:CF103,ROW()-ROW($CF$106)+1),"")</f>
        <v>0</v>
      </c>
      <c r="CG142">
        <f>IFERROR(SMALL(CG39:CG103,ROW()-ROW($CG$106)+1),"")</f>
        <v>0</v>
      </c>
      <c r="CH142">
        <f>IFERROR(SMALL(CH39:CH103,ROW()-ROW($CH$106)+1),"")</f>
        <v>0</v>
      </c>
      <c r="CI142">
        <f>IFERROR(SMALL(CI39:CI103,ROW()-ROW($CI$106)+1),"")</f>
        <v>0</v>
      </c>
      <c r="CJ142">
        <f>IFERROR(SMALL(CJ39:CJ103,ROW()-ROW($CJ$106)+1),"")</f>
        <v>0</v>
      </c>
      <c r="CK142">
        <f>IFERROR(SMALL(CK39:CK103,ROW()-ROW($CK$106)+1),"")</f>
        <v>0</v>
      </c>
      <c r="CL142">
        <f>IFERROR(SMALL(CL39:CL103,ROW()-ROW($CL$106)+1),"")</f>
        <v>0</v>
      </c>
      <c r="CM142">
        <f>IFERROR(SMALL(CM39:CM103,ROW()-ROW($CM$106)+1),"")</f>
        <v>0</v>
      </c>
      <c r="CN142">
        <f>IFERROR(SMALL(CN39:CN103,ROW()-ROW($CN$106)+1),"")</f>
        <v>0</v>
      </c>
      <c r="CO142">
        <f>IFERROR(SMALL(CO39:CO103,ROW()-ROW($CO$106)+1),"")</f>
        <v>0</v>
      </c>
      <c r="CP142">
        <f>IFERROR(SMALL(CP39:CP103,ROW()-ROW($CP$106)+1),"")</f>
        <v>0</v>
      </c>
      <c r="CQ142">
        <f>IFERROR(SMALL(CQ39:CQ103,ROW()-ROW($CQ$106)+1),"")</f>
        <v>0</v>
      </c>
      <c r="CR142">
        <f>IFERROR(SMALL(CR39:CR103,ROW()-ROW($CR$106)+1),"")</f>
        <v>0</v>
      </c>
      <c r="CS142">
        <f>IFERROR(SMALL(CS39:CS103,ROW()-ROW($CS$106)+1),"")</f>
        <v>0</v>
      </c>
      <c r="CT142">
        <f>IFERROR(SMALL(CT39:CT103,ROW()-ROW($CT$106)+1),"")</f>
        <v>0</v>
      </c>
      <c r="CU142">
        <f>IFERROR(SMALL(CU39:CU103,ROW()-ROW($CU$106)+1),"")</f>
        <v>0</v>
      </c>
      <c r="CV142">
        <f>IFERROR(SMALL(CV39:CV103,ROW()-ROW($CV$106)+1),"")</f>
        <v>0</v>
      </c>
      <c r="CW142">
        <f>IFERROR(SMALL(CW39:CW103,ROW()-ROW($CW$106)+1),"")</f>
        <v>0</v>
      </c>
      <c r="CX142">
        <f>IFERROR(SMALL(CX39:CX103,ROW()-ROW($CX$106)+1),"")</f>
        <v>0</v>
      </c>
      <c r="CY142">
        <f>IFERROR(SMALL(CY39:CY103,ROW()-ROW($CY$106)+1),"")</f>
        <v>0</v>
      </c>
      <c r="CZ142">
        <f>IFERROR(SMALL(CZ39:CZ103,ROW()-ROW($CZ$106)+1),"")</f>
        <v>0</v>
      </c>
      <c r="DA142">
        <f>IFERROR(SMALL(DA39:DA103,ROW()-ROW($DA$106)+1),"")</f>
        <v>0</v>
      </c>
      <c r="DB142">
        <f>IFERROR(SMALL(DB39:DB103,ROW()-ROW($DB$106)+1),"")</f>
        <v>0</v>
      </c>
      <c r="DC142">
        <f>IFERROR(SMALL(DC39:DC103,ROW()-ROW($DC$106)+1),"")</f>
        <v>0</v>
      </c>
      <c r="DD142">
        <f>IFERROR(SMALL(DD39:DD103,ROW()-ROW($DD$106)+1),"")</f>
        <v>0</v>
      </c>
      <c r="DE142">
        <f>IFERROR(SMALL(DE39:DE103,ROW()-ROW($DE$106)+1),"")</f>
        <v>0</v>
      </c>
      <c r="DF142">
        <f>IFERROR(SMALL(DF39:DF103,ROW()-ROW($DF$106)+1),"")</f>
        <v>0</v>
      </c>
      <c r="DG142">
        <f>IFERROR(SMALL(DG39:DG103,ROW()-ROW($DG$106)+1),"")</f>
        <v>0</v>
      </c>
      <c r="DH142">
        <f>IFERROR(SMALL(DH39:DH103,ROW()-ROW($DH$106)+1),"")</f>
        <v>0</v>
      </c>
      <c r="DI142">
        <f>IFERROR(SMALL(DI39:DI103,ROW()-ROW($DI$106)+1),"")</f>
        <v>0</v>
      </c>
      <c r="DJ142">
        <f>IFERROR(SMALL(DJ39:DJ103,ROW()-ROW($DJ$106)+1),"")</f>
        <v>0</v>
      </c>
      <c r="DK142">
        <f>IFERROR(SMALL(DK39:DK103,ROW()-ROW($DK$106)+1),"")</f>
        <v>0</v>
      </c>
      <c r="DL142">
        <f>IFERROR(SMALL(DL39:DL103,ROW()-ROW($DL$106)+1),"")</f>
        <v>0</v>
      </c>
      <c r="DM142">
        <f>IFERROR(SMALL(DM39:DM103,ROW()-ROW($DM$106)+1),"")</f>
        <v>0</v>
      </c>
      <c r="DN142">
        <f>IFERROR(SMALL(DN39:DN103,ROW()-ROW($DN$106)+1),"")</f>
        <v>0</v>
      </c>
      <c r="DO142">
        <f>IFERROR(SMALL(DO39:DO103,ROW()-ROW($DO$106)+1),"")</f>
        <v>0</v>
      </c>
      <c r="DP142">
        <f>IFERROR(SMALL(DP39:DP103,ROW()-ROW($DP$106)+1),"")</f>
        <v>0</v>
      </c>
      <c r="DQ142">
        <f>IFERROR(SMALL(DQ39:DQ103,ROW()-ROW($DQ$106)+1),"")</f>
        <v>0</v>
      </c>
      <c r="DR142">
        <f>IFERROR(SMALL(DR39:DR103,ROW()-ROW($DR$106)+1),"")</f>
        <v>0</v>
      </c>
      <c r="DS142">
        <f>IFERROR(SMALL(DS39:DS103,ROW()-ROW($DS$106)+1),"")</f>
        <v>0</v>
      </c>
      <c r="DT142">
        <f>IFERROR(SMALL(DT39:DT103,ROW()-ROW($DT$106)+1),"")</f>
        <v>0</v>
      </c>
      <c r="DU142">
        <f>IFERROR(SMALL(DU39:DU103,ROW()-ROW($DU$106)+1),"")</f>
        <v>0</v>
      </c>
      <c r="DV142">
        <f>IFERROR(SMALL(DV39:DV103,ROW()-ROW($DV$106)+1),"")</f>
        <v>0</v>
      </c>
      <c r="DW142">
        <f>IFERROR(SMALL(DW39:DW103,ROW()-ROW($DW$106)+1),"")</f>
        <v>0</v>
      </c>
      <c r="DX142">
        <f>IFERROR(SMALL(DX39:DX103,ROW()-ROW($DX$106)+1),"")</f>
        <v>0</v>
      </c>
      <c r="DY142">
        <f>IFERROR(SMALL(DY39:DY103,ROW()-ROW($DY$106)+1),"")</f>
        <v>0</v>
      </c>
      <c r="DZ142">
        <f>IFERROR(SMALL(DZ39:DZ103,ROW()-ROW($DZ$106)+1),"")</f>
        <v>0</v>
      </c>
      <c r="EA142">
        <f>IFERROR(SMALL(EA39:EA103,ROW()-ROW($EA$106)+1),"")</f>
        <v>0</v>
      </c>
      <c r="EB142">
        <f>IFERROR(SMALL(EB39:EB103,ROW()-ROW($EB$106)+1),"")</f>
        <v>0</v>
      </c>
      <c r="EC142">
        <f>IFERROR(SMALL(EC39:EC103,ROW()-ROW($EC$106)+1),"")</f>
        <v>0</v>
      </c>
      <c r="ED142">
        <f>IFERROR(SMALL(ED39:ED103,ROW()-ROW($ED$106)+1),"")</f>
        <v>0</v>
      </c>
    </row>
    <row r="143" spans="5:134">
      <c r="E143">
        <f>IFERROR(SMALL(E39:E103,ROW()-ROW($E$106)+1),"")</f>
        <v>0</v>
      </c>
      <c r="F143">
        <f>IFERROR(SMALL(F39:F103,ROW()-ROW($F$106)+1),"")</f>
        <v>0</v>
      </c>
      <c r="G143">
        <f>IFERROR(SMALL(G39:G103,ROW()-ROW($G$106)+1),"")</f>
        <v>0</v>
      </c>
      <c r="H143">
        <f>IFERROR(SMALL(H39:H103,ROW()-ROW($H$106)+1),"")</f>
        <v>0</v>
      </c>
      <c r="I143">
        <f>IFERROR(SMALL(I39:I103,ROW()-ROW($I$106)+1),"")</f>
        <v>0</v>
      </c>
      <c r="J143">
        <f>IFERROR(SMALL(J39:J103,ROW()-ROW($J$106)+1),"")</f>
        <v>0</v>
      </c>
      <c r="K143">
        <f>IFERROR(SMALL(K39:K103,ROW()-ROW($K$106)+1),"")</f>
        <v>0</v>
      </c>
      <c r="L143">
        <f>IFERROR(SMALL(L39:L103,ROW()-ROW($L$106)+1),"")</f>
        <v>0</v>
      </c>
      <c r="M143">
        <f>IFERROR(SMALL(M39:M103,ROW()-ROW($M$106)+1),"")</f>
        <v>0</v>
      </c>
      <c r="N143">
        <f>IFERROR(SMALL(N39:N103,ROW()-ROW($N$106)+1),"")</f>
        <v>0</v>
      </c>
      <c r="O143">
        <f>IFERROR(SMALL(O39:O103,ROW()-ROW($O$106)+1),"")</f>
        <v>0</v>
      </c>
      <c r="P143">
        <f>IFERROR(SMALL(P39:P103,ROW()-ROW($P$106)+1),"")</f>
        <v>0</v>
      </c>
      <c r="Q143">
        <f>IFERROR(SMALL(Q39:Q103,ROW()-ROW($Q$106)+1),"")</f>
        <v>0</v>
      </c>
      <c r="R143">
        <f>IFERROR(SMALL(R39:R103,ROW()-ROW($R$106)+1),"")</f>
        <v>0</v>
      </c>
      <c r="S143">
        <f>IFERROR(SMALL(S39:S103,ROW()-ROW($S$106)+1),"")</f>
        <v>0</v>
      </c>
      <c r="T143">
        <f>IFERROR(SMALL(T39:T103,ROW()-ROW($T$106)+1),"")</f>
        <v>0</v>
      </c>
      <c r="U143">
        <f>IFERROR(SMALL(U39:U103,ROW()-ROW($U$106)+1),"")</f>
        <v>0</v>
      </c>
      <c r="V143">
        <f>IFERROR(SMALL(V39:V103,ROW()-ROW($V$106)+1),"")</f>
        <v>0</v>
      </c>
      <c r="W143">
        <f>IFERROR(SMALL(W39:W103,ROW()-ROW($W$106)+1),"")</f>
        <v>0</v>
      </c>
      <c r="X143">
        <f>IFERROR(SMALL(X39:X103,ROW()-ROW($X$106)+1),"")</f>
        <v>0</v>
      </c>
      <c r="Y143">
        <f>IFERROR(SMALL(Y39:Y103,ROW()-ROW($Y$106)+1),"")</f>
        <v>0</v>
      </c>
      <c r="Z143">
        <f>IFERROR(SMALL(Z39:Z103,ROW()-ROW($Z$106)+1),"")</f>
        <v>0</v>
      </c>
      <c r="AA143">
        <f>IFERROR(SMALL(AA39:AA103,ROW()-ROW($AA$106)+1),"")</f>
        <v>0</v>
      </c>
      <c r="AB143">
        <f>IFERROR(SMALL(AB39:AB103,ROW()-ROW($AB$106)+1),"")</f>
        <v>0</v>
      </c>
      <c r="AC143">
        <f>IFERROR(SMALL(AC39:AC103,ROW()-ROW($AC$106)+1),"")</f>
        <v>0</v>
      </c>
      <c r="AD143">
        <f>IFERROR(SMALL(AD39:AD103,ROW()-ROW($AD$106)+1),"")</f>
        <v>0</v>
      </c>
      <c r="AE143">
        <f>IFERROR(SMALL(AE39:AE103,ROW()-ROW($AE$106)+1),"")</f>
        <v>0</v>
      </c>
      <c r="AF143">
        <f>IFERROR(SMALL(AF39:AF103,ROW()-ROW($AF$106)+1),"")</f>
        <v>0</v>
      </c>
      <c r="AG143">
        <f>IFERROR(SMALL(AG39:AG103,ROW()-ROW($AG$106)+1),"")</f>
        <v>0</v>
      </c>
      <c r="AH143">
        <f>IFERROR(SMALL(AH39:AH103,ROW()-ROW($AH$106)+1),"")</f>
        <v>0</v>
      </c>
      <c r="AI143">
        <f>IFERROR(SMALL(AI39:AI103,ROW()-ROW($AI$106)+1),"")</f>
        <v>0</v>
      </c>
      <c r="AJ143">
        <f>IFERROR(SMALL(AJ39:AJ103,ROW()-ROW($AJ$106)+1),"")</f>
        <v>0</v>
      </c>
      <c r="AK143">
        <f>IFERROR(SMALL(AK39:AK103,ROW()-ROW($AK$106)+1),"")</f>
        <v>0</v>
      </c>
      <c r="AL143">
        <f>IFERROR(SMALL(AL39:AL103,ROW()-ROW($AL$106)+1),"")</f>
        <v>0</v>
      </c>
      <c r="AM143">
        <f>IFERROR(SMALL(AM39:AM103,ROW()-ROW($AM$106)+1),"")</f>
        <v>0</v>
      </c>
      <c r="AN143">
        <f>IFERROR(SMALL(AN39:AN103,ROW()-ROW($AN$106)+1),"")</f>
        <v>0</v>
      </c>
      <c r="AO143">
        <f>IFERROR(SMALL(AO39:AO103,ROW()-ROW($AO$106)+1),"")</f>
        <v>0</v>
      </c>
      <c r="AP143">
        <f>IFERROR(SMALL(AP39:AP103,ROW()-ROW($AP$106)+1),"")</f>
        <v>0</v>
      </c>
      <c r="AQ143">
        <f>IFERROR(SMALL(AQ39:AQ103,ROW()-ROW($AQ$106)+1),"")</f>
        <v>0</v>
      </c>
      <c r="AR143">
        <f>IFERROR(SMALL(AR39:AR103,ROW()-ROW($AR$106)+1),"")</f>
        <v>0</v>
      </c>
      <c r="AS143">
        <f>IFERROR(SMALL(AS39:AS103,ROW()-ROW($AS$106)+1),"")</f>
        <v>0</v>
      </c>
      <c r="AT143">
        <f>IFERROR(SMALL(AT39:AT103,ROW()-ROW($AT$106)+1),"")</f>
        <v>0</v>
      </c>
      <c r="AU143">
        <f>IFERROR(SMALL(AU39:AU103,ROW()-ROW($AU$106)+1),"")</f>
        <v>0</v>
      </c>
      <c r="AV143">
        <f>IFERROR(SMALL(AV39:AV103,ROW()-ROW($AV$106)+1),"")</f>
        <v>0</v>
      </c>
      <c r="AW143">
        <f>IFERROR(SMALL(AW39:AW103,ROW()-ROW($AW$106)+1),"")</f>
        <v>0</v>
      </c>
      <c r="AX143">
        <f>IFERROR(SMALL(AX39:AX103,ROW()-ROW($AX$106)+1),"")</f>
        <v>0</v>
      </c>
      <c r="AY143">
        <f>IFERROR(SMALL(AY39:AY103,ROW()-ROW($AY$106)+1),"")</f>
        <v>0</v>
      </c>
      <c r="AZ143">
        <f>IFERROR(SMALL(AZ39:AZ103,ROW()-ROW($AZ$106)+1),"")</f>
        <v>0</v>
      </c>
      <c r="BA143">
        <f>IFERROR(SMALL(BA39:BA103,ROW()-ROW($BA$106)+1),"")</f>
        <v>0</v>
      </c>
      <c r="BB143">
        <f>IFERROR(SMALL(BB39:BB103,ROW()-ROW($BB$106)+1),"")</f>
        <v>0</v>
      </c>
      <c r="BC143">
        <f>IFERROR(SMALL(BC39:BC103,ROW()-ROW($BC$106)+1),"")</f>
        <v>0</v>
      </c>
      <c r="BD143">
        <f>IFERROR(SMALL(BD39:BD103,ROW()-ROW($BD$106)+1),"")</f>
        <v>0</v>
      </c>
      <c r="BE143">
        <f>IFERROR(SMALL(BE39:BE103,ROW()-ROW($BE$106)+1),"")</f>
        <v>0</v>
      </c>
      <c r="BF143">
        <f>IFERROR(SMALL(BF39:BF103,ROW()-ROW($BF$106)+1),"")</f>
        <v>0</v>
      </c>
      <c r="BG143">
        <f>IFERROR(SMALL(BG39:BG103,ROW()-ROW($BG$106)+1),"")</f>
        <v>0</v>
      </c>
      <c r="BH143">
        <f>IFERROR(SMALL(BH39:BH103,ROW()-ROW($BH$106)+1),"")</f>
        <v>0</v>
      </c>
      <c r="BI143">
        <f>IFERROR(SMALL(BI39:BI103,ROW()-ROW($BI$106)+1),"")</f>
        <v>0</v>
      </c>
      <c r="BJ143">
        <f>IFERROR(SMALL(BJ39:BJ103,ROW()-ROW($BJ$106)+1),"")</f>
        <v>0</v>
      </c>
      <c r="BK143">
        <f>IFERROR(SMALL(BK39:BK103,ROW()-ROW($BK$106)+1),"")</f>
        <v>0</v>
      </c>
      <c r="BL143">
        <f>IFERROR(SMALL(BL39:BL103,ROW()-ROW($BL$106)+1),"")</f>
        <v>0</v>
      </c>
      <c r="BM143">
        <f>IFERROR(SMALL(BM39:BM103,ROW()-ROW($BM$106)+1),"")</f>
        <v>0</v>
      </c>
      <c r="BN143">
        <f>IFERROR(SMALL(BN39:BN103,ROW()-ROW($BN$106)+1),"")</f>
        <v>0</v>
      </c>
      <c r="BO143">
        <f>IFERROR(SMALL(BO39:BO103,ROW()-ROW($BO$106)+1),"")</f>
        <v>0</v>
      </c>
      <c r="BP143">
        <f>IFERROR(SMALL(BP39:BP103,ROW()-ROW($BP$106)+1),"")</f>
        <v>0</v>
      </c>
      <c r="BS143">
        <f>IFERROR(SMALL(BS39:BS103,ROW()-ROW($BS$106)+1),"")</f>
        <v>0</v>
      </c>
      <c r="BT143">
        <f>IFERROR(SMALL(BT39:BT103,ROW()-ROW($BT$106)+1),"")</f>
        <v>0</v>
      </c>
      <c r="BU143">
        <f>IFERROR(SMALL(BU39:BU103,ROW()-ROW($BU$106)+1),"")</f>
        <v>0</v>
      </c>
      <c r="BV143">
        <f>IFERROR(SMALL(BV39:BV103,ROW()-ROW($BV$106)+1),"")</f>
        <v>0</v>
      </c>
      <c r="BW143">
        <f>IFERROR(SMALL(BW39:BW103,ROW()-ROW($BW$106)+1),"")</f>
        <v>0</v>
      </c>
      <c r="BX143">
        <f>IFERROR(SMALL(BX39:BX103,ROW()-ROW($BX$106)+1),"")</f>
        <v>0</v>
      </c>
      <c r="BY143">
        <f>IFERROR(SMALL(BY39:BY103,ROW()-ROW($BY$106)+1),"")</f>
        <v>0</v>
      </c>
      <c r="BZ143">
        <f>IFERROR(SMALL(BZ39:BZ103,ROW()-ROW($BZ$106)+1),"")</f>
        <v>0</v>
      </c>
      <c r="CA143">
        <f>IFERROR(SMALL(CA39:CA103,ROW()-ROW($CA$106)+1),"")</f>
        <v>0</v>
      </c>
      <c r="CB143">
        <f>IFERROR(SMALL(CB39:CB103,ROW()-ROW($CB$106)+1),"")</f>
        <v>0</v>
      </c>
      <c r="CC143">
        <f>IFERROR(SMALL(CC39:CC103,ROW()-ROW($CC$106)+1),"")</f>
        <v>0</v>
      </c>
      <c r="CD143">
        <f>IFERROR(SMALL(CD39:CD103,ROW()-ROW($CD$106)+1),"")</f>
        <v>0</v>
      </c>
      <c r="CE143">
        <f>IFERROR(SMALL(CE39:CE103,ROW()-ROW($CE$106)+1),"")</f>
        <v>0</v>
      </c>
      <c r="CF143">
        <f>IFERROR(SMALL(CF39:CF103,ROW()-ROW($CF$106)+1),"")</f>
        <v>0</v>
      </c>
      <c r="CG143">
        <f>IFERROR(SMALL(CG39:CG103,ROW()-ROW($CG$106)+1),"")</f>
        <v>0</v>
      </c>
      <c r="CH143">
        <f>IFERROR(SMALL(CH39:CH103,ROW()-ROW($CH$106)+1),"")</f>
        <v>0</v>
      </c>
      <c r="CI143">
        <f>IFERROR(SMALL(CI39:CI103,ROW()-ROW($CI$106)+1),"")</f>
        <v>0</v>
      </c>
      <c r="CJ143">
        <f>IFERROR(SMALL(CJ39:CJ103,ROW()-ROW($CJ$106)+1),"")</f>
        <v>0</v>
      </c>
      <c r="CK143">
        <f>IFERROR(SMALL(CK39:CK103,ROW()-ROW($CK$106)+1),"")</f>
        <v>0</v>
      </c>
      <c r="CL143">
        <f>IFERROR(SMALL(CL39:CL103,ROW()-ROW($CL$106)+1),"")</f>
        <v>0</v>
      </c>
      <c r="CM143">
        <f>IFERROR(SMALL(CM39:CM103,ROW()-ROW($CM$106)+1),"")</f>
        <v>0</v>
      </c>
      <c r="CN143">
        <f>IFERROR(SMALL(CN39:CN103,ROW()-ROW($CN$106)+1),"")</f>
        <v>0</v>
      </c>
      <c r="CO143">
        <f>IFERROR(SMALL(CO39:CO103,ROW()-ROW($CO$106)+1),"")</f>
        <v>0</v>
      </c>
      <c r="CP143">
        <f>IFERROR(SMALL(CP39:CP103,ROW()-ROW($CP$106)+1),"")</f>
        <v>0</v>
      </c>
      <c r="CQ143">
        <f>IFERROR(SMALL(CQ39:CQ103,ROW()-ROW($CQ$106)+1),"")</f>
        <v>0</v>
      </c>
      <c r="CR143">
        <f>IFERROR(SMALL(CR39:CR103,ROW()-ROW($CR$106)+1),"")</f>
        <v>0</v>
      </c>
      <c r="CS143">
        <f>IFERROR(SMALL(CS39:CS103,ROW()-ROW($CS$106)+1),"")</f>
        <v>0</v>
      </c>
      <c r="CT143">
        <f>IFERROR(SMALL(CT39:CT103,ROW()-ROW($CT$106)+1),"")</f>
        <v>0</v>
      </c>
      <c r="CU143">
        <f>IFERROR(SMALL(CU39:CU103,ROW()-ROW($CU$106)+1),"")</f>
        <v>0</v>
      </c>
      <c r="CV143">
        <f>IFERROR(SMALL(CV39:CV103,ROW()-ROW($CV$106)+1),"")</f>
        <v>0</v>
      </c>
      <c r="CW143">
        <f>IFERROR(SMALL(CW39:CW103,ROW()-ROW($CW$106)+1),"")</f>
        <v>0</v>
      </c>
      <c r="CX143">
        <f>IFERROR(SMALL(CX39:CX103,ROW()-ROW($CX$106)+1),"")</f>
        <v>0</v>
      </c>
      <c r="CY143">
        <f>IFERROR(SMALL(CY39:CY103,ROW()-ROW($CY$106)+1),"")</f>
        <v>0</v>
      </c>
      <c r="CZ143">
        <f>IFERROR(SMALL(CZ39:CZ103,ROW()-ROW($CZ$106)+1),"")</f>
        <v>0</v>
      </c>
      <c r="DA143">
        <f>IFERROR(SMALL(DA39:DA103,ROW()-ROW($DA$106)+1),"")</f>
        <v>0</v>
      </c>
      <c r="DB143">
        <f>IFERROR(SMALL(DB39:DB103,ROW()-ROW($DB$106)+1),"")</f>
        <v>0</v>
      </c>
      <c r="DC143">
        <f>IFERROR(SMALL(DC39:DC103,ROW()-ROW($DC$106)+1),"")</f>
        <v>0</v>
      </c>
      <c r="DD143">
        <f>IFERROR(SMALL(DD39:DD103,ROW()-ROW($DD$106)+1),"")</f>
        <v>0</v>
      </c>
      <c r="DE143">
        <f>IFERROR(SMALL(DE39:DE103,ROW()-ROW($DE$106)+1),"")</f>
        <v>0</v>
      </c>
      <c r="DF143">
        <f>IFERROR(SMALL(DF39:DF103,ROW()-ROW($DF$106)+1),"")</f>
        <v>0</v>
      </c>
      <c r="DG143">
        <f>IFERROR(SMALL(DG39:DG103,ROW()-ROW($DG$106)+1),"")</f>
        <v>0</v>
      </c>
      <c r="DH143">
        <f>IFERROR(SMALL(DH39:DH103,ROW()-ROW($DH$106)+1),"")</f>
        <v>0</v>
      </c>
      <c r="DI143">
        <f>IFERROR(SMALL(DI39:DI103,ROW()-ROW($DI$106)+1),"")</f>
        <v>0</v>
      </c>
      <c r="DJ143">
        <f>IFERROR(SMALL(DJ39:DJ103,ROW()-ROW($DJ$106)+1),"")</f>
        <v>0</v>
      </c>
      <c r="DK143">
        <f>IFERROR(SMALL(DK39:DK103,ROW()-ROW($DK$106)+1),"")</f>
        <v>0</v>
      </c>
      <c r="DL143">
        <f>IFERROR(SMALL(DL39:DL103,ROW()-ROW($DL$106)+1),"")</f>
        <v>0</v>
      </c>
      <c r="DM143">
        <f>IFERROR(SMALL(DM39:DM103,ROW()-ROW($DM$106)+1),"")</f>
        <v>0</v>
      </c>
      <c r="DN143">
        <f>IFERROR(SMALL(DN39:DN103,ROW()-ROW($DN$106)+1),"")</f>
        <v>0</v>
      </c>
      <c r="DO143">
        <f>IFERROR(SMALL(DO39:DO103,ROW()-ROW($DO$106)+1),"")</f>
        <v>0</v>
      </c>
      <c r="DP143">
        <f>IFERROR(SMALL(DP39:DP103,ROW()-ROW($DP$106)+1),"")</f>
        <v>0</v>
      </c>
      <c r="DQ143">
        <f>IFERROR(SMALL(DQ39:DQ103,ROW()-ROW($DQ$106)+1),"")</f>
        <v>0</v>
      </c>
      <c r="DR143">
        <f>IFERROR(SMALL(DR39:DR103,ROW()-ROW($DR$106)+1),"")</f>
        <v>0</v>
      </c>
      <c r="DS143">
        <f>IFERROR(SMALL(DS39:DS103,ROW()-ROW($DS$106)+1),"")</f>
        <v>0</v>
      </c>
      <c r="DT143">
        <f>IFERROR(SMALL(DT39:DT103,ROW()-ROW($DT$106)+1),"")</f>
        <v>0</v>
      </c>
      <c r="DU143">
        <f>IFERROR(SMALL(DU39:DU103,ROW()-ROW($DU$106)+1),"")</f>
        <v>0</v>
      </c>
      <c r="DV143">
        <f>IFERROR(SMALL(DV39:DV103,ROW()-ROW($DV$106)+1),"")</f>
        <v>0</v>
      </c>
      <c r="DW143">
        <f>IFERROR(SMALL(DW39:DW103,ROW()-ROW($DW$106)+1),"")</f>
        <v>0</v>
      </c>
      <c r="DX143">
        <f>IFERROR(SMALL(DX39:DX103,ROW()-ROW($DX$106)+1),"")</f>
        <v>0</v>
      </c>
      <c r="DY143">
        <f>IFERROR(SMALL(DY39:DY103,ROW()-ROW($DY$106)+1),"")</f>
        <v>0</v>
      </c>
      <c r="DZ143">
        <f>IFERROR(SMALL(DZ39:DZ103,ROW()-ROW($DZ$106)+1),"")</f>
        <v>0</v>
      </c>
      <c r="EA143">
        <f>IFERROR(SMALL(EA39:EA103,ROW()-ROW($EA$106)+1),"")</f>
        <v>0</v>
      </c>
      <c r="EB143">
        <f>IFERROR(SMALL(EB39:EB103,ROW()-ROW($EB$106)+1),"")</f>
        <v>0</v>
      </c>
      <c r="EC143">
        <f>IFERROR(SMALL(EC39:EC103,ROW()-ROW($EC$106)+1),"")</f>
        <v>0</v>
      </c>
      <c r="ED143">
        <f>IFERROR(SMALL(ED39:ED103,ROW()-ROW($ED$106)+1),"")</f>
        <v>0</v>
      </c>
    </row>
    <row r="144" spans="5:134">
      <c r="E144">
        <f>IFERROR(SMALL(E39:E103,ROW()-ROW($E$106)+1),"")</f>
        <v>0</v>
      </c>
      <c r="F144">
        <f>IFERROR(SMALL(F39:F103,ROW()-ROW($F$106)+1),"")</f>
        <v>0</v>
      </c>
      <c r="G144">
        <f>IFERROR(SMALL(G39:G103,ROW()-ROW($G$106)+1),"")</f>
        <v>0</v>
      </c>
      <c r="H144">
        <f>IFERROR(SMALL(H39:H103,ROW()-ROW($H$106)+1),"")</f>
        <v>0</v>
      </c>
      <c r="I144">
        <f>IFERROR(SMALL(I39:I103,ROW()-ROW($I$106)+1),"")</f>
        <v>0</v>
      </c>
      <c r="J144">
        <f>IFERROR(SMALL(J39:J103,ROW()-ROW($J$106)+1),"")</f>
        <v>0</v>
      </c>
      <c r="K144">
        <f>IFERROR(SMALL(K39:K103,ROW()-ROW($K$106)+1),"")</f>
        <v>0</v>
      </c>
      <c r="L144">
        <f>IFERROR(SMALL(L39:L103,ROW()-ROW($L$106)+1),"")</f>
        <v>0</v>
      </c>
      <c r="M144">
        <f>IFERROR(SMALL(M39:M103,ROW()-ROW($M$106)+1),"")</f>
        <v>0</v>
      </c>
      <c r="N144">
        <f>IFERROR(SMALL(N39:N103,ROW()-ROW($N$106)+1),"")</f>
        <v>0</v>
      </c>
      <c r="O144">
        <f>IFERROR(SMALL(O39:O103,ROW()-ROW($O$106)+1),"")</f>
        <v>0</v>
      </c>
      <c r="P144">
        <f>IFERROR(SMALL(P39:P103,ROW()-ROW($P$106)+1),"")</f>
        <v>0</v>
      </c>
      <c r="Q144">
        <f>IFERROR(SMALL(Q39:Q103,ROW()-ROW($Q$106)+1),"")</f>
        <v>0</v>
      </c>
      <c r="R144">
        <f>IFERROR(SMALL(R39:R103,ROW()-ROW($R$106)+1),"")</f>
        <v>0</v>
      </c>
      <c r="S144">
        <f>IFERROR(SMALL(S39:S103,ROW()-ROW($S$106)+1),"")</f>
        <v>0</v>
      </c>
      <c r="T144">
        <f>IFERROR(SMALL(T39:T103,ROW()-ROW($T$106)+1),"")</f>
        <v>0</v>
      </c>
      <c r="U144">
        <f>IFERROR(SMALL(U39:U103,ROW()-ROW($U$106)+1),"")</f>
        <v>0</v>
      </c>
      <c r="V144">
        <f>IFERROR(SMALL(V39:V103,ROW()-ROW($V$106)+1),"")</f>
        <v>0</v>
      </c>
      <c r="W144">
        <f>IFERROR(SMALL(W39:W103,ROW()-ROW($W$106)+1),"")</f>
        <v>0</v>
      </c>
      <c r="X144">
        <f>IFERROR(SMALL(X39:X103,ROW()-ROW($X$106)+1),"")</f>
        <v>0</v>
      </c>
      <c r="Y144">
        <f>IFERROR(SMALL(Y39:Y103,ROW()-ROW($Y$106)+1),"")</f>
        <v>0</v>
      </c>
      <c r="Z144">
        <f>IFERROR(SMALL(Z39:Z103,ROW()-ROW($Z$106)+1),"")</f>
        <v>0</v>
      </c>
      <c r="AA144">
        <f>IFERROR(SMALL(AA39:AA103,ROW()-ROW($AA$106)+1),"")</f>
        <v>0</v>
      </c>
      <c r="AB144">
        <f>IFERROR(SMALL(AB39:AB103,ROW()-ROW($AB$106)+1),"")</f>
        <v>0</v>
      </c>
      <c r="AC144">
        <f>IFERROR(SMALL(AC39:AC103,ROW()-ROW($AC$106)+1),"")</f>
        <v>0</v>
      </c>
      <c r="AD144">
        <f>IFERROR(SMALL(AD39:AD103,ROW()-ROW($AD$106)+1),"")</f>
        <v>0</v>
      </c>
      <c r="AE144">
        <f>IFERROR(SMALL(AE39:AE103,ROW()-ROW($AE$106)+1),"")</f>
        <v>0</v>
      </c>
      <c r="AF144">
        <f>IFERROR(SMALL(AF39:AF103,ROW()-ROW($AF$106)+1),"")</f>
        <v>0</v>
      </c>
      <c r="AG144">
        <f>IFERROR(SMALL(AG39:AG103,ROW()-ROW($AG$106)+1),"")</f>
        <v>0</v>
      </c>
      <c r="AH144">
        <f>IFERROR(SMALL(AH39:AH103,ROW()-ROW($AH$106)+1),"")</f>
        <v>0</v>
      </c>
      <c r="AI144">
        <f>IFERROR(SMALL(AI39:AI103,ROW()-ROW($AI$106)+1),"")</f>
        <v>0</v>
      </c>
      <c r="AJ144">
        <f>IFERROR(SMALL(AJ39:AJ103,ROW()-ROW($AJ$106)+1),"")</f>
        <v>0</v>
      </c>
      <c r="AK144">
        <f>IFERROR(SMALL(AK39:AK103,ROW()-ROW($AK$106)+1),"")</f>
        <v>0</v>
      </c>
      <c r="AL144">
        <f>IFERROR(SMALL(AL39:AL103,ROW()-ROW($AL$106)+1),"")</f>
        <v>0</v>
      </c>
      <c r="AM144">
        <f>IFERROR(SMALL(AM39:AM103,ROW()-ROW($AM$106)+1),"")</f>
        <v>0</v>
      </c>
      <c r="AN144">
        <f>IFERROR(SMALL(AN39:AN103,ROW()-ROW($AN$106)+1),"")</f>
        <v>0</v>
      </c>
      <c r="AO144">
        <f>IFERROR(SMALL(AO39:AO103,ROW()-ROW($AO$106)+1),"")</f>
        <v>0</v>
      </c>
      <c r="AP144">
        <f>IFERROR(SMALL(AP39:AP103,ROW()-ROW($AP$106)+1),"")</f>
        <v>0</v>
      </c>
      <c r="AQ144">
        <f>IFERROR(SMALL(AQ39:AQ103,ROW()-ROW($AQ$106)+1),"")</f>
        <v>0</v>
      </c>
      <c r="AR144">
        <f>IFERROR(SMALL(AR39:AR103,ROW()-ROW($AR$106)+1),"")</f>
        <v>0</v>
      </c>
      <c r="AS144">
        <f>IFERROR(SMALL(AS39:AS103,ROW()-ROW($AS$106)+1),"")</f>
        <v>0</v>
      </c>
      <c r="AT144">
        <f>IFERROR(SMALL(AT39:AT103,ROW()-ROW($AT$106)+1),"")</f>
        <v>0</v>
      </c>
      <c r="AU144">
        <f>IFERROR(SMALL(AU39:AU103,ROW()-ROW($AU$106)+1),"")</f>
        <v>0</v>
      </c>
      <c r="AV144">
        <f>IFERROR(SMALL(AV39:AV103,ROW()-ROW($AV$106)+1),"")</f>
        <v>0</v>
      </c>
      <c r="AW144">
        <f>IFERROR(SMALL(AW39:AW103,ROW()-ROW($AW$106)+1),"")</f>
        <v>0</v>
      </c>
      <c r="AX144">
        <f>IFERROR(SMALL(AX39:AX103,ROW()-ROW($AX$106)+1),"")</f>
        <v>0</v>
      </c>
      <c r="AY144">
        <f>IFERROR(SMALL(AY39:AY103,ROW()-ROW($AY$106)+1),"")</f>
        <v>0</v>
      </c>
      <c r="AZ144">
        <f>IFERROR(SMALL(AZ39:AZ103,ROW()-ROW($AZ$106)+1),"")</f>
        <v>0</v>
      </c>
      <c r="BA144">
        <f>IFERROR(SMALL(BA39:BA103,ROW()-ROW($BA$106)+1),"")</f>
        <v>0</v>
      </c>
      <c r="BB144">
        <f>IFERROR(SMALL(BB39:BB103,ROW()-ROW($BB$106)+1),"")</f>
        <v>0</v>
      </c>
      <c r="BC144">
        <f>IFERROR(SMALL(BC39:BC103,ROW()-ROW($BC$106)+1),"")</f>
        <v>0</v>
      </c>
      <c r="BD144">
        <f>IFERROR(SMALL(BD39:BD103,ROW()-ROW($BD$106)+1),"")</f>
        <v>0</v>
      </c>
      <c r="BE144">
        <f>IFERROR(SMALL(BE39:BE103,ROW()-ROW($BE$106)+1),"")</f>
        <v>0</v>
      </c>
      <c r="BF144">
        <f>IFERROR(SMALL(BF39:BF103,ROW()-ROW($BF$106)+1),"")</f>
        <v>0</v>
      </c>
      <c r="BG144">
        <f>IFERROR(SMALL(BG39:BG103,ROW()-ROW($BG$106)+1),"")</f>
        <v>0</v>
      </c>
      <c r="BH144">
        <f>IFERROR(SMALL(BH39:BH103,ROW()-ROW($BH$106)+1),"")</f>
        <v>0</v>
      </c>
      <c r="BI144">
        <f>IFERROR(SMALL(BI39:BI103,ROW()-ROW($BI$106)+1),"")</f>
        <v>0</v>
      </c>
      <c r="BJ144">
        <f>IFERROR(SMALL(BJ39:BJ103,ROW()-ROW($BJ$106)+1),"")</f>
        <v>0</v>
      </c>
      <c r="BK144">
        <f>IFERROR(SMALL(BK39:BK103,ROW()-ROW($BK$106)+1),"")</f>
        <v>0</v>
      </c>
      <c r="BL144">
        <f>IFERROR(SMALL(BL39:BL103,ROW()-ROW($BL$106)+1),"")</f>
        <v>0</v>
      </c>
      <c r="BM144">
        <f>IFERROR(SMALL(BM39:BM103,ROW()-ROW($BM$106)+1),"")</f>
        <v>0</v>
      </c>
      <c r="BN144">
        <f>IFERROR(SMALL(BN39:BN103,ROW()-ROW($BN$106)+1),"")</f>
        <v>0</v>
      </c>
      <c r="BO144">
        <f>IFERROR(SMALL(BO39:BO103,ROW()-ROW($BO$106)+1),"")</f>
        <v>0</v>
      </c>
      <c r="BP144">
        <f>IFERROR(SMALL(BP39:BP103,ROW()-ROW($BP$106)+1),"")</f>
        <v>0</v>
      </c>
      <c r="BS144">
        <f>IFERROR(SMALL(BS39:BS103,ROW()-ROW($BS$106)+1),"")</f>
        <v>0</v>
      </c>
      <c r="BT144">
        <f>IFERROR(SMALL(BT39:BT103,ROW()-ROW($BT$106)+1),"")</f>
        <v>0</v>
      </c>
      <c r="BU144">
        <f>IFERROR(SMALL(BU39:BU103,ROW()-ROW($BU$106)+1),"")</f>
        <v>0</v>
      </c>
      <c r="BV144">
        <f>IFERROR(SMALL(BV39:BV103,ROW()-ROW($BV$106)+1),"")</f>
        <v>0</v>
      </c>
      <c r="BW144">
        <f>IFERROR(SMALL(BW39:BW103,ROW()-ROW($BW$106)+1),"")</f>
        <v>0</v>
      </c>
      <c r="BX144">
        <f>IFERROR(SMALL(BX39:BX103,ROW()-ROW($BX$106)+1),"")</f>
        <v>0</v>
      </c>
      <c r="BY144">
        <f>IFERROR(SMALL(BY39:BY103,ROW()-ROW($BY$106)+1),"")</f>
        <v>0</v>
      </c>
      <c r="BZ144">
        <f>IFERROR(SMALL(BZ39:BZ103,ROW()-ROW($BZ$106)+1),"")</f>
        <v>0</v>
      </c>
      <c r="CA144">
        <f>IFERROR(SMALL(CA39:CA103,ROW()-ROW($CA$106)+1),"")</f>
        <v>0</v>
      </c>
      <c r="CB144">
        <f>IFERROR(SMALL(CB39:CB103,ROW()-ROW($CB$106)+1),"")</f>
        <v>0</v>
      </c>
      <c r="CC144">
        <f>IFERROR(SMALL(CC39:CC103,ROW()-ROW($CC$106)+1),"")</f>
        <v>0</v>
      </c>
      <c r="CD144">
        <f>IFERROR(SMALL(CD39:CD103,ROW()-ROW($CD$106)+1),"")</f>
        <v>0</v>
      </c>
      <c r="CE144">
        <f>IFERROR(SMALL(CE39:CE103,ROW()-ROW($CE$106)+1),"")</f>
        <v>0</v>
      </c>
      <c r="CF144">
        <f>IFERROR(SMALL(CF39:CF103,ROW()-ROW($CF$106)+1),"")</f>
        <v>0</v>
      </c>
      <c r="CG144">
        <f>IFERROR(SMALL(CG39:CG103,ROW()-ROW($CG$106)+1),"")</f>
        <v>0</v>
      </c>
      <c r="CH144">
        <f>IFERROR(SMALL(CH39:CH103,ROW()-ROW($CH$106)+1),"")</f>
        <v>0</v>
      </c>
      <c r="CI144">
        <f>IFERROR(SMALL(CI39:CI103,ROW()-ROW($CI$106)+1),"")</f>
        <v>0</v>
      </c>
      <c r="CJ144">
        <f>IFERROR(SMALL(CJ39:CJ103,ROW()-ROW($CJ$106)+1),"")</f>
        <v>0</v>
      </c>
      <c r="CK144">
        <f>IFERROR(SMALL(CK39:CK103,ROW()-ROW($CK$106)+1),"")</f>
        <v>0</v>
      </c>
      <c r="CL144">
        <f>IFERROR(SMALL(CL39:CL103,ROW()-ROW($CL$106)+1),"")</f>
        <v>0</v>
      </c>
      <c r="CM144">
        <f>IFERROR(SMALL(CM39:CM103,ROW()-ROW($CM$106)+1),"")</f>
        <v>0</v>
      </c>
      <c r="CN144">
        <f>IFERROR(SMALL(CN39:CN103,ROW()-ROW($CN$106)+1),"")</f>
        <v>0</v>
      </c>
      <c r="CO144">
        <f>IFERROR(SMALL(CO39:CO103,ROW()-ROW($CO$106)+1),"")</f>
        <v>0</v>
      </c>
      <c r="CP144">
        <f>IFERROR(SMALL(CP39:CP103,ROW()-ROW($CP$106)+1),"")</f>
        <v>0</v>
      </c>
      <c r="CQ144">
        <f>IFERROR(SMALL(CQ39:CQ103,ROW()-ROW($CQ$106)+1),"")</f>
        <v>0</v>
      </c>
      <c r="CR144">
        <f>IFERROR(SMALL(CR39:CR103,ROW()-ROW($CR$106)+1),"")</f>
        <v>0</v>
      </c>
      <c r="CS144">
        <f>IFERROR(SMALL(CS39:CS103,ROW()-ROW($CS$106)+1),"")</f>
        <v>0</v>
      </c>
      <c r="CT144">
        <f>IFERROR(SMALL(CT39:CT103,ROW()-ROW($CT$106)+1),"")</f>
        <v>0</v>
      </c>
      <c r="CU144">
        <f>IFERROR(SMALL(CU39:CU103,ROW()-ROW($CU$106)+1),"")</f>
        <v>0</v>
      </c>
      <c r="CV144">
        <f>IFERROR(SMALL(CV39:CV103,ROW()-ROW($CV$106)+1),"")</f>
        <v>0</v>
      </c>
      <c r="CW144">
        <f>IFERROR(SMALL(CW39:CW103,ROW()-ROW($CW$106)+1),"")</f>
        <v>0</v>
      </c>
      <c r="CX144">
        <f>IFERROR(SMALL(CX39:CX103,ROW()-ROW($CX$106)+1),"")</f>
        <v>0</v>
      </c>
      <c r="CY144">
        <f>IFERROR(SMALL(CY39:CY103,ROW()-ROW($CY$106)+1),"")</f>
        <v>0</v>
      </c>
      <c r="CZ144">
        <f>IFERROR(SMALL(CZ39:CZ103,ROW()-ROW($CZ$106)+1),"")</f>
        <v>0</v>
      </c>
      <c r="DA144">
        <f>IFERROR(SMALL(DA39:DA103,ROW()-ROW($DA$106)+1),"")</f>
        <v>0</v>
      </c>
      <c r="DB144">
        <f>IFERROR(SMALL(DB39:DB103,ROW()-ROW($DB$106)+1),"")</f>
        <v>0</v>
      </c>
      <c r="DC144">
        <f>IFERROR(SMALL(DC39:DC103,ROW()-ROW($DC$106)+1),"")</f>
        <v>0</v>
      </c>
      <c r="DD144">
        <f>IFERROR(SMALL(DD39:DD103,ROW()-ROW($DD$106)+1),"")</f>
        <v>0</v>
      </c>
      <c r="DE144">
        <f>IFERROR(SMALL(DE39:DE103,ROW()-ROW($DE$106)+1),"")</f>
        <v>0</v>
      </c>
      <c r="DF144">
        <f>IFERROR(SMALL(DF39:DF103,ROW()-ROW($DF$106)+1),"")</f>
        <v>0</v>
      </c>
      <c r="DG144">
        <f>IFERROR(SMALL(DG39:DG103,ROW()-ROW($DG$106)+1),"")</f>
        <v>0</v>
      </c>
      <c r="DH144">
        <f>IFERROR(SMALL(DH39:DH103,ROW()-ROW($DH$106)+1),"")</f>
        <v>0</v>
      </c>
      <c r="DI144">
        <f>IFERROR(SMALL(DI39:DI103,ROW()-ROW($DI$106)+1),"")</f>
        <v>0</v>
      </c>
      <c r="DJ144">
        <f>IFERROR(SMALL(DJ39:DJ103,ROW()-ROW($DJ$106)+1),"")</f>
        <v>0</v>
      </c>
      <c r="DK144">
        <f>IFERROR(SMALL(DK39:DK103,ROW()-ROW($DK$106)+1),"")</f>
        <v>0</v>
      </c>
      <c r="DL144">
        <f>IFERROR(SMALL(DL39:DL103,ROW()-ROW($DL$106)+1),"")</f>
        <v>0</v>
      </c>
      <c r="DM144">
        <f>IFERROR(SMALL(DM39:DM103,ROW()-ROW($DM$106)+1),"")</f>
        <v>0</v>
      </c>
      <c r="DN144">
        <f>IFERROR(SMALL(DN39:DN103,ROW()-ROW($DN$106)+1),"")</f>
        <v>0</v>
      </c>
      <c r="DO144">
        <f>IFERROR(SMALL(DO39:DO103,ROW()-ROW($DO$106)+1),"")</f>
        <v>0</v>
      </c>
      <c r="DP144">
        <f>IFERROR(SMALL(DP39:DP103,ROW()-ROW($DP$106)+1),"")</f>
        <v>0</v>
      </c>
      <c r="DQ144">
        <f>IFERROR(SMALL(DQ39:DQ103,ROW()-ROW($DQ$106)+1),"")</f>
        <v>0</v>
      </c>
      <c r="DR144">
        <f>IFERROR(SMALL(DR39:DR103,ROW()-ROW($DR$106)+1),"")</f>
        <v>0</v>
      </c>
      <c r="DS144">
        <f>IFERROR(SMALL(DS39:DS103,ROW()-ROW($DS$106)+1),"")</f>
        <v>0</v>
      </c>
      <c r="DT144">
        <f>IFERROR(SMALL(DT39:DT103,ROW()-ROW($DT$106)+1),"")</f>
        <v>0</v>
      </c>
      <c r="DU144">
        <f>IFERROR(SMALL(DU39:DU103,ROW()-ROW($DU$106)+1),"")</f>
        <v>0</v>
      </c>
      <c r="DV144">
        <f>IFERROR(SMALL(DV39:DV103,ROW()-ROW($DV$106)+1),"")</f>
        <v>0</v>
      </c>
      <c r="DW144">
        <f>IFERROR(SMALL(DW39:DW103,ROW()-ROW($DW$106)+1),"")</f>
        <v>0</v>
      </c>
      <c r="DX144">
        <f>IFERROR(SMALL(DX39:DX103,ROW()-ROW($DX$106)+1),"")</f>
        <v>0</v>
      </c>
      <c r="DY144">
        <f>IFERROR(SMALL(DY39:DY103,ROW()-ROW($DY$106)+1),"")</f>
        <v>0</v>
      </c>
      <c r="DZ144">
        <f>IFERROR(SMALL(DZ39:DZ103,ROW()-ROW($DZ$106)+1),"")</f>
        <v>0</v>
      </c>
      <c r="EA144">
        <f>IFERROR(SMALL(EA39:EA103,ROW()-ROW($EA$106)+1),"")</f>
        <v>0</v>
      </c>
      <c r="EB144">
        <f>IFERROR(SMALL(EB39:EB103,ROW()-ROW($EB$106)+1),"")</f>
        <v>0</v>
      </c>
      <c r="EC144">
        <f>IFERROR(SMALL(EC39:EC103,ROW()-ROW($EC$106)+1),"")</f>
        <v>0</v>
      </c>
      <c r="ED144">
        <f>IFERROR(SMALL(ED39:ED103,ROW()-ROW($ED$106)+1),"")</f>
        <v>0</v>
      </c>
    </row>
    <row r="145" spans="5:134">
      <c r="E145">
        <f>IFERROR(SMALL(E39:E103,ROW()-ROW($E$106)+1),"")</f>
        <v>0</v>
      </c>
      <c r="F145">
        <f>IFERROR(SMALL(F39:F103,ROW()-ROW($F$106)+1),"")</f>
        <v>0</v>
      </c>
      <c r="G145">
        <f>IFERROR(SMALL(G39:G103,ROW()-ROW($G$106)+1),"")</f>
        <v>0</v>
      </c>
      <c r="H145">
        <f>IFERROR(SMALL(H39:H103,ROW()-ROW($H$106)+1),"")</f>
        <v>0</v>
      </c>
      <c r="I145">
        <f>IFERROR(SMALL(I39:I103,ROW()-ROW($I$106)+1),"")</f>
        <v>0</v>
      </c>
      <c r="J145">
        <f>IFERROR(SMALL(J39:J103,ROW()-ROW($J$106)+1),"")</f>
        <v>0</v>
      </c>
      <c r="K145">
        <f>IFERROR(SMALL(K39:K103,ROW()-ROW($K$106)+1),"")</f>
        <v>0</v>
      </c>
      <c r="L145">
        <f>IFERROR(SMALL(L39:L103,ROW()-ROW($L$106)+1),"")</f>
        <v>0</v>
      </c>
      <c r="M145">
        <f>IFERROR(SMALL(M39:M103,ROW()-ROW($M$106)+1),"")</f>
        <v>0</v>
      </c>
      <c r="N145">
        <f>IFERROR(SMALL(N39:N103,ROW()-ROW($N$106)+1),"")</f>
        <v>0</v>
      </c>
      <c r="O145">
        <f>IFERROR(SMALL(O39:O103,ROW()-ROW($O$106)+1),"")</f>
        <v>0</v>
      </c>
      <c r="P145">
        <f>IFERROR(SMALL(P39:P103,ROW()-ROW($P$106)+1),"")</f>
        <v>0</v>
      </c>
      <c r="Q145">
        <f>IFERROR(SMALL(Q39:Q103,ROW()-ROW($Q$106)+1),"")</f>
        <v>0</v>
      </c>
      <c r="R145">
        <f>IFERROR(SMALL(R39:R103,ROW()-ROW($R$106)+1),"")</f>
        <v>0</v>
      </c>
      <c r="S145">
        <f>IFERROR(SMALL(S39:S103,ROW()-ROW($S$106)+1),"")</f>
        <v>0</v>
      </c>
      <c r="T145">
        <f>IFERROR(SMALL(T39:T103,ROW()-ROW($T$106)+1),"")</f>
        <v>0</v>
      </c>
      <c r="U145">
        <f>IFERROR(SMALL(U39:U103,ROW()-ROW($U$106)+1),"")</f>
        <v>0</v>
      </c>
      <c r="V145">
        <f>IFERROR(SMALL(V39:V103,ROW()-ROW($V$106)+1),"")</f>
        <v>0</v>
      </c>
      <c r="W145">
        <f>IFERROR(SMALL(W39:W103,ROW()-ROW($W$106)+1),"")</f>
        <v>0</v>
      </c>
      <c r="X145">
        <f>IFERROR(SMALL(X39:X103,ROW()-ROW($X$106)+1),"")</f>
        <v>0</v>
      </c>
      <c r="Y145">
        <f>IFERROR(SMALL(Y39:Y103,ROW()-ROW($Y$106)+1),"")</f>
        <v>0</v>
      </c>
      <c r="Z145">
        <f>IFERROR(SMALL(Z39:Z103,ROW()-ROW($Z$106)+1),"")</f>
        <v>0</v>
      </c>
      <c r="AA145">
        <f>IFERROR(SMALL(AA39:AA103,ROW()-ROW($AA$106)+1),"")</f>
        <v>0</v>
      </c>
      <c r="AB145">
        <f>IFERROR(SMALL(AB39:AB103,ROW()-ROW($AB$106)+1),"")</f>
        <v>0</v>
      </c>
      <c r="AC145">
        <f>IFERROR(SMALL(AC39:AC103,ROW()-ROW($AC$106)+1),"")</f>
        <v>0</v>
      </c>
      <c r="AD145">
        <f>IFERROR(SMALL(AD39:AD103,ROW()-ROW($AD$106)+1),"")</f>
        <v>0</v>
      </c>
      <c r="AE145">
        <f>IFERROR(SMALL(AE39:AE103,ROW()-ROW($AE$106)+1),"")</f>
        <v>0</v>
      </c>
      <c r="AF145">
        <f>IFERROR(SMALL(AF39:AF103,ROW()-ROW($AF$106)+1),"")</f>
        <v>0</v>
      </c>
      <c r="AG145">
        <f>IFERROR(SMALL(AG39:AG103,ROW()-ROW($AG$106)+1),"")</f>
        <v>0</v>
      </c>
      <c r="AH145">
        <f>IFERROR(SMALL(AH39:AH103,ROW()-ROW($AH$106)+1),"")</f>
        <v>0</v>
      </c>
      <c r="AI145">
        <f>IFERROR(SMALL(AI39:AI103,ROW()-ROW($AI$106)+1),"")</f>
        <v>0</v>
      </c>
      <c r="AJ145">
        <f>IFERROR(SMALL(AJ39:AJ103,ROW()-ROW($AJ$106)+1),"")</f>
        <v>0</v>
      </c>
      <c r="AK145">
        <f>IFERROR(SMALL(AK39:AK103,ROW()-ROW($AK$106)+1),"")</f>
        <v>0</v>
      </c>
      <c r="AL145">
        <f>IFERROR(SMALL(AL39:AL103,ROW()-ROW($AL$106)+1),"")</f>
        <v>0</v>
      </c>
      <c r="AM145">
        <f>IFERROR(SMALL(AM39:AM103,ROW()-ROW($AM$106)+1),"")</f>
        <v>0</v>
      </c>
      <c r="AN145">
        <f>IFERROR(SMALL(AN39:AN103,ROW()-ROW($AN$106)+1),"")</f>
        <v>0</v>
      </c>
      <c r="AO145">
        <f>IFERROR(SMALL(AO39:AO103,ROW()-ROW($AO$106)+1),"")</f>
        <v>0</v>
      </c>
      <c r="AP145">
        <f>IFERROR(SMALL(AP39:AP103,ROW()-ROW($AP$106)+1),"")</f>
        <v>0</v>
      </c>
      <c r="AQ145">
        <f>IFERROR(SMALL(AQ39:AQ103,ROW()-ROW($AQ$106)+1),"")</f>
        <v>0</v>
      </c>
      <c r="AR145">
        <f>IFERROR(SMALL(AR39:AR103,ROW()-ROW($AR$106)+1),"")</f>
        <v>0</v>
      </c>
      <c r="AS145">
        <f>IFERROR(SMALL(AS39:AS103,ROW()-ROW($AS$106)+1),"")</f>
        <v>0</v>
      </c>
      <c r="AT145">
        <f>IFERROR(SMALL(AT39:AT103,ROW()-ROW($AT$106)+1),"")</f>
        <v>0</v>
      </c>
      <c r="AU145">
        <f>IFERROR(SMALL(AU39:AU103,ROW()-ROW($AU$106)+1),"")</f>
        <v>0</v>
      </c>
      <c r="AV145">
        <f>IFERROR(SMALL(AV39:AV103,ROW()-ROW($AV$106)+1),"")</f>
        <v>0</v>
      </c>
      <c r="AW145">
        <f>IFERROR(SMALL(AW39:AW103,ROW()-ROW($AW$106)+1),"")</f>
        <v>0</v>
      </c>
      <c r="AX145">
        <f>IFERROR(SMALL(AX39:AX103,ROW()-ROW($AX$106)+1),"")</f>
        <v>0</v>
      </c>
      <c r="AY145">
        <f>IFERROR(SMALL(AY39:AY103,ROW()-ROW($AY$106)+1),"")</f>
        <v>0</v>
      </c>
      <c r="AZ145">
        <f>IFERROR(SMALL(AZ39:AZ103,ROW()-ROW($AZ$106)+1),"")</f>
        <v>0</v>
      </c>
      <c r="BA145">
        <f>IFERROR(SMALL(BA39:BA103,ROW()-ROW($BA$106)+1),"")</f>
        <v>0</v>
      </c>
      <c r="BB145">
        <f>IFERROR(SMALL(BB39:BB103,ROW()-ROW($BB$106)+1),"")</f>
        <v>0</v>
      </c>
      <c r="BC145">
        <f>IFERROR(SMALL(BC39:BC103,ROW()-ROW($BC$106)+1),"")</f>
        <v>0</v>
      </c>
      <c r="BD145">
        <f>IFERROR(SMALL(BD39:BD103,ROW()-ROW($BD$106)+1),"")</f>
        <v>0</v>
      </c>
      <c r="BE145">
        <f>IFERROR(SMALL(BE39:BE103,ROW()-ROW($BE$106)+1),"")</f>
        <v>0</v>
      </c>
      <c r="BF145">
        <f>IFERROR(SMALL(BF39:BF103,ROW()-ROW($BF$106)+1),"")</f>
        <v>0</v>
      </c>
      <c r="BG145">
        <f>IFERROR(SMALL(BG39:BG103,ROW()-ROW($BG$106)+1),"")</f>
        <v>0</v>
      </c>
      <c r="BH145">
        <f>IFERROR(SMALL(BH39:BH103,ROW()-ROW($BH$106)+1),"")</f>
        <v>0</v>
      </c>
      <c r="BI145">
        <f>IFERROR(SMALL(BI39:BI103,ROW()-ROW($BI$106)+1),"")</f>
        <v>0</v>
      </c>
      <c r="BJ145">
        <f>IFERROR(SMALL(BJ39:BJ103,ROW()-ROW($BJ$106)+1),"")</f>
        <v>0</v>
      </c>
      <c r="BK145">
        <f>IFERROR(SMALL(BK39:BK103,ROW()-ROW($BK$106)+1),"")</f>
        <v>0</v>
      </c>
      <c r="BL145">
        <f>IFERROR(SMALL(BL39:BL103,ROW()-ROW($BL$106)+1),"")</f>
        <v>0</v>
      </c>
      <c r="BM145">
        <f>IFERROR(SMALL(BM39:BM103,ROW()-ROW($BM$106)+1),"")</f>
        <v>0</v>
      </c>
      <c r="BN145">
        <f>IFERROR(SMALL(BN39:BN103,ROW()-ROW($BN$106)+1),"")</f>
        <v>0</v>
      </c>
      <c r="BO145">
        <f>IFERROR(SMALL(BO39:BO103,ROW()-ROW($BO$106)+1),"")</f>
        <v>0</v>
      </c>
      <c r="BP145">
        <f>IFERROR(SMALL(BP39:BP103,ROW()-ROW($BP$106)+1),"")</f>
        <v>0</v>
      </c>
      <c r="BS145">
        <f>IFERROR(SMALL(BS39:BS103,ROW()-ROW($BS$106)+1),"")</f>
        <v>0</v>
      </c>
      <c r="BT145">
        <f>IFERROR(SMALL(BT39:BT103,ROW()-ROW($BT$106)+1),"")</f>
        <v>0</v>
      </c>
      <c r="BU145">
        <f>IFERROR(SMALL(BU39:BU103,ROW()-ROW($BU$106)+1),"")</f>
        <v>0</v>
      </c>
      <c r="BV145">
        <f>IFERROR(SMALL(BV39:BV103,ROW()-ROW($BV$106)+1),"")</f>
        <v>0</v>
      </c>
      <c r="BW145">
        <f>IFERROR(SMALL(BW39:BW103,ROW()-ROW($BW$106)+1),"")</f>
        <v>0</v>
      </c>
      <c r="BX145">
        <f>IFERROR(SMALL(BX39:BX103,ROW()-ROW($BX$106)+1),"")</f>
        <v>0</v>
      </c>
      <c r="BY145">
        <f>IFERROR(SMALL(BY39:BY103,ROW()-ROW($BY$106)+1),"")</f>
        <v>0</v>
      </c>
      <c r="BZ145">
        <f>IFERROR(SMALL(BZ39:BZ103,ROW()-ROW($BZ$106)+1),"")</f>
        <v>0</v>
      </c>
      <c r="CA145">
        <f>IFERROR(SMALL(CA39:CA103,ROW()-ROW($CA$106)+1),"")</f>
        <v>0</v>
      </c>
      <c r="CB145">
        <f>IFERROR(SMALL(CB39:CB103,ROW()-ROW($CB$106)+1),"")</f>
        <v>0</v>
      </c>
      <c r="CC145">
        <f>IFERROR(SMALL(CC39:CC103,ROW()-ROW($CC$106)+1),"")</f>
        <v>0</v>
      </c>
      <c r="CD145">
        <f>IFERROR(SMALL(CD39:CD103,ROW()-ROW($CD$106)+1),"")</f>
        <v>0</v>
      </c>
      <c r="CE145">
        <f>IFERROR(SMALL(CE39:CE103,ROW()-ROW($CE$106)+1),"")</f>
        <v>0</v>
      </c>
      <c r="CF145">
        <f>IFERROR(SMALL(CF39:CF103,ROW()-ROW($CF$106)+1),"")</f>
        <v>0</v>
      </c>
      <c r="CG145">
        <f>IFERROR(SMALL(CG39:CG103,ROW()-ROW($CG$106)+1),"")</f>
        <v>0</v>
      </c>
      <c r="CH145">
        <f>IFERROR(SMALL(CH39:CH103,ROW()-ROW($CH$106)+1),"")</f>
        <v>0</v>
      </c>
      <c r="CI145">
        <f>IFERROR(SMALL(CI39:CI103,ROW()-ROW($CI$106)+1),"")</f>
        <v>0</v>
      </c>
      <c r="CJ145">
        <f>IFERROR(SMALL(CJ39:CJ103,ROW()-ROW($CJ$106)+1),"")</f>
        <v>0</v>
      </c>
      <c r="CK145">
        <f>IFERROR(SMALL(CK39:CK103,ROW()-ROW($CK$106)+1),"")</f>
        <v>0</v>
      </c>
      <c r="CL145">
        <f>IFERROR(SMALL(CL39:CL103,ROW()-ROW($CL$106)+1),"")</f>
        <v>0</v>
      </c>
      <c r="CM145">
        <f>IFERROR(SMALL(CM39:CM103,ROW()-ROW($CM$106)+1),"")</f>
        <v>0</v>
      </c>
      <c r="CN145">
        <f>IFERROR(SMALL(CN39:CN103,ROW()-ROW($CN$106)+1),"")</f>
        <v>0</v>
      </c>
      <c r="CO145">
        <f>IFERROR(SMALL(CO39:CO103,ROW()-ROW($CO$106)+1),"")</f>
        <v>0</v>
      </c>
      <c r="CP145">
        <f>IFERROR(SMALL(CP39:CP103,ROW()-ROW($CP$106)+1),"")</f>
        <v>0</v>
      </c>
      <c r="CQ145">
        <f>IFERROR(SMALL(CQ39:CQ103,ROW()-ROW($CQ$106)+1),"")</f>
        <v>0</v>
      </c>
      <c r="CR145">
        <f>IFERROR(SMALL(CR39:CR103,ROW()-ROW($CR$106)+1),"")</f>
        <v>0</v>
      </c>
      <c r="CS145">
        <f>IFERROR(SMALL(CS39:CS103,ROW()-ROW($CS$106)+1),"")</f>
        <v>0</v>
      </c>
      <c r="CT145">
        <f>IFERROR(SMALL(CT39:CT103,ROW()-ROW($CT$106)+1),"")</f>
        <v>0</v>
      </c>
      <c r="CU145">
        <f>IFERROR(SMALL(CU39:CU103,ROW()-ROW($CU$106)+1),"")</f>
        <v>0</v>
      </c>
      <c r="CV145">
        <f>IFERROR(SMALL(CV39:CV103,ROW()-ROW($CV$106)+1),"")</f>
        <v>0</v>
      </c>
      <c r="CW145">
        <f>IFERROR(SMALL(CW39:CW103,ROW()-ROW($CW$106)+1),"")</f>
        <v>0</v>
      </c>
      <c r="CX145">
        <f>IFERROR(SMALL(CX39:CX103,ROW()-ROW($CX$106)+1),"")</f>
        <v>0</v>
      </c>
      <c r="CY145">
        <f>IFERROR(SMALL(CY39:CY103,ROW()-ROW($CY$106)+1),"")</f>
        <v>0</v>
      </c>
      <c r="CZ145">
        <f>IFERROR(SMALL(CZ39:CZ103,ROW()-ROW($CZ$106)+1),"")</f>
        <v>0</v>
      </c>
      <c r="DA145">
        <f>IFERROR(SMALL(DA39:DA103,ROW()-ROW($DA$106)+1),"")</f>
        <v>0</v>
      </c>
      <c r="DB145">
        <f>IFERROR(SMALL(DB39:DB103,ROW()-ROW($DB$106)+1),"")</f>
        <v>0</v>
      </c>
      <c r="DC145">
        <f>IFERROR(SMALL(DC39:DC103,ROW()-ROW($DC$106)+1),"")</f>
        <v>0</v>
      </c>
      <c r="DD145">
        <f>IFERROR(SMALL(DD39:DD103,ROW()-ROW($DD$106)+1),"")</f>
        <v>0</v>
      </c>
      <c r="DE145">
        <f>IFERROR(SMALL(DE39:DE103,ROW()-ROW($DE$106)+1),"")</f>
        <v>0</v>
      </c>
      <c r="DF145">
        <f>IFERROR(SMALL(DF39:DF103,ROW()-ROW($DF$106)+1),"")</f>
        <v>0</v>
      </c>
      <c r="DG145">
        <f>IFERROR(SMALL(DG39:DG103,ROW()-ROW($DG$106)+1),"")</f>
        <v>0</v>
      </c>
      <c r="DH145">
        <f>IFERROR(SMALL(DH39:DH103,ROW()-ROW($DH$106)+1),"")</f>
        <v>0</v>
      </c>
      <c r="DI145">
        <f>IFERROR(SMALL(DI39:DI103,ROW()-ROW($DI$106)+1),"")</f>
        <v>0</v>
      </c>
      <c r="DJ145">
        <f>IFERROR(SMALL(DJ39:DJ103,ROW()-ROW($DJ$106)+1),"")</f>
        <v>0</v>
      </c>
      <c r="DK145">
        <f>IFERROR(SMALL(DK39:DK103,ROW()-ROW($DK$106)+1),"")</f>
        <v>0</v>
      </c>
      <c r="DL145">
        <f>IFERROR(SMALL(DL39:DL103,ROW()-ROW($DL$106)+1),"")</f>
        <v>0</v>
      </c>
      <c r="DM145">
        <f>IFERROR(SMALL(DM39:DM103,ROW()-ROW($DM$106)+1),"")</f>
        <v>0</v>
      </c>
      <c r="DN145">
        <f>IFERROR(SMALL(DN39:DN103,ROW()-ROW($DN$106)+1),"")</f>
        <v>0</v>
      </c>
      <c r="DO145">
        <f>IFERROR(SMALL(DO39:DO103,ROW()-ROW($DO$106)+1),"")</f>
        <v>0</v>
      </c>
      <c r="DP145">
        <f>IFERROR(SMALL(DP39:DP103,ROW()-ROW($DP$106)+1),"")</f>
        <v>0</v>
      </c>
      <c r="DQ145">
        <f>IFERROR(SMALL(DQ39:DQ103,ROW()-ROW($DQ$106)+1),"")</f>
        <v>0</v>
      </c>
      <c r="DR145">
        <f>IFERROR(SMALL(DR39:DR103,ROW()-ROW($DR$106)+1),"")</f>
        <v>0</v>
      </c>
      <c r="DS145">
        <f>IFERROR(SMALL(DS39:DS103,ROW()-ROW($DS$106)+1),"")</f>
        <v>0</v>
      </c>
      <c r="DT145">
        <f>IFERROR(SMALL(DT39:DT103,ROW()-ROW($DT$106)+1),"")</f>
        <v>0</v>
      </c>
      <c r="DU145">
        <f>IFERROR(SMALL(DU39:DU103,ROW()-ROW($DU$106)+1),"")</f>
        <v>0</v>
      </c>
      <c r="DV145">
        <f>IFERROR(SMALL(DV39:DV103,ROW()-ROW($DV$106)+1),"")</f>
        <v>0</v>
      </c>
      <c r="DW145">
        <f>IFERROR(SMALL(DW39:DW103,ROW()-ROW($DW$106)+1),"")</f>
        <v>0</v>
      </c>
      <c r="DX145">
        <f>IFERROR(SMALL(DX39:DX103,ROW()-ROW($DX$106)+1),"")</f>
        <v>0</v>
      </c>
      <c r="DY145">
        <f>IFERROR(SMALL(DY39:DY103,ROW()-ROW($DY$106)+1),"")</f>
        <v>0</v>
      </c>
      <c r="DZ145">
        <f>IFERROR(SMALL(DZ39:DZ103,ROW()-ROW($DZ$106)+1),"")</f>
        <v>0</v>
      </c>
      <c r="EA145">
        <f>IFERROR(SMALL(EA39:EA103,ROW()-ROW($EA$106)+1),"")</f>
        <v>0</v>
      </c>
      <c r="EB145">
        <f>IFERROR(SMALL(EB39:EB103,ROW()-ROW($EB$106)+1),"")</f>
        <v>0</v>
      </c>
      <c r="EC145">
        <f>IFERROR(SMALL(EC39:EC103,ROW()-ROW($EC$106)+1),"")</f>
        <v>0</v>
      </c>
      <c r="ED145">
        <f>IFERROR(SMALL(ED39:ED103,ROW()-ROW($ED$106)+1),"")</f>
        <v>0</v>
      </c>
    </row>
    <row r="146" spans="5:134">
      <c r="E146">
        <f>IFERROR(SMALL(E39:E103,ROW()-ROW($E$106)+1),"")</f>
        <v>0</v>
      </c>
      <c r="F146">
        <f>IFERROR(SMALL(F39:F103,ROW()-ROW($F$106)+1),"")</f>
        <v>0</v>
      </c>
      <c r="G146">
        <f>IFERROR(SMALL(G39:G103,ROW()-ROW($G$106)+1),"")</f>
        <v>0</v>
      </c>
      <c r="H146">
        <f>IFERROR(SMALL(H39:H103,ROW()-ROW($H$106)+1),"")</f>
        <v>0</v>
      </c>
      <c r="I146">
        <f>IFERROR(SMALL(I39:I103,ROW()-ROW($I$106)+1),"")</f>
        <v>0</v>
      </c>
      <c r="J146">
        <f>IFERROR(SMALL(J39:J103,ROW()-ROW($J$106)+1),"")</f>
        <v>0</v>
      </c>
      <c r="K146">
        <f>IFERROR(SMALL(K39:K103,ROW()-ROW($K$106)+1),"")</f>
        <v>0</v>
      </c>
      <c r="L146">
        <f>IFERROR(SMALL(L39:L103,ROW()-ROW($L$106)+1),"")</f>
        <v>0</v>
      </c>
      <c r="M146">
        <f>IFERROR(SMALL(M39:M103,ROW()-ROW($M$106)+1),"")</f>
        <v>0</v>
      </c>
      <c r="N146">
        <f>IFERROR(SMALL(N39:N103,ROW()-ROW($N$106)+1),"")</f>
        <v>0</v>
      </c>
      <c r="O146">
        <f>IFERROR(SMALL(O39:O103,ROW()-ROW($O$106)+1),"")</f>
        <v>0</v>
      </c>
      <c r="P146">
        <f>IFERROR(SMALL(P39:P103,ROW()-ROW($P$106)+1),"")</f>
        <v>0</v>
      </c>
      <c r="Q146">
        <f>IFERROR(SMALL(Q39:Q103,ROW()-ROW($Q$106)+1),"")</f>
        <v>0</v>
      </c>
      <c r="R146">
        <f>IFERROR(SMALL(R39:R103,ROW()-ROW($R$106)+1),"")</f>
        <v>0</v>
      </c>
      <c r="S146">
        <f>IFERROR(SMALL(S39:S103,ROW()-ROW($S$106)+1),"")</f>
        <v>0</v>
      </c>
      <c r="T146">
        <f>IFERROR(SMALL(T39:T103,ROW()-ROW($T$106)+1),"")</f>
        <v>0</v>
      </c>
      <c r="U146">
        <f>IFERROR(SMALL(U39:U103,ROW()-ROW($U$106)+1),"")</f>
        <v>0</v>
      </c>
      <c r="V146">
        <f>IFERROR(SMALL(V39:V103,ROW()-ROW($V$106)+1),"")</f>
        <v>0</v>
      </c>
      <c r="W146">
        <f>IFERROR(SMALL(W39:W103,ROW()-ROW($W$106)+1),"")</f>
        <v>0</v>
      </c>
      <c r="X146">
        <f>IFERROR(SMALL(X39:X103,ROW()-ROW($X$106)+1),"")</f>
        <v>0</v>
      </c>
      <c r="Y146">
        <f>IFERROR(SMALL(Y39:Y103,ROW()-ROW($Y$106)+1),"")</f>
        <v>0</v>
      </c>
      <c r="Z146">
        <f>IFERROR(SMALL(Z39:Z103,ROW()-ROW($Z$106)+1),"")</f>
        <v>0</v>
      </c>
      <c r="AA146">
        <f>IFERROR(SMALL(AA39:AA103,ROW()-ROW($AA$106)+1),"")</f>
        <v>0</v>
      </c>
      <c r="AB146">
        <f>IFERROR(SMALL(AB39:AB103,ROW()-ROW($AB$106)+1),"")</f>
        <v>0</v>
      </c>
      <c r="AC146">
        <f>IFERROR(SMALL(AC39:AC103,ROW()-ROW($AC$106)+1),"")</f>
        <v>0</v>
      </c>
      <c r="AD146">
        <f>IFERROR(SMALL(AD39:AD103,ROW()-ROW($AD$106)+1),"")</f>
        <v>0</v>
      </c>
      <c r="AE146">
        <f>IFERROR(SMALL(AE39:AE103,ROW()-ROW($AE$106)+1),"")</f>
        <v>0</v>
      </c>
      <c r="AF146">
        <f>IFERROR(SMALL(AF39:AF103,ROW()-ROW($AF$106)+1),"")</f>
        <v>0</v>
      </c>
      <c r="AG146">
        <f>IFERROR(SMALL(AG39:AG103,ROW()-ROW($AG$106)+1),"")</f>
        <v>0</v>
      </c>
      <c r="AH146">
        <f>IFERROR(SMALL(AH39:AH103,ROW()-ROW($AH$106)+1),"")</f>
        <v>0</v>
      </c>
      <c r="AI146">
        <f>IFERROR(SMALL(AI39:AI103,ROW()-ROW($AI$106)+1),"")</f>
        <v>0</v>
      </c>
      <c r="AJ146">
        <f>IFERROR(SMALL(AJ39:AJ103,ROW()-ROW($AJ$106)+1),"")</f>
        <v>0</v>
      </c>
      <c r="AK146">
        <f>IFERROR(SMALL(AK39:AK103,ROW()-ROW($AK$106)+1),"")</f>
        <v>0</v>
      </c>
      <c r="AL146">
        <f>IFERROR(SMALL(AL39:AL103,ROW()-ROW($AL$106)+1),"")</f>
        <v>0</v>
      </c>
      <c r="AM146">
        <f>IFERROR(SMALL(AM39:AM103,ROW()-ROW($AM$106)+1),"")</f>
        <v>0</v>
      </c>
      <c r="AN146">
        <f>IFERROR(SMALL(AN39:AN103,ROW()-ROW($AN$106)+1),"")</f>
        <v>0</v>
      </c>
      <c r="AO146">
        <f>IFERROR(SMALL(AO39:AO103,ROW()-ROW($AO$106)+1),"")</f>
        <v>0</v>
      </c>
      <c r="AP146">
        <f>IFERROR(SMALL(AP39:AP103,ROW()-ROW($AP$106)+1),"")</f>
        <v>0</v>
      </c>
      <c r="AQ146">
        <f>IFERROR(SMALL(AQ39:AQ103,ROW()-ROW($AQ$106)+1),"")</f>
        <v>0</v>
      </c>
      <c r="AR146">
        <f>IFERROR(SMALL(AR39:AR103,ROW()-ROW($AR$106)+1),"")</f>
        <v>0</v>
      </c>
      <c r="AS146">
        <f>IFERROR(SMALL(AS39:AS103,ROW()-ROW($AS$106)+1),"")</f>
        <v>0</v>
      </c>
      <c r="AT146">
        <f>IFERROR(SMALL(AT39:AT103,ROW()-ROW($AT$106)+1),"")</f>
        <v>0</v>
      </c>
      <c r="AU146">
        <f>IFERROR(SMALL(AU39:AU103,ROW()-ROW($AU$106)+1),"")</f>
        <v>0</v>
      </c>
      <c r="AV146">
        <f>IFERROR(SMALL(AV39:AV103,ROW()-ROW($AV$106)+1),"")</f>
        <v>0</v>
      </c>
      <c r="AW146">
        <f>IFERROR(SMALL(AW39:AW103,ROW()-ROW($AW$106)+1),"")</f>
        <v>0</v>
      </c>
      <c r="AX146">
        <f>IFERROR(SMALL(AX39:AX103,ROW()-ROW($AX$106)+1),"")</f>
        <v>0</v>
      </c>
      <c r="AY146">
        <f>IFERROR(SMALL(AY39:AY103,ROW()-ROW($AY$106)+1),"")</f>
        <v>0</v>
      </c>
      <c r="AZ146">
        <f>IFERROR(SMALL(AZ39:AZ103,ROW()-ROW($AZ$106)+1),"")</f>
        <v>0</v>
      </c>
      <c r="BA146">
        <f>IFERROR(SMALL(BA39:BA103,ROW()-ROW($BA$106)+1),"")</f>
        <v>0</v>
      </c>
      <c r="BB146">
        <f>IFERROR(SMALL(BB39:BB103,ROW()-ROW($BB$106)+1),"")</f>
        <v>0</v>
      </c>
      <c r="BC146">
        <f>IFERROR(SMALL(BC39:BC103,ROW()-ROW($BC$106)+1),"")</f>
        <v>0</v>
      </c>
      <c r="BD146">
        <f>IFERROR(SMALL(BD39:BD103,ROW()-ROW($BD$106)+1),"")</f>
        <v>0</v>
      </c>
      <c r="BE146">
        <f>IFERROR(SMALL(BE39:BE103,ROW()-ROW($BE$106)+1),"")</f>
        <v>0</v>
      </c>
      <c r="BF146">
        <f>IFERROR(SMALL(BF39:BF103,ROW()-ROW($BF$106)+1),"")</f>
        <v>0</v>
      </c>
      <c r="BG146">
        <f>IFERROR(SMALL(BG39:BG103,ROW()-ROW($BG$106)+1),"")</f>
        <v>0</v>
      </c>
      <c r="BH146">
        <f>IFERROR(SMALL(BH39:BH103,ROW()-ROW($BH$106)+1),"")</f>
        <v>0</v>
      </c>
      <c r="BI146">
        <f>IFERROR(SMALL(BI39:BI103,ROW()-ROW($BI$106)+1),"")</f>
        <v>0</v>
      </c>
      <c r="BJ146">
        <f>IFERROR(SMALL(BJ39:BJ103,ROW()-ROW($BJ$106)+1),"")</f>
        <v>0</v>
      </c>
      <c r="BK146">
        <f>IFERROR(SMALL(BK39:BK103,ROW()-ROW($BK$106)+1),"")</f>
        <v>0</v>
      </c>
      <c r="BL146">
        <f>IFERROR(SMALL(BL39:BL103,ROW()-ROW($BL$106)+1),"")</f>
        <v>0</v>
      </c>
      <c r="BM146">
        <f>IFERROR(SMALL(BM39:BM103,ROW()-ROW($BM$106)+1),"")</f>
        <v>0</v>
      </c>
      <c r="BN146">
        <f>IFERROR(SMALL(BN39:BN103,ROW()-ROW($BN$106)+1),"")</f>
        <v>0</v>
      </c>
      <c r="BO146">
        <f>IFERROR(SMALL(BO39:BO103,ROW()-ROW($BO$106)+1),"")</f>
        <v>0</v>
      </c>
      <c r="BP146">
        <f>IFERROR(SMALL(BP39:BP103,ROW()-ROW($BP$106)+1),"")</f>
        <v>0</v>
      </c>
      <c r="BS146">
        <f>IFERROR(SMALL(BS39:BS103,ROW()-ROW($BS$106)+1),"")</f>
        <v>0</v>
      </c>
      <c r="BT146">
        <f>IFERROR(SMALL(BT39:BT103,ROW()-ROW($BT$106)+1),"")</f>
        <v>0</v>
      </c>
      <c r="BU146">
        <f>IFERROR(SMALL(BU39:BU103,ROW()-ROW($BU$106)+1),"")</f>
        <v>0</v>
      </c>
      <c r="BV146">
        <f>IFERROR(SMALL(BV39:BV103,ROW()-ROW($BV$106)+1),"")</f>
        <v>0</v>
      </c>
      <c r="BW146">
        <f>IFERROR(SMALL(BW39:BW103,ROW()-ROW($BW$106)+1),"")</f>
        <v>0</v>
      </c>
      <c r="BX146">
        <f>IFERROR(SMALL(BX39:BX103,ROW()-ROW($BX$106)+1),"")</f>
        <v>0</v>
      </c>
      <c r="BY146">
        <f>IFERROR(SMALL(BY39:BY103,ROW()-ROW($BY$106)+1),"")</f>
        <v>0</v>
      </c>
      <c r="BZ146">
        <f>IFERROR(SMALL(BZ39:BZ103,ROW()-ROW($BZ$106)+1),"")</f>
        <v>0</v>
      </c>
      <c r="CA146">
        <f>IFERROR(SMALL(CA39:CA103,ROW()-ROW($CA$106)+1),"")</f>
        <v>0</v>
      </c>
      <c r="CB146">
        <f>IFERROR(SMALL(CB39:CB103,ROW()-ROW($CB$106)+1),"")</f>
        <v>0</v>
      </c>
      <c r="CC146">
        <f>IFERROR(SMALL(CC39:CC103,ROW()-ROW($CC$106)+1),"")</f>
        <v>0</v>
      </c>
      <c r="CD146">
        <f>IFERROR(SMALL(CD39:CD103,ROW()-ROW($CD$106)+1),"")</f>
        <v>0</v>
      </c>
      <c r="CE146">
        <f>IFERROR(SMALL(CE39:CE103,ROW()-ROW($CE$106)+1),"")</f>
        <v>0</v>
      </c>
      <c r="CF146">
        <f>IFERROR(SMALL(CF39:CF103,ROW()-ROW($CF$106)+1),"")</f>
        <v>0</v>
      </c>
      <c r="CG146">
        <f>IFERROR(SMALL(CG39:CG103,ROW()-ROW($CG$106)+1),"")</f>
        <v>0</v>
      </c>
      <c r="CH146">
        <f>IFERROR(SMALL(CH39:CH103,ROW()-ROW($CH$106)+1),"")</f>
        <v>0</v>
      </c>
      <c r="CI146">
        <f>IFERROR(SMALL(CI39:CI103,ROW()-ROW($CI$106)+1),"")</f>
        <v>0</v>
      </c>
      <c r="CJ146">
        <f>IFERROR(SMALL(CJ39:CJ103,ROW()-ROW($CJ$106)+1),"")</f>
        <v>0</v>
      </c>
      <c r="CK146">
        <f>IFERROR(SMALL(CK39:CK103,ROW()-ROW($CK$106)+1),"")</f>
        <v>0</v>
      </c>
      <c r="CL146">
        <f>IFERROR(SMALL(CL39:CL103,ROW()-ROW($CL$106)+1),"")</f>
        <v>0</v>
      </c>
      <c r="CM146">
        <f>IFERROR(SMALL(CM39:CM103,ROW()-ROW($CM$106)+1),"")</f>
        <v>0</v>
      </c>
      <c r="CN146">
        <f>IFERROR(SMALL(CN39:CN103,ROW()-ROW($CN$106)+1),"")</f>
        <v>0</v>
      </c>
      <c r="CO146">
        <f>IFERROR(SMALL(CO39:CO103,ROW()-ROW($CO$106)+1),"")</f>
        <v>0</v>
      </c>
      <c r="CP146">
        <f>IFERROR(SMALL(CP39:CP103,ROW()-ROW($CP$106)+1),"")</f>
        <v>0</v>
      </c>
      <c r="CQ146">
        <f>IFERROR(SMALL(CQ39:CQ103,ROW()-ROW($CQ$106)+1),"")</f>
        <v>0</v>
      </c>
      <c r="CR146">
        <f>IFERROR(SMALL(CR39:CR103,ROW()-ROW($CR$106)+1),"")</f>
        <v>0</v>
      </c>
      <c r="CS146">
        <f>IFERROR(SMALL(CS39:CS103,ROW()-ROW($CS$106)+1),"")</f>
        <v>0</v>
      </c>
      <c r="CT146">
        <f>IFERROR(SMALL(CT39:CT103,ROW()-ROW($CT$106)+1),"")</f>
        <v>0</v>
      </c>
      <c r="CU146">
        <f>IFERROR(SMALL(CU39:CU103,ROW()-ROW($CU$106)+1),"")</f>
        <v>0</v>
      </c>
      <c r="CV146">
        <f>IFERROR(SMALL(CV39:CV103,ROW()-ROW($CV$106)+1),"")</f>
        <v>0</v>
      </c>
      <c r="CW146">
        <f>IFERROR(SMALL(CW39:CW103,ROW()-ROW($CW$106)+1),"")</f>
        <v>0</v>
      </c>
      <c r="CX146">
        <f>IFERROR(SMALL(CX39:CX103,ROW()-ROW($CX$106)+1),"")</f>
        <v>0</v>
      </c>
      <c r="CY146">
        <f>IFERROR(SMALL(CY39:CY103,ROW()-ROW($CY$106)+1),"")</f>
        <v>0</v>
      </c>
      <c r="CZ146">
        <f>IFERROR(SMALL(CZ39:CZ103,ROW()-ROW($CZ$106)+1),"")</f>
        <v>0</v>
      </c>
      <c r="DA146">
        <f>IFERROR(SMALL(DA39:DA103,ROW()-ROW($DA$106)+1),"")</f>
        <v>0</v>
      </c>
      <c r="DB146">
        <f>IFERROR(SMALL(DB39:DB103,ROW()-ROW($DB$106)+1),"")</f>
        <v>0</v>
      </c>
      <c r="DC146">
        <f>IFERROR(SMALL(DC39:DC103,ROW()-ROW($DC$106)+1),"")</f>
        <v>0</v>
      </c>
      <c r="DD146">
        <f>IFERROR(SMALL(DD39:DD103,ROW()-ROW($DD$106)+1),"")</f>
        <v>0</v>
      </c>
      <c r="DE146">
        <f>IFERROR(SMALL(DE39:DE103,ROW()-ROW($DE$106)+1),"")</f>
        <v>0</v>
      </c>
      <c r="DF146">
        <f>IFERROR(SMALL(DF39:DF103,ROW()-ROW($DF$106)+1),"")</f>
        <v>0</v>
      </c>
      <c r="DG146">
        <f>IFERROR(SMALL(DG39:DG103,ROW()-ROW($DG$106)+1),"")</f>
        <v>0</v>
      </c>
      <c r="DH146">
        <f>IFERROR(SMALL(DH39:DH103,ROW()-ROW($DH$106)+1),"")</f>
        <v>0</v>
      </c>
      <c r="DI146">
        <f>IFERROR(SMALL(DI39:DI103,ROW()-ROW($DI$106)+1),"")</f>
        <v>0</v>
      </c>
      <c r="DJ146">
        <f>IFERROR(SMALL(DJ39:DJ103,ROW()-ROW($DJ$106)+1),"")</f>
        <v>0</v>
      </c>
      <c r="DK146">
        <f>IFERROR(SMALL(DK39:DK103,ROW()-ROW($DK$106)+1),"")</f>
        <v>0</v>
      </c>
      <c r="DL146">
        <f>IFERROR(SMALL(DL39:DL103,ROW()-ROW($DL$106)+1),"")</f>
        <v>0</v>
      </c>
      <c r="DM146">
        <f>IFERROR(SMALL(DM39:DM103,ROW()-ROW($DM$106)+1),"")</f>
        <v>0</v>
      </c>
      <c r="DN146">
        <f>IFERROR(SMALL(DN39:DN103,ROW()-ROW($DN$106)+1),"")</f>
        <v>0</v>
      </c>
      <c r="DO146">
        <f>IFERROR(SMALL(DO39:DO103,ROW()-ROW($DO$106)+1),"")</f>
        <v>0</v>
      </c>
      <c r="DP146">
        <f>IFERROR(SMALL(DP39:DP103,ROW()-ROW($DP$106)+1),"")</f>
        <v>0</v>
      </c>
      <c r="DQ146">
        <f>IFERROR(SMALL(DQ39:DQ103,ROW()-ROW($DQ$106)+1),"")</f>
        <v>0</v>
      </c>
      <c r="DR146">
        <f>IFERROR(SMALL(DR39:DR103,ROW()-ROW($DR$106)+1),"")</f>
        <v>0</v>
      </c>
      <c r="DS146">
        <f>IFERROR(SMALL(DS39:DS103,ROW()-ROW($DS$106)+1),"")</f>
        <v>0</v>
      </c>
      <c r="DT146">
        <f>IFERROR(SMALL(DT39:DT103,ROW()-ROW($DT$106)+1),"")</f>
        <v>0</v>
      </c>
      <c r="DU146">
        <f>IFERROR(SMALL(DU39:DU103,ROW()-ROW($DU$106)+1),"")</f>
        <v>0</v>
      </c>
      <c r="DV146">
        <f>IFERROR(SMALL(DV39:DV103,ROW()-ROW($DV$106)+1),"")</f>
        <v>0</v>
      </c>
      <c r="DW146">
        <f>IFERROR(SMALL(DW39:DW103,ROW()-ROW($DW$106)+1),"")</f>
        <v>0</v>
      </c>
      <c r="DX146">
        <f>IFERROR(SMALL(DX39:DX103,ROW()-ROW($DX$106)+1),"")</f>
        <v>0</v>
      </c>
      <c r="DY146">
        <f>IFERROR(SMALL(DY39:DY103,ROW()-ROW($DY$106)+1),"")</f>
        <v>0</v>
      </c>
      <c r="DZ146">
        <f>IFERROR(SMALL(DZ39:DZ103,ROW()-ROW($DZ$106)+1),"")</f>
        <v>0</v>
      </c>
      <c r="EA146">
        <f>IFERROR(SMALL(EA39:EA103,ROW()-ROW($EA$106)+1),"")</f>
        <v>0</v>
      </c>
      <c r="EB146">
        <f>IFERROR(SMALL(EB39:EB103,ROW()-ROW($EB$106)+1),"")</f>
        <v>0</v>
      </c>
      <c r="EC146">
        <f>IFERROR(SMALL(EC39:EC103,ROW()-ROW($EC$106)+1),"")</f>
        <v>0</v>
      </c>
      <c r="ED146">
        <f>IFERROR(SMALL(ED39:ED103,ROW()-ROW($ED$106)+1),"")</f>
        <v>0</v>
      </c>
    </row>
    <row r="147" spans="5:134">
      <c r="E147">
        <f>IFERROR(SMALL(E39:E103,ROW()-ROW($E$106)+1),"")</f>
        <v>0</v>
      </c>
      <c r="F147">
        <f>IFERROR(SMALL(F39:F103,ROW()-ROW($F$106)+1),"")</f>
        <v>0</v>
      </c>
      <c r="G147">
        <f>IFERROR(SMALL(G39:G103,ROW()-ROW($G$106)+1),"")</f>
        <v>0</v>
      </c>
      <c r="H147">
        <f>IFERROR(SMALL(H39:H103,ROW()-ROW($H$106)+1),"")</f>
        <v>0</v>
      </c>
      <c r="I147">
        <f>IFERROR(SMALL(I39:I103,ROW()-ROW($I$106)+1),"")</f>
        <v>0</v>
      </c>
      <c r="J147">
        <f>IFERROR(SMALL(J39:J103,ROW()-ROW($J$106)+1),"")</f>
        <v>0</v>
      </c>
      <c r="K147">
        <f>IFERROR(SMALL(K39:K103,ROW()-ROW($K$106)+1),"")</f>
        <v>0</v>
      </c>
      <c r="L147">
        <f>IFERROR(SMALL(L39:L103,ROW()-ROW($L$106)+1),"")</f>
        <v>0</v>
      </c>
      <c r="M147">
        <f>IFERROR(SMALL(M39:M103,ROW()-ROW($M$106)+1),"")</f>
        <v>0</v>
      </c>
      <c r="N147">
        <f>IFERROR(SMALL(N39:N103,ROW()-ROW($N$106)+1),"")</f>
        <v>0</v>
      </c>
      <c r="O147">
        <f>IFERROR(SMALL(O39:O103,ROW()-ROW($O$106)+1),"")</f>
        <v>0</v>
      </c>
      <c r="P147">
        <f>IFERROR(SMALL(P39:P103,ROW()-ROW($P$106)+1),"")</f>
        <v>0</v>
      </c>
      <c r="Q147">
        <f>IFERROR(SMALL(Q39:Q103,ROW()-ROW($Q$106)+1),"")</f>
        <v>0</v>
      </c>
      <c r="R147">
        <f>IFERROR(SMALL(R39:R103,ROW()-ROW($R$106)+1),"")</f>
        <v>0</v>
      </c>
      <c r="S147">
        <f>IFERROR(SMALL(S39:S103,ROW()-ROW($S$106)+1),"")</f>
        <v>0</v>
      </c>
      <c r="T147">
        <f>IFERROR(SMALL(T39:T103,ROW()-ROW($T$106)+1),"")</f>
        <v>0</v>
      </c>
      <c r="U147">
        <f>IFERROR(SMALL(U39:U103,ROW()-ROW($U$106)+1),"")</f>
        <v>0</v>
      </c>
      <c r="V147">
        <f>IFERROR(SMALL(V39:V103,ROW()-ROW($V$106)+1),"")</f>
        <v>0</v>
      </c>
      <c r="W147">
        <f>IFERROR(SMALL(W39:W103,ROW()-ROW($W$106)+1),"")</f>
        <v>0</v>
      </c>
      <c r="X147">
        <f>IFERROR(SMALL(X39:X103,ROW()-ROW($X$106)+1),"")</f>
        <v>0</v>
      </c>
      <c r="Y147">
        <f>IFERROR(SMALL(Y39:Y103,ROW()-ROW($Y$106)+1),"")</f>
        <v>0</v>
      </c>
      <c r="Z147">
        <f>IFERROR(SMALL(Z39:Z103,ROW()-ROW($Z$106)+1),"")</f>
        <v>0</v>
      </c>
      <c r="AA147">
        <f>IFERROR(SMALL(AA39:AA103,ROW()-ROW($AA$106)+1),"")</f>
        <v>0</v>
      </c>
      <c r="AB147">
        <f>IFERROR(SMALL(AB39:AB103,ROW()-ROW($AB$106)+1),"")</f>
        <v>0</v>
      </c>
      <c r="AC147">
        <f>IFERROR(SMALL(AC39:AC103,ROW()-ROW($AC$106)+1),"")</f>
        <v>0</v>
      </c>
      <c r="AD147">
        <f>IFERROR(SMALL(AD39:AD103,ROW()-ROW($AD$106)+1),"")</f>
        <v>0</v>
      </c>
      <c r="AE147">
        <f>IFERROR(SMALL(AE39:AE103,ROW()-ROW($AE$106)+1),"")</f>
        <v>0</v>
      </c>
      <c r="AF147">
        <f>IFERROR(SMALL(AF39:AF103,ROW()-ROW($AF$106)+1),"")</f>
        <v>0</v>
      </c>
      <c r="AG147">
        <f>IFERROR(SMALL(AG39:AG103,ROW()-ROW($AG$106)+1),"")</f>
        <v>0</v>
      </c>
      <c r="AH147">
        <f>IFERROR(SMALL(AH39:AH103,ROW()-ROW($AH$106)+1),"")</f>
        <v>0</v>
      </c>
      <c r="AI147">
        <f>IFERROR(SMALL(AI39:AI103,ROW()-ROW($AI$106)+1),"")</f>
        <v>0</v>
      </c>
      <c r="AJ147">
        <f>IFERROR(SMALL(AJ39:AJ103,ROW()-ROW($AJ$106)+1),"")</f>
        <v>0</v>
      </c>
      <c r="AK147">
        <f>IFERROR(SMALL(AK39:AK103,ROW()-ROW($AK$106)+1),"")</f>
        <v>0</v>
      </c>
      <c r="AL147">
        <f>IFERROR(SMALL(AL39:AL103,ROW()-ROW($AL$106)+1),"")</f>
        <v>0</v>
      </c>
      <c r="AM147">
        <f>IFERROR(SMALL(AM39:AM103,ROW()-ROW($AM$106)+1),"")</f>
        <v>0</v>
      </c>
      <c r="AN147">
        <f>IFERROR(SMALL(AN39:AN103,ROW()-ROW($AN$106)+1),"")</f>
        <v>0</v>
      </c>
      <c r="AO147">
        <f>IFERROR(SMALL(AO39:AO103,ROW()-ROW($AO$106)+1),"")</f>
        <v>0</v>
      </c>
      <c r="AP147">
        <f>IFERROR(SMALL(AP39:AP103,ROW()-ROW($AP$106)+1),"")</f>
        <v>0</v>
      </c>
      <c r="AQ147">
        <f>IFERROR(SMALL(AQ39:AQ103,ROW()-ROW($AQ$106)+1),"")</f>
        <v>0</v>
      </c>
      <c r="AR147">
        <f>IFERROR(SMALL(AR39:AR103,ROW()-ROW($AR$106)+1),"")</f>
        <v>0</v>
      </c>
      <c r="AS147">
        <f>IFERROR(SMALL(AS39:AS103,ROW()-ROW($AS$106)+1),"")</f>
        <v>0</v>
      </c>
      <c r="AT147">
        <f>IFERROR(SMALL(AT39:AT103,ROW()-ROW($AT$106)+1),"")</f>
        <v>0</v>
      </c>
      <c r="AU147">
        <f>IFERROR(SMALL(AU39:AU103,ROW()-ROW($AU$106)+1),"")</f>
        <v>0</v>
      </c>
      <c r="AV147">
        <f>IFERROR(SMALL(AV39:AV103,ROW()-ROW($AV$106)+1),"")</f>
        <v>0</v>
      </c>
      <c r="AW147">
        <f>IFERROR(SMALL(AW39:AW103,ROW()-ROW($AW$106)+1),"")</f>
        <v>0</v>
      </c>
      <c r="AX147">
        <f>IFERROR(SMALL(AX39:AX103,ROW()-ROW($AX$106)+1),"")</f>
        <v>0</v>
      </c>
      <c r="AY147">
        <f>IFERROR(SMALL(AY39:AY103,ROW()-ROW($AY$106)+1),"")</f>
        <v>0</v>
      </c>
      <c r="AZ147">
        <f>IFERROR(SMALL(AZ39:AZ103,ROW()-ROW($AZ$106)+1),"")</f>
        <v>0</v>
      </c>
      <c r="BA147">
        <f>IFERROR(SMALL(BA39:BA103,ROW()-ROW($BA$106)+1),"")</f>
        <v>0</v>
      </c>
      <c r="BB147">
        <f>IFERROR(SMALL(BB39:BB103,ROW()-ROW($BB$106)+1),"")</f>
        <v>0</v>
      </c>
      <c r="BC147">
        <f>IFERROR(SMALL(BC39:BC103,ROW()-ROW($BC$106)+1),"")</f>
        <v>0</v>
      </c>
      <c r="BD147">
        <f>IFERROR(SMALL(BD39:BD103,ROW()-ROW($BD$106)+1),"")</f>
        <v>0</v>
      </c>
      <c r="BE147">
        <f>IFERROR(SMALL(BE39:BE103,ROW()-ROW($BE$106)+1),"")</f>
        <v>0</v>
      </c>
      <c r="BF147">
        <f>IFERROR(SMALL(BF39:BF103,ROW()-ROW($BF$106)+1),"")</f>
        <v>0</v>
      </c>
      <c r="BG147">
        <f>IFERROR(SMALL(BG39:BG103,ROW()-ROW($BG$106)+1),"")</f>
        <v>0</v>
      </c>
      <c r="BH147">
        <f>IFERROR(SMALL(BH39:BH103,ROW()-ROW($BH$106)+1),"")</f>
        <v>0</v>
      </c>
      <c r="BI147">
        <f>IFERROR(SMALL(BI39:BI103,ROW()-ROW($BI$106)+1),"")</f>
        <v>0</v>
      </c>
      <c r="BJ147">
        <f>IFERROR(SMALL(BJ39:BJ103,ROW()-ROW($BJ$106)+1),"")</f>
        <v>0</v>
      </c>
      <c r="BK147">
        <f>IFERROR(SMALL(BK39:BK103,ROW()-ROW($BK$106)+1),"")</f>
        <v>0</v>
      </c>
      <c r="BL147">
        <f>IFERROR(SMALL(BL39:BL103,ROW()-ROW($BL$106)+1),"")</f>
        <v>0</v>
      </c>
      <c r="BM147">
        <f>IFERROR(SMALL(BM39:BM103,ROW()-ROW($BM$106)+1),"")</f>
        <v>0</v>
      </c>
      <c r="BN147">
        <f>IFERROR(SMALL(BN39:BN103,ROW()-ROW($BN$106)+1),"")</f>
        <v>0</v>
      </c>
      <c r="BO147">
        <f>IFERROR(SMALL(BO39:BO103,ROW()-ROW($BO$106)+1),"")</f>
        <v>0</v>
      </c>
      <c r="BP147">
        <f>IFERROR(SMALL(BP39:BP103,ROW()-ROW($BP$106)+1),"")</f>
        <v>0</v>
      </c>
      <c r="BS147">
        <f>IFERROR(SMALL(BS39:BS103,ROW()-ROW($BS$106)+1),"")</f>
        <v>0</v>
      </c>
      <c r="BT147">
        <f>IFERROR(SMALL(BT39:BT103,ROW()-ROW($BT$106)+1),"")</f>
        <v>0</v>
      </c>
      <c r="BU147">
        <f>IFERROR(SMALL(BU39:BU103,ROW()-ROW($BU$106)+1),"")</f>
        <v>0</v>
      </c>
      <c r="BV147">
        <f>IFERROR(SMALL(BV39:BV103,ROW()-ROW($BV$106)+1),"")</f>
        <v>0</v>
      </c>
      <c r="BW147">
        <f>IFERROR(SMALL(BW39:BW103,ROW()-ROW($BW$106)+1),"")</f>
        <v>0</v>
      </c>
      <c r="BX147">
        <f>IFERROR(SMALL(BX39:BX103,ROW()-ROW($BX$106)+1),"")</f>
        <v>0</v>
      </c>
      <c r="BY147">
        <f>IFERROR(SMALL(BY39:BY103,ROW()-ROW($BY$106)+1),"")</f>
        <v>0</v>
      </c>
      <c r="BZ147">
        <f>IFERROR(SMALL(BZ39:BZ103,ROW()-ROW($BZ$106)+1),"")</f>
        <v>0</v>
      </c>
      <c r="CA147">
        <f>IFERROR(SMALL(CA39:CA103,ROW()-ROW($CA$106)+1),"")</f>
        <v>0</v>
      </c>
      <c r="CB147">
        <f>IFERROR(SMALL(CB39:CB103,ROW()-ROW($CB$106)+1),"")</f>
        <v>0</v>
      </c>
      <c r="CC147">
        <f>IFERROR(SMALL(CC39:CC103,ROW()-ROW($CC$106)+1),"")</f>
        <v>0</v>
      </c>
      <c r="CD147">
        <f>IFERROR(SMALL(CD39:CD103,ROW()-ROW($CD$106)+1),"")</f>
        <v>0</v>
      </c>
      <c r="CE147">
        <f>IFERROR(SMALL(CE39:CE103,ROW()-ROW($CE$106)+1),"")</f>
        <v>0</v>
      </c>
      <c r="CF147">
        <f>IFERROR(SMALL(CF39:CF103,ROW()-ROW($CF$106)+1),"")</f>
        <v>0</v>
      </c>
      <c r="CG147">
        <f>IFERROR(SMALL(CG39:CG103,ROW()-ROW($CG$106)+1),"")</f>
        <v>0</v>
      </c>
      <c r="CH147">
        <f>IFERROR(SMALL(CH39:CH103,ROW()-ROW($CH$106)+1),"")</f>
        <v>0</v>
      </c>
      <c r="CI147">
        <f>IFERROR(SMALL(CI39:CI103,ROW()-ROW($CI$106)+1),"")</f>
        <v>0</v>
      </c>
      <c r="CJ147">
        <f>IFERROR(SMALL(CJ39:CJ103,ROW()-ROW($CJ$106)+1),"")</f>
        <v>0</v>
      </c>
      <c r="CK147">
        <f>IFERROR(SMALL(CK39:CK103,ROW()-ROW($CK$106)+1),"")</f>
        <v>0</v>
      </c>
      <c r="CL147">
        <f>IFERROR(SMALL(CL39:CL103,ROW()-ROW($CL$106)+1),"")</f>
        <v>0</v>
      </c>
      <c r="CM147">
        <f>IFERROR(SMALL(CM39:CM103,ROW()-ROW($CM$106)+1),"")</f>
        <v>0</v>
      </c>
      <c r="CN147">
        <f>IFERROR(SMALL(CN39:CN103,ROW()-ROW($CN$106)+1),"")</f>
        <v>0</v>
      </c>
      <c r="CO147">
        <f>IFERROR(SMALL(CO39:CO103,ROW()-ROW($CO$106)+1),"")</f>
        <v>0</v>
      </c>
      <c r="CP147">
        <f>IFERROR(SMALL(CP39:CP103,ROW()-ROW($CP$106)+1),"")</f>
        <v>0</v>
      </c>
      <c r="CQ147">
        <f>IFERROR(SMALL(CQ39:CQ103,ROW()-ROW($CQ$106)+1),"")</f>
        <v>0</v>
      </c>
      <c r="CR147">
        <f>IFERROR(SMALL(CR39:CR103,ROW()-ROW($CR$106)+1),"")</f>
        <v>0</v>
      </c>
      <c r="CS147">
        <f>IFERROR(SMALL(CS39:CS103,ROW()-ROW($CS$106)+1),"")</f>
        <v>0</v>
      </c>
      <c r="CT147">
        <f>IFERROR(SMALL(CT39:CT103,ROW()-ROW($CT$106)+1),"")</f>
        <v>0</v>
      </c>
      <c r="CU147">
        <f>IFERROR(SMALL(CU39:CU103,ROW()-ROW($CU$106)+1),"")</f>
        <v>0</v>
      </c>
      <c r="CV147">
        <f>IFERROR(SMALL(CV39:CV103,ROW()-ROW($CV$106)+1),"")</f>
        <v>0</v>
      </c>
      <c r="CW147">
        <f>IFERROR(SMALL(CW39:CW103,ROW()-ROW($CW$106)+1),"")</f>
        <v>0</v>
      </c>
      <c r="CX147">
        <f>IFERROR(SMALL(CX39:CX103,ROW()-ROW($CX$106)+1),"")</f>
        <v>0</v>
      </c>
      <c r="CY147">
        <f>IFERROR(SMALL(CY39:CY103,ROW()-ROW($CY$106)+1),"")</f>
        <v>0</v>
      </c>
      <c r="CZ147">
        <f>IFERROR(SMALL(CZ39:CZ103,ROW()-ROW($CZ$106)+1),"")</f>
        <v>0</v>
      </c>
      <c r="DA147">
        <f>IFERROR(SMALL(DA39:DA103,ROW()-ROW($DA$106)+1),"")</f>
        <v>0</v>
      </c>
      <c r="DB147">
        <f>IFERROR(SMALL(DB39:DB103,ROW()-ROW($DB$106)+1),"")</f>
        <v>0</v>
      </c>
      <c r="DC147">
        <f>IFERROR(SMALL(DC39:DC103,ROW()-ROW($DC$106)+1),"")</f>
        <v>0</v>
      </c>
      <c r="DD147">
        <f>IFERROR(SMALL(DD39:DD103,ROW()-ROW($DD$106)+1),"")</f>
        <v>0</v>
      </c>
      <c r="DE147">
        <f>IFERROR(SMALL(DE39:DE103,ROW()-ROW($DE$106)+1),"")</f>
        <v>0</v>
      </c>
      <c r="DF147">
        <f>IFERROR(SMALL(DF39:DF103,ROW()-ROW($DF$106)+1),"")</f>
        <v>0</v>
      </c>
      <c r="DG147">
        <f>IFERROR(SMALL(DG39:DG103,ROW()-ROW($DG$106)+1),"")</f>
        <v>0</v>
      </c>
      <c r="DH147">
        <f>IFERROR(SMALL(DH39:DH103,ROW()-ROW($DH$106)+1),"")</f>
        <v>0</v>
      </c>
      <c r="DI147">
        <f>IFERROR(SMALL(DI39:DI103,ROW()-ROW($DI$106)+1),"")</f>
        <v>0</v>
      </c>
      <c r="DJ147">
        <f>IFERROR(SMALL(DJ39:DJ103,ROW()-ROW($DJ$106)+1),"")</f>
        <v>0</v>
      </c>
      <c r="DK147">
        <f>IFERROR(SMALL(DK39:DK103,ROW()-ROW($DK$106)+1),"")</f>
        <v>0</v>
      </c>
      <c r="DL147">
        <f>IFERROR(SMALL(DL39:DL103,ROW()-ROW($DL$106)+1),"")</f>
        <v>0</v>
      </c>
      <c r="DM147">
        <f>IFERROR(SMALL(DM39:DM103,ROW()-ROW($DM$106)+1),"")</f>
        <v>0</v>
      </c>
      <c r="DN147">
        <f>IFERROR(SMALL(DN39:DN103,ROW()-ROW($DN$106)+1),"")</f>
        <v>0</v>
      </c>
      <c r="DO147">
        <f>IFERROR(SMALL(DO39:DO103,ROW()-ROW($DO$106)+1),"")</f>
        <v>0</v>
      </c>
      <c r="DP147">
        <f>IFERROR(SMALL(DP39:DP103,ROW()-ROW($DP$106)+1),"")</f>
        <v>0</v>
      </c>
      <c r="DQ147">
        <f>IFERROR(SMALL(DQ39:DQ103,ROW()-ROW($DQ$106)+1),"")</f>
        <v>0</v>
      </c>
      <c r="DR147">
        <f>IFERROR(SMALL(DR39:DR103,ROW()-ROW($DR$106)+1),"")</f>
        <v>0</v>
      </c>
      <c r="DS147">
        <f>IFERROR(SMALL(DS39:DS103,ROW()-ROW($DS$106)+1),"")</f>
        <v>0</v>
      </c>
      <c r="DT147">
        <f>IFERROR(SMALL(DT39:DT103,ROW()-ROW($DT$106)+1),"")</f>
        <v>0</v>
      </c>
      <c r="DU147">
        <f>IFERROR(SMALL(DU39:DU103,ROW()-ROW($DU$106)+1),"")</f>
        <v>0</v>
      </c>
      <c r="DV147">
        <f>IFERROR(SMALL(DV39:DV103,ROW()-ROW($DV$106)+1),"")</f>
        <v>0</v>
      </c>
      <c r="DW147">
        <f>IFERROR(SMALL(DW39:DW103,ROW()-ROW($DW$106)+1),"")</f>
        <v>0</v>
      </c>
      <c r="DX147">
        <f>IFERROR(SMALL(DX39:DX103,ROW()-ROW($DX$106)+1),"")</f>
        <v>0</v>
      </c>
      <c r="DY147">
        <f>IFERROR(SMALL(DY39:DY103,ROW()-ROW($DY$106)+1),"")</f>
        <v>0</v>
      </c>
      <c r="DZ147">
        <f>IFERROR(SMALL(DZ39:DZ103,ROW()-ROW($DZ$106)+1),"")</f>
        <v>0</v>
      </c>
      <c r="EA147">
        <f>IFERROR(SMALL(EA39:EA103,ROW()-ROW($EA$106)+1),"")</f>
        <v>0</v>
      </c>
      <c r="EB147">
        <f>IFERROR(SMALL(EB39:EB103,ROW()-ROW($EB$106)+1),"")</f>
        <v>0</v>
      </c>
      <c r="EC147">
        <f>IFERROR(SMALL(EC39:EC103,ROW()-ROW($EC$106)+1),"")</f>
        <v>0</v>
      </c>
      <c r="ED147">
        <f>IFERROR(SMALL(ED39:ED103,ROW()-ROW($ED$106)+1),"")</f>
        <v>0</v>
      </c>
    </row>
    <row r="148" spans="5:134">
      <c r="E148">
        <f>IFERROR(SMALL(E39:E103,ROW()-ROW($E$106)+1),"")</f>
        <v>0</v>
      </c>
      <c r="F148">
        <f>IFERROR(SMALL(F39:F103,ROW()-ROW($F$106)+1),"")</f>
        <v>0</v>
      </c>
      <c r="G148">
        <f>IFERROR(SMALL(G39:G103,ROW()-ROW($G$106)+1),"")</f>
        <v>0</v>
      </c>
      <c r="H148">
        <f>IFERROR(SMALL(H39:H103,ROW()-ROW($H$106)+1),"")</f>
        <v>0</v>
      </c>
      <c r="I148">
        <f>IFERROR(SMALL(I39:I103,ROW()-ROW($I$106)+1),"")</f>
        <v>0</v>
      </c>
      <c r="J148">
        <f>IFERROR(SMALL(J39:J103,ROW()-ROW($J$106)+1),"")</f>
        <v>0</v>
      </c>
      <c r="K148">
        <f>IFERROR(SMALL(K39:K103,ROW()-ROW($K$106)+1),"")</f>
        <v>0</v>
      </c>
      <c r="L148">
        <f>IFERROR(SMALL(L39:L103,ROW()-ROW($L$106)+1),"")</f>
        <v>0</v>
      </c>
      <c r="M148">
        <f>IFERROR(SMALL(M39:M103,ROW()-ROW($M$106)+1),"")</f>
        <v>0</v>
      </c>
      <c r="N148">
        <f>IFERROR(SMALL(N39:N103,ROW()-ROW($N$106)+1),"")</f>
        <v>0</v>
      </c>
      <c r="O148">
        <f>IFERROR(SMALL(O39:O103,ROW()-ROW($O$106)+1),"")</f>
        <v>0</v>
      </c>
      <c r="P148">
        <f>IFERROR(SMALL(P39:P103,ROW()-ROW($P$106)+1),"")</f>
        <v>0</v>
      </c>
      <c r="Q148">
        <f>IFERROR(SMALL(Q39:Q103,ROW()-ROW($Q$106)+1),"")</f>
        <v>0</v>
      </c>
      <c r="R148">
        <f>IFERROR(SMALL(R39:R103,ROW()-ROW($R$106)+1),"")</f>
        <v>0</v>
      </c>
      <c r="S148">
        <f>IFERROR(SMALL(S39:S103,ROW()-ROW($S$106)+1),"")</f>
        <v>0</v>
      </c>
      <c r="T148">
        <f>IFERROR(SMALL(T39:T103,ROW()-ROW($T$106)+1),"")</f>
        <v>0</v>
      </c>
      <c r="U148">
        <f>IFERROR(SMALL(U39:U103,ROW()-ROW($U$106)+1),"")</f>
        <v>0</v>
      </c>
      <c r="V148">
        <f>IFERROR(SMALL(V39:V103,ROW()-ROW($V$106)+1),"")</f>
        <v>0</v>
      </c>
      <c r="W148">
        <f>IFERROR(SMALL(W39:W103,ROW()-ROW($W$106)+1),"")</f>
        <v>0</v>
      </c>
      <c r="X148">
        <f>IFERROR(SMALL(X39:X103,ROW()-ROW($X$106)+1),"")</f>
        <v>0</v>
      </c>
      <c r="Y148">
        <f>IFERROR(SMALL(Y39:Y103,ROW()-ROW($Y$106)+1),"")</f>
        <v>0</v>
      </c>
      <c r="Z148">
        <f>IFERROR(SMALL(Z39:Z103,ROW()-ROW($Z$106)+1),"")</f>
        <v>0</v>
      </c>
      <c r="AA148">
        <f>IFERROR(SMALL(AA39:AA103,ROW()-ROW($AA$106)+1),"")</f>
        <v>0</v>
      </c>
      <c r="AB148">
        <f>IFERROR(SMALL(AB39:AB103,ROW()-ROW($AB$106)+1),"")</f>
        <v>0</v>
      </c>
      <c r="AC148">
        <f>IFERROR(SMALL(AC39:AC103,ROW()-ROW($AC$106)+1),"")</f>
        <v>0</v>
      </c>
      <c r="AD148">
        <f>IFERROR(SMALL(AD39:AD103,ROW()-ROW($AD$106)+1),"")</f>
        <v>0</v>
      </c>
      <c r="AE148">
        <f>IFERROR(SMALL(AE39:AE103,ROW()-ROW($AE$106)+1),"")</f>
        <v>0</v>
      </c>
      <c r="AF148">
        <f>IFERROR(SMALL(AF39:AF103,ROW()-ROW($AF$106)+1),"")</f>
        <v>0</v>
      </c>
      <c r="AG148">
        <f>IFERROR(SMALL(AG39:AG103,ROW()-ROW($AG$106)+1),"")</f>
        <v>0</v>
      </c>
      <c r="AH148">
        <f>IFERROR(SMALL(AH39:AH103,ROW()-ROW($AH$106)+1),"")</f>
        <v>0</v>
      </c>
      <c r="AI148">
        <f>IFERROR(SMALL(AI39:AI103,ROW()-ROW($AI$106)+1),"")</f>
        <v>0</v>
      </c>
      <c r="AJ148">
        <f>IFERROR(SMALL(AJ39:AJ103,ROW()-ROW($AJ$106)+1),"")</f>
        <v>0</v>
      </c>
      <c r="AK148">
        <f>IFERROR(SMALL(AK39:AK103,ROW()-ROW($AK$106)+1),"")</f>
        <v>0</v>
      </c>
      <c r="AL148">
        <f>IFERROR(SMALL(AL39:AL103,ROW()-ROW($AL$106)+1),"")</f>
        <v>0</v>
      </c>
      <c r="AM148">
        <f>IFERROR(SMALL(AM39:AM103,ROW()-ROW($AM$106)+1),"")</f>
        <v>0</v>
      </c>
      <c r="AN148">
        <f>IFERROR(SMALL(AN39:AN103,ROW()-ROW($AN$106)+1),"")</f>
        <v>0</v>
      </c>
      <c r="AO148">
        <f>IFERROR(SMALL(AO39:AO103,ROW()-ROW($AO$106)+1),"")</f>
        <v>0</v>
      </c>
      <c r="AP148">
        <f>IFERROR(SMALL(AP39:AP103,ROW()-ROW($AP$106)+1),"")</f>
        <v>0</v>
      </c>
      <c r="AQ148">
        <f>IFERROR(SMALL(AQ39:AQ103,ROW()-ROW($AQ$106)+1),"")</f>
        <v>0</v>
      </c>
      <c r="AR148">
        <f>IFERROR(SMALL(AR39:AR103,ROW()-ROW($AR$106)+1),"")</f>
        <v>0</v>
      </c>
      <c r="AS148">
        <f>IFERROR(SMALL(AS39:AS103,ROW()-ROW($AS$106)+1),"")</f>
        <v>0</v>
      </c>
      <c r="AT148">
        <f>IFERROR(SMALL(AT39:AT103,ROW()-ROW($AT$106)+1),"")</f>
        <v>0</v>
      </c>
      <c r="AU148">
        <f>IFERROR(SMALL(AU39:AU103,ROW()-ROW($AU$106)+1),"")</f>
        <v>0</v>
      </c>
      <c r="AV148">
        <f>IFERROR(SMALL(AV39:AV103,ROW()-ROW($AV$106)+1),"")</f>
        <v>0</v>
      </c>
      <c r="AW148">
        <f>IFERROR(SMALL(AW39:AW103,ROW()-ROW($AW$106)+1),"")</f>
        <v>0</v>
      </c>
      <c r="AX148">
        <f>IFERROR(SMALL(AX39:AX103,ROW()-ROW($AX$106)+1),"")</f>
        <v>0</v>
      </c>
      <c r="AY148">
        <f>IFERROR(SMALL(AY39:AY103,ROW()-ROW($AY$106)+1),"")</f>
        <v>0</v>
      </c>
      <c r="AZ148">
        <f>IFERROR(SMALL(AZ39:AZ103,ROW()-ROW($AZ$106)+1),"")</f>
        <v>0</v>
      </c>
      <c r="BA148">
        <f>IFERROR(SMALL(BA39:BA103,ROW()-ROW($BA$106)+1),"")</f>
        <v>0</v>
      </c>
      <c r="BB148">
        <f>IFERROR(SMALL(BB39:BB103,ROW()-ROW($BB$106)+1),"")</f>
        <v>0</v>
      </c>
      <c r="BC148">
        <f>IFERROR(SMALL(BC39:BC103,ROW()-ROW($BC$106)+1),"")</f>
        <v>0</v>
      </c>
      <c r="BD148">
        <f>IFERROR(SMALL(BD39:BD103,ROW()-ROW($BD$106)+1),"")</f>
        <v>0</v>
      </c>
      <c r="BE148">
        <f>IFERROR(SMALL(BE39:BE103,ROW()-ROW($BE$106)+1),"")</f>
        <v>0</v>
      </c>
      <c r="BF148">
        <f>IFERROR(SMALL(BF39:BF103,ROW()-ROW($BF$106)+1),"")</f>
        <v>0</v>
      </c>
      <c r="BG148">
        <f>IFERROR(SMALL(BG39:BG103,ROW()-ROW($BG$106)+1),"")</f>
        <v>0</v>
      </c>
      <c r="BH148">
        <f>IFERROR(SMALL(BH39:BH103,ROW()-ROW($BH$106)+1),"")</f>
        <v>0</v>
      </c>
      <c r="BI148">
        <f>IFERROR(SMALL(BI39:BI103,ROW()-ROW($BI$106)+1),"")</f>
        <v>0</v>
      </c>
      <c r="BJ148">
        <f>IFERROR(SMALL(BJ39:BJ103,ROW()-ROW($BJ$106)+1),"")</f>
        <v>0</v>
      </c>
      <c r="BK148">
        <f>IFERROR(SMALL(BK39:BK103,ROW()-ROW($BK$106)+1),"")</f>
        <v>0</v>
      </c>
      <c r="BL148">
        <f>IFERROR(SMALL(BL39:BL103,ROW()-ROW($BL$106)+1),"")</f>
        <v>0</v>
      </c>
      <c r="BM148">
        <f>IFERROR(SMALL(BM39:BM103,ROW()-ROW($BM$106)+1),"")</f>
        <v>0</v>
      </c>
      <c r="BN148">
        <f>IFERROR(SMALL(BN39:BN103,ROW()-ROW($BN$106)+1),"")</f>
        <v>0</v>
      </c>
      <c r="BO148">
        <f>IFERROR(SMALL(BO39:BO103,ROW()-ROW($BO$106)+1),"")</f>
        <v>0</v>
      </c>
      <c r="BP148">
        <f>IFERROR(SMALL(BP39:BP103,ROW()-ROW($BP$106)+1),"")</f>
        <v>0</v>
      </c>
      <c r="BS148">
        <f>IFERROR(SMALL(BS39:BS103,ROW()-ROW($BS$106)+1),"")</f>
        <v>0</v>
      </c>
      <c r="BT148">
        <f>IFERROR(SMALL(BT39:BT103,ROW()-ROW($BT$106)+1),"")</f>
        <v>0</v>
      </c>
      <c r="BU148">
        <f>IFERROR(SMALL(BU39:BU103,ROW()-ROW($BU$106)+1),"")</f>
        <v>0</v>
      </c>
      <c r="BV148">
        <f>IFERROR(SMALL(BV39:BV103,ROW()-ROW($BV$106)+1),"")</f>
        <v>0</v>
      </c>
      <c r="BW148">
        <f>IFERROR(SMALL(BW39:BW103,ROW()-ROW($BW$106)+1),"")</f>
        <v>0</v>
      </c>
      <c r="BX148">
        <f>IFERROR(SMALL(BX39:BX103,ROW()-ROW($BX$106)+1),"")</f>
        <v>0</v>
      </c>
      <c r="BY148">
        <f>IFERROR(SMALL(BY39:BY103,ROW()-ROW($BY$106)+1),"")</f>
        <v>0</v>
      </c>
      <c r="BZ148">
        <f>IFERROR(SMALL(BZ39:BZ103,ROW()-ROW($BZ$106)+1),"")</f>
        <v>0</v>
      </c>
      <c r="CA148">
        <f>IFERROR(SMALL(CA39:CA103,ROW()-ROW($CA$106)+1),"")</f>
        <v>0</v>
      </c>
      <c r="CB148">
        <f>IFERROR(SMALL(CB39:CB103,ROW()-ROW($CB$106)+1),"")</f>
        <v>0</v>
      </c>
      <c r="CC148">
        <f>IFERROR(SMALL(CC39:CC103,ROW()-ROW($CC$106)+1),"")</f>
        <v>0</v>
      </c>
      <c r="CD148">
        <f>IFERROR(SMALL(CD39:CD103,ROW()-ROW($CD$106)+1),"")</f>
        <v>0</v>
      </c>
      <c r="CE148">
        <f>IFERROR(SMALL(CE39:CE103,ROW()-ROW($CE$106)+1),"")</f>
        <v>0</v>
      </c>
      <c r="CF148">
        <f>IFERROR(SMALL(CF39:CF103,ROW()-ROW($CF$106)+1),"")</f>
        <v>0</v>
      </c>
      <c r="CG148">
        <f>IFERROR(SMALL(CG39:CG103,ROW()-ROW($CG$106)+1),"")</f>
        <v>0</v>
      </c>
      <c r="CH148">
        <f>IFERROR(SMALL(CH39:CH103,ROW()-ROW($CH$106)+1),"")</f>
        <v>0</v>
      </c>
      <c r="CI148">
        <f>IFERROR(SMALL(CI39:CI103,ROW()-ROW($CI$106)+1),"")</f>
        <v>0</v>
      </c>
      <c r="CJ148">
        <f>IFERROR(SMALL(CJ39:CJ103,ROW()-ROW($CJ$106)+1),"")</f>
        <v>0</v>
      </c>
      <c r="CK148">
        <f>IFERROR(SMALL(CK39:CK103,ROW()-ROW($CK$106)+1),"")</f>
        <v>0</v>
      </c>
      <c r="CL148">
        <f>IFERROR(SMALL(CL39:CL103,ROW()-ROW($CL$106)+1),"")</f>
        <v>0</v>
      </c>
      <c r="CM148">
        <f>IFERROR(SMALL(CM39:CM103,ROW()-ROW($CM$106)+1),"")</f>
        <v>0</v>
      </c>
      <c r="CN148">
        <f>IFERROR(SMALL(CN39:CN103,ROW()-ROW($CN$106)+1),"")</f>
        <v>0</v>
      </c>
      <c r="CO148">
        <f>IFERROR(SMALL(CO39:CO103,ROW()-ROW($CO$106)+1),"")</f>
        <v>0</v>
      </c>
      <c r="CP148">
        <f>IFERROR(SMALL(CP39:CP103,ROW()-ROW($CP$106)+1),"")</f>
        <v>0</v>
      </c>
      <c r="CQ148">
        <f>IFERROR(SMALL(CQ39:CQ103,ROW()-ROW($CQ$106)+1),"")</f>
        <v>0</v>
      </c>
      <c r="CR148">
        <f>IFERROR(SMALL(CR39:CR103,ROW()-ROW($CR$106)+1),"")</f>
        <v>0</v>
      </c>
      <c r="CS148">
        <f>IFERROR(SMALL(CS39:CS103,ROW()-ROW($CS$106)+1),"")</f>
        <v>0</v>
      </c>
      <c r="CT148">
        <f>IFERROR(SMALL(CT39:CT103,ROW()-ROW($CT$106)+1),"")</f>
        <v>0</v>
      </c>
      <c r="CU148">
        <f>IFERROR(SMALL(CU39:CU103,ROW()-ROW($CU$106)+1),"")</f>
        <v>0</v>
      </c>
      <c r="CV148">
        <f>IFERROR(SMALL(CV39:CV103,ROW()-ROW($CV$106)+1),"")</f>
        <v>0</v>
      </c>
      <c r="CW148">
        <f>IFERROR(SMALL(CW39:CW103,ROW()-ROW($CW$106)+1),"")</f>
        <v>0</v>
      </c>
      <c r="CX148">
        <f>IFERROR(SMALL(CX39:CX103,ROW()-ROW($CX$106)+1),"")</f>
        <v>0</v>
      </c>
      <c r="CY148">
        <f>IFERROR(SMALL(CY39:CY103,ROW()-ROW($CY$106)+1),"")</f>
        <v>0</v>
      </c>
      <c r="CZ148">
        <f>IFERROR(SMALL(CZ39:CZ103,ROW()-ROW($CZ$106)+1),"")</f>
        <v>0</v>
      </c>
      <c r="DA148">
        <f>IFERROR(SMALL(DA39:DA103,ROW()-ROW($DA$106)+1),"")</f>
        <v>0</v>
      </c>
      <c r="DB148">
        <f>IFERROR(SMALL(DB39:DB103,ROW()-ROW($DB$106)+1),"")</f>
        <v>0</v>
      </c>
      <c r="DC148">
        <f>IFERROR(SMALL(DC39:DC103,ROW()-ROW($DC$106)+1),"")</f>
        <v>0</v>
      </c>
      <c r="DD148">
        <f>IFERROR(SMALL(DD39:DD103,ROW()-ROW($DD$106)+1),"")</f>
        <v>0</v>
      </c>
      <c r="DE148">
        <f>IFERROR(SMALL(DE39:DE103,ROW()-ROW($DE$106)+1),"")</f>
        <v>0</v>
      </c>
      <c r="DF148">
        <f>IFERROR(SMALL(DF39:DF103,ROW()-ROW($DF$106)+1),"")</f>
        <v>0</v>
      </c>
      <c r="DG148">
        <f>IFERROR(SMALL(DG39:DG103,ROW()-ROW($DG$106)+1),"")</f>
        <v>0</v>
      </c>
      <c r="DH148">
        <f>IFERROR(SMALL(DH39:DH103,ROW()-ROW($DH$106)+1),"")</f>
        <v>0</v>
      </c>
      <c r="DI148">
        <f>IFERROR(SMALL(DI39:DI103,ROW()-ROW($DI$106)+1),"")</f>
        <v>0</v>
      </c>
      <c r="DJ148">
        <f>IFERROR(SMALL(DJ39:DJ103,ROW()-ROW($DJ$106)+1),"")</f>
        <v>0</v>
      </c>
      <c r="DK148">
        <f>IFERROR(SMALL(DK39:DK103,ROW()-ROW($DK$106)+1),"")</f>
        <v>0</v>
      </c>
      <c r="DL148">
        <f>IFERROR(SMALL(DL39:DL103,ROW()-ROW($DL$106)+1),"")</f>
        <v>0</v>
      </c>
      <c r="DM148">
        <f>IFERROR(SMALL(DM39:DM103,ROW()-ROW($DM$106)+1),"")</f>
        <v>0</v>
      </c>
      <c r="DN148">
        <f>IFERROR(SMALL(DN39:DN103,ROW()-ROW($DN$106)+1),"")</f>
        <v>0</v>
      </c>
      <c r="DO148">
        <f>IFERROR(SMALL(DO39:DO103,ROW()-ROW($DO$106)+1),"")</f>
        <v>0</v>
      </c>
      <c r="DP148">
        <f>IFERROR(SMALL(DP39:DP103,ROW()-ROW($DP$106)+1),"")</f>
        <v>0</v>
      </c>
      <c r="DQ148">
        <f>IFERROR(SMALL(DQ39:DQ103,ROW()-ROW($DQ$106)+1),"")</f>
        <v>0</v>
      </c>
      <c r="DR148">
        <f>IFERROR(SMALL(DR39:DR103,ROW()-ROW($DR$106)+1),"")</f>
        <v>0</v>
      </c>
      <c r="DS148">
        <f>IFERROR(SMALL(DS39:DS103,ROW()-ROW($DS$106)+1),"")</f>
        <v>0</v>
      </c>
      <c r="DT148">
        <f>IFERROR(SMALL(DT39:DT103,ROW()-ROW($DT$106)+1),"")</f>
        <v>0</v>
      </c>
      <c r="DU148">
        <f>IFERROR(SMALL(DU39:DU103,ROW()-ROW($DU$106)+1),"")</f>
        <v>0</v>
      </c>
      <c r="DV148">
        <f>IFERROR(SMALL(DV39:DV103,ROW()-ROW($DV$106)+1),"")</f>
        <v>0</v>
      </c>
      <c r="DW148">
        <f>IFERROR(SMALL(DW39:DW103,ROW()-ROW($DW$106)+1),"")</f>
        <v>0</v>
      </c>
      <c r="DX148">
        <f>IFERROR(SMALL(DX39:DX103,ROW()-ROW($DX$106)+1),"")</f>
        <v>0</v>
      </c>
      <c r="DY148">
        <f>IFERROR(SMALL(DY39:DY103,ROW()-ROW($DY$106)+1),"")</f>
        <v>0</v>
      </c>
      <c r="DZ148">
        <f>IFERROR(SMALL(DZ39:DZ103,ROW()-ROW($DZ$106)+1),"")</f>
        <v>0</v>
      </c>
      <c r="EA148">
        <f>IFERROR(SMALL(EA39:EA103,ROW()-ROW($EA$106)+1),"")</f>
        <v>0</v>
      </c>
      <c r="EB148">
        <f>IFERROR(SMALL(EB39:EB103,ROW()-ROW($EB$106)+1),"")</f>
        <v>0</v>
      </c>
      <c r="EC148">
        <f>IFERROR(SMALL(EC39:EC103,ROW()-ROW($EC$106)+1),"")</f>
        <v>0</v>
      </c>
      <c r="ED148">
        <f>IFERROR(SMALL(ED39:ED103,ROW()-ROW($ED$106)+1),"")</f>
        <v>0</v>
      </c>
    </row>
    <row r="149" spans="5:134">
      <c r="E149">
        <f>IFERROR(SMALL(E39:E103,ROW()-ROW($E$106)+1),"")</f>
        <v>0</v>
      </c>
      <c r="F149">
        <f>IFERROR(SMALL(F39:F103,ROW()-ROW($F$106)+1),"")</f>
        <v>0</v>
      </c>
      <c r="G149">
        <f>IFERROR(SMALL(G39:G103,ROW()-ROW($G$106)+1),"")</f>
        <v>0</v>
      </c>
      <c r="H149">
        <f>IFERROR(SMALL(H39:H103,ROW()-ROW($H$106)+1),"")</f>
        <v>0</v>
      </c>
      <c r="I149">
        <f>IFERROR(SMALL(I39:I103,ROW()-ROW($I$106)+1),"")</f>
        <v>0</v>
      </c>
      <c r="J149">
        <f>IFERROR(SMALL(J39:J103,ROW()-ROW($J$106)+1),"")</f>
        <v>0</v>
      </c>
      <c r="K149">
        <f>IFERROR(SMALL(K39:K103,ROW()-ROW($K$106)+1),"")</f>
        <v>0</v>
      </c>
      <c r="L149">
        <f>IFERROR(SMALL(L39:L103,ROW()-ROW($L$106)+1),"")</f>
        <v>0</v>
      </c>
      <c r="M149">
        <f>IFERROR(SMALL(M39:M103,ROW()-ROW($M$106)+1),"")</f>
        <v>0</v>
      </c>
      <c r="N149">
        <f>IFERROR(SMALL(N39:N103,ROW()-ROW($N$106)+1),"")</f>
        <v>0</v>
      </c>
      <c r="O149">
        <f>IFERROR(SMALL(O39:O103,ROW()-ROW($O$106)+1),"")</f>
        <v>0</v>
      </c>
      <c r="P149">
        <f>IFERROR(SMALL(P39:P103,ROW()-ROW($P$106)+1),"")</f>
        <v>0</v>
      </c>
      <c r="Q149">
        <f>IFERROR(SMALL(Q39:Q103,ROW()-ROW($Q$106)+1),"")</f>
        <v>0</v>
      </c>
      <c r="R149">
        <f>IFERROR(SMALL(R39:R103,ROW()-ROW($R$106)+1),"")</f>
        <v>0</v>
      </c>
      <c r="S149">
        <f>IFERROR(SMALL(S39:S103,ROW()-ROW($S$106)+1),"")</f>
        <v>0</v>
      </c>
      <c r="T149">
        <f>IFERROR(SMALL(T39:T103,ROW()-ROW($T$106)+1),"")</f>
        <v>0</v>
      </c>
      <c r="U149">
        <f>IFERROR(SMALL(U39:U103,ROW()-ROW($U$106)+1),"")</f>
        <v>0</v>
      </c>
      <c r="V149">
        <f>IFERROR(SMALL(V39:V103,ROW()-ROW($V$106)+1),"")</f>
        <v>0</v>
      </c>
      <c r="W149">
        <f>IFERROR(SMALL(W39:W103,ROW()-ROW($W$106)+1),"")</f>
        <v>0</v>
      </c>
      <c r="X149">
        <f>IFERROR(SMALL(X39:X103,ROW()-ROW($X$106)+1),"")</f>
        <v>0</v>
      </c>
      <c r="Y149">
        <f>IFERROR(SMALL(Y39:Y103,ROW()-ROW($Y$106)+1),"")</f>
        <v>0</v>
      </c>
      <c r="Z149">
        <f>IFERROR(SMALL(Z39:Z103,ROW()-ROW($Z$106)+1),"")</f>
        <v>0</v>
      </c>
      <c r="AA149">
        <f>IFERROR(SMALL(AA39:AA103,ROW()-ROW($AA$106)+1),"")</f>
        <v>0</v>
      </c>
      <c r="AB149">
        <f>IFERROR(SMALL(AB39:AB103,ROW()-ROW($AB$106)+1),"")</f>
        <v>0</v>
      </c>
      <c r="AC149">
        <f>IFERROR(SMALL(AC39:AC103,ROW()-ROW($AC$106)+1),"")</f>
        <v>0</v>
      </c>
      <c r="AD149">
        <f>IFERROR(SMALL(AD39:AD103,ROW()-ROW($AD$106)+1),"")</f>
        <v>0</v>
      </c>
      <c r="AE149">
        <f>IFERROR(SMALL(AE39:AE103,ROW()-ROW($AE$106)+1),"")</f>
        <v>0</v>
      </c>
      <c r="AF149">
        <f>IFERROR(SMALL(AF39:AF103,ROW()-ROW($AF$106)+1),"")</f>
        <v>0</v>
      </c>
      <c r="AG149">
        <f>IFERROR(SMALL(AG39:AG103,ROW()-ROW($AG$106)+1),"")</f>
        <v>0</v>
      </c>
      <c r="AH149">
        <f>IFERROR(SMALL(AH39:AH103,ROW()-ROW($AH$106)+1),"")</f>
        <v>0</v>
      </c>
      <c r="AI149">
        <f>IFERROR(SMALL(AI39:AI103,ROW()-ROW($AI$106)+1),"")</f>
        <v>0</v>
      </c>
      <c r="AJ149">
        <f>IFERROR(SMALL(AJ39:AJ103,ROW()-ROW($AJ$106)+1),"")</f>
        <v>0</v>
      </c>
      <c r="AK149">
        <f>IFERROR(SMALL(AK39:AK103,ROW()-ROW($AK$106)+1),"")</f>
        <v>0</v>
      </c>
      <c r="AL149">
        <f>IFERROR(SMALL(AL39:AL103,ROW()-ROW($AL$106)+1),"")</f>
        <v>0</v>
      </c>
      <c r="AM149">
        <f>IFERROR(SMALL(AM39:AM103,ROW()-ROW($AM$106)+1),"")</f>
        <v>0</v>
      </c>
      <c r="AN149">
        <f>IFERROR(SMALL(AN39:AN103,ROW()-ROW($AN$106)+1),"")</f>
        <v>0</v>
      </c>
      <c r="AO149">
        <f>IFERROR(SMALL(AO39:AO103,ROW()-ROW($AO$106)+1),"")</f>
        <v>0</v>
      </c>
      <c r="AP149">
        <f>IFERROR(SMALL(AP39:AP103,ROW()-ROW($AP$106)+1),"")</f>
        <v>0</v>
      </c>
      <c r="AQ149">
        <f>IFERROR(SMALL(AQ39:AQ103,ROW()-ROW($AQ$106)+1),"")</f>
        <v>0</v>
      </c>
      <c r="AR149">
        <f>IFERROR(SMALL(AR39:AR103,ROW()-ROW($AR$106)+1),"")</f>
        <v>0</v>
      </c>
      <c r="AS149">
        <f>IFERROR(SMALL(AS39:AS103,ROW()-ROW($AS$106)+1),"")</f>
        <v>0</v>
      </c>
      <c r="AT149">
        <f>IFERROR(SMALL(AT39:AT103,ROW()-ROW($AT$106)+1),"")</f>
        <v>0</v>
      </c>
      <c r="AU149">
        <f>IFERROR(SMALL(AU39:AU103,ROW()-ROW($AU$106)+1),"")</f>
        <v>0</v>
      </c>
      <c r="AV149">
        <f>IFERROR(SMALL(AV39:AV103,ROW()-ROW($AV$106)+1),"")</f>
        <v>0</v>
      </c>
      <c r="AW149">
        <f>IFERROR(SMALL(AW39:AW103,ROW()-ROW($AW$106)+1),"")</f>
        <v>0</v>
      </c>
      <c r="AX149">
        <f>IFERROR(SMALL(AX39:AX103,ROW()-ROW($AX$106)+1),"")</f>
        <v>0</v>
      </c>
      <c r="AY149">
        <f>IFERROR(SMALL(AY39:AY103,ROW()-ROW($AY$106)+1),"")</f>
        <v>0</v>
      </c>
      <c r="AZ149">
        <f>IFERROR(SMALL(AZ39:AZ103,ROW()-ROW($AZ$106)+1),"")</f>
        <v>0</v>
      </c>
      <c r="BA149">
        <f>IFERROR(SMALL(BA39:BA103,ROW()-ROW($BA$106)+1),"")</f>
        <v>0</v>
      </c>
      <c r="BB149">
        <f>IFERROR(SMALL(BB39:BB103,ROW()-ROW($BB$106)+1),"")</f>
        <v>0</v>
      </c>
      <c r="BC149">
        <f>IFERROR(SMALL(BC39:BC103,ROW()-ROW($BC$106)+1),"")</f>
        <v>0</v>
      </c>
      <c r="BD149">
        <f>IFERROR(SMALL(BD39:BD103,ROW()-ROW($BD$106)+1),"")</f>
        <v>0</v>
      </c>
      <c r="BE149">
        <f>IFERROR(SMALL(BE39:BE103,ROW()-ROW($BE$106)+1),"")</f>
        <v>0</v>
      </c>
      <c r="BF149">
        <f>IFERROR(SMALL(BF39:BF103,ROW()-ROW($BF$106)+1),"")</f>
        <v>0</v>
      </c>
      <c r="BG149">
        <f>IFERROR(SMALL(BG39:BG103,ROW()-ROW($BG$106)+1),"")</f>
        <v>0</v>
      </c>
      <c r="BH149">
        <f>IFERROR(SMALL(BH39:BH103,ROW()-ROW($BH$106)+1),"")</f>
        <v>0</v>
      </c>
      <c r="BI149">
        <f>IFERROR(SMALL(BI39:BI103,ROW()-ROW($BI$106)+1),"")</f>
        <v>0</v>
      </c>
      <c r="BJ149">
        <f>IFERROR(SMALL(BJ39:BJ103,ROW()-ROW($BJ$106)+1),"")</f>
        <v>0</v>
      </c>
      <c r="BK149">
        <f>IFERROR(SMALL(BK39:BK103,ROW()-ROW($BK$106)+1),"")</f>
        <v>0</v>
      </c>
      <c r="BL149">
        <f>IFERROR(SMALL(BL39:BL103,ROW()-ROW($BL$106)+1),"")</f>
        <v>0</v>
      </c>
      <c r="BM149">
        <f>IFERROR(SMALL(BM39:BM103,ROW()-ROW($BM$106)+1),"")</f>
        <v>0</v>
      </c>
      <c r="BN149">
        <f>IFERROR(SMALL(BN39:BN103,ROW()-ROW($BN$106)+1),"")</f>
        <v>0</v>
      </c>
      <c r="BO149">
        <f>IFERROR(SMALL(BO39:BO103,ROW()-ROW($BO$106)+1),"")</f>
        <v>0</v>
      </c>
      <c r="BP149">
        <f>IFERROR(SMALL(BP39:BP103,ROW()-ROW($BP$106)+1),"")</f>
        <v>0</v>
      </c>
      <c r="BS149">
        <f>IFERROR(SMALL(BS39:BS103,ROW()-ROW($BS$106)+1),"")</f>
        <v>0</v>
      </c>
      <c r="BT149">
        <f>IFERROR(SMALL(BT39:BT103,ROW()-ROW($BT$106)+1),"")</f>
        <v>0</v>
      </c>
      <c r="BU149">
        <f>IFERROR(SMALL(BU39:BU103,ROW()-ROW($BU$106)+1),"")</f>
        <v>0</v>
      </c>
      <c r="BV149">
        <f>IFERROR(SMALL(BV39:BV103,ROW()-ROW($BV$106)+1),"")</f>
        <v>0</v>
      </c>
      <c r="BW149">
        <f>IFERROR(SMALL(BW39:BW103,ROW()-ROW($BW$106)+1),"")</f>
        <v>0</v>
      </c>
      <c r="BX149">
        <f>IFERROR(SMALL(BX39:BX103,ROW()-ROW($BX$106)+1),"")</f>
        <v>0</v>
      </c>
      <c r="BY149">
        <f>IFERROR(SMALL(BY39:BY103,ROW()-ROW($BY$106)+1),"")</f>
        <v>0</v>
      </c>
      <c r="BZ149">
        <f>IFERROR(SMALL(BZ39:BZ103,ROW()-ROW($BZ$106)+1),"")</f>
        <v>0</v>
      </c>
      <c r="CA149">
        <f>IFERROR(SMALL(CA39:CA103,ROW()-ROW($CA$106)+1),"")</f>
        <v>0</v>
      </c>
      <c r="CB149">
        <f>IFERROR(SMALL(CB39:CB103,ROW()-ROW($CB$106)+1),"")</f>
        <v>0</v>
      </c>
      <c r="CC149">
        <f>IFERROR(SMALL(CC39:CC103,ROW()-ROW($CC$106)+1),"")</f>
        <v>0</v>
      </c>
      <c r="CD149">
        <f>IFERROR(SMALL(CD39:CD103,ROW()-ROW($CD$106)+1),"")</f>
        <v>0</v>
      </c>
      <c r="CE149">
        <f>IFERROR(SMALL(CE39:CE103,ROW()-ROW($CE$106)+1),"")</f>
        <v>0</v>
      </c>
      <c r="CF149">
        <f>IFERROR(SMALL(CF39:CF103,ROW()-ROW($CF$106)+1),"")</f>
        <v>0</v>
      </c>
      <c r="CG149">
        <f>IFERROR(SMALL(CG39:CG103,ROW()-ROW($CG$106)+1),"")</f>
        <v>0</v>
      </c>
      <c r="CH149">
        <f>IFERROR(SMALL(CH39:CH103,ROW()-ROW($CH$106)+1),"")</f>
        <v>0</v>
      </c>
      <c r="CI149">
        <f>IFERROR(SMALL(CI39:CI103,ROW()-ROW($CI$106)+1),"")</f>
        <v>0</v>
      </c>
      <c r="CJ149">
        <f>IFERROR(SMALL(CJ39:CJ103,ROW()-ROW($CJ$106)+1),"")</f>
        <v>0</v>
      </c>
      <c r="CK149">
        <f>IFERROR(SMALL(CK39:CK103,ROW()-ROW($CK$106)+1),"")</f>
        <v>0</v>
      </c>
      <c r="CL149">
        <f>IFERROR(SMALL(CL39:CL103,ROW()-ROW($CL$106)+1),"")</f>
        <v>0</v>
      </c>
      <c r="CM149">
        <f>IFERROR(SMALL(CM39:CM103,ROW()-ROW($CM$106)+1),"")</f>
        <v>0</v>
      </c>
      <c r="CN149">
        <f>IFERROR(SMALL(CN39:CN103,ROW()-ROW($CN$106)+1),"")</f>
        <v>0</v>
      </c>
      <c r="CO149">
        <f>IFERROR(SMALL(CO39:CO103,ROW()-ROW($CO$106)+1),"")</f>
        <v>0</v>
      </c>
      <c r="CP149">
        <f>IFERROR(SMALL(CP39:CP103,ROW()-ROW($CP$106)+1),"")</f>
        <v>0</v>
      </c>
      <c r="CQ149">
        <f>IFERROR(SMALL(CQ39:CQ103,ROW()-ROW($CQ$106)+1),"")</f>
        <v>0</v>
      </c>
      <c r="CR149">
        <f>IFERROR(SMALL(CR39:CR103,ROW()-ROW($CR$106)+1),"")</f>
        <v>0</v>
      </c>
      <c r="CS149">
        <f>IFERROR(SMALL(CS39:CS103,ROW()-ROW($CS$106)+1),"")</f>
        <v>0</v>
      </c>
      <c r="CT149">
        <f>IFERROR(SMALL(CT39:CT103,ROW()-ROW($CT$106)+1),"")</f>
        <v>0</v>
      </c>
      <c r="CU149">
        <f>IFERROR(SMALL(CU39:CU103,ROW()-ROW($CU$106)+1),"")</f>
        <v>0</v>
      </c>
      <c r="CV149">
        <f>IFERROR(SMALL(CV39:CV103,ROW()-ROW($CV$106)+1),"")</f>
        <v>0</v>
      </c>
      <c r="CW149">
        <f>IFERROR(SMALL(CW39:CW103,ROW()-ROW($CW$106)+1),"")</f>
        <v>0</v>
      </c>
      <c r="CX149">
        <f>IFERROR(SMALL(CX39:CX103,ROW()-ROW($CX$106)+1),"")</f>
        <v>0</v>
      </c>
      <c r="CY149">
        <f>IFERROR(SMALL(CY39:CY103,ROW()-ROW($CY$106)+1),"")</f>
        <v>0</v>
      </c>
      <c r="CZ149">
        <f>IFERROR(SMALL(CZ39:CZ103,ROW()-ROW($CZ$106)+1),"")</f>
        <v>0</v>
      </c>
      <c r="DA149">
        <f>IFERROR(SMALL(DA39:DA103,ROW()-ROW($DA$106)+1),"")</f>
        <v>0</v>
      </c>
      <c r="DB149">
        <f>IFERROR(SMALL(DB39:DB103,ROW()-ROW($DB$106)+1),"")</f>
        <v>0</v>
      </c>
      <c r="DC149">
        <f>IFERROR(SMALL(DC39:DC103,ROW()-ROW($DC$106)+1),"")</f>
        <v>0</v>
      </c>
      <c r="DD149">
        <f>IFERROR(SMALL(DD39:DD103,ROW()-ROW($DD$106)+1),"")</f>
        <v>0</v>
      </c>
      <c r="DE149">
        <f>IFERROR(SMALL(DE39:DE103,ROW()-ROW($DE$106)+1),"")</f>
        <v>0</v>
      </c>
      <c r="DF149">
        <f>IFERROR(SMALL(DF39:DF103,ROW()-ROW($DF$106)+1),"")</f>
        <v>0</v>
      </c>
      <c r="DG149">
        <f>IFERROR(SMALL(DG39:DG103,ROW()-ROW($DG$106)+1),"")</f>
        <v>0</v>
      </c>
      <c r="DH149">
        <f>IFERROR(SMALL(DH39:DH103,ROW()-ROW($DH$106)+1),"")</f>
        <v>0</v>
      </c>
      <c r="DI149">
        <f>IFERROR(SMALL(DI39:DI103,ROW()-ROW($DI$106)+1),"")</f>
        <v>0</v>
      </c>
      <c r="DJ149">
        <f>IFERROR(SMALL(DJ39:DJ103,ROW()-ROW($DJ$106)+1),"")</f>
        <v>0</v>
      </c>
      <c r="DK149">
        <f>IFERROR(SMALL(DK39:DK103,ROW()-ROW($DK$106)+1),"")</f>
        <v>0</v>
      </c>
      <c r="DL149">
        <f>IFERROR(SMALL(DL39:DL103,ROW()-ROW($DL$106)+1),"")</f>
        <v>0</v>
      </c>
      <c r="DM149">
        <f>IFERROR(SMALL(DM39:DM103,ROW()-ROW($DM$106)+1),"")</f>
        <v>0</v>
      </c>
      <c r="DN149">
        <f>IFERROR(SMALL(DN39:DN103,ROW()-ROW($DN$106)+1),"")</f>
        <v>0</v>
      </c>
      <c r="DO149">
        <f>IFERROR(SMALL(DO39:DO103,ROW()-ROW($DO$106)+1),"")</f>
        <v>0</v>
      </c>
      <c r="DP149">
        <f>IFERROR(SMALL(DP39:DP103,ROW()-ROW($DP$106)+1),"")</f>
        <v>0</v>
      </c>
      <c r="DQ149">
        <f>IFERROR(SMALL(DQ39:DQ103,ROW()-ROW($DQ$106)+1),"")</f>
        <v>0</v>
      </c>
      <c r="DR149">
        <f>IFERROR(SMALL(DR39:DR103,ROW()-ROW($DR$106)+1),"")</f>
        <v>0</v>
      </c>
      <c r="DS149">
        <f>IFERROR(SMALL(DS39:DS103,ROW()-ROW($DS$106)+1),"")</f>
        <v>0</v>
      </c>
      <c r="DT149">
        <f>IFERROR(SMALL(DT39:DT103,ROW()-ROW($DT$106)+1),"")</f>
        <v>0</v>
      </c>
      <c r="DU149">
        <f>IFERROR(SMALL(DU39:DU103,ROW()-ROW($DU$106)+1),"")</f>
        <v>0</v>
      </c>
      <c r="DV149">
        <f>IFERROR(SMALL(DV39:DV103,ROW()-ROW($DV$106)+1),"")</f>
        <v>0</v>
      </c>
      <c r="DW149">
        <f>IFERROR(SMALL(DW39:DW103,ROW()-ROW($DW$106)+1),"")</f>
        <v>0</v>
      </c>
      <c r="DX149">
        <f>IFERROR(SMALL(DX39:DX103,ROW()-ROW($DX$106)+1),"")</f>
        <v>0</v>
      </c>
      <c r="DY149">
        <f>IFERROR(SMALL(DY39:DY103,ROW()-ROW($DY$106)+1),"")</f>
        <v>0</v>
      </c>
      <c r="DZ149">
        <f>IFERROR(SMALL(DZ39:DZ103,ROW()-ROW($DZ$106)+1),"")</f>
        <v>0</v>
      </c>
      <c r="EA149">
        <f>IFERROR(SMALL(EA39:EA103,ROW()-ROW($EA$106)+1),"")</f>
        <v>0</v>
      </c>
      <c r="EB149">
        <f>IFERROR(SMALL(EB39:EB103,ROW()-ROW($EB$106)+1),"")</f>
        <v>0</v>
      </c>
      <c r="EC149">
        <f>IFERROR(SMALL(EC39:EC103,ROW()-ROW($EC$106)+1),"")</f>
        <v>0</v>
      </c>
      <c r="ED149">
        <f>IFERROR(SMALL(ED39:ED103,ROW()-ROW($ED$106)+1),"")</f>
        <v>0</v>
      </c>
    </row>
    <row r="150" spans="5:134">
      <c r="E150">
        <f>IFERROR(SMALL(E39:E103,ROW()-ROW($E$106)+1),"")</f>
        <v>0</v>
      </c>
      <c r="F150">
        <f>IFERROR(SMALL(F39:F103,ROW()-ROW($F$106)+1),"")</f>
        <v>0</v>
      </c>
      <c r="G150">
        <f>IFERROR(SMALL(G39:G103,ROW()-ROW($G$106)+1),"")</f>
        <v>0</v>
      </c>
      <c r="H150">
        <f>IFERROR(SMALL(H39:H103,ROW()-ROW($H$106)+1),"")</f>
        <v>0</v>
      </c>
      <c r="I150">
        <f>IFERROR(SMALL(I39:I103,ROW()-ROW($I$106)+1),"")</f>
        <v>0</v>
      </c>
      <c r="J150">
        <f>IFERROR(SMALL(J39:J103,ROW()-ROW($J$106)+1),"")</f>
        <v>0</v>
      </c>
      <c r="K150">
        <f>IFERROR(SMALL(K39:K103,ROW()-ROW($K$106)+1),"")</f>
        <v>0</v>
      </c>
      <c r="L150">
        <f>IFERROR(SMALL(L39:L103,ROW()-ROW($L$106)+1),"")</f>
        <v>0</v>
      </c>
      <c r="M150">
        <f>IFERROR(SMALL(M39:M103,ROW()-ROW($M$106)+1),"")</f>
        <v>0</v>
      </c>
      <c r="N150">
        <f>IFERROR(SMALL(N39:N103,ROW()-ROW($N$106)+1),"")</f>
        <v>0</v>
      </c>
      <c r="O150">
        <f>IFERROR(SMALL(O39:O103,ROW()-ROW($O$106)+1),"")</f>
        <v>0</v>
      </c>
      <c r="P150">
        <f>IFERROR(SMALL(P39:P103,ROW()-ROW($P$106)+1),"")</f>
        <v>0</v>
      </c>
      <c r="Q150">
        <f>IFERROR(SMALL(Q39:Q103,ROW()-ROW($Q$106)+1),"")</f>
        <v>0</v>
      </c>
      <c r="R150">
        <f>IFERROR(SMALL(R39:R103,ROW()-ROW($R$106)+1),"")</f>
        <v>0</v>
      </c>
      <c r="S150">
        <f>IFERROR(SMALL(S39:S103,ROW()-ROW($S$106)+1),"")</f>
        <v>0</v>
      </c>
      <c r="T150">
        <f>IFERROR(SMALL(T39:T103,ROW()-ROW($T$106)+1),"")</f>
        <v>0</v>
      </c>
      <c r="U150">
        <f>IFERROR(SMALL(U39:U103,ROW()-ROW($U$106)+1),"")</f>
        <v>0</v>
      </c>
      <c r="V150">
        <f>IFERROR(SMALL(V39:V103,ROW()-ROW($V$106)+1),"")</f>
        <v>0</v>
      </c>
      <c r="W150">
        <f>IFERROR(SMALL(W39:W103,ROW()-ROW($W$106)+1),"")</f>
        <v>0</v>
      </c>
      <c r="X150">
        <f>IFERROR(SMALL(X39:X103,ROW()-ROW($X$106)+1),"")</f>
        <v>0</v>
      </c>
      <c r="Y150">
        <f>IFERROR(SMALL(Y39:Y103,ROW()-ROW($Y$106)+1),"")</f>
        <v>0</v>
      </c>
      <c r="Z150">
        <f>IFERROR(SMALL(Z39:Z103,ROW()-ROW($Z$106)+1),"")</f>
        <v>0</v>
      </c>
      <c r="AA150">
        <f>IFERROR(SMALL(AA39:AA103,ROW()-ROW($AA$106)+1),"")</f>
        <v>0</v>
      </c>
      <c r="AB150">
        <f>IFERROR(SMALL(AB39:AB103,ROW()-ROW($AB$106)+1),"")</f>
        <v>0</v>
      </c>
      <c r="AC150">
        <f>IFERROR(SMALL(AC39:AC103,ROW()-ROW($AC$106)+1),"")</f>
        <v>0</v>
      </c>
      <c r="AD150">
        <f>IFERROR(SMALL(AD39:AD103,ROW()-ROW($AD$106)+1),"")</f>
        <v>0</v>
      </c>
      <c r="AE150">
        <f>IFERROR(SMALL(AE39:AE103,ROW()-ROW($AE$106)+1),"")</f>
        <v>0</v>
      </c>
      <c r="AF150">
        <f>IFERROR(SMALL(AF39:AF103,ROW()-ROW($AF$106)+1),"")</f>
        <v>0</v>
      </c>
      <c r="AG150">
        <f>IFERROR(SMALL(AG39:AG103,ROW()-ROW($AG$106)+1),"")</f>
        <v>0</v>
      </c>
      <c r="AH150">
        <f>IFERROR(SMALL(AH39:AH103,ROW()-ROW($AH$106)+1),"")</f>
        <v>0</v>
      </c>
      <c r="AI150">
        <f>IFERROR(SMALL(AI39:AI103,ROW()-ROW($AI$106)+1),"")</f>
        <v>0</v>
      </c>
      <c r="AJ150">
        <f>IFERROR(SMALL(AJ39:AJ103,ROW()-ROW($AJ$106)+1),"")</f>
        <v>0</v>
      </c>
      <c r="AK150">
        <f>IFERROR(SMALL(AK39:AK103,ROW()-ROW($AK$106)+1),"")</f>
        <v>0</v>
      </c>
      <c r="AL150">
        <f>IFERROR(SMALL(AL39:AL103,ROW()-ROW($AL$106)+1),"")</f>
        <v>0</v>
      </c>
      <c r="AM150">
        <f>IFERROR(SMALL(AM39:AM103,ROW()-ROW($AM$106)+1),"")</f>
        <v>0</v>
      </c>
      <c r="AN150">
        <f>IFERROR(SMALL(AN39:AN103,ROW()-ROW($AN$106)+1),"")</f>
        <v>0</v>
      </c>
      <c r="AO150">
        <f>IFERROR(SMALL(AO39:AO103,ROW()-ROW($AO$106)+1),"")</f>
        <v>0</v>
      </c>
      <c r="AP150">
        <f>IFERROR(SMALL(AP39:AP103,ROW()-ROW($AP$106)+1),"")</f>
        <v>0</v>
      </c>
      <c r="AQ150">
        <f>IFERROR(SMALL(AQ39:AQ103,ROW()-ROW($AQ$106)+1),"")</f>
        <v>0</v>
      </c>
      <c r="AR150">
        <f>IFERROR(SMALL(AR39:AR103,ROW()-ROW($AR$106)+1),"")</f>
        <v>0</v>
      </c>
      <c r="AS150">
        <f>IFERROR(SMALL(AS39:AS103,ROW()-ROW($AS$106)+1),"")</f>
        <v>0</v>
      </c>
      <c r="AT150">
        <f>IFERROR(SMALL(AT39:AT103,ROW()-ROW($AT$106)+1),"")</f>
        <v>0</v>
      </c>
      <c r="AU150">
        <f>IFERROR(SMALL(AU39:AU103,ROW()-ROW($AU$106)+1),"")</f>
        <v>0</v>
      </c>
      <c r="AV150">
        <f>IFERROR(SMALL(AV39:AV103,ROW()-ROW($AV$106)+1),"")</f>
        <v>0</v>
      </c>
      <c r="AW150">
        <f>IFERROR(SMALL(AW39:AW103,ROW()-ROW($AW$106)+1),"")</f>
        <v>0</v>
      </c>
      <c r="AX150">
        <f>IFERROR(SMALL(AX39:AX103,ROW()-ROW($AX$106)+1),"")</f>
        <v>0</v>
      </c>
      <c r="AY150">
        <f>IFERROR(SMALL(AY39:AY103,ROW()-ROW($AY$106)+1),"")</f>
        <v>0</v>
      </c>
      <c r="AZ150">
        <f>IFERROR(SMALL(AZ39:AZ103,ROW()-ROW($AZ$106)+1),"")</f>
        <v>0</v>
      </c>
      <c r="BA150">
        <f>IFERROR(SMALL(BA39:BA103,ROW()-ROW($BA$106)+1),"")</f>
        <v>0</v>
      </c>
      <c r="BB150">
        <f>IFERROR(SMALL(BB39:BB103,ROW()-ROW($BB$106)+1),"")</f>
        <v>0</v>
      </c>
      <c r="BC150">
        <f>IFERROR(SMALL(BC39:BC103,ROW()-ROW($BC$106)+1),"")</f>
        <v>0</v>
      </c>
      <c r="BD150">
        <f>IFERROR(SMALL(BD39:BD103,ROW()-ROW($BD$106)+1),"")</f>
        <v>0</v>
      </c>
      <c r="BE150">
        <f>IFERROR(SMALL(BE39:BE103,ROW()-ROW($BE$106)+1),"")</f>
        <v>0</v>
      </c>
      <c r="BF150">
        <f>IFERROR(SMALL(BF39:BF103,ROW()-ROW($BF$106)+1),"")</f>
        <v>0</v>
      </c>
      <c r="BG150">
        <f>IFERROR(SMALL(BG39:BG103,ROW()-ROW($BG$106)+1),"")</f>
        <v>0</v>
      </c>
      <c r="BH150">
        <f>IFERROR(SMALL(BH39:BH103,ROW()-ROW($BH$106)+1),"")</f>
        <v>0</v>
      </c>
      <c r="BI150">
        <f>IFERROR(SMALL(BI39:BI103,ROW()-ROW($BI$106)+1),"")</f>
        <v>0</v>
      </c>
      <c r="BJ150">
        <f>IFERROR(SMALL(BJ39:BJ103,ROW()-ROW($BJ$106)+1),"")</f>
        <v>0</v>
      </c>
      <c r="BK150">
        <f>IFERROR(SMALL(BK39:BK103,ROW()-ROW($BK$106)+1),"")</f>
        <v>0</v>
      </c>
      <c r="BL150">
        <f>IFERROR(SMALL(BL39:BL103,ROW()-ROW($BL$106)+1),"")</f>
        <v>0</v>
      </c>
      <c r="BM150">
        <f>IFERROR(SMALL(BM39:BM103,ROW()-ROW($BM$106)+1),"")</f>
        <v>0</v>
      </c>
      <c r="BN150">
        <f>IFERROR(SMALL(BN39:BN103,ROW()-ROW($BN$106)+1),"")</f>
        <v>0</v>
      </c>
      <c r="BO150">
        <f>IFERROR(SMALL(BO39:BO103,ROW()-ROW($BO$106)+1),"")</f>
        <v>0</v>
      </c>
      <c r="BP150">
        <f>IFERROR(SMALL(BP39:BP103,ROW()-ROW($BP$106)+1),"")</f>
        <v>0</v>
      </c>
      <c r="BS150">
        <f>IFERROR(SMALL(BS39:BS103,ROW()-ROW($BS$106)+1),"")</f>
        <v>0</v>
      </c>
      <c r="BT150">
        <f>IFERROR(SMALL(BT39:BT103,ROW()-ROW($BT$106)+1),"")</f>
        <v>0</v>
      </c>
      <c r="BU150">
        <f>IFERROR(SMALL(BU39:BU103,ROW()-ROW($BU$106)+1),"")</f>
        <v>0</v>
      </c>
      <c r="BV150">
        <f>IFERROR(SMALL(BV39:BV103,ROW()-ROW($BV$106)+1),"")</f>
        <v>0</v>
      </c>
      <c r="BW150">
        <f>IFERROR(SMALL(BW39:BW103,ROW()-ROW($BW$106)+1),"")</f>
        <v>0</v>
      </c>
      <c r="BX150">
        <f>IFERROR(SMALL(BX39:BX103,ROW()-ROW($BX$106)+1),"")</f>
        <v>0</v>
      </c>
      <c r="BY150">
        <f>IFERROR(SMALL(BY39:BY103,ROW()-ROW($BY$106)+1),"")</f>
        <v>0</v>
      </c>
      <c r="BZ150">
        <f>IFERROR(SMALL(BZ39:BZ103,ROW()-ROW($BZ$106)+1),"")</f>
        <v>0</v>
      </c>
      <c r="CA150">
        <f>IFERROR(SMALL(CA39:CA103,ROW()-ROW($CA$106)+1),"")</f>
        <v>0</v>
      </c>
      <c r="CB150">
        <f>IFERROR(SMALL(CB39:CB103,ROW()-ROW($CB$106)+1),"")</f>
        <v>0</v>
      </c>
      <c r="CC150">
        <f>IFERROR(SMALL(CC39:CC103,ROW()-ROW($CC$106)+1),"")</f>
        <v>0</v>
      </c>
      <c r="CD150">
        <f>IFERROR(SMALL(CD39:CD103,ROW()-ROW($CD$106)+1),"")</f>
        <v>0</v>
      </c>
      <c r="CE150">
        <f>IFERROR(SMALL(CE39:CE103,ROW()-ROW($CE$106)+1),"")</f>
        <v>0</v>
      </c>
      <c r="CF150">
        <f>IFERROR(SMALL(CF39:CF103,ROW()-ROW($CF$106)+1),"")</f>
        <v>0</v>
      </c>
      <c r="CG150">
        <f>IFERROR(SMALL(CG39:CG103,ROW()-ROW($CG$106)+1),"")</f>
        <v>0</v>
      </c>
      <c r="CH150">
        <f>IFERROR(SMALL(CH39:CH103,ROW()-ROW($CH$106)+1),"")</f>
        <v>0</v>
      </c>
      <c r="CI150">
        <f>IFERROR(SMALL(CI39:CI103,ROW()-ROW($CI$106)+1),"")</f>
        <v>0</v>
      </c>
      <c r="CJ150">
        <f>IFERROR(SMALL(CJ39:CJ103,ROW()-ROW($CJ$106)+1),"")</f>
        <v>0</v>
      </c>
      <c r="CK150">
        <f>IFERROR(SMALL(CK39:CK103,ROW()-ROW($CK$106)+1),"")</f>
        <v>0</v>
      </c>
      <c r="CL150">
        <f>IFERROR(SMALL(CL39:CL103,ROW()-ROW($CL$106)+1),"")</f>
        <v>0</v>
      </c>
      <c r="CM150">
        <f>IFERROR(SMALL(CM39:CM103,ROW()-ROW($CM$106)+1),"")</f>
        <v>0</v>
      </c>
      <c r="CN150">
        <f>IFERROR(SMALL(CN39:CN103,ROW()-ROW($CN$106)+1),"")</f>
        <v>0</v>
      </c>
      <c r="CO150">
        <f>IFERROR(SMALL(CO39:CO103,ROW()-ROW($CO$106)+1),"")</f>
        <v>0</v>
      </c>
      <c r="CP150">
        <f>IFERROR(SMALL(CP39:CP103,ROW()-ROW($CP$106)+1),"")</f>
        <v>0</v>
      </c>
      <c r="CQ150">
        <f>IFERROR(SMALL(CQ39:CQ103,ROW()-ROW($CQ$106)+1),"")</f>
        <v>0</v>
      </c>
      <c r="CR150">
        <f>IFERROR(SMALL(CR39:CR103,ROW()-ROW($CR$106)+1),"")</f>
        <v>0</v>
      </c>
      <c r="CS150">
        <f>IFERROR(SMALL(CS39:CS103,ROW()-ROW($CS$106)+1),"")</f>
        <v>0</v>
      </c>
      <c r="CT150">
        <f>IFERROR(SMALL(CT39:CT103,ROW()-ROW($CT$106)+1),"")</f>
        <v>0</v>
      </c>
      <c r="CU150">
        <f>IFERROR(SMALL(CU39:CU103,ROW()-ROW($CU$106)+1),"")</f>
        <v>0</v>
      </c>
      <c r="CV150">
        <f>IFERROR(SMALL(CV39:CV103,ROW()-ROW($CV$106)+1),"")</f>
        <v>0</v>
      </c>
      <c r="CW150">
        <f>IFERROR(SMALL(CW39:CW103,ROW()-ROW($CW$106)+1),"")</f>
        <v>0</v>
      </c>
      <c r="CX150">
        <f>IFERROR(SMALL(CX39:CX103,ROW()-ROW($CX$106)+1),"")</f>
        <v>0</v>
      </c>
      <c r="CY150">
        <f>IFERROR(SMALL(CY39:CY103,ROW()-ROW($CY$106)+1),"")</f>
        <v>0</v>
      </c>
      <c r="CZ150">
        <f>IFERROR(SMALL(CZ39:CZ103,ROW()-ROW($CZ$106)+1),"")</f>
        <v>0</v>
      </c>
      <c r="DA150">
        <f>IFERROR(SMALL(DA39:DA103,ROW()-ROW($DA$106)+1),"")</f>
        <v>0</v>
      </c>
      <c r="DB150">
        <f>IFERROR(SMALL(DB39:DB103,ROW()-ROW($DB$106)+1),"")</f>
        <v>0</v>
      </c>
      <c r="DC150">
        <f>IFERROR(SMALL(DC39:DC103,ROW()-ROW($DC$106)+1),"")</f>
        <v>0</v>
      </c>
      <c r="DD150">
        <f>IFERROR(SMALL(DD39:DD103,ROW()-ROW($DD$106)+1),"")</f>
        <v>0</v>
      </c>
      <c r="DE150">
        <f>IFERROR(SMALL(DE39:DE103,ROW()-ROW($DE$106)+1),"")</f>
        <v>0</v>
      </c>
      <c r="DF150">
        <f>IFERROR(SMALL(DF39:DF103,ROW()-ROW($DF$106)+1),"")</f>
        <v>0</v>
      </c>
      <c r="DG150">
        <f>IFERROR(SMALL(DG39:DG103,ROW()-ROW($DG$106)+1),"")</f>
        <v>0</v>
      </c>
      <c r="DH150">
        <f>IFERROR(SMALL(DH39:DH103,ROW()-ROW($DH$106)+1),"")</f>
        <v>0</v>
      </c>
      <c r="DI150">
        <f>IFERROR(SMALL(DI39:DI103,ROW()-ROW($DI$106)+1),"")</f>
        <v>0</v>
      </c>
      <c r="DJ150">
        <f>IFERROR(SMALL(DJ39:DJ103,ROW()-ROW($DJ$106)+1),"")</f>
        <v>0</v>
      </c>
      <c r="DK150">
        <f>IFERROR(SMALL(DK39:DK103,ROW()-ROW($DK$106)+1),"")</f>
        <v>0</v>
      </c>
      <c r="DL150">
        <f>IFERROR(SMALL(DL39:DL103,ROW()-ROW($DL$106)+1),"")</f>
        <v>0</v>
      </c>
      <c r="DM150">
        <f>IFERROR(SMALL(DM39:DM103,ROW()-ROW($DM$106)+1),"")</f>
        <v>0</v>
      </c>
      <c r="DN150">
        <f>IFERROR(SMALL(DN39:DN103,ROW()-ROW($DN$106)+1),"")</f>
        <v>0</v>
      </c>
      <c r="DO150">
        <f>IFERROR(SMALL(DO39:DO103,ROW()-ROW($DO$106)+1),"")</f>
        <v>0</v>
      </c>
      <c r="DP150">
        <f>IFERROR(SMALL(DP39:DP103,ROW()-ROW($DP$106)+1),"")</f>
        <v>0</v>
      </c>
      <c r="DQ150">
        <f>IFERROR(SMALL(DQ39:DQ103,ROW()-ROW($DQ$106)+1),"")</f>
        <v>0</v>
      </c>
      <c r="DR150">
        <f>IFERROR(SMALL(DR39:DR103,ROW()-ROW($DR$106)+1),"")</f>
        <v>0</v>
      </c>
      <c r="DS150">
        <f>IFERROR(SMALL(DS39:DS103,ROW()-ROW($DS$106)+1),"")</f>
        <v>0</v>
      </c>
      <c r="DT150">
        <f>IFERROR(SMALL(DT39:DT103,ROW()-ROW($DT$106)+1),"")</f>
        <v>0</v>
      </c>
      <c r="DU150">
        <f>IFERROR(SMALL(DU39:DU103,ROW()-ROW($DU$106)+1),"")</f>
        <v>0</v>
      </c>
      <c r="DV150">
        <f>IFERROR(SMALL(DV39:DV103,ROW()-ROW($DV$106)+1),"")</f>
        <v>0</v>
      </c>
      <c r="DW150">
        <f>IFERROR(SMALL(DW39:DW103,ROW()-ROW($DW$106)+1),"")</f>
        <v>0</v>
      </c>
      <c r="DX150">
        <f>IFERROR(SMALL(DX39:DX103,ROW()-ROW($DX$106)+1),"")</f>
        <v>0</v>
      </c>
      <c r="DY150">
        <f>IFERROR(SMALL(DY39:DY103,ROW()-ROW($DY$106)+1),"")</f>
        <v>0</v>
      </c>
      <c r="DZ150">
        <f>IFERROR(SMALL(DZ39:DZ103,ROW()-ROW($DZ$106)+1),"")</f>
        <v>0</v>
      </c>
      <c r="EA150">
        <f>IFERROR(SMALL(EA39:EA103,ROW()-ROW($EA$106)+1),"")</f>
        <v>0</v>
      </c>
      <c r="EB150">
        <f>IFERROR(SMALL(EB39:EB103,ROW()-ROW($EB$106)+1),"")</f>
        <v>0</v>
      </c>
      <c r="EC150">
        <f>IFERROR(SMALL(EC39:EC103,ROW()-ROW($EC$106)+1),"")</f>
        <v>0</v>
      </c>
      <c r="ED150">
        <f>IFERROR(SMALL(ED39:ED103,ROW()-ROW($ED$106)+1),"")</f>
        <v>0</v>
      </c>
    </row>
    <row r="151" spans="5:134">
      <c r="E151">
        <f>IFERROR(SMALL(E39:E103,ROW()-ROW($E$106)+1),"")</f>
        <v>0</v>
      </c>
      <c r="F151">
        <f>IFERROR(SMALL(F39:F103,ROW()-ROW($F$106)+1),"")</f>
        <v>0</v>
      </c>
      <c r="G151">
        <f>IFERROR(SMALL(G39:G103,ROW()-ROW($G$106)+1),"")</f>
        <v>0</v>
      </c>
      <c r="H151">
        <f>IFERROR(SMALL(H39:H103,ROW()-ROW($H$106)+1),"")</f>
        <v>0</v>
      </c>
      <c r="I151">
        <f>IFERROR(SMALL(I39:I103,ROW()-ROW($I$106)+1),"")</f>
        <v>0</v>
      </c>
      <c r="J151">
        <f>IFERROR(SMALL(J39:J103,ROW()-ROW($J$106)+1),"")</f>
        <v>0</v>
      </c>
      <c r="K151">
        <f>IFERROR(SMALL(K39:K103,ROW()-ROW($K$106)+1),"")</f>
        <v>0</v>
      </c>
      <c r="L151">
        <f>IFERROR(SMALL(L39:L103,ROW()-ROW($L$106)+1),"")</f>
        <v>0</v>
      </c>
      <c r="M151">
        <f>IFERROR(SMALL(M39:M103,ROW()-ROW($M$106)+1),"")</f>
        <v>0</v>
      </c>
      <c r="N151">
        <f>IFERROR(SMALL(N39:N103,ROW()-ROW($N$106)+1),"")</f>
        <v>0</v>
      </c>
      <c r="O151">
        <f>IFERROR(SMALL(O39:O103,ROW()-ROW($O$106)+1),"")</f>
        <v>0</v>
      </c>
      <c r="P151">
        <f>IFERROR(SMALL(P39:P103,ROW()-ROW($P$106)+1),"")</f>
        <v>0</v>
      </c>
      <c r="Q151">
        <f>IFERROR(SMALL(Q39:Q103,ROW()-ROW($Q$106)+1),"")</f>
        <v>0</v>
      </c>
      <c r="R151">
        <f>IFERROR(SMALL(R39:R103,ROW()-ROW($R$106)+1),"")</f>
        <v>0</v>
      </c>
      <c r="S151">
        <f>IFERROR(SMALL(S39:S103,ROW()-ROW($S$106)+1),"")</f>
        <v>0</v>
      </c>
      <c r="T151">
        <f>IFERROR(SMALL(T39:T103,ROW()-ROW($T$106)+1),"")</f>
        <v>0</v>
      </c>
      <c r="U151">
        <f>IFERROR(SMALL(U39:U103,ROW()-ROW($U$106)+1),"")</f>
        <v>0</v>
      </c>
      <c r="V151">
        <f>IFERROR(SMALL(V39:V103,ROW()-ROW($V$106)+1),"")</f>
        <v>0</v>
      </c>
      <c r="W151">
        <f>IFERROR(SMALL(W39:W103,ROW()-ROW($W$106)+1),"")</f>
        <v>0</v>
      </c>
      <c r="X151">
        <f>IFERROR(SMALL(X39:X103,ROW()-ROW($X$106)+1),"")</f>
        <v>0</v>
      </c>
      <c r="Y151">
        <f>IFERROR(SMALL(Y39:Y103,ROW()-ROW($Y$106)+1),"")</f>
        <v>0</v>
      </c>
      <c r="Z151">
        <f>IFERROR(SMALL(Z39:Z103,ROW()-ROW($Z$106)+1),"")</f>
        <v>0</v>
      </c>
      <c r="AA151">
        <f>IFERROR(SMALL(AA39:AA103,ROW()-ROW($AA$106)+1),"")</f>
        <v>0</v>
      </c>
      <c r="AB151">
        <f>IFERROR(SMALL(AB39:AB103,ROW()-ROW($AB$106)+1),"")</f>
        <v>0</v>
      </c>
      <c r="AC151">
        <f>IFERROR(SMALL(AC39:AC103,ROW()-ROW($AC$106)+1),"")</f>
        <v>0</v>
      </c>
      <c r="AD151">
        <f>IFERROR(SMALL(AD39:AD103,ROW()-ROW($AD$106)+1),"")</f>
        <v>0</v>
      </c>
      <c r="AE151">
        <f>IFERROR(SMALL(AE39:AE103,ROW()-ROW($AE$106)+1),"")</f>
        <v>0</v>
      </c>
      <c r="AF151">
        <f>IFERROR(SMALL(AF39:AF103,ROW()-ROW($AF$106)+1),"")</f>
        <v>0</v>
      </c>
      <c r="AG151">
        <f>IFERROR(SMALL(AG39:AG103,ROW()-ROW($AG$106)+1),"")</f>
        <v>0</v>
      </c>
      <c r="AH151">
        <f>IFERROR(SMALL(AH39:AH103,ROW()-ROW($AH$106)+1),"")</f>
        <v>0</v>
      </c>
      <c r="AI151">
        <f>IFERROR(SMALL(AI39:AI103,ROW()-ROW($AI$106)+1),"")</f>
        <v>0</v>
      </c>
      <c r="AJ151">
        <f>IFERROR(SMALL(AJ39:AJ103,ROW()-ROW($AJ$106)+1),"")</f>
        <v>0</v>
      </c>
      <c r="AK151">
        <f>IFERROR(SMALL(AK39:AK103,ROW()-ROW($AK$106)+1),"")</f>
        <v>0</v>
      </c>
      <c r="AL151">
        <f>IFERROR(SMALL(AL39:AL103,ROW()-ROW($AL$106)+1),"")</f>
        <v>0</v>
      </c>
      <c r="AM151">
        <f>IFERROR(SMALL(AM39:AM103,ROW()-ROW($AM$106)+1),"")</f>
        <v>0</v>
      </c>
      <c r="AN151">
        <f>IFERROR(SMALL(AN39:AN103,ROW()-ROW($AN$106)+1),"")</f>
        <v>0</v>
      </c>
      <c r="AO151">
        <f>IFERROR(SMALL(AO39:AO103,ROW()-ROW($AO$106)+1),"")</f>
        <v>0</v>
      </c>
      <c r="AP151">
        <f>IFERROR(SMALL(AP39:AP103,ROW()-ROW($AP$106)+1),"")</f>
        <v>0</v>
      </c>
      <c r="AQ151">
        <f>IFERROR(SMALL(AQ39:AQ103,ROW()-ROW($AQ$106)+1),"")</f>
        <v>0</v>
      </c>
      <c r="AR151">
        <f>IFERROR(SMALL(AR39:AR103,ROW()-ROW($AR$106)+1),"")</f>
        <v>0</v>
      </c>
      <c r="AS151">
        <f>IFERROR(SMALL(AS39:AS103,ROW()-ROW($AS$106)+1),"")</f>
        <v>0</v>
      </c>
      <c r="AT151">
        <f>IFERROR(SMALL(AT39:AT103,ROW()-ROW($AT$106)+1),"")</f>
        <v>0</v>
      </c>
      <c r="AU151">
        <f>IFERROR(SMALL(AU39:AU103,ROW()-ROW($AU$106)+1),"")</f>
        <v>0</v>
      </c>
      <c r="AV151">
        <f>IFERROR(SMALL(AV39:AV103,ROW()-ROW($AV$106)+1),"")</f>
        <v>0</v>
      </c>
      <c r="AW151">
        <f>IFERROR(SMALL(AW39:AW103,ROW()-ROW($AW$106)+1),"")</f>
        <v>0</v>
      </c>
      <c r="AX151">
        <f>IFERROR(SMALL(AX39:AX103,ROW()-ROW($AX$106)+1),"")</f>
        <v>0</v>
      </c>
      <c r="AY151">
        <f>IFERROR(SMALL(AY39:AY103,ROW()-ROW($AY$106)+1),"")</f>
        <v>0</v>
      </c>
      <c r="AZ151">
        <f>IFERROR(SMALL(AZ39:AZ103,ROW()-ROW($AZ$106)+1),"")</f>
        <v>0</v>
      </c>
      <c r="BA151">
        <f>IFERROR(SMALL(BA39:BA103,ROW()-ROW($BA$106)+1),"")</f>
        <v>0</v>
      </c>
      <c r="BB151">
        <f>IFERROR(SMALL(BB39:BB103,ROW()-ROW($BB$106)+1),"")</f>
        <v>0</v>
      </c>
      <c r="BC151">
        <f>IFERROR(SMALL(BC39:BC103,ROW()-ROW($BC$106)+1),"")</f>
        <v>0</v>
      </c>
      <c r="BD151">
        <f>IFERROR(SMALL(BD39:BD103,ROW()-ROW($BD$106)+1),"")</f>
        <v>0</v>
      </c>
      <c r="BE151">
        <f>IFERROR(SMALL(BE39:BE103,ROW()-ROW($BE$106)+1),"")</f>
        <v>0</v>
      </c>
      <c r="BF151">
        <f>IFERROR(SMALL(BF39:BF103,ROW()-ROW($BF$106)+1),"")</f>
        <v>0</v>
      </c>
      <c r="BG151">
        <f>IFERROR(SMALL(BG39:BG103,ROW()-ROW($BG$106)+1),"")</f>
        <v>0</v>
      </c>
      <c r="BH151">
        <f>IFERROR(SMALL(BH39:BH103,ROW()-ROW($BH$106)+1),"")</f>
        <v>0</v>
      </c>
      <c r="BI151">
        <f>IFERROR(SMALL(BI39:BI103,ROW()-ROW($BI$106)+1),"")</f>
        <v>0</v>
      </c>
      <c r="BJ151">
        <f>IFERROR(SMALL(BJ39:BJ103,ROW()-ROW($BJ$106)+1),"")</f>
        <v>0</v>
      </c>
      <c r="BK151">
        <f>IFERROR(SMALL(BK39:BK103,ROW()-ROW($BK$106)+1),"")</f>
        <v>0</v>
      </c>
      <c r="BL151">
        <f>IFERROR(SMALL(BL39:BL103,ROW()-ROW($BL$106)+1),"")</f>
        <v>0</v>
      </c>
      <c r="BM151">
        <f>IFERROR(SMALL(BM39:BM103,ROW()-ROW($BM$106)+1),"")</f>
        <v>0</v>
      </c>
      <c r="BN151">
        <f>IFERROR(SMALL(BN39:BN103,ROW()-ROW($BN$106)+1),"")</f>
        <v>0</v>
      </c>
      <c r="BO151">
        <f>IFERROR(SMALL(BO39:BO103,ROW()-ROW($BO$106)+1),"")</f>
        <v>0</v>
      </c>
      <c r="BP151">
        <f>IFERROR(SMALL(BP39:BP103,ROW()-ROW($BP$106)+1),"")</f>
        <v>0</v>
      </c>
      <c r="BS151">
        <f>IFERROR(SMALL(BS39:BS103,ROW()-ROW($BS$106)+1),"")</f>
        <v>0</v>
      </c>
      <c r="BT151">
        <f>IFERROR(SMALL(BT39:BT103,ROW()-ROW($BT$106)+1),"")</f>
        <v>0</v>
      </c>
      <c r="BU151">
        <f>IFERROR(SMALL(BU39:BU103,ROW()-ROW($BU$106)+1),"")</f>
        <v>0</v>
      </c>
      <c r="BV151">
        <f>IFERROR(SMALL(BV39:BV103,ROW()-ROW($BV$106)+1),"")</f>
        <v>0</v>
      </c>
      <c r="BW151">
        <f>IFERROR(SMALL(BW39:BW103,ROW()-ROW($BW$106)+1),"")</f>
        <v>0</v>
      </c>
      <c r="BX151">
        <f>IFERROR(SMALL(BX39:BX103,ROW()-ROW($BX$106)+1),"")</f>
        <v>0</v>
      </c>
      <c r="BY151">
        <f>IFERROR(SMALL(BY39:BY103,ROW()-ROW($BY$106)+1),"")</f>
        <v>0</v>
      </c>
      <c r="BZ151">
        <f>IFERROR(SMALL(BZ39:BZ103,ROW()-ROW($BZ$106)+1),"")</f>
        <v>0</v>
      </c>
      <c r="CA151">
        <f>IFERROR(SMALL(CA39:CA103,ROW()-ROW($CA$106)+1),"")</f>
        <v>0</v>
      </c>
      <c r="CB151">
        <f>IFERROR(SMALL(CB39:CB103,ROW()-ROW($CB$106)+1),"")</f>
        <v>0</v>
      </c>
      <c r="CC151">
        <f>IFERROR(SMALL(CC39:CC103,ROW()-ROW($CC$106)+1),"")</f>
        <v>0</v>
      </c>
      <c r="CD151">
        <f>IFERROR(SMALL(CD39:CD103,ROW()-ROW($CD$106)+1),"")</f>
        <v>0</v>
      </c>
      <c r="CE151">
        <f>IFERROR(SMALL(CE39:CE103,ROW()-ROW($CE$106)+1),"")</f>
        <v>0</v>
      </c>
      <c r="CF151">
        <f>IFERROR(SMALL(CF39:CF103,ROW()-ROW($CF$106)+1),"")</f>
        <v>0</v>
      </c>
      <c r="CG151">
        <f>IFERROR(SMALL(CG39:CG103,ROW()-ROW($CG$106)+1),"")</f>
        <v>0</v>
      </c>
      <c r="CH151">
        <f>IFERROR(SMALL(CH39:CH103,ROW()-ROW($CH$106)+1),"")</f>
        <v>0</v>
      </c>
      <c r="CI151">
        <f>IFERROR(SMALL(CI39:CI103,ROW()-ROW($CI$106)+1),"")</f>
        <v>0</v>
      </c>
      <c r="CJ151">
        <f>IFERROR(SMALL(CJ39:CJ103,ROW()-ROW($CJ$106)+1),"")</f>
        <v>0</v>
      </c>
      <c r="CK151">
        <f>IFERROR(SMALL(CK39:CK103,ROW()-ROW($CK$106)+1),"")</f>
        <v>0</v>
      </c>
      <c r="CL151">
        <f>IFERROR(SMALL(CL39:CL103,ROW()-ROW($CL$106)+1),"")</f>
        <v>0</v>
      </c>
      <c r="CM151">
        <f>IFERROR(SMALL(CM39:CM103,ROW()-ROW($CM$106)+1),"")</f>
        <v>0</v>
      </c>
      <c r="CN151">
        <f>IFERROR(SMALL(CN39:CN103,ROW()-ROW($CN$106)+1),"")</f>
        <v>0</v>
      </c>
      <c r="CO151">
        <f>IFERROR(SMALL(CO39:CO103,ROW()-ROW($CO$106)+1),"")</f>
        <v>0</v>
      </c>
      <c r="CP151">
        <f>IFERROR(SMALL(CP39:CP103,ROW()-ROW($CP$106)+1),"")</f>
        <v>0</v>
      </c>
      <c r="CQ151">
        <f>IFERROR(SMALL(CQ39:CQ103,ROW()-ROW($CQ$106)+1),"")</f>
        <v>0</v>
      </c>
      <c r="CR151">
        <f>IFERROR(SMALL(CR39:CR103,ROW()-ROW($CR$106)+1),"")</f>
        <v>0</v>
      </c>
      <c r="CS151">
        <f>IFERROR(SMALL(CS39:CS103,ROW()-ROW($CS$106)+1),"")</f>
        <v>0</v>
      </c>
      <c r="CT151">
        <f>IFERROR(SMALL(CT39:CT103,ROW()-ROW($CT$106)+1),"")</f>
        <v>0</v>
      </c>
      <c r="CU151">
        <f>IFERROR(SMALL(CU39:CU103,ROW()-ROW($CU$106)+1),"")</f>
        <v>0</v>
      </c>
      <c r="CV151">
        <f>IFERROR(SMALL(CV39:CV103,ROW()-ROW($CV$106)+1),"")</f>
        <v>0</v>
      </c>
      <c r="CW151">
        <f>IFERROR(SMALL(CW39:CW103,ROW()-ROW($CW$106)+1),"")</f>
        <v>0</v>
      </c>
      <c r="CX151">
        <f>IFERROR(SMALL(CX39:CX103,ROW()-ROW($CX$106)+1),"")</f>
        <v>0</v>
      </c>
      <c r="CY151">
        <f>IFERROR(SMALL(CY39:CY103,ROW()-ROW($CY$106)+1),"")</f>
        <v>0</v>
      </c>
      <c r="CZ151">
        <f>IFERROR(SMALL(CZ39:CZ103,ROW()-ROW($CZ$106)+1),"")</f>
        <v>0</v>
      </c>
      <c r="DA151">
        <f>IFERROR(SMALL(DA39:DA103,ROW()-ROW($DA$106)+1),"")</f>
        <v>0</v>
      </c>
      <c r="DB151">
        <f>IFERROR(SMALL(DB39:DB103,ROW()-ROW($DB$106)+1),"")</f>
        <v>0</v>
      </c>
      <c r="DC151">
        <f>IFERROR(SMALL(DC39:DC103,ROW()-ROW($DC$106)+1),"")</f>
        <v>0</v>
      </c>
      <c r="DD151">
        <f>IFERROR(SMALL(DD39:DD103,ROW()-ROW($DD$106)+1),"")</f>
        <v>0</v>
      </c>
      <c r="DE151">
        <f>IFERROR(SMALL(DE39:DE103,ROW()-ROW($DE$106)+1),"")</f>
        <v>0</v>
      </c>
      <c r="DF151">
        <f>IFERROR(SMALL(DF39:DF103,ROW()-ROW($DF$106)+1),"")</f>
        <v>0</v>
      </c>
      <c r="DG151">
        <f>IFERROR(SMALL(DG39:DG103,ROW()-ROW($DG$106)+1),"")</f>
        <v>0</v>
      </c>
      <c r="DH151">
        <f>IFERROR(SMALL(DH39:DH103,ROW()-ROW($DH$106)+1),"")</f>
        <v>0</v>
      </c>
      <c r="DI151">
        <f>IFERROR(SMALL(DI39:DI103,ROW()-ROW($DI$106)+1),"")</f>
        <v>0</v>
      </c>
      <c r="DJ151">
        <f>IFERROR(SMALL(DJ39:DJ103,ROW()-ROW($DJ$106)+1),"")</f>
        <v>0</v>
      </c>
      <c r="DK151">
        <f>IFERROR(SMALL(DK39:DK103,ROW()-ROW($DK$106)+1),"")</f>
        <v>0</v>
      </c>
      <c r="DL151">
        <f>IFERROR(SMALL(DL39:DL103,ROW()-ROW($DL$106)+1),"")</f>
        <v>0</v>
      </c>
      <c r="DM151">
        <f>IFERROR(SMALL(DM39:DM103,ROW()-ROW($DM$106)+1),"")</f>
        <v>0</v>
      </c>
      <c r="DN151">
        <f>IFERROR(SMALL(DN39:DN103,ROW()-ROW($DN$106)+1),"")</f>
        <v>0</v>
      </c>
      <c r="DO151">
        <f>IFERROR(SMALL(DO39:DO103,ROW()-ROW($DO$106)+1),"")</f>
        <v>0</v>
      </c>
      <c r="DP151">
        <f>IFERROR(SMALL(DP39:DP103,ROW()-ROW($DP$106)+1),"")</f>
        <v>0</v>
      </c>
      <c r="DQ151">
        <f>IFERROR(SMALL(DQ39:DQ103,ROW()-ROW($DQ$106)+1),"")</f>
        <v>0</v>
      </c>
      <c r="DR151">
        <f>IFERROR(SMALL(DR39:DR103,ROW()-ROW($DR$106)+1),"")</f>
        <v>0</v>
      </c>
      <c r="DS151">
        <f>IFERROR(SMALL(DS39:DS103,ROW()-ROW($DS$106)+1),"")</f>
        <v>0</v>
      </c>
      <c r="DT151">
        <f>IFERROR(SMALL(DT39:DT103,ROW()-ROW($DT$106)+1),"")</f>
        <v>0</v>
      </c>
      <c r="DU151">
        <f>IFERROR(SMALL(DU39:DU103,ROW()-ROW($DU$106)+1),"")</f>
        <v>0</v>
      </c>
      <c r="DV151">
        <f>IFERROR(SMALL(DV39:DV103,ROW()-ROW($DV$106)+1),"")</f>
        <v>0</v>
      </c>
      <c r="DW151">
        <f>IFERROR(SMALL(DW39:DW103,ROW()-ROW($DW$106)+1),"")</f>
        <v>0</v>
      </c>
      <c r="DX151">
        <f>IFERROR(SMALL(DX39:DX103,ROW()-ROW($DX$106)+1),"")</f>
        <v>0</v>
      </c>
      <c r="DY151">
        <f>IFERROR(SMALL(DY39:DY103,ROW()-ROW($DY$106)+1),"")</f>
        <v>0</v>
      </c>
      <c r="DZ151">
        <f>IFERROR(SMALL(DZ39:DZ103,ROW()-ROW($DZ$106)+1),"")</f>
        <v>0</v>
      </c>
      <c r="EA151">
        <f>IFERROR(SMALL(EA39:EA103,ROW()-ROW($EA$106)+1),"")</f>
        <v>0</v>
      </c>
      <c r="EB151">
        <f>IFERROR(SMALL(EB39:EB103,ROW()-ROW($EB$106)+1),"")</f>
        <v>0</v>
      </c>
      <c r="EC151">
        <f>IFERROR(SMALL(EC39:EC103,ROW()-ROW($EC$106)+1),"")</f>
        <v>0</v>
      </c>
      <c r="ED151">
        <f>IFERROR(SMALL(ED39:ED103,ROW()-ROW($ED$106)+1),"")</f>
        <v>0</v>
      </c>
    </row>
    <row r="152" spans="5:134">
      <c r="E152">
        <f>IFERROR(SMALL(E39:E103,ROW()-ROW($E$106)+1),"")</f>
        <v>0</v>
      </c>
      <c r="F152">
        <f>IFERROR(SMALL(F39:F103,ROW()-ROW($F$106)+1),"")</f>
        <v>0</v>
      </c>
      <c r="G152">
        <f>IFERROR(SMALL(G39:G103,ROW()-ROW($G$106)+1),"")</f>
        <v>0</v>
      </c>
      <c r="H152">
        <f>IFERROR(SMALL(H39:H103,ROW()-ROW($H$106)+1),"")</f>
        <v>0</v>
      </c>
      <c r="I152">
        <f>IFERROR(SMALL(I39:I103,ROW()-ROW($I$106)+1),"")</f>
        <v>0</v>
      </c>
      <c r="J152">
        <f>IFERROR(SMALL(J39:J103,ROW()-ROW($J$106)+1),"")</f>
        <v>0</v>
      </c>
      <c r="K152">
        <f>IFERROR(SMALL(K39:K103,ROW()-ROW($K$106)+1),"")</f>
        <v>0</v>
      </c>
      <c r="L152">
        <f>IFERROR(SMALL(L39:L103,ROW()-ROW($L$106)+1),"")</f>
        <v>0</v>
      </c>
      <c r="M152">
        <f>IFERROR(SMALL(M39:M103,ROW()-ROW($M$106)+1),"")</f>
        <v>0</v>
      </c>
      <c r="N152">
        <f>IFERROR(SMALL(N39:N103,ROW()-ROW($N$106)+1),"")</f>
        <v>0</v>
      </c>
      <c r="O152">
        <f>IFERROR(SMALL(O39:O103,ROW()-ROW($O$106)+1),"")</f>
        <v>0</v>
      </c>
      <c r="P152">
        <f>IFERROR(SMALL(P39:P103,ROW()-ROW($P$106)+1),"")</f>
        <v>0</v>
      </c>
      <c r="Q152">
        <f>IFERROR(SMALL(Q39:Q103,ROW()-ROW($Q$106)+1),"")</f>
        <v>0</v>
      </c>
      <c r="R152">
        <f>IFERROR(SMALL(R39:R103,ROW()-ROW($R$106)+1),"")</f>
        <v>0</v>
      </c>
      <c r="S152">
        <f>IFERROR(SMALL(S39:S103,ROW()-ROW($S$106)+1),"")</f>
        <v>0</v>
      </c>
      <c r="T152">
        <f>IFERROR(SMALL(T39:T103,ROW()-ROW($T$106)+1),"")</f>
        <v>0</v>
      </c>
      <c r="U152">
        <f>IFERROR(SMALL(U39:U103,ROW()-ROW($U$106)+1),"")</f>
        <v>0</v>
      </c>
      <c r="V152">
        <f>IFERROR(SMALL(V39:V103,ROW()-ROW($V$106)+1),"")</f>
        <v>0</v>
      </c>
      <c r="W152">
        <f>IFERROR(SMALL(W39:W103,ROW()-ROW($W$106)+1),"")</f>
        <v>0</v>
      </c>
      <c r="X152">
        <f>IFERROR(SMALL(X39:X103,ROW()-ROW($X$106)+1),"")</f>
        <v>0</v>
      </c>
      <c r="Y152">
        <f>IFERROR(SMALL(Y39:Y103,ROW()-ROW($Y$106)+1),"")</f>
        <v>0</v>
      </c>
      <c r="Z152">
        <f>IFERROR(SMALL(Z39:Z103,ROW()-ROW($Z$106)+1),"")</f>
        <v>0</v>
      </c>
      <c r="AA152">
        <f>IFERROR(SMALL(AA39:AA103,ROW()-ROW($AA$106)+1),"")</f>
        <v>0</v>
      </c>
      <c r="AB152">
        <f>IFERROR(SMALL(AB39:AB103,ROW()-ROW($AB$106)+1),"")</f>
        <v>0</v>
      </c>
      <c r="AC152">
        <f>IFERROR(SMALL(AC39:AC103,ROW()-ROW($AC$106)+1),"")</f>
        <v>0</v>
      </c>
      <c r="AD152">
        <f>IFERROR(SMALL(AD39:AD103,ROW()-ROW($AD$106)+1),"")</f>
        <v>0</v>
      </c>
      <c r="AE152">
        <f>IFERROR(SMALL(AE39:AE103,ROW()-ROW($AE$106)+1),"")</f>
        <v>0</v>
      </c>
      <c r="AF152">
        <f>IFERROR(SMALL(AF39:AF103,ROW()-ROW($AF$106)+1),"")</f>
        <v>0</v>
      </c>
      <c r="AG152">
        <f>IFERROR(SMALL(AG39:AG103,ROW()-ROW($AG$106)+1),"")</f>
        <v>0</v>
      </c>
      <c r="AH152">
        <f>IFERROR(SMALL(AH39:AH103,ROW()-ROW($AH$106)+1),"")</f>
        <v>0</v>
      </c>
      <c r="AI152">
        <f>IFERROR(SMALL(AI39:AI103,ROW()-ROW($AI$106)+1),"")</f>
        <v>0</v>
      </c>
      <c r="AJ152">
        <f>IFERROR(SMALL(AJ39:AJ103,ROW()-ROW($AJ$106)+1),"")</f>
        <v>0</v>
      </c>
      <c r="AK152">
        <f>IFERROR(SMALL(AK39:AK103,ROW()-ROW($AK$106)+1),"")</f>
        <v>0</v>
      </c>
      <c r="AL152">
        <f>IFERROR(SMALL(AL39:AL103,ROW()-ROW($AL$106)+1),"")</f>
        <v>0</v>
      </c>
      <c r="AM152">
        <f>IFERROR(SMALL(AM39:AM103,ROW()-ROW($AM$106)+1),"")</f>
        <v>0</v>
      </c>
      <c r="AN152">
        <f>IFERROR(SMALL(AN39:AN103,ROW()-ROW($AN$106)+1),"")</f>
        <v>0</v>
      </c>
      <c r="AO152">
        <f>IFERROR(SMALL(AO39:AO103,ROW()-ROW($AO$106)+1),"")</f>
        <v>0</v>
      </c>
      <c r="AP152">
        <f>IFERROR(SMALL(AP39:AP103,ROW()-ROW($AP$106)+1),"")</f>
        <v>0</v>
      </c>
      <c r="AQ152">
        <f>IFERROR(SMALL(AQ39:AQ103,ROW()-ROW($AQ$106)+1),"")</f>
        <v>0</v>
      </c>
      <c r="AR152">
        <f>IFERROR(SMALL(AR39:AR103,ROW()-ROW($AR$106)+1),"")</f>
        <v>0</v>
      </c>
      <c r="AS152">
        <f>IFERROR(SMALL(AS39:AS103,ROW()-ROW($AS$106)+1),"")</f>
        <v>0</v>
      </c>
      <c r="AT152">
        <f>IFERROR(SMALL(AT39:AT103,ROW()-ROW($AT$106)+1),"")</f>
        <v>0</v>
      </c>
      <c r="AU152">
        <f>IFERROR(SMALL(AU39:AU103,ROW()-ROW($AU$106)+1),"")</f>
        <v>0</v>
      </c>
      <c r="AV152">
        <f>IFERROR(SMALL(AV39:AV103,ROW()-ROW($AV$106)+1),"")</f>
        <v>0</v>
      </c>
      <c r="AW152">
        <f>IFERROR(SMALL(AW39:AW103,ROW()-ROW($AW$106)+1),"")</f>
        <v>0</v>
      </c>
      <c r="AX152">
        <f>IFERROR(SMALL(AX39:AX103,ROW()-ROW($AX$106)+1),"")</f>
        <v>0</v>
      </c>
      <c r="AY152">
        <f>IFERROR(SMALL(AY39:AY103,ROW()-ROW($AY$106)+1),"")</f>
        <v>0</v>
      </c>
      <c r="AZ152">
        <f>IFERROR(SMALL(AZ39:AZ103,ROW()-ROW($AZ$106)+1),"")</f>
        <v>0</v>
      </c>
      <c r="BA152">
        <f>IFERROR(SMALL(BA39:BA103,ROW()-ROW($BA$106)+1),"")</f>
        <v>0</v>
      </c>
      <c r="BB152">
        <f>IFERROR(SMALL(BB39:BB103,ROW()-ROW($BB$106)+1),"")</f>
        <v>0</v>
      </c>
      <c r="BC152">
        <f>IFERROR(SMALL(BC39:BC103,ROW()-ROW($BC$106)+1),"")</f>
        <v>0</v>
      </c>
      <c r="BD152">
        <f>IFERROR(SMALL(BD39:BD103,ROW()-ROW($BD$106)+1),"")</f>
        <v>0</v>
      </c>
      <c r="BE152">
        <f>IFERROR(SMALL(BE39:BE103,ROW()-ROW($BE$106)+1),"")</f>
        <v>0</v>
      </c>
      <c r="BF152">
        <f>IFERROR(SMALL(BF39:BF103,ROW()-ROW($BF$106)+1),"")</f>
        <v>0</v>
      </c>
      <c r="BG152">
        <f>IFERROR(SMALL(BG39:BG103,ROW()-ROW($BG$106)+1),"")</f>
        <v>0</v>
      </c>
      <c r="BH152">
        <f>IFERROR(SMALL(BH39:BH103,ROW()-ROW($BH$106)+1),"")</f>
        <v>0</v>
      </c>
      <c r="BI152">
        <f>IFERROR(SMALL(BI39:BI103,ROW()-ROW($BI$106)+1),"")</f>
        <v>0</v>
      </c>
      <c r="BJ152">
        <f>IFERROR(SMALL(BJ39:BJ103,ROW()-ROW($BJ$106)+1),"")</f>
        <v>0</v>
      </c>
      <c r="BK152">
        <f>IFERROR(SMALL(BK39:BK103,ROW()-ROW($BK$106)+1),"")</f>
        <v>0</v>
      </c>
      <c r="BL152">
        <f>IFERROR(SMALL(BL39:BL103,ROW()-ROW($BL$106)+1),"")</f>
        <v>0</v>
      </c>
      <c r="BM152">
        <f>IFERROR(SMALL(BM39:BM103,ROW()-ROW($BM$106)+1),"")</f>
        <v>0</v>
      </c>
      <c r="BN152">
        <f>IFERROR(SMALL(BN39:BN103,ROW()-ROW($BN$106)+1),"")</f>
        <v>0</v>
      </c>
      <c r="BO152">
        <f>IFERROR(SMALL(BO39:BO103,ROW()-ROW($BO$106)+1),"")</f>
        <v>0</v>
      </c>
      <c r="BP152">
        <f>IFERROR(SMALL(BP39:BP103,ROW()-ROW($BP$106)+1),"")</f>
        <v>0</v>
      </c>
      <c r="BS152">
        <f>IFERROR(SMALL(BS39:BS103,ROW()-ROW($BS$106)+1),"")</f>
        <v>0</v>
      </c>
      <c r="BT152">
        <f>IFERROR(SMALL(BT39:BT103,ROW()-ROW($BT$106)+1),"")</f>
        <v>0</v>
      </c>
      <c r="BU152">
        <f>IFERROR(SMALL(BU39:BU103,ROW()-ROW($BU$106)+1),"")</f>
        <v>0</v>
      </c>
      <c r="BV152">
        <f>IFERROR(SMALL(BV39:BV103,ROW()-ROW($BV$106)+1),"")</f>
        <v>0</v>
      </c>
      <c r="BW152">
        <f>IFERROR(SMALL(BW39:BW103,ROW()-ROW($BW$106)+1),"")</f>
        <v>0</v>
      </c>
      <c r="BX152">
        <f>IFERROR(SMALL(BX39:BX103,ROW()-ROW($BX$106)+1),"")</f>
        <v>0</v>
      </c>
      <c r="BY152">
        <f>IFERROR(SMALL(BY39:BY103,ROW()-ROW($BY$106)+1),"")</f>
        <v>0</v>
      </c>
      <c r="BZ152">
        <f>IFERROR(SMALL(BZ39:BZ103,ROW()-ROW($BZ$106)+1),"")</f>
        <v>0</v>
      </c>
      <c r="CA152">
        <f>IFERROR(SMALL(CA39:CA103,ROW()-ROW($CA$106)+1),"")</f>
        <v>0</v>
      </c>
      <c r="CB152">
        <f>IFERROR(SMALL(CB39:CB103,ROW()-ROW($CB$106)+1),"")</f>
        <v>0</v>
      </c>
      <c r="CC152">
        <f>IFERROR(SMALL(CC39:CC103,ROW()-ROW($CC$106)+1),"")</f>
        <v>0</v>
      </c>
      <c r="CD152">
        <f>IFERROR(SMALL(CD39:CD103,ROW()-ROW($CD$106)+1),"")</f>
        <v>0</v>
      </c>
      <c r="CE152">
        <f>IFERROR(SMALL(CE39:CE103,ROW()-ROW($CE$106)+1),"")</f>
        <v>0</v>
      </c>
      <c r="CF152">
        <f>IFERROR(SMALL(CF39:CF103,ROW()-ROW($CF$106)+1),"")</f>
        <v>0</v>
      </c>
      <c r="CG152">
        <f>IFERROR(SMALL(CG39:CG103,ROW()-ROW($CG$106)+1),"")</f>
        <v>0</v>
      </c>
      <c r="CH152">
        <f>IFERROR(SMALL(CH39:CH103,ROW()-ROW($CH$106)+1),"")</f>
        <v>0</v>
      </c>
      <c r="CI152">
        <f>IFERROR(SMALL(CI39:CI103,ROW()-ROW($CI$106)+1),"")</f>
        <v>0</v>
      </c>
      <c r="CJ152">
        <f>IFERROR(SMALL(CJ39:CJ103,ROW()-ROW($CJ$106)+1),"")</f>
        <v>0</v>
      </c>
      <c r="CK152">
        <f>IFERROR(SMALL(CK39:CK103,ROW()-ROW($CK$106)+1),"")</f>
        <v>0</v>
      </c>
      <c r="CL152">
        <f>IFERROR(SMALL(CL39:CL103,ROW()-ROW($CL$106)+1),"")</f>
        <v>0</v>
      </c>
      <c r="CM152">
        <f>IFERROR(SMALL(CM39:CM103,ROW()-ROW($CM$106)+1),"")</f>
        <v>0</v>
      </c>
      <c r="CN152">
        <f>IFERROR(SMALL(CN39:CN103,ROW()-ROW($CN$106)+1),"")</f>
        <v>0</v>
      </c>
      <c r="CO152">
        <f>IFERROR(SMALL(CO39:CO103,ROW()-ROW($CO$106)+1),"")</f>
        <v>0</v>
      </c>
      <c r="CP152">
        <f>IFERROR(SMALL(CP39:CP103,ROW()-ROW($CP$106)+1),"")</f>
        <v>0</v>
      </c>
      <c r="CQ152">
        <f>IFERROR(SMALL(CQ39:CQ103,ROW()-ROW($CQ$106)+1),"")</f>
        <v>0</v>
      </c>
      <c r="CR152">
        <f>IFERROR(SMALL(CR39:CR103,ROW()-ROW($CR$106)+1),"")</f>
        <v>0</v>
      </c>
      <c r="CS152">
        <f>IFERROR(SMALL(CS39:CS103,ROW()-ROW($CS$106)+1),"")</f>
        <v>0</v>
      </c>
      <c r="CT152">
        <f>IFERROR(SMALL(CT39:CT103,ROW()-ROW($CT$106)+1),"")</f>
        <v>0</v>
      </c>
      <c r="CU152">
        <f>IFERROR(SMALL(CU39:CU103,ROW()-ROW($CU$106)+1),"")</f>
        <v>0</v>
      </c>
      <c r="CV152">
        <f>IFERROR(SMALL(CV39:CV103,ROW()-ROW($CV$106)+1),"")</f>
        <v>0</v>
      </c>
      <c r="CW152">
        <f>IFERROR(SMALL(CW39:CW103,ROW()-ROW($CW$106)+1),"")</f>
        <v>0</v>
      </c>
      <c r="CX152">
        <f>IFERROR(SMALL(CX39:CX103,ROW()-ROW($CX$106)+1),"")</f>
        <v>0</v>
      </c>
      <c r="CY152">
        <f>IFERROR(SMALL(CY39:CY103,ROW()-ROW($CY$106)+1),"")</f>
        <v>0</v>
      </c>
      <c r="CZ152">
        <f>IFERROR(SMALL(CZ39:CZ103,ROW()-ROW($CZ$106)+1),"")</f>
        <v>0</v>
      </c>
      <c r="DA152">
        <f>IFERROR(SMALL(DA39:DA103,ROW()-ROW($DA$106)+1),"")</f>
        <v>0</v>
      </c>
      <c r="DB152">
        <f>IFERROR(SMALL(DB39:DB103,ROW()-ROW($DB$106)+1),"")</f>
        <v>0</v>
      </c>
      <c r="DC152">
        <f>IFERROR(SMALL(DC39:DC103,ROW()-ROW($DC$106)+1),"")</f>
        <v>0</v>
      </c>
      <c r="DD152">
        <f>IFERROR(SMALL(DD39:DD103,ROW()-ROW($DD$106)+1),"")</f>
        <v>0</v>
      </c>
      <c r="DE152">
        <f>IFERROR(SMALL(DE39:DE103,ROW()-ROW($DE$106)+1),"")</f>
        <v>0</v>
      </c>
      <c r="DF152">
        <f>IFERROR(SMALL(DF39:DF103,ROW()-ROW($DF$106)+1),"")</f>
        <v>0</v>
      </c>
      <c r="DG152">
        <f>IFERROR(SMALL(DG39:DG103,ROW()-ROW($DG$106)+1),"")</f>
        <v>0</v>
      </c>
      <c r="DH152">
        <f>IFERROR(SMALL(DH39:DH103,ROW()-ROW($DH$106)+1),"")</f>
        <v>0</v>
      </c>
      <c r="DI152">
        <f>IFERROR(SMALL(DI39:DI103,ROW()-ROW($DI$106)+1),"")</f>
        <v>0</v>
      </c>
      <c r="DJ152">
        <f>IFERROR(SMALL(DJ39:DJ103,ROW()-ROW($DJ$106)+1),"")</f>
        <v>0</v>
      </c>
      <c r="DK152">
        <f>IFERROR(SMALL(DK39:DK103,ROW()-ROW($DK$106)+1),"")</f>
        <v>0</v>
      </c>
      <c r="DL152">
        <f>IFERROR(SMALL(DL39:DL103,ROW()-ROW($DL$106)+1),"")</f>
        <v>0</v>
      </c>
      <c r="DM152">
        <f>IFERROR(SMALL(DM39:DM103,ROW()-ROW($DM$106)+1),"")</f>
        <v>0</v>
      </c>
      <c r="DN152">
        <f>IFERROR(SMALL(DN39:DN103,ROW()-ROW($DN$106)+1),"")</f>
        <v>0</v>
      </c>
      <c r="DO152">
        <f>IFERROR(SMALL(DO39:DO103,ROW()-ROW($DO$106)+1),"")</f>
        <v>0</v>
      </c>
      <c r="DP152">
        <f>IFERROR(SMALL(DP39:DP103,ROW()-ROW($DP$106)+1),"")</f>
        <v>0</v>
      </c>
      <c r="DQ152">
        <f>IFERROR(SMALL(DQ39:DQ103,ROW()-ROW($DQ$106)+1),"")</f>
        <v>0</v>
      </c>
      <c r="DR152">
        <f>IFERROR(SMALL(DR39:DR103,ROW()-ROW($DR$106)+1),"")</f>
        <v>0</v>
      </c>
      <c r="DS152">
        <f>IFERROR(SMALL(DS39:DS103,ROW()-ROW($DS$106)+1),"")</f>
        <v>0</v>
      </c>
      <c r="DT152">
        <f>IFERROR(SMALL(DT39:DT103,ROW()-ROW($DT$106)+1),"")</f>
        <v>0</v>
      </c>
      <c r="DU152">
        <f>IFERROR(SMALL(DU39:DU103,ROW()-ROW($DU$106)+1),"")</f>
        <v>0</v>
      </c>
      <c r="DV152">
        <f>IFERROR(SMALL(DV39:DV103,ROW()-ROW($DV$106)+1),"")</f>
        <v>0</v>
      </c>
      <c r="DW152">
        <f>IFERROR(SMALL(DW39:DW103,ROW()-ROW($DW$106)+1),"")</f>
        <v>0</v>
      </c>
      <c r="DX152">
        <f>IFERROR(SMALL(DX39:DX103,ROW()-ROW($DX$106)+1),"")</f>
        <v>0</v>
      </c>
      <c r="DY152">
        <f>IFERROR(SMALL(DY39:DY103,ROW()-ROW($DY$106)+1),"")</f>
        <v>0</v>
      </c>
      <c r="DZ152">
        <f>IFERROR(SMALL(DZ39:DZ103,ROW()-ROW($DZ$106)+1),"")</f>
        <v>0</v>
      </c>
      <c r="EA152">
        <f>IFERROR(SMALL(EA39:EA103,ROW()-ROW($EA$106)+1),"")</f>
        <v>0</v>
      </c>
      <c r="EB152">
        <f>IFERROR(SMALL(EB39:EB103,ROW()-ROW($EB$106)+1),"")</f>
        <v>0</v>
      </c>
      <c r="EC152">
        <f>IFERROR(SMALL(EC39:EC103,ROW()-ROW($EC$106)+1),"")</f>
        <v>0</v>
      </c>
      <c r="ED152">
        <f>IFERROR(SMALL(ED39:ED103,ROW()-ROW($ED$106)+1),"")</f>
        <v>0</v>
      </c>
    </row>
    <row r="153" spans="5:134">
      <c r="E153">
        <f>IFERROR(SMALL(E39:E103,ROW()-ROW($E$106)+1),"")</f>
        <v>0</v>
      </c>
      <c r="F153">
        <f>IFERROR(SMALL(F39:F103,ROW()-ROW($F$106)+1),"")</f>
        <v>0</v>
      </c>
      <c r="G153">
        <f>IFERROR(SMALL(G39:G103,ROW()-ROW($G$106)+1),"")</f>
        <v>0</v>
      </c>
      <c r="H153">
        <f>IFERROR(SMALL(H39:H103,ROW()-ROW($H$106)+1),"")</f>
        <v>0</v>
      </c>
      <c r="I153">
        <f>IFERROR(SMALL(I39:I103,ROW()-ROW($I$106)+1),"")</f>
        <v>0</v>
      </c>
      <c r="J153">
        <f>IFERROR(SMALL(J39:J103,ROW()-ROW($J$106)+1),"")</f>
        <v>0</v>
      </c>
      <c r="K153">
        <f>IFERROR(SMALL(K39:K103,ROW()-ROW($K$106)+1),"")</f>
        <v>0</v>
      </c>
      <c r="L153">
        <f>IFERROR(SMALL(L39:L103,ROW()-ROW($L$106)+1),"")</f>
        <v>0</v>
      </c>
      <c r="M153">
        <f>IFERROR(SMALL(M39:M103,ROW()-ROW($M$106)+1),"")</f>
        <v>0</v>
      </c>
      <c r="N153">
        <f>IFERROR(SMALL(N39:N103,ROW()-ROW($N$106)+1),"")</f>
        <v>0</v>
      </c>
      <c r="O153">
        <f>IFERROR(SMALL(O39:O103,ROW()-ROW($O$106)+1),"")</f>
        <v>0</v>
      </c>
      <c r="P153">
        <f>IFERROR(SMALL(P39:P103,ROW()-ROW($P$106)+1),"")</f>
        <v>0</v>
      </c>
      <c r="Q153">
        <f>IFERROR(SMALL(Q39:Q103,ROW()-ROW($Q$106)+1),"")</f>
        <v>0</v>
      </c>
      <c r="R153">
        <f>IFERROR(SMALL(R39:R103,ROW()-ROW($R$106)+1),"")</f>
        <v>0</v>
      </c>
      <c r="S153">
        <f>IFERROR(SMALL(S39:S103,ROW()-ROW($S$106)+1),"")</f>
        <v>0</v>
      </c>
      <c r="T153">
        <f>IFERROR(SMALL(T39:T103,ROW()-ROW($T$106)+1),"")</f>
        <v>0</v>
      </c>
      <c r="U153">
        <f>IFERROR(SMALL(U39:U103,ROW()-ROW($U$106)+1),"")</f>
        <v>0</v>
      </c>
      <c r="V153">
        <f>IFERROR(SMALL(V39:V103,ROW()-ROW($V$106)+1),"")</f>
        <v>0</v>
      </c>
      <c r="W153">
        <f>IFERROR(SMALL(W39:W103,ROW()-ROW($W$106)+1),"")</f>
        <v>0</v>
      </c>
      <c r="X153">
        <f>IFERROR(SMALL(X39:X103,ROW()-ROW($X$106)+1),"")</f>
        <v>0</v>
      </c>
      <c r="Y153">
        <f>IFERROR(SMALL(Y39:Y103,ROW()-ROW($Y$106)+1),"")</f>
        <v>0</v>
      </c>
      <c r="Z153">
        <f>IFERROR(SMALL(Z39:Z103,ROW()-ROW($Z$106)+1),"")</f>
        <v>0</v>
      </c>
      <c r="AA153">
        <f>IFERROR(SMALL(AA39:AA103,ROW()-ROW($AA$106)+1),"")</f>
        <v>0</v>
      </c>
      <c r="AB153">
        <f>IFERROR(SMALL(AB39:AB103,ROW()-ROW($AB$106)+1),"")</f>
        <v>0</v>
      </c>
      <c r="AC153">
        <f>IFERROR(SMALL(AC39:AC103,ROW()-ROW($AC$106)+1),"")</f>
        <v>0</v>
      </c>
      <c r="AD153">
        <f>IFERROR(SMALL(AD39:AD103,ROW()-ROW($AD$106)+1),"")</f>
        <v>0</v>
      </c>
      <c r="AE153">
        <f>IFERROR(SMALL(AE39:AE103,ROW()-ROW($AE$106)+1),"")</f>
        <v>0</v>
      </c>
      <c r="AF153">
        <f>IFERROR(SMALL(AF39:AF103,ROW()-ROW($AF$106)+1),"")</f>
        <v>0</v>
      </c>
      <c r="AG153">
        <f>IFERROR(SMALL(AG39:AG103,ROW()-ROW($AG$106)+1),"")</f>
        <v>0</v>
      </c>
      <c r="AH153">
        <f>IFERROR(SMALL(AH39:AH103,ROW()-ROW($AH$106)+1),"")</f>
        <v>0</v>
      </c>
      <c r="AI153">
        <f>IFERROR(SMALL(AI39:AI103,ROW()-ROW($AI$106)+1),"")</f>
        <v>0</v>
      </c>
      <c r="AJ153">
        <f>IFERROR(SMALL(AJ39:AJ103,ROW()-ROW($AJ$106)+1),"")</f>
        <v>0</v>
      </c>
      <c r="AK153">
        <f>IFERROR(SMALL(AK39:AK103,ROW()-ROW($AK$106)+1),"")</f>
        <v>0</v>
      </c>
      <c r="AL153">
        <f>IFERROR(SMALL(AL39:AL103,ROW()-ROW($AL$106)+1),"")</f>
        <v>0</v>
      </c>
      <c r="AM153">
        <f>IFERROR(SMALL(AM39:AM103,ROW()-ROW($AM$106)+1),"")</f>
        <v>0</v>
      </c>
      <c r="AN153">
        <f>IFERROR(SMALL(AN39:AN103,ROW()-ROW($AN$106)+1),"")</f>
        <v>0</v>
      </c>
      <c r="AO153">
        <f>IFERROR(SMALL(AO39:AO103,ROW()-ROW($AO$106)+1),"")</f>
        <v>0</v>
      </c>
      <c r="AP153">
        <f>IFERROR(SMALL(AP39:AP103,ROW()-ROW($AP$106)+1),"")</f>
        <v>0</v>
      </c>
      <c r="AQ153">
        <f>IFERROR(SMALL(AQ39:AQ103,ROW()-ROW($AQ$106)+1),"")</f>
        <v>0</v>
      </c>
      <c r="AR153">
        <f>IFERROR(SMALL(AR39:AR103,ROW()-ROW($AR$106)+1),"")</f>
        <v>0</v>
      </c>
      <c r="AS153">
        <f>IFERROR(SMALL(AS39:AS103,ROW()-ROW($AS$106)+1),"")</f>
        <v>0</v>
      </c>
      <c r="AT153">
        <f>IFERROR(SMALL(AT39:AT103,ROW()-ROW($AT$106)+1),"")</f>
        <v>0</v>
      </c>
      <c r="AU153">
        <f>IFERROR(SMALL(AU39:AU103,ROW()-ROW($AU$106)+1),"")</f>
        <v>0</v>
      </c>
      <c r="AV153">
        <f>IFERROR(SMALL(AV39:AV103,ROW()-ROW($AV$106)+1),"")</f>
        <v>0</v>
      </c>
      <c r="AW153">
        <f>IFERROR(SMALL(AW39:AW103,ROW()-ROW($AW$106)+1),"")</f>
        <v>0</v>
      </c>
      <c r="AX153">
        <f>IFERROR(SMALL(AX39:AX103,ROW()-ROW($AX$106)+1),"")</f>
        <v>0</v>
      </c>
      <c r="AY153">
        <f>IFERROR(SMALL(AY39:AY103,ROW()-ROW($AY$106)+1),"")</f>
        <v>0</v>
      </c>
      <c r="AZ153">
        <f>IFERROR(SMALL(AZ39:AZ103,ROW()-ROW($AZ$106)+1),"")</f>
        <v>0</v>
      </c>
      <c r="BA153">
        <f>IFERROR(SMALL(BA39:BA103,ROW()-ROW($BA$106)+1),"")</f>
        <v>0</v>
      </c>
      <c r="BB153">
        <f>IFERROR(SMALL(BB39:BB103,ROW()-ROW($BB$106)+1),"")</f>
        <v>0</v>
      </c>
      <c r="BC153">
        <f>IFERROR(SMALL(BC39:BC103,ROW()-ROW($BC$106)+1),"")</f>
        <v>0</v>
      </c>
      <c r="BD153">
        <f>IFERROR(SMALL(BD39:BD103,ROW()-ROW($BD$106)+1),"")</f>
        <v>0</v>
      </c>
      <c r="BE153">
        <f>IFERROR(SMALL(BE39:BE103,ROW()-ROW($BE$106)+1),"")</f>
        <v>0</v>
      </c>
      <c r="BF153">
        <f>IFERROR(SMALL(BF39:BF103,ROW()-ROW($BF$106)+1),"")</f>
        <v>0</v>
      </c>
      <c r="BG153">
        <f>IFERROR(SMALL(BG39:BG103,ROW()-ROW($BG$106)+1),"")</f>
        <v>0</v>
      </c>
      <c r="BH153">
        <f>IFERROR(SMALL(BH39:BH103,ROW()-ROW($BH$106)+1),"")</f>
        <v>0</v>
      </c>
      <c r="BI153">
        <f>IFERROR(SMALL(BI39:BI103,ROW()-ROW($BI$106)+1),"")</f>
        <v>0</v>
      </c>
      <c r="BJ153">
        <f>IFERROR(SMALL(BJ39:BJ103,ROW()-ROW($BJ$106)+1),"")</f>
        <v>0</v>
      </c>
      <c r="BK153">
        <f>IFERROR(SMALL(BK39:BK103,ROW()-ROW($BK$106)+1),"")</f>
        <v>0</v>
      </c>
      <c r="BL153">
        <f>IFERROR(SMALL(BL39:BL103,ROW()-ROW($BL$106)+1),"")</f>
        <v>0</v>
      </c>
      <c r="BM153">
        <f>IFERROR(SMALL(BM39:BM103,ROW()-ROW($BM$106)+1),"")</f>
        <v>0</v>
      </c>
      <c r="BN153">
        <f>IFERROR(SMALL(BN39:BN103,ROW()-ROW($BN$106)+1),"")</f>
        <v>0</v>
      </c>
      <c r="BO153">
        <f>IFERROR(SMALL(BO39:BO103,ROW()-ROW($BO$106)+1),"")</f>
        <v>0</v>
      </c>
      <c r="BP153">
        <f>IFERROR(SMALL(BP39:BP103,ROW()-ROW($BP$106)+1),"")</f>
        <v>0</v>
      </c>
      <c r="BS153">
        <f>IFERROR(SMALL(BS39:BS103,ROW()-ROW($BS$106)+1),"")</f>
        <v>0</v>
      </c>
      <c r="BT153">
        <f>IFERROR(SMALL(BT39:BT103,ROW()-ROW($BT$106)+1),"")</f>
        <v>0</v>
      </c>
      <c r="BU153">
        <f>IFERROR(SMALL(BU39:BU103,ROW()-ROW($BU$106)+1),"")</f>
        <v>0</v>
      </c>
      <c r="BV153">
        <f>IFERROR(SMALL(BV39:BV103,ROW()-ROW($BV$106)+1),"")</f>
        <v>0</v>
      </c>
      <c r="BW153">
        <f>IFERROR(SMALL(BW39:BW103,ROW()-ROW($BW$106)+1),"")</f>
        <v>0</v>
      </c>
      <c r="BX153">
        <f>IFERROR(SMALL(BX39:BX103,ROW()-ROW($BX$106)+1),"")</f>
        <v>0</v>
      </c>
      <c r="BY153">
        <f>IFERROR(SMALL(BY39:BY103,ROW()-ROW($BY$106)+1),"")</f>
        <v>0</v>
      </c>
      <c r="BZ153">
        <f>IFERROR(SMALL(BZ39:BZ103,ROW()-ROW($BZ$106)+1),"")</f>
        <v>0</v>
      </c>
      <c r="CA153">
        <f>IFERROR(SMALL(CA39:CA103,ROW()-ROW($CA$106)+1),"")</f>
        <v>0</v>
      </c>
      <c r="CB153">
        <f>IFERROR(SMALL(CB39:CB103,ROW()-ROW($CB$106)+1),"")</f>
        <v>0</v>
      </c>
      <c r="CC153">
        <f>IFERROR(SMALL(CC39:CC103,ROW()-ROW($CC$106)+1),"")</f>
        <v>0</v>
      </c>
      <c r="CD153">
        <f>IFERROR(SMALL(CD39:CD103,ROW()-ROW($CD$106)+1),"")</f>
        <v>0</v>
      </c>
      <c r="CE153">
        <f>IFERROR(SMALL(CE39:CE103,ROW()-ROW($CE$106)+1),"")</f>
        <v>0</v>
      </c>
      <c r="CF153">
        <f>IFERROR(SMALL(CF39:CF103,ROW()-ROW($CF$106)+1),"")</f>
        <v>0</v>
      </c>
      <c r="CG153">
        <f>IFERROR(SMALL(CG39:CG103,ROW()-ROW($CG$106)+1),"")</f>
        <v>0</v>
      </c>
      <c r="CH153">
        <f>IFERROR(SMALL(CH39:CH103,ROW()-ROW($CH$106)+1),"")</f>
        <v>0</v>
      </c>
      <c r="CI153">
        <f>IFERROR(SMALL(CI39:CI103,ROW()-ROW($CI$106)+1),"")</f>
        <v>0</v>
      </c>
      <c r="CJ153">
        <f>IFERROR(SMALL(CJ39:CJ103,ROW()-ROW($CJ$106)+1),"")</f>
        <v>0</v>
      </c>
      <c r="CK153">
        <f>IFERROR(SMALL(CK39:CK103,ROW()-ROW($CK$106)+1),"")</f>
        <v>0</v>
      </c>
      <c r="CL153">
        <f>IFERROR(SMALL(CL39:CL103,ROW()-ROW($CL$106)+1),"")</f>
        <v>0</v>
      </c>
      <c r="CM153">
        <f>IFERROR(SMALL(CM39:CM103,ROW()-ROW($CM$106)+1),"")</f>
        <v>0</v>
      </c>
      <c r="CN153">
        <f>IFERROR(SMALL(CN39:CN103,ROW()-ROW($CN$106)+1),"")</f>
        <v>0</v>
      </c>
      <c r="CO153">
        <f>IFERROR(SMALL(CO39:CO103,ROW()-ROW($CO$106)+1),"")</f>
        <v>0</v>
      </c>
      <c r="CP153">
        <f>IFERROR(SMALL(CP39:CP103,ROW()-ROW($CP$106)+1),"")</f>
        <v>0</v>
      </c>
      <c r="CQ153">
        <f>IFERROR(SMALL(CQ39:CQ103,ROW()-ROW($CQ$106)+1),"")</f>
        <v>0</v>
      </c>
      <c r="CR153">
        <f>IFERROR(SMALL(CR39:CR103,ROW()-ROW($CR$106)+1),"")</f>
        <v>0</v>
      </c>
      <c r="CS153">
        <f>IFERROR(SMALL(CS39:CS103,ROW()-ROW($CS$106)+1),"")</f>
        <v>0</v>
      </c>
      <c r="CT153">
        <f>IFERROR(SMALL(CT39:CT103,ROW()-ROW($CT$106)+1),"")</f>
        <v>0</v>
      </c>
      <c r="CU153">
        <f>IFERROR(SMALL(CU39:CU103,ROW()-ROW($CU$106)+1),"")</f>
        <v>0</v>
      </c>
      <c r="CV153">
        <f>IFERROR(SMALL(CV39:CV103,ROW()-ROW($CV$106)+1),"")</f>
        <v>0</v>
      </c>
      <c r="CW153">
        <f>IFERROR(SMALL(CW39:CW103,ROW()-ROW($CW$106)+1),"")</f>
        <v>0</v>
      </c>
      <c r="CX153">
        <f>IFERROR(SMALL(CX39:CX103,ROW()-ROW($CX$106)+1),"")</f>
        <v>0</v>
      </c>
      <c r="CY153">
        <f>IFERROR(SMALL(CY39:CY103,ROW()-ROW($CY$106)+1),"")</f>
        <v>0</v>
      </c>
      <c r="CZ153">
        <f>IFERROR(SMALL(CZ39:CZ103,ROW()-ROW($CZ$106)+1),"")</f>
        <v>0</v>
      </c>
      <c r="DA153">
        <f>IFERROR(SMALL(DA39:DA103,ROW()-ROW($DA$106)+1),"")</f>
        <v>0</v>
      </c>
      <c r="DB153">
        <f>IFERROR(SMALL(DB39:DB103,ROW()-ROW($DB$106)+1),"")</f>
        <v>0</v>
      </c>
      <c r="DC153">
        <f>IFERROR(SMALL(DC39:DC103,ROW()-ROW($DC$106)+1),"")</f>
        <v>0</v>
      </c>
      <c r="DD153">
        <f>IFERROR(SMALL(DD39:DD103,ROW()-ROW($DD$106)+1),"")</f>
        <v>0</v>
      </c>
      <c r="DE153">
        <f>IFERROR(SMALL(DE39:DE103,ROW()-ROW($DE$106)+1),"")</f>
        <v>0</v>
      </c>
      <c r="DF153">
        <f>IFERROR(SMALL(DF39:DF103,ROW()-ROW($DF$106)+1),"")</f>
        <v>0</v>
      </c>
      <c r="DG153">
        <f>IFERROR(SMALL(DG39:DG103,ROW()-ROW($DG$106)+1),"")</f>
        <v>0</v>
      </c>
      <c r="DH153">
        <f>IFERROR(SMALL(DH39:DH103,ROW()-ROW($DH$106)+1),"")</f>
        <v>0</v>
      </c>
      <c r="DI153">
        <f>IFERROR(SMALL(DI39:DI103,ROW()-ROW($DI$106)+1),"")</f>
        <v>0</v>
      </c>
      <c r="DJ153">
        <f>IFERROR(SMALL(DJ39:DJ103,ROW()-ROW($DJ$106)+1),"")</f>
        <v>0</v>
      </c>
      <c r="DK153">
        <f>IFERROR(SMALL(DK39:DK103,ROW()-ROW($DK$106)+1),"")</f>
        <v>0</v>
      </c>
      <c r="DL153">
        <f>IFERROR(SMALL(DL39:DL103,ROW()-ROW($DL$106)+1),"")</f>
        <v>0</v>
      </c>
      <c r="DM153">
        <f>IFERROR(SMALL(DM39:DM103,ROW()-ROW($DM$106)+1),"")</f>
        <v>0</v>
      </c>
      <c r="DN153">
        <f>IFERROR(SMALL(DN39:DN103,ROW()-ROW($DN$106)+1),"")</f>
        <v>0</v>
      </c>
      <c r="DO153">
        <f>IFERROR(SMALL(DO39:DO103,ROW()-ROW($DO$106)+1),"")</f>
        <v>0</v>
      </c>
      <c r="DP153">
        <f>IFERROR(SMALL(DP39:DP103,ROW()-ROW($DP$106)+1),"")</f>
        <v>0</v>
      </c>
      <c r="DQ153">
        <f>IFERROR(SMALL(DQ39:DQ103,ROW()-ROW($DQ$106)+1),"")</f>
        <v>0</v>
      </c>
      <c r="DR153">
        <f>IFERROR(SMALL(DR39:DR103,ROW()-ROW($DR$106)+1),"")</f>
        <v>0</v>
      </c>
      <c r="DS153">
        <f>IFERROR(SMALL(DS39:DS103,ROW()-ROW($DS$106)+1),"")</f>
        <v>0</v>
      </c>
      <c r="DT153">
        <f>IFERROR(SMALL(DT39:DT103,ROW()-ROW($DT$106)+1),"")</f>
        <v>0</v>
      </c>
      <c r="DU153">
        <f>IFERROR(SMALL(DU39:DU103,ROW()-ROW($DU$106)+1),"")</f>
        <v>0</v>
      </c>
      <c r="DV153">
        <f>IFERROR(SMALL(DV39:DV103,ROW()-ROW($DV$106)+1),"")</f>
        <v>0</v>
      </c>
      <c r="DW153">
        <f>IFERROR(SMALL(DW39:DW103,ROW()-ROW($DW$106)+1),"")</f>
        <v>0</v>
      </c>
      <c r="DX153">
        <f>IFERROR(SMALL(DX39:DX103,ROW()-ROW($DX$106)+1),"")</f>
        <v>0</v>
      </c>
      <c r="DY153">
        <f>IFERROR(SMALL(DY39:DY103,ROW()-ROW($DY$106)+1),"")</f>
        <v>0</v>
      </c>
      <c r="DZ153">
        <f>IFERROR(SMALL(DZ39:DZ103,ROW()-ROW($DZ$106)+1),"")</f>
        <v>0</v>
      </c>
      <c r="EA153">
        <f>IFERROR(SMALL(EA39:EA103,ROW()-ROW($EA$106)+1),"")</f>
        <v>0</v>
      </c>
      <c r="EB153">
        <f>IFERROR(SMALL(EB39:EB103,ROW()-ROW($EB$106)+1),"")</f>
        <v>0</v>
      </c>
      <c r="EC153">
        <f>IFERROR(SMALL(EC39:EC103,ROW()-ROW($EC$106)+1),"")</f>
        <v>0</v>
      </c>
      <c r="ED153">
        <f>IFERROR(SMALL(ED39:ED103,ROW()-ROW($ED$106)+1),"")</f>
        <v>0</v>
      </c>
    </row>
    <row r="154" spans="5:134">
      <c r="E154">
        <f>IFERROR(SMALL(E39:E103,ROW()-ROW($E$106)+1),"")</f>
        <v>0</v>
      </c>
      <c r="F154">
        <f>IFERROR(SMALL(F39:F103,ROW()-ROW($F$106)+1),"")</f>
        <v>0</v>
      </c>
      <c r="G154">
        <f>IFERROR(SMALL(G39:G103,ROW()-ROW($G$106)+1),"")</f>
        <v>0</v>
      </c>
      <c r="H154">
        <f>IFERROR(SMALL(H39:H103,ROW()-ROW($H$106)+1),"")</f>
        <v>0</v>
      </c>
      <c r="I154">
        <f>IFERROR(SMALL(I39:I103,ROW()-ROW($I$106)+1),"")</f>
        <v>0</v>
      </c>
      <c r="J154">
        <f>IFERROR(SMALL(J39:J103,ROW()-ROW($J$106)+1),"")</f>
        <v>0</v>
      </c>
      <c r="K154">
        <f>IFERROR(SMALL(K39:K103,ROW()-ROW($K$106)+1),"")</f>
        <v>0</v>
      </c>
      <c r="L154">
        <f>IFERROR(SMALL(L39:L103,ROW()-ROW($L$106)+1),"")</f>
        <v>0</v>
      </c>
      <c r="M154">
        <f>IFERROR(SMALL(M39:M103,ROW()-ROW($M$106)+1),"")</f>
        <v>0</v>
      </c>
      <c r="N154">
        <f>IFERROR(SMALL(N39:N103,ROW()-ROW($N$106)+1),"")</f>
        <v>0</v>
      </c>
      <c r="O154">
        <f>IFERROR(SMALL(O39:O103,ROW()-ROW($O$106)+1),"")</f>
        <v>0</v>
      </c>
      <c r="P154">
        <f>IFERROR(SMALL(P39:P103,ROW()-ROW($P$106)+1),"")</f>
        <v>0</v>
      </c>
      <c r="Q154">
        <f>IFERROR(SMALL(Q39:Q103,ROW()-ROW($Q$106)+1),"")</f>
        <v>0</v>
      </c>
      <c r="R154">
        <f>IFERROR(SMALL(R39:R103,ROW()-ROW($R$106)+1),"")</f>
        <v>0</v>
      </c>
      <c r="S154">
        <f>IFERROR(SMALL(S39:S103,ROW()-ROW($S$106)+1),"")</f>
        <v>0</v>
      </c>
      <c r="T154">
        <f>IFERROR(SMALL(T39:T103,ROW()-ROW($T$106)+1),"")</f>
        <v>0</v>
      </c>
      <c r="U154">
        <f>IFERROR(SMALL(U39:U103,ROW()-ROW($U$106)+1),"")</f>
        <v>0</v>
      </c>
      <c r="V154">
        <f>IFERROR(SMALL(V39:V103,ROW()-ROW($V$106)+1),"")</f>
        <v>0</v>
      </c>
      <c r="W154">
        <f>IFERROR(SMALL(W39:W103,ROW()-ROW($W$106)+1),"")</f>
        <v>0</v>
      </c>
      <c r="X154">
        <f>IFERROR(SMALL(X39:X103,ROW()-ROW($X$106)+1),"")</f>
        <v>0</v>
      </c>
      <c r="Y154">
        <f>IFERROR(SMALL(Y39:Y103,ROW()-ROW($Y$106)+1),"")</f>
        <v>0</v>
      </c>
      <c r="Z154">
        <f>IFERROR(SMALL(Z39:Z103,ROW()-ROW($Z$106)+1),"")</f>
        <v>0</v>
      </c>
      <c r="AA154">
        <f>IFERROR(SMALL(AA39:AA103,ROW()-ROW($AA$106)+1),"")</f>
        <v>0</v>
      </c>
      <c r="AB154">
        <f>IFERROR(SMALL(AB39:AB103,ROW()-ROW($AB$106)+1),"")</f>
        <v>0</v>
      </c>
      <c r="AC154">
        <f>IFERROR(SMALL(AC39:AC103,ROW()-ROW($AC$106)+1),"")</f>
        <v>0</v>
      </c>
      <c r="AD154">
        <f>IFERROR(SMALL(AD39:AD103,ROW()-ROW($AD$106)+1),"")</f>
        <v>0</v>
      </c>
      <c r="AE154">
        <f>IFERROR(SMALL(AE39:AE103,ROW()-ROW($AE$106)+1),"")</f>
        <v>0</v>
      </c>
      <c r="AF154">
        <f>IFERROR(SMALL(AF39:AF103,ROW()-ROW($AF$106)+1),"")</f>
        <v>0</v>
      </c>
      <c r="AG154">
        <f>IFERROR(SMALL(AG39:AG103,ROW()-ROW($AG$106)+1),"")</f>
        <v>0</v>
      </c>
      <c r="AH154">
        <f>IFERROR(SMALL(AH39:AH103,ROW()-ROW($AH$106)+1),"")</f>
        <v>0</v>
      </c>
      <c r="AI154">
        <f>IFERROR(SMALL(AI39:AI103,ROW()-ROW($AI$106)+1),"")</f>
        <v>0</v>
      </c>
      <c r="AJ154">
        <f>IFERROR(SMALL(AJ39:AJ103,ROW()-ROW($AJ$106)+1),"")</f>
        <v>0</v>
      </c>
      <c r="AK154">
        <f>IFERROR(SMALL(AK39:AK103,ROW()-ROW($AK$106)+1),"")</f>
        <v>0</v>
      </c>
      <c r="AL154">
        <f>IFERROR(SMALL(AL39:AL103,ROW()-ROW($AL$106)+1),"")</f>
        <v>0</v>
      </c>
      <c r="AM154">
        <f>IFERROR(SMALL(AM39:AM103,ROW()-ROW($AM$106)+1),"")</f>
        <v>0</v>
      </c>
      <c r="AN154">
        <f>IFERROR(SMALL(AN39:AN103,ROW()-ROW($AN$106)+1),"")</f>
        <v>0</v>
      </c>
      <c r="AO154">
        <f>IFERROR(SMALL(AO39:AO103,ROW()-ROW($AO$106)+1),"")</f>
        <v>0</v>
      </c>
      <c r="AP154">
        <f>IFERROR(SMALL(AP39:AP103,ROW()-ROW($AP$106)+1),"")</f>
        <v>0</v>
      </c>
      <c r="AQ154">
        <f>IFERROR(SMALL(AQ39:AQ103,ROW()-ROW($AQ$106)+1),"")</f>
        <v>0</v>
      </c>
      <c r="AR154">
        <f>IFERROR(SMALL(AR39:AR103,ROW()-ROW($AR$106)+1),"")</f>
        <v>0</v>
      </c>
      <c r="AS154">
        <f>IFERROR(SMALL(AS39:AS103,ROW()-ROW($AS$106)+1),"")</f>
        <v>0</v>
      </c>
      <c r="AT154">
        <f>IFERROR(SMALL(AT39:AT103,ROW()-ROW($AT$106)+1),"")</f>
        <v>0</v>
      </c>
      <c r="AU154">
        <f>IFERROR(SMALL(AU39:AU103,ROW()-ROW($AU$106)+1),"")</f>
        <v>0</v>
      </c>
      <c r="AV154">
        <f>IFERROR(SMALL(AV39:AV103,ROW()-ROW($AV$106)+1),"")</f>
        <v>0</v>
      </c>
      <c r="AW154">
        <f>IFERROR(SMALL(AW39:AW103,ROW()-ROW($AW$106)+1),"")</f>
        <v>0</v>
      </c>
      <c r="AX154">
        <f>IFERROR(SMALL(AX39:AX103,ROW()-ROW($AX$106)+1),"")</f>
        <v>0</v>
      </c>
      <c r="AY154">
        <f>IFERROR(SMALL(AY39:AY103,ROW()-ROW($AY$106)+1),"")</f>
        <v>0</v>
      </c>
      <c r="AZ154">
        <f>IFERROR(SMALL(AZ39:AZ103,ROW()-ROW($AZ$106)+1),"")</f>
        <v>0</v>
      </c>
      <c r="BA154">
        <f>IFERROR(SMALL(BA39:BA103,ROW()-ROW($BA$106)+1),"")</f>
        <v>0</v>
      </c>
      <c r="BB154">
        <f>IFERROR(SMALL(BB39:BB103,ROW()-ROW($BB$106)+1),"")</f>
        <v>0</v>
      </c>
      <c r="BC154">
        <f>IFERROR(SMALL(BC39:BC103,ROW()-ROW($BC$106)+1),"")</f>
        <v>0</v>
      </c>
      <c r="BD154">
        <f>IFERROR(SMALL(BD39:BD103,ROW()-ROW($BD$106)+1),"")</f>
        <v>0</v>
      </c>
      <c r="BE154">
        <f>IFERROR(SMALL(BE39:BE103,ROW()-ROW($BE$106)+1),"")</f>
        <v>0</v>
      </c>
      <c r="BF154">
        <f>IFERROR(SMALL(BF39:BF103,ROW()-ROW($BF$106)+1),"")</f>
        <v>0</v>
      </c>
      <c r="BG154">
        <f>IFERROR(SMALL(BG39:BG103,ROW()-ROW($BG$106)+1),"")</f>
        <v>0</v>
      </c>
      <c r="BH154">
        <f>IFERROR(SMALL(BH39:BH103,ROW()-ROW($BH$106)+1),"")</f>
        <v>0</v>
      </c>
      <c r="BI154">
        <f>IFERROR(SMALL(BI39:BI103,ROW()-ROW($BI$106)+1),"")</f>
        <v>0</v>
      </c>
      <c r="BJ154">
        <f>IFERROR(SMALL(BJ39:BJ103,ROW()-ROW($BJ$106)+1),"")</f>
        <v>0</v>
      </c>
      <c r="BK154">
        <f>IFERROR(SMALL(BK39:BK103,ROW()-ROW($BK$106)+1),"")</f>
        <v>0</v>
      </c>
      <c r="BL154">
        <f>IFERROR(SMALL(BL39:BL103,ROW()-ROW($BL$106)+1),"")</f>
        <v>0</v>
      </c>
      <c r="BM154">
        <f>IFERROR(SMALL(BM39:BM103,ROW()-ROW($BM$106)+1),"")</f>
        <v>0</v>
      </c>
      <c r="BN154">
        <f>IFERROR(SMALL(BN39:BN103,ROW()-ROW($BN$106)+1),"")</f>
        <v>0</v>
      </c>
      <c r="BO154">
        <f>IFERROR(SMALL(BO39:BO103,ROW()-ROW($BO$106)+1),"")</f>
        <v>0</v>
      </c>
      <c r="BP154">
        <f>IFERROR(SMALL(BP39:BP103,ROW()-ROW($BP$106)+1),"")</f>
        <v>0</v>
      </c>
      <c r="BS154">
        <f>IFERROR(SMALL(BS39:BS103,ROW()-ROW($BS$106)+1),"")</f>
        <v>0</v>
      </c>
      <c r="BT154">
        <f>IFERROR(SMALL(BT39:BT103,ROW()-ROW($BT$106)+1),"")</f>
        <v>0</v>
      </c>
      <c r="BU154">
        <f>IFERROR(SMALL(BU39:BU103,ROW()-ROW($BU$106)+1),"")</f>
        <v>0</v>
      </c>
      <c r="BV154">
        <f>IFERROR(SMALL(BV39:BV103,ROW()-ROW($BV$106)+1),"")</f>
        <v>0</v>
      </c>
      <c r="BW154">
        <f>IFERROR(SMALL(BW39:BW103,ROW()-ROW($BW$106)+1),"")</f>
        <v>0</v>
      </c>
      <c r="BX154">
        <f>IFERROR(SMALL(BX39:BX103,ROW()-ROW($BX$106)+1),"")</f>
        <v>0</v>
      </c>
      <c r="BY154">
        <f>IFERROR(SMALL(BY39:BY103,ROW()-ROW($BY$106)+1),"")</f>
        <v>0</v>
      </c>
      <c r="BZ154">
        <f>IFERROR(SMALL(BZ39:BZ103,ROW()-ROW($BZ$106)+1),"")</f>
        <v>0</v>
      </c>
      <c r="CA154">
        <f>IFERROR(SMALL(CA39:CA103,ROW()-ROW($CA$106)+1),"")</f>
        <v>0</v>
      </c>
      <c r="CB154">
        <f>IFERROR(SMALL(CB39:CB103,ROW()-ROW($CB$106)+1),"")</f>
        <v>0</v>
      </c>
      <c r="CC154">
        <f>IFERROR(SMALL(CC39:CC103,ROW()-ROW($CC$106)+1),"")</f>
        <v>0</v>
      </c>
      <c r="CD154">
        <f>IFERROR(SMALL(CD39:CD103,ROW()-ROW($CD$106)+1),"")</f>
        <v>0</v>
      </c>
      <c r="CE154">
        <f>IFERROR(SMALL(CE39:CE103,ROW()-ROW($CE$106)+1),"")</f>
        <v>0</v>
      </c>
      <c r="CF154">
        <f>IFERROR(SMALL(CF39:CF103,ROW()-ROW($CF$106)+1),"")</f>
        <v>0</v>
      </c>
      <c r="CG154">
        <f>IFERROR(SMALL(CG39:CG103,ROW()-ROW($CG$106)+1),"")</f>
        <v>0</v>
      </c>
      <c r="CH154">
        <f>IFERROR(SMALL(CH39:CH103,ROW()-ROW($CH$106)+1),"")</f>
        <v>0</v>
      </c>
      <c r="CI154">
        <f>IFERROR(SMALL(CI39:CI103,ROW()-ROW($CI$106)+1),"")</f>
        <v>0</v>
      </c>
      <c r="CJ154">
        <f>IFERROR(SMALL(CJ39:CJ103,ROW()-ROW($CJ$106)+1),"")</f>
        <v>0</v>
      </c>
      <c r="CK154">
        <f>IFERROR(SMALL(CK39:CK103,ROW()-ROW($CK$106)+1),"")</f>
        <v>0</v>
      </c>
      <c r="CL154">
        <f>IFERROR(SMALL(CL39:CL103,ROW()-ROW($CL$106)+1),"")</f>
        <v>0</v>
      </c>
      <c r="CM154">
        <f>IFERROR(SMALL(CM39:CM103,ROW()-ROW($CM$106)+1),"")</f>
        <v>0</v>
      </c>
      <c r="CN154">
        <f>IFERROR(SMALL(CN39:CN103,ROW()-ROW($CN$106)+1),"")</f>
        <v>0</v>
      </c>
      <c r="CO154">
        <f>IFERROR(SMALL(CO39:CO103,ROW()-ROW($CO$106)+1),"")</f>
        <v>0</v>
      </c>
      <c r="CP154">
        <f>IFERROR(SMALL(CP39:CP103,ROW()-ROW($CP$106)+1),"")</f>
        <v>0</v>
      </c>
      <c r="CQ154">
        <f>IFERROR(SMALL(CQ39:CQ103,ROW()-ROW($CQ$106)+1),"")</f>
        <v>0</v>
      </c>
      <c r="CR154">
        <f>IFERROR(SMALL(CR39:CR103,ROW()-ROW($CR$106)+1),"")</f>
        <v>0</v>
      </c>
      <c r="CS154">
        <f>IFERROR(SMALL(CS39:CS103,ROW()-ROW($CS$106)+1),"")</f>
        <v>0</v>
      </c>
      <c r="CT154">
        <f>IFERROR(SMALL(CT39:CT103,ROW()-ROW($CT$106)+1),"")</f>
        <v>0</v>
      </c>
      <c r="CU154">
        <f>IFERROR(SMALL(CU39:CU103,ROW()-ROW($CU$106)+1),"")</f>
        <v>0</v>
      </c>
      <c r="CV154">
        <f>IFERROR(SMALL(CV39:CV103,ROW()-ROW($CV$106)+1),"")</f>
        <v>0</v>
      </c>
      <c r="CW154">
        <f>IFERROR(SMALL(CW39:CW103,ROW()-ROW($CW$106)+1),"")</f>
        <v>0</v>
      </c>
      <c r="CX154">
        <f>IFERROR(SMALL(CX39:CX103,ROW()-ROW($CX$106)+1),"")</f>
        <v>0</v>
      </c>
      <c r="CY154">
        <f>IFERROR(SMALL(CY39:CY103,ROW()-ROW($CY$106)+1),"")</f>
        <v>0</v>
      </c>
      <c r="CZ154">
        <f>IFERROR(SMALL(CZ39:CZ103,ROW()-ROW($CZ$106)+1),"")</f>
        <v>0</v>
      </c>
      <c r="DA154">
        <f>IFERROR(SMALL(DA39:DA103,ROW()-ROW($DA$106)+1),"")</f>
        <v>0</v>
      </c>
      <c r="DB154">
        <f>IFERROR(SMALL(DB39:DB103,ROW()-ROW($DB$106)+1),"")</f>
        <v>0</v>
      </c>
      <c r="DC154">
        <f>IFERROR(SMALL(DC39:DC103,ROW()-ROW($DC$106)+1),"")</f>
        <v>0</v>
      </c>
      <c r="DD154">
        <f>IFERROR(SMALL(DD39:DD103,ROW()-ROW($DD$106)+1),"")</f>
        <v>0</v>
      </c>
      <c r="DE154">
        <f>IFERROR(SMALL(DE39:DE103,ROW()-ROW($DE$106)+1),"")</f>
        <v>0</v>
      </c>
      <c r="DF154">
        <f>IFERROR(SMALL(DF39:DF103,ROW()-ROW($DF$106)+1),"")</f>
        <v>0</v>
      </c>
      <c r="DG154">
        <f>IFERROR(SMALL(DG39:DG103,ROW()-ROW($DG$106)+1),"")</f>
        <v>0</v>
      </c>
      <c r="DH154">
        <f>IFERROR(SMALL(DH39:DH103,ROW()-ROW($DH$106)+1),"")</f>
        <v>0</v>
      </c>
      <c r="DI154">
        <f>IFERROR(SMALL(DI39:DI103,ROW()-ROW($DI$106)+1),"")</f>
        <v>0</v>
      </c>
      <c r="DJ154">
        <f>IFERROR(SMALL(DJ39:DJ103,ROW()-ROW($DJ$106)+1),"")</f>
        <v>0</v>
      </c>
      <c r="DK154">
        <f>IFERROR(SMALL(DK39:DK103,ROW()-ROW($DK$106)+1),"")</f>
        <v>0</v>
      </c>
      <c r="DL154">
        <f>IFERROR(SMALL(DL39:DL103,ROW()-ROW($DL$106)+1),"")</f>
        <v>0</v>
      </c>
      <c r="DM154">
        <f>IFERROR(SMALL(DM39:DM103,ROW()-ROW($DM$106)+1),"")</f>
        <v>0</v>
      </c>
      <c r="DN154">
        <f>IFERROR(SMALL(DN39:DN103,ROW()-ROW($DN$106)+1),"")</f>
        <v>0</v>
      </c>
      <c r="DO154">
        <f>IFERROR(SMALL(DO39:DO103,ROW()-ROW($DO$106)+1),"")</f>
        <v>0</v>
      </c>
      <c r="DP154">
        <f>IFERROR(SMALL(DP39:DP103,ROW()-ROW($DP$106)+1),"")</f>
        <v>0</v>
      </c>
      <c r="DQ154">
        <f>IFERROR(SMALL(DQ39:DQ103,ROW()-ROW($DQ$106)+1),"")</f>
        <v>0</v>
      </c>
      <c r="DR154">
        <f>IFERROR(SMALL(DR39:DR103,ROW()-ROW($DR$106)+1),"")</f>
        <v>0</v>
      </c>
      <c r="DS154">
        <f>IFERROR(SMALL(DS39:DS103,ROW()-ROW($DS$106)+1),"")</f>
        <v>0</v>
      </c>
      <c r="DT154">
        <f>IFERROR(SMALL(DT39:DT103,ROW()-ROW($DT$106)+1),"")</f>
        <v>0</v>
      </c>
      <c r="DU154">
        <f>IFERROR(SMALL(DU39:DU103,ROW()-ROW($DU$106)+1),"")</f>
        <v>0</v>
      </c>
      <c r="DV154">
        <f>IFERROR(SMALL(DV39:DV103,ROW()-ROW($DV$106)+1),"")</f>
        <v>0</v>
      </c>
      <c r="DW154">
        <f>IFERROR(SMALL(DW39:DW103,ROW()-ROW($DW$106)+1),"")</f>
        <v>0</v>
      </c>
      <c r="DX154">
        <f>IFERROR(SMALL(DX39:DX103,ROW()-ROW($DX$106)+1),"")</f>
        <v>0</v>
      </c>
      <c r="DY154">
        <f>IFERROR(SMALL(DY39:DY103,ROW()-ROW($DY$106)+1),"")</f>
        <v>0</v>
      </c>
      <c r="DZ154">
        <f>IFERROR(SMALL(DZ39:DZ103,ROW()-ROW($DZ$106)+1),"")</f>
        <v>0</v>
      </c>
      <c r="EA154">
        <f>IFERROR(SMALL(EA39:EA103,ROW()-ROW($EA$106)+1),"")</f>
        <v>0</v>
      </c>
      <c r="EB154">
        <f>IFERROR(SMALL(EB39:EB103,ROW()-ROW($EB$106)+1),"")</f>
        <v>0</v>
      </c>
      <c r="EC154">
        <f>IFERROR(SMALL(EC39:EC103,ROW()-ROW($EC$106)+1),"")</f>
        <v>0</v>
      </c>
      <c r="ED154">
        <f>IFERROR(SMALL(ED39:ED103,ROW()-ROW($ED$106)+1),"")</f>
        <v>0</v>
      </c>
    </row>
    <row r="155" spans="5:134">
      <c r="E155">
        <f>IFERROR(SMALL(E39:E103,ROW()-ROW($E$106)+1),"")</f>
        <v>0</v>
      </c>
      <c r="F155">
        <f>IFERROR(SMALL(F39:F103,ROW()-ROW($F$106)+1),"")</f>
        <v>0</v>
      </c>
      <c r="G155">
        <f>IFERROR(SMALL(G39:G103,ROW()-ROW($G$106)+1),"")</f>
        <v>0</v>
      </c>
      <c r="H155">
        <f>IFERROR(SMALL(H39:H103,ROW()-ROW($H$106)+1),"")</f>
        <v>0</v>
      </c>
      <c r="I155">
        <f>IFERROR(SMALL(I39:I103,ROW()-ROW($I$106)+1),"")</f>
        <v>0</v>
      </c>
      <c r="J155">
        <f>IFERROR(SMALL(J39:J103,ROW()-ROW($J$106)+1),"")</f>
        <v>0</v>
      </c>
      <c r="K155">
        <f>IFERROR(SMALL(K39:K103,ROW()-ROW($K$106)+1),"")</f>
        <v>0</v>
      </c>
      <c r="L155">
        <f>IFERROR(SMALL(L39:L103,ROW()-ROW($L$106)+1),"")</f>
        <v>0</v>
      </c>
      <c r="M155">
        <f>IFERROR(SMALL(M39:M103,ROW()-ROW($M$106)+1),"")</f>
        <v>0</v>
      </c>
      <c r="N155">
        <f>IFERROR(SMALL(N39:N103,ROW()-ROW($N$106)+1),"")</f>
        <v>0</v>
      </c>
      <c r="O155">
        <f>IFERROR(SMALL(O39:O103,ROW()-ROW($O$106)+1),"")</f>
        <v>0</v>
      </c>
      <c r="P155">
        <f>IFERROR(SMALL(P39:P103,ROW()-ROW($P$106)+1),"")</f>
        <v>0</v>
      </c>
      <c r="Q155">
        <f>IFERROR(SMALL(Q39:Q103,ROW()-ROW($Q$106)+1),"")</f>
        <v>0</v>
      </c>
      <c r="R155">
        <f>IFERROR(SMALL(R39:R103,ROW()-ROW($R$106)+1),"")</f>
        <v>0</v>
      </c>
      <c r="S155">
        <f>IFERROR(SMALL(S39:S103,ROW()-ROW($S$106)+1),"")</f>
        <v>0</v>
      </c>
      <c r="T155">
        <f>IFERROR(SMALL(T39:T103,ROW()-ROW($T$106)+1),"")</f>
        <v>0</v>
      </c>
      <c r="U155">
        <f>IFERROR(SMALL(U39:U103,ROW()-ROW($U$106)+1),"")</f>
        <v>0</v>
      </c>
      <c r="V155">
        <f>IFERROR(SMALL(V39:V103,ROW()-ROW($V$106)+1),"")</f>
        <v>0</v>
      </c>
      <c r="W155">
        <f>IFERROR(SMALL(W39:W103,ROW()-ROW($W$106)+1),"")</f>
        <v>0</v>
      </c>
      <c r="X155">
        <f>IFERROR(SMALL(X39:X103,ROW()-ROW($X$106)+1),"")</f>
        <v>0</v>
      </c>
      <c r="Y155">
        <f>IFERROR(SMALL(Y39:Y103,ROW()-ROW($Y$106)+1),"")</f>
        <v>0</v>
      </c>
      <c r="Z155">
        <f>IFERROR(SMALL(Z39:Z103,ROW()-ROW($Z$106)+1),"")</f>
        <v>0</v>
      </c>
      <c r="AA155">
        <f>IFERROR(SMALL(AA39:AA103,ROW()-ROW($AA$106)+1),"")</f>
        <v>0</v>
      </c>
      <c r="AB155">
        <f>IFERROR(SMALL(AB39:AB103,ROW()-ROW($AB$106)+1),"")</f>
        <v>0</v>
      </c>
      <c r="AC155">
        <f>IFERROR(SMALL(AC39:AC103,ROW()-ROW($AC$106)+1),"")</f>
        <v>0</v>
      </c>
      <c r="AD155">
        <f>IFERROR(SMALL(AD39:AD103,ROW()-ROW($AD$106)+1),"")</f>
        <v>0</v>
      </c>
      <c r="AE155">
        <f>IFERROR(SMALL(AE39:AE103,ROW()-ROW($AE$106)+1),"")</f>
        <v>0</v>
      </c>
      <c r="AF155">
        <f>IFERROR(SMALL(AF39:AF103,ROW()-ROW($AF$106)+1),"")</f>
        <v>0</v>
      </c>
      <c r="AG155">
        <f>IFERROR(SMALL(AG39:AG103,ROW()-ROW($AG$106)+1),"")</f>
        <v>0</v>
      </c>
      <c r="AH155">
        <f>IFERROR(SMALL(AH39:AH103,ROW()-ROW($AH$106)+1),"")</f>
        <v>0</v>
      </c>
      <c r="AI155">
        <f>IFERROR(SMALL(AI39:AI103,ROW()-ROW($AI$106)+1),"")</f>
        <v>0</v>
      </c>
      <c r="AJ155">
        <f>IFERROR(SMALL(AJ39:AJ103,ROW()-ROW($AJ$106)+1),"")</f>
        <v>0</v>
      </c>
      <c r="AK155">
        <f>IFERROR(SMALL(AK39:AK103,ROW()-ROW($AK$106)+1),"")</f>
        <v>0</v>
      </c>
      <c r="AL155">
        <f>IFERROR(SMALL(AL39:AL103,ROW()-ROW($AL$106)+1),"")</f>
        <v>0</v>
      </c>
      <c r="AM155">
        <f>IFERROR(SMALL(AM39:AM103,ROW()-ROW($AM$106)+1),"")</f>
        <v>0</v>
      </c>
      <c r="AN155">
        <f>IFERROR(SMALL(AN39:AN103,ROW()-ROW($AN$106)+1),"")</f>
        <v>0</v>
      </c>
      <c r="AO155">
        <f>IFERROR(SMALL(AO39:AO103,ROW()-ROW($AO$106)+1),"")</f>
        <v>0</v>
      </c>
      <c r="AP155">
        <f>IFERROR(SMALL(AP39:AP103,ROW()-ROW($AP$106)+1),"")</f>
        <v>0</v>
      </c>
      <c r="AQ155">
        <f>IFERROR(SMALL(AQ39:AQ103,ROW()-ROW($AQ$106)+1),"")</f>
        <v>0</v>
      </c>
      <c r="AR155">
        <f>IFERROR(SMALL(AR39:AR103,ROW()-ROW($AR$106)+1),"")</f>
        <v>0</v>
      </c>
      <c r="AS155">
        <f>IFERROR(SMALL(AS39:AS103,ROW()-ROW($AS$106)+1),"")</f>
        <v>0</v>
      </c>
      <c r="AT155">
        <f>IFERROR(SMALL(AT39:AT103,ROW()-ROW($AT$106)+1),"")</f>
        <v>0</v>
      </c>
      <c r="AU155">
        <f>IFERROR(SMALL(AU39:AU103,ROW()-ROW($AU$106)+1),"")</f>
        <v>0</v>
      </c>
      <c r="AV155">
        <f>IFERROR(SMALL(AV39:AV103,ROW()-ROW($AV$106)+1),"")</f>
        <v>0</v>
      </c>
      <c r="AW155">
        <f>IFERROR(SMALL(AW39:AW103,ROW()-ROW($AW$106)+1),"")</f>
        <v>0</v>
      </c>
      <c r="AX155">
        <f>IFERROR(SMALL(AX39:AX103,ROW()-ROW($AX$106)+1),"")</f>
        <v>0</v>
      </c>
      <c r="AY155">
        <f>IFERROR(SMALL(AY39:AY103,ROW()-ROW($AY$106)+1),"")</f>
        <v>0</v>
      </c>
      <c r="AZ155">
        <f>IFERROR(SMALL(AZ39:AZ103,ROW()-ROW($AZ$106)+1),"")</f>
        <v>0</v>
      </c>
      <c r="BA155">
        <f>IFERROR(SMALL(BA39:BA103,ROW()-ROW($BA$106)+1),"")</f>
        <v>0</v>
      </c>
      <c r="BB155">
        <f>IFERROR(SMALL(BB39:BB103,ROW()-ROW($BB$106)+1),"")</f>
        <v>0</v>
      </c>
      <c r="BC155">
        <f>IFERROR(SMALL(BC39:BC103,ROW()-ROW($BC$106)+1),"")</f>
        <v>0</v>
      </c>
      <c r="BD155">
        <f>IFERROR(SMALL(BD39:BD103,ROW()-ROW($BD$106)+1),"")</f>
        <v>0</v>
      </c>
      <c r="BE155">
        <f>IFERROR(SMALL(BE39:BE103,ROW()-ROW($BE$106)+1),"")</f>
        <v>0</v>
      </c>
      <c r="BF155">
        <f>IFERROR(SMALL(BF39:BF103,ROW()-ROW($BF$106)+1),"")</f>
        <v>0</v>
      </c>
      <c r="BG155">
        <f>IFERROR(SMALL(BG39:BG103,ROW()-ROW($BG$106)+1),"")</f>
        <v>0</v>
      </c>
      <c r="BH155">
        <f>IFERROR(SMALL(BH39:BH103,ROW()-ROW($BH$106)+1),"")</f>
        <v>0</v>
      </c>
      <c r="BI155">
        <f>IFERROR(SMALL(BI39:BI103,ROW()-ROW($BI$106)+1),"")</f>
        <v>0</v>
      </c>
      <c r="BJ155">
        <f>IFERROR(SMALL(BJ39:BJ103,ROW()-ROW($BJ$106)+1),"")</f>
        <v>0</v>
      </c>
      <c r="BK155">
        <f>IFERROR(SMALL(BK39:BK103,ROW()-ROW($BK$106)+1),"")</f>
        <v>0</v>
      </c>
      <c r="BL155">
        <f>IFERROR(SMALL(BL39:BL103,ROW()-ROW($BL$106)+1),"")</f>
        <v>0</v>
      </c>
      <c r="BM155">
        <f>IFERROR(SMALL(BM39:BM103,ROW()-ROW($BM$106)+1),"")</f>
        <v>0</v>
      </c>
      <c r="BN155">
        <f>IFERROR(SMALL(BN39:BN103,ROW()-ROW($BN$106)+1),"")</f>
        <v>0</v>
      </c>
      <c r="BO155">
        <f>IFERROR(SMALL(BO39:BO103,ROW()-ROW($BO$106)+1),"")</f>
        <v>0</v>
      </c>
      <c r="BP155">
        <f>IFERROR(SMALL(BP39:BP103,ROW()-ROW($BP$106)+1),"")</f>
        <v>0</v>
      </c>
      <c r="BS155">
        <f>IFERROR(SMALL(BS39:BS103,ROW()-ROW($BS$106)+1),"")</f>
        <v>0</v>
      </c>
      <c r="BT155">
        <f>IFERROR(SMALL(BT39:BT103,ROW()-ROW($BT$106)+1),"")</f>
        <v>0</v>
      </c>
      <c r="BU155">
        <f>IFERROR(SMALL(BU39:BU103,ROW()-ROW($BU$106)+1),"")</f>
        <v>0</v>
      </c>
      <c r="BV155">
        <f>IFERROR(SMALL(BV39:BV103,ROW()-ROW($BV$106)+1),"")</f>
        <v>0</v>
      </c>
      <c r="BW155">
        <f>IFERROR(SMALL(BW39:BW103,ROW()-ROW($BW$106)+1),"")</f>
        <v>0</v>
      </c>
      <c r="BX155">
        <f>IFERROR(SMALL(BX39:BX103,ROW()-ROW($BX$106)+1),"")</f>
        <v>0</v>
      </c>
      <c r="BY155">
        <f>IFERROR(SMALL(BY39:BY103,ROW()-ROW($BY$106)+1),"")</f>
        <v>0</v>
      </c>
      <c r="BZ155">
        <f>IFERROR(SMALL(BZ39:BZ103,ROW()-ROW($BZ$106)+1),"")</f>
        <v>0</v>
      </c>
      <c r="CA155">
        <f>IFERROR(SMALL(CA39:CA103,ROW()-ROW($CA$106)+1),"")</f>
        <v>0</v>
      </c>
      <c r="CB155">
        <f>IFERROR(SMALL(CB39:CB103,ROW()-ROW($CB$106)+1),"")</f>
        <v>0</v>
      </c>
      <c r="CC155">
        <f>IFERROR(SMALL(CC39:CC103,ROW()-ROW($CC$106)+1),"")</f>
        <v>0</v>
      </c>
      <c r="CD155">
        <f>IFERROR(SMALL(CD39:CD103,ROW()-ROW($CD$106)+1),"")</f>
        <v>0</v>
      </c>
      <c r="CE155">
        <f>IFERROR(SMALL(CE39:CE103,ROW()-ROW($CE$106)+1),"")</f>
        <v>0</v>
      </c>
      <c r="CF155">
        <f>IFERROR(SMALL(CF39:CF103,ROW()-ROW($CF$106)+1),"")</f>
        <v>0</v>
      </c>
      <c r="CG155">
        <f>IFERROR(SMALL(CG39:CG103,ROW()-ROW($CG$106)+1),"")</f>
        <v>0</v>
      </c>
      <c r="CH155">
        <f>IFERROR(SMALL(CH39:CH103,ROW()-ROW($CH$106)+1),"")</f>
        <v>0</v>
      </c>
      <c r="CI155">
        <f>IFERROR(SMALL(CI39:CI103,ROW()-ROW($CI$106)+1),"")</f>
        <v>0</v>
      </c>
      <c r="CJ155">
        <f>IFERROR(SMALL(CJ39:CJ103,ROW()-ROW($CJ$106)+1),"")</f>
        <v>0</v>
      </c>
      <c r="CK155">
        <f>IFERROR(SMALL(CK39:CK103,ROW()-ROW($CK$106)+1),"")</f>
        <v>0</v>
      </c>
      <c r="CL155">
        <f>IFERROR(SMALL(CL39:CL103,ROW()-ROW($CL$106)+1),"")</f>
        <v>0</v>
      </c>
      <c r="CM155">
        <f>IFERROR(SMALL(CM39:CM103,ROW()-ROW($CM$106)+1),"")</f>
        <v>0</v>
      </c>
      <c r="CN155">
        <f>IFERROR(SMALL(CN39:CN103,ROW()-ROW($CN$106)+1),"")</f>
        <v>0</v>
      </c>
      <c r="CO155">
        <f>IFERROR(SMALL(CO39:CO103,ROW()-ROW($CO$106)+1),"")</f>
        <v>0</v>
      </c>
      <c r="CP155">
        <f>IFERROR(SMALL(CP39:CP103,ROW()-ROW($CP$106)+1),"")</f>
        <v>0</v>
      </c>
      <c r="CQ155">
        <f>IFERROR(SMALL(CQ39:CQ103,ROW()-ROW($CQ$106)+1),"")</f>
        <v>0</v>
      </c>
      <c r="CR155">
        <f>IFERROR(SMALL(CR39:CR103,ROW()-ROW($CR$106)+1),"")</f>
        <v>0</v>
      </c>
      <c r="CS155">
        <f>IFERROR(SMALL(CS39:CS103,ROW()-ROW($CS$106)+1),"")</f>
        <v>0</v>
      </c>
      <c r="CT155">
        <f>IFERROR(SMALL(CT39:CT103,ROW()-ROW($CT$106)+1),"")</f>
        <v>0</v>
      </c>
      <c r="CU155">
        <f>IFERROR(SMALL(CU39:CU103,ROW()-ROW($CU$106)+1),"")</f>
        <v>0</v>
      </c>
      <c r="CV155">
        <f>IFERROR(SMALL(CV39:CV103,ROW()-ROW($CV$106)+1),"")</f>
        <v>0</v>
      </c>
      <c r="CW155">
        <f>IFERROR(SMALL(CW39:CW103,ROW()-ROW($CW$106)+1),"")</f>
        <v>0</v>
      </c>
      <c r="CX155">
        <f>IFERROR(SMALL(CX39:CX103,ROW()-ROW($CX$106)+1),"")</f>
        <v>0</v>
      </c>
      <c r="CY155">
        <f>IFERROR(SMALL(CY39:CY103,ROW()-ROW($CY$106)+1),"")</f>
        <v>0</v>
      </c>
      <c r="CZ155">
        <f>IFERROR(SMALL(CZ39:CZ103,ROW()-ROW($CZ$106)+1),"")</f>
        <v>0</v>
      </c>
      <c r="DA155">
        <f>IFERROR(SMALL(DA39:DA103,ROW()-ROW($DA$106)+1),"")</f>
        <v>0</v>
      </c>
      <c r="DB155">
        <f>IFERROR(SMALL(DB39:DB103,ROW()-ROW($DB$106)+1),"")</f>
        <v>0</v>
      </c>
      <c r="DC155">
        <f>IFERROR(SMALL(DC39:DC103,ROW()-ROW($DC$106)+1),"")</f>
        <v>0</v>
      </c>
      <c r="DD155">
        <f>IFERROR(SMALL(DD39:DD103,ROW()-ROW($DD$106)+1),"")</f>
        <v>0</v>
      </c>
      <c r="DE155">
        <f>IFERROR(SMALL(DE39:DE103,ROW()-ROW($DE$106)+1),"")</f>
        <v>0</v>
      </c>
      <c r="DF155">
        <f>IFERROR(SMALL(DF39:DF103,ROW()-ROW($DF$106)+1),"")</f>
        <v>0</v>
      </c>
      <c r="DG155">
        <f>IFERROR(SMALL(DG39:DG103,ROW()-ROW($DG$106)+1),"")</f>
        <v>0</v>
      </c>
      <c r="DH155">
        <f>IFERROR(SMALL(DH39:DH103,ROW()-ROW($DH$106)+1),"")</f>
        <v>0</v>
      </c>
      <c r="DI155">
        <f>IFERROR(SMALL(DI39:DI103,ROW()-ROW($DI$106)+1),"")</f>
        <v>0</v>
      </c>
      <c r="DJ155">
        <f>IFERROR(SMALL(DJ39:DJ103,ROW()-ROW($DJ$106)+1),"")</f>
        <v>0</v>
      </c>
      <c r="DK155">
        <f>IFERROR(SMALL(DK39:DK103,ROW()-ROW($DK$106)+1),"")</f>
        <v>0</v>
      </c>
      <c r="DL155">
        <f>IFERROR(SMALL(DL39:DL103,ROW()-ROW($DL$106)+1),"")</f>
        <v>0</v>
      </c>
      <c r="DM155">
        <f>IFERROR(SMALL(DM39:DM103,ROW()-ROW($DM$106)+1),"")</f>
        <v>0</v>
      </c>
      <c r="DN155">
        <f>IFERROR(SMALL(DN39:DN103,ROW()-ROW($DN$106)+1),"")</f>
        <v>0</v>
      </c>
      <c r="DO155">
        <f>IFERROR(SMALL(DO39:DO103,ROW()-ROW($DO$106)+1),"")</f>
        <v>0</v>
      </c>
      <c r="DP155">
        <f>IFERROR(SMALL(DP39:DP103,ROW()-ROW($DP$106)+1),"")</f>
        <v>0</v>
      </c>
      <c r="DQ155">
        <f>IFERROR(SMALL(DQ39:DQ103,ROW()-ROW($DQ$106)+1),"")</f>
        <v>0</v>
      </c>
      <c r="DR155">
        <f>IFERROR(SMALL(DR39:DR103,ROW()-ROW($DR$106)+1),"")</f>
        <v>0</v>
      </c>
      <c r="DS155">
        <f>IFERROR(SMALL(DS39:DS103,ROW()-ROW($DS$106)+1),"")</f>
        <v>0</v>
      </c>
      <c r="DT155">
        <f>IFERROR(SMALL(DT39:DT103,ROW()-ROW($DT$106)+1),"")</f>
        <v>0</v>
      </c>
      <c r="DU155">
        <f>IFERROR(SMALL(DU39:DU103,ROW()-ROW($DU$106)+1),"")</f>
        <v>0</v>
      </c>
      <c r="DV155">
        <f>IFERROR(SMALL(DV39:DV103,ROW()-ROW($DV$106)+1),"")</f>
        <v>0</v>
      </c>
      <c r="DW155">
        <f>IFERROR(SMALL(DW39:DW103,ROW()-ROW($DW$106)+1),"")</f>
        <v>0</v>
      </c>
      <c r="DX155">
        <f>IFERROR(SMALL(DX39:DX103,ROW()-ROW($DX$106)+1),"")</f>
        <v>0</v>
      </c>
      <c r="DY155">
        <f>IFERROR(SMALL(DY39:DY103,ROW()-ROW($DY$106)+1),"")</f>
        <v>0</v>
      </c>
      <c r="DZ155">
        <f>IFERROR(SMALL(DZ39:DZ103,ROW()-ROW($DZ$106)+1),"")</f>
        <v>0</v>
      </c>
      <c r="EA155">
        <f>IFERROR(SMALL(EA39:EA103,ROW()-ROW($EA$106)+1),"")</f>
        <v>0</v>
      </c>
      <c r="EB155">
        <f>IFERROR(SMALL(EB39:EB103,ROW()-ROW($EB$106)+1),"")</f>
        <v>0</v>
      </c>
      <c r="EC155">
        <f>IFERROR(SMALL(EC39:EC103,ROW()-ROW($EC$106)+1),"")</f>
        <v>0</v>
      </c>
      <c r="ED155">
        <f>IFERROR(SMALL(ED39:ED103,ROW()-ROW($ED$106)+1),"")</f>
        <v>0</v>
      </c>
    </row>
    <row r="156" spans="5:134">
      <c r="E156">
        <f>IFERROR(SMALL(E39:E103,ROW()-ROW($E$106)+1),"")</f>
        <v>0</v>
      </c>
      <c r="F156">
        <f>IFERROR(SMALL(F39:F103,ROW()-ROW($F$106)+1),"")</f>
        <v>0</v>
      </c>
      <c r="G156">
        <f>IFERROR(SMALL(G39:G103,ROW()-ROW($G$106)+1),"")</f>
        <v>0</v>
      </c>
      <c r="H156">
        <f>IFERROR(SMALL(H39:H103,ROW()-ROW($H$106)+1),"")</f>
        <v>0</v>
      </c>
      <c r="I156">
        <f>IFERROR(SMALL(I39:I103,ROW()-ROW($I$106)+1),"")</f>
        <v>0</v>
      </c>
      <c r="J156">
        <f>IFERROR(SMALL(J39:J103,ROW()-ROW($J$106)+1),"")</f>
        <v>0</v>
      </c>
      <c r="K156">
        <f>IFERROR(SMALL(K39:K103,ROW()-ROW($K$106)+1),"")</f>
        <v>0</v>
      </c>
      <c r="L156">
        <f>IFERROR(SMALL(L39:L103,ROW()-ROW($L$106)+1),"")</f>
        <v>0</v>
      </c>
      <c r="M156">
        <f>IFERROR(SMALL(M39:M103,ROW()-ROW($M$106)+1),"")</f>
        <v>0</v>
      </c>
      <c r="N156">
        <f>IFERROR(SMALL(N39:N103,ROW()-ROW($N$106)+1),"")</f>
        <v>0</v>
      </c>
      <c r="O156">
        <f>IFERROR(SMALL(O39:O103,ROW()-ROW($O$106)+1),"")</f>
        <v>0</v>
      </c>
      <c r="P156">
        <f>IFERROR(SMALL(P39:P103,ROW()-ROW($P$106)+1),"")</f>
        <v>0</v>
      </c>
      <c r="Q156">
        <f>IFERROR(SMALL(Q39:Q103,ROW()-ROW($Q$106)+1),"")</f>
        <v>0</v>
      </c>
      <c r="R156">
        <f>IFERROR(SMALL(R39:R103,ROW()-ROW($R$106)+1),"")</f>
        <v>0</v>
      </c>
      <c r="S156">
        <f>IFERROR(SMALL(S39:S103,ROW()-ROW($S$106)+1),"")</f>
        <v>0</v>
      </c>
      <c r="T156">
        <f>IFERROR(SMALL(T39:T103,ROW()-ROW($T$106)+1),"")</f>
        <v>0</v>
      </c>
      <c r="U156">
        <f>IFERROR(SMALL(U39:U103,ROW()-ROW($U$106)+1),"")</f>
        <v>0</v>
      </c>
      <c r="V156">
        <f>IFERROR(SMALL(V39:V103,ROW()-ROW($V$106)+1),"")</f>
        <v>0</v>
      </c>
      <c r="W156">
        <f>IFERROR(SMALL(W39:W103,ROW()-ROW($W$106)+1),"")</f>
        <v>0</v>
      </c>
      <c r="X156">
        <f>IFERROR(SMALL(X39:X103,ROW()-ROW($X$106)+1),"")</f>
        <v>0</v>
      </c>
      <c r="Y156">
        <f>IFERROR(SMALL(Y39:Y103,ROW()-ROW($Y$106)+1),"")</f>
        <v>0</v>
      </c>
      <c r="Z156">
        <f>IFERROR(SMALL(Z39:Z103,ROW()-ROW($Z$106)+1),"")</f>
        <v>0</v>
      </c>
      <c r="AA156">
        <f>IFERROR(SMALL(AA39:AA103,ROW()-ROW($AA$106)+1),"")</f>
        <v>0</v>
      </c>
      <c r="AB156">
        <f>IFERROR(SMALL(AB39:AB103,ROW()-ROW($AB$106)+1),"")</f>
        <v>0</v>
      </c>
      <c r="AC156">
        <f>IFERROR(SMALL(AC39:AC103,ROW()-ROW($AC$106)+1),"")</f>
        <v>0</v>
      </c>
      <c r="AD156">
        <f>IFERROR(SMALL(AD39:AD103,ROW()-ROW($AD$106)+1),"")</f>
        <v>0</v>
      </c>
      <c r="AE156">
        <f>IFERROR(SMALL(AE39:AE103,ROW()-ROW($AE$106)+1),"")</f>
        <v>0</v>
      </c>
      <c r="AF156">
        <f>IFERROR(SMALL(AF39:AF103,ROW()-ROW($AF$106)+1),"")</f>
        <v>0</v>
      </c>
      <c r="AG156">
        <f>IFERROR(SMALL(AG39:AG103,ROW()-ROW($AG$106)+1),"")</f>
        <v>0</v>
      </c>
      <c r="AH156">
        <f>IFERROR(SMALL(AH39:AH103,ROW()-ROW($AH$106)+1),"")</f>
        <v>0</v>
      </c>
      <c r="AI156">
        <f>IFERROR(SMALL(AI39:AI103,ROW()-ROW($AI$106)+1),"")</f>
        <v>0</v>
      </c>
      <c r="AJ156">
        <f>IFERROR(SMALL(AJ39:AJ103,ROW()-ROW($AJ$106)+1),"")</f>
        <v>0</v>
      </c>
      <c r="AK156">
        <f>IFERROR(SMALL(AK39:AK103,ROW()-ROW($AK$106)+1),"")</f>
        <v>0</v>
      </c>
      <c r="AL156">
        <f>IFERROR(SMALL(AL39:AL103,ROW()-ROW($AL$106)+1),"")</f>
        <v>0</v>
      </c>
      <c r="AM156">
        <f>IFERROR(SMALL(AM39:AM103,ROW()-ROW($AM$106)+1),"")</f>
        <v>0</v>
      </c>
      <c r="AN156">
        <f>IFERROR(SMALL(AN39:AN103,ROW()-ROW($AN$106)+1),"")</f>
        <v>0</v>
      </c>
      <c r="AO156">
        <f>IFERROR(SMALL(AO39:AO103,ROW()-ROW($AO$106)+1),"")</f>
        <v>0</v>
      </c>
      <c r="AP156">
        <f>IFERROR(SMALL(AP39:AP103,ROW()-ROW($AP$106)+1),"")</f>
        <v>0</v>
      </c>
      <c r="AQ156">
        <f>IFERROR(SMALL(AQ39:AQ103,ROW()-ROW($AQ$106)+1),"")</f>
        <v>0</v>
      </c>
      <c r="AR156">
        <f>IFERROR(SMALL(AR39:AR103,ROW()-ROW($AR$106)+1),"")</f>
        <v>0</v>
      </c>
      <c r="AS156">
        <f>IFERROR(SMALL(AS39:AS103,ROW()-ROW($AS$106)+1),"")</f>
        <v>0</v>
      </c>
      <c r="AT156">
        <f>IFERROR(SMALL(AT39:AT103,ROW()-ROW($AT$106)+1),"")</f>
        <v>0</v>
      </c>
      <c r="AU156">
        <f>IFERROR(SMALL(AU39:AU103,ROW()-ROW($AU$106)+1),"")</f>
        <v>0</v>
      </c>
      <c r="AV156">
        <f>IFERROR(SMALL(AV39:AV103,ROW()-ROW($AV$106)+1),"")</f>
        <v>0</v>
      </c>
      <c r="AW156">
        <f>IFERROR(SMALL(AW39:AW103,ROW()-ROW($AW$106)+1),"")</f>
        <v>0</v>
      </c>
      <c r="AX156">
        <f>IFERROR(SMALL(AX39:AX103,ROW()-ROW($AX$106)+1),"")</f>
        <v>0</v>
      </c>
      <c r="AY156">
        <f>IFERROR(SMALL(AY39:AY103,ROW()-ROW($AY$106)+1),"")</f>
        <v>0</v>
      </c>
      <c r="AZ156">
        <f>IFERROR(SMALL(AZ39:AZ103,ROW()-ROW($AZ$106)+1),"")</f>
        <v>0</v>
      </c>
      <c r="BA156">
        <f>IFERROR(SMALL(BA39:BA103,ROW()-ROW($BA$106)+1),"")</f>
        <v>0</v>
      </c>
      <c r="BB156">
        <f>IFERROR(SMALL(BB39:BB103,ROW()-ROW($BB$106)+1),"")</f>
        <v>0</v>
      </c>
      <c r="BC156">
        <f>IFERROR(SMALL(BC39:BC103,ROW()-ROW($BC$106)+1),"")</f>
        <v>0</v>
      </c>
      <c r="BD156">
        <f>IFERROR(SMALL(BD39:BD103,ROW()-ROW($BD$106)+1),"")</f>
        <v>0</v>
      </c>
      <c r="BE156">
        <f>IFERROR(SMALL(BE39:BE103,ROW()-ROW($BE$106)+1),"")</f>
        <v>0</v>
      </c>
      <c r="BF156">
        <f>IFERROR(SMALL(BF39:BF103,ROW()-ROW($BF$106)+1),"")</f>
        <v>0</v>
      </c>
      <c r="BG156">
        <f>IFERROR(SMALL(BG39:BG103,ROW()-ROW($BG$106)+1),"")</f>
        <v>0</v>
      </c>
      <c r="BH156">
        <f>IFERROR(SMALL(BH39:BH103,ROW()-ROW($BH$106)+1),"")</f>
        <v>0</v>
      </c>
      <c r="BI156">
        <f>IFERROR(SMALL(BI39:BI103,ROW()-ROW($BI$106)+1),"")</f>
        <v>0</v>
      </c>
      <c r="BJ156">
        <f>IFERROR(SMALL(BJ39:BJ103,ROW()-ROW($BJ$106)+1),"")</f>
        <v>0</v>
      </c>
      <c r="BK156">
        <f>IFERROR(SMALL(BK39:BK103,ROW()-ROW($BK$106)+1),"")</f>
        <v>0</v>
      </c>
      <c r="BL156">
        <f>IFERROR(SMALL(BL39:BL103,ROW()-ROW($BL$106)+1),"")</f>
        <v>0</v>
      </c>
      <c r="BM156">
        <f>IFERROR(SMALL(BM39:BM103,ROW()-ROW($BM$106)+1),"")</f>
        <v>0</v>
      </c>
      <c r="BN156">
        <f>IFERROR(SMALL(BN39:BN103,ROW()-ROW($BN$106)+1),"")</f>
        <v>0</v>
      </c>
      <c r="BO156">
        <f>IFERROR(SMALL(BO39:BO103,ROW()-ROW($BO$106)+1),"")</f>
        <v>0</v>
      </c>
      <c r="BP156">
        <f>IFERROR(SMALL(BP39:BP103,ROW()-ROW($BP$106)+1),"")</f>
        <v>0</v>
      </c>
      <c r="BS156">
        <f>IFERROR(SMALL(BS39:BS103,ROW()-ROW($BS$106)+1),"")</f>
        <v>0</v>
      </c>
      <c r="BT156">
        <f>IFERROR(SMALL(BT39:BT103,ROW()-ROW($BT$106)+1),"")</f>
        <v>0</v>
      </c>
      <c r="BU156">
        <f>IFERROR(SMALL(BU39:BU103,ROW()-ROW($BU$106)+1),"")</f>
        <v>0</v>
      </c>
      <c r="BV156">
        <f>IFERROR(SMALL(BV39:BV103,ROW()-ROW($BV$106)+1),"")</f>
        <v>0</v>
      </c>
      <c r="BW156">
        <f>IFERROR(SMALL(BW39:BW103,ROW()-ROW($BW$106)+1),"")</f>
        <v>0</v>
      </c>
      <c r="BX156">
        <f>IFERROR(SMALL(BX39:BX103,ROW()-ROW($BX$106)+1),"")</f>
        <v>0</v>
      </c>
      <c r="BY156">
        <f>IFERROR(SMALL(BY39:BY103,ROW()-ROW($BY$106)+1),"")</f>
        <v>0</v>
      </c>
      <c r="BZ156">
        <f>IFERROR(SMALL(BZ39:BZ103,ROW()-ROW($BZ$106)+1),"")</f>
        <v>0</v>
      </c>
      <c r="CA156">
        <f>IFERROR(SMALL(CA39:CA103,ROW()-ROW($CA$106)+1),"")</f>
        <v>0</v>
      </c>
      <c r="CB156">
        <f>IFERROR(SMALL(CB39:CB103,ROW()-ROW($CB$106)+1),"")</f>
        <v>0</v>
      </c>
      <c r="CC156">
        <f>IFERROR(SMALL(CC39:CC103,ROW()-ROW($CC$106)+1),"")</f>
        <v>0</v>
      </c>
      <c r="CD156">
        <f>IFERROR(SMALL(CD39:CD103,ROW()-ROW($CD$106)+1),"")</f>
        <v>0</v>
      </c>
      <c r="CE156">
        <f>IFERROR(SMALL(CE39:CE103,ROW()-ROW($CE$106)+1),"")</f>
        <v>0</v>
      </c>
      <c r="CF156">
        <f>IFERROR(SMALL(CF39:CF103,ROW()-ROW($CF$106)+1),"")</f>
        <v>0</v>
      </c>
      <c r="CG156">
        <f>IFERROR(SMALL(CG39:CG103,ROW()-ROW($CG$106)+1),"")</f>
        <v>0</v>
      </c>
      <c r="CH156">
        <f>IFERROR(SMALL(CH39:CH103,ROW()-ROW($CH$106)+1),"")</f>
        <v>0</v>
      </c>
      <c r="CI156">
        <f>IFERROR(SMALL(CI39:CI103,ROW()-ROW($CI$106)+1),"")</f>
        <v>0</v>
      </c>
      <c r="CJ156">
        <f>IFERROR(SMALL(CJ39:CJ103,ROW()-ROW($CJ$106)+1),"")</f>
        <v>0</v>
      </c>
      <c r="CK156">
        <f>IFERROR(SMALL(CK39:CK103,ROW()-ROW($CK$106)+1),"")</f>
        <v>0</v>
      </c>
      <c r="CL156">
        <f>IFERROR(SMALL(CL39:CL103,ROW()-ROW($CL$106)+1),"")</f>
        <v>0</v>
      </c>
      <c r="CM156">
        <f>IFERROR(SMALL(CM39:CM103,ROW()-ROW($CM$106)+1),"")</f>
        <v>0</v>
      </c>
      <c r="CN156">
        <f>IFERROR(SMALL(CN39:CN103,ROW()-ROW($CN$106)+1),"")</f>
        <v>0</v>
      </c>
      <c r="CO156">
        <f>IFERROR(SMALL(CO39:CO103,ROW()-ROW($CO$106)+1),"")</f>
        <v>0</v>
      </c>
      <c r="CP156">
        <f>IFERROR(SMALL(CP39:CP103,ROW()-ROW($CP$106)+1),"")</f>
        <v>0</v>
      </c>
      <c r="CQ156">
        <f>IFERROR(SMALL(CQ39:CQ103,ROW()-ROW($CQ$106)+1),"")</f>
        <v>0</v>
      </c>
      <c r="CR156">
        <f>IFERROR(SMALL(CR39:CR103,ROW()-ROW($CR$106)+1),"")</f>
        <v>0</v>
      </c>
      <c r="CS156">
        <f>IFERROR(SMALL(CS39:CS103,ROW()-ROW($CS$106)+1),"")</f>
        <v>0</v>
      </c>
      <c r="CT156">
        <f>IFERROR(SMALL(CT39:CT103,ROW()-ROW($CT$106)+1),"")</f>
        <v>0</v>
      </c>
      <c r="CU156">
        <f>IFERROR(SMALL(CU39:CU103,ROW()-ROW($CU$106)+1),"")</f>
        <v>0</v>
      </c>
      <c r="CV156">
        <f>IFERROR(SMALL(CV39:CV103,ROW()-ROW($CV$106)+1),"")</f>
        <v>0</v>
      </c>
      <c r="CW156">
        <f>IFERROR(SMALL(CW39:CW103,ROW()-ROW($CW$106)+1),"")</f>
        <v>0</v>
      </c>
      <c r="CX156">
        <f>IFERROR(SMALL(CX39:CX103,ROW()-ROW($CX$106)+1),"")</f>
        <v>0</v>
      </c>
      <c r="CY156">
        <f>IFERROR(SMALL(CY39:CY103,ROW()-ROW($CY$106)+1),"")</f>
        <v>0</v>
      </c>
      <c r="CZ156">
        <f>IFERROR(SMALL(CZ39:CZ103,ROW()-ROW($CZ$106)+1),"")</f>
        <v>0</v>
      </c>
      <c r="DA156">
        <f>IFERROR(SMALL(DA39:DA103,ROW()-ROW($DA$106)+1),"")</f>
        <v>0</v>
      </c>
      <c r="DB156">
        <f>IFERROR(SMALL(DB39:DB103,ROW()-ROW($DB$106)+1),"")</f>
        <v>0</v>
      </c>
      <c r="DC156">
        <f>IFERROR(SMALL(DC39:DC103,ROW()-ROW($DC$106)+1),"")</f>
        <v>0</v>
      </c>
      <c r="DD156">
        <f>IFERROR(SMALL(DD39:DD103,ROW()-ROW($DD$106)+1),"")</f>
        <v>0</v>
      </c>
      <c r="DE156">
        <f>IFERROR(SMALL(DE39:DE103,ROW()-ROW($DE$106)+1),"")</f>
        <v>0</v>
      </c>
      <c r="DF156">
        <f>IFERROR(SMALL(DF39:DF103,ROW()-ROW($DF$106)+1),"")</f>
        <v>0</v>
      </c>
      <c r="DG156">
        <f>IFERROR(SMALL(DG39:DG103,ROW()-ROW($DG$106)+1),"")</f>
        <v>0</v>
      </c>
      <c r="DH156">
        <f>IFERROR(SMALL(DH39:DH103,ROW()-ROW($DH$106)+1),"")</f>
        <v>0</v>
      </c>
      <c r="DI156">
        <f>IFERROR(SMALL(DI39:DI103,ROW()-ROW($DI$106)+1),"")</f>
        <v>0</v>
      </c>
      <c r="DJ156">
        <f>IFERROR(SMALL(DJ39:DJ103,ROW()-ROW($DJ$106)+1),"")</f>
        <v>0</v>
      </c>
      <c r="DK156">
        <f>IFERROR(SMALL(DK39:DK103,ROW()-ROW($DK$106)+1),"")</f>
        <v>0</v>
      </c>
      <c r="DL156">
        <f>IFERROR(SMALL(DL39:DL103,ROW()-ROW($DL$106)+1),"")</f>
        <v>0</v>
      </c>
      <c r="DM156">
        <f>IFERROR(SMALL(DM39:DM103,ROW()-ROW($DM$106)+1),"")</f>
        <v>0</v>
      </c>
      <c r="DN156">
        <f>IFERROR(SMALL(DN39:DN103,ROW()-ROW($DN$106)+1),"")</f>
        <v>0</v>
      </c>
      <c r="DO156">
        <f>IFERROR(SMALL(DO39:DO103,ROW()-ROW($DO$106)+1),"")</f>
        <v>0</v>
      </c>
      <c r="DP156">
        <f>IFERROR(SMALL(DP39:DP103,ROW()-ROW($DP$106)+1),"")</f>
        <v>0</v>
      </c>
      <c r="DQ156">
        <f>IFERROR(SMALL(DQ39:DQ103,ROW()-ROW($DQ$106)+1),"")</f>
        <v>0</v>
      </c>
      <c r="DR156">
        <f>IFERROR(SMALL(DR39:DR103,ROW()-ROW($DR$106)+1),"")</f>
        <v>0</v>
      </c>
      <c r="DS156">
        <f>IFERROR(SMALL(DS39:DS103,ROW()-ROW($DS$106)+1),"")</f>
        <v>0</v>
      </c>
      <c r="DT156">
        <f>IFERROR(SMALL(DT39:DT103,ROW()-ROW($DT$106)+1),"")</f>
        <v>0</v>
      </c>
      <c r="DU156">
        <f>IFERROR(SMALL(DU39:DU103,ROW()-ROW($DU$106)+1),"")</f>
        <v>0</v>
      </c>
      <c r="DV156">
        <f>IFERROR(SMALL(DV39:DV103,ROW()-ROW($DV$106)+1),"")</f>
        <v>0</v>
      </c>
      <c r="DW156">
        <f>IFERROR(SMALL(DW39:DW103,ROW()-ROW($DW$106)+1),"")</f>
        <v>0</v>
      </c>
      <c r="DX156">
        <f>IFERROR(SMALL(DX39:DX103,ROW()-ROW($DX$106)+1),"")</f>
        <v>0</v>
      </c>
      <c r="DY156">
        <f>IFERROR(SMALL(DY39:DY103,ROW()-ROW($DY$106)+1),"")</f>
        <v>0</v>
      </c>
      <c r="DZ156">
        <f>IFERROR(SMALL(DZ39:DZ103,ROW()-ROW($DZ$106)+1),"")</f>
        <v>0</v>
      </c>
      <c r="EA156">
        <f>IFERROR(SMALL(EA39:EA103,ROW()-ROW($EA$106)+1),"")</f>
        <v>0</v>
      </c>
      <c r="EB156">
        <f>IFERROR(SMALL(EB39:EB103,ROW()-ROW($EB$106)+1),"")</f>
        <v>0</v>
      </c>
      <c r="EC156">
        <f>IFERROR(SMALL(EC39:EC103,ROW()-ROW($EC$106)+1),"")</f>
        <v>0</v>
      </c>
      <c r="ED156">
        <f>IFERROR(SMALL(ED39:ED103,ROW()-ROW($ED$106)+1),"")</f>
        <v>0</v>
      </c>
    </row>
    <row r="157" spans="5:134">
      <c r="E157">
        <f>IFERROR(SMALL(E39:E103,ROW()-ROW($E$106)+1),"")</f>
        <v>0</v>
      </c>
      <c r="F157">
        <f>IFERROR(SMALL(F39:F103,ROW()-ROW($F$106)+1),"")</f>
        <v>0</v>
      </c>
      <c r="G157">
        <f>IFERROR(SMALL(G39:G103,ROW()-ROW($G$106)+1),"")</f>
        <v>0</v>
      </c>
      <c r="H157">
        <f>IFERROR(SMALL(H39:H103,ROW()-ROW($H$106)+1),"")</f>
        <v>0</v>
      </c>
      <c r="I157">
        <f>IFERROR(SMALL(I39:I103,ROW()-ROW($I$106)+1),"")</f>
        <v>0</v>
      </c>
      <c r="J157">
        <f>IFERROR(SMALL(J39:J103,ROW()-ROW($J$106)+1),"")</f>
        <v>0</v>
      </c>
      <c r="K157">
        <f>IFERROR(SMALL(K39:K103,ROW()-ROW($K$106)+1),"")</f>
        <v>0</v>
      </c>
      <c r="L157">
        <f>IFERROR(SMALL(L39:L103,ROW()-ROW($L$106)+1),"")</f>
        <v>0</v>
      </c>
      <c r="M157">
        <f>IFERROR(SMALL(M39:M103,ROW()-ROW($M$106)+1),"")</f>
        <v>0</v>
      </c>
      <c r="N157">
        <f>IFERROR(SMALL(N39:N103,ROW()-ROW($N$106)+1),"")</f>
        <v>0</v>
      </c>
      <c r="O157">
        <f>IFERROR(SMALL(O39:O103,ROW()-ROW($O$106)+1),"")</f>
        <v>0</v>
      </c>
      <c r="P157">
        <f>IFERROR(SMALL(P39:P103,ROW()-ROW($P$106)+1),"")</f>
        <v>0</v>
      </c>
      <c r="Q157">
        <f>IFERROR(SMALL(Q39:Q103,ROW()-ROW($Q$106)+1),"")</f>
        <v>0</v>
      </c>
      <c r="R157">
        <f>IFERROR(SMALL(R39:R103,ROW()-ROW($R$106)+1),"")</f>
        <v>0</v>
      </c>
      <c r="S157">
        <f>IFERROR(SMALL(S39:S103,ROW()-ROW($S$106)+1),"")</f>
        <v>0</v>
      </c>
      <c r="T157">
        <f>IFERROR(SMALL(T39:T103,ROW()-ROW($T$106)+1),"")</f>
        <v>0</v>
      </c>
      <c r="U157">
        <f>IFERROR(SMALL(U39:U103,ROW()-ROW($U$106)+1),"")</f>
        <v>0</v>
      </c>
      <c r="V157">
        <f>IFERROR(SMALL(V39:V103,ROW()-ROW($V$106)+1),"")</f>
        <v>0</v>
      </c>
      <c r="W157">
        <f>IFERROR(SMALL(W39:W103,ROW()-ROW($W$106)+1),"")</f>
        <v>0</v>
      </c>
      <c r="X157">
        <f>IFERROR(SMALL(X39:X103,ROW()-ROW($X$106)+1),"")</f>
        <v>0</v>
      </c>
      <c r="Y157">
        <f>IFERROR(SMALL(Y39:Y103,ROW()-ROW($Y$106)+1),"")</f>
        <v>0</v>
      </c>
      <c r="Z157">
        <f>IFERROR(SMALL(Z39:Z103,ROW()-ROW($Z$106)+1),"")</f>
        <v>0</v>
      </c>
      <c r="AA157">
        <f>IFERROR(SMALL(AA39:AA103,ROW()-ROW($AA$106)+1),"")</f>
        <v>0</v>
      </c>
      <c r="AB157">
        <f>IFERROR(SMALL(AB39:AB103,ROW()-ROW($AB$106)+1),"")</f>
        <v>0</v>
      </c>
      <c r="AC157">
        <f>IFERROR(SMALL(AC39:AC103,ROW()-ROW($AC$106)+1),"")</f>
        <v>0</v>
      </c>
      <c r="AD157">
        <f>IFERROR(SMALL(AD39:AD103,ROW()-ROW($AD$106)+1),"")</f>
        <v>0</v>
      </c>
      <c r="AE157">
        <f>IFERROR(SMALL(AE39:AE103,ROW()-ROW($AE$106)+1),"")</f>
        <v>0</v>
      </c>
      <c r="AF157">
        <f>IFERROR(SMALL(AF39:AF103,ROW()-ROW($AF$106)+1),"")</f>
        <v>0</v>
      </c>
      <c r="AG157">
        <f>IFERROR(SMALL(AG39:AG103,ROW()-ROW($AG$106)+1),"")</f>
        <v>0</v>
      </c>
      <c r="AH157">
        <f>IFERROR(SMALL(AH39:AH103,ROW()-ROW($AH$106)+1),"")</f>
        <v>0</v>
      </c>
      <c r="AI157">
        <f>IFERROR(SMALL(AI39:AI103,ROW()-ROW($AI$106)+1),"")</f>
        <v>0</v>
      </c>
      <c r="AJ157">
        <f>IFERROR(SMALL(AJ39:AJ103,ROW()-ROW($AJ$106)+1),"")</f>
        <v>0</v>
      </c>
      <c r="AK157">
        <f>IFERROR(SMALL(AK39:AK103,ROW()-ROW($AK$106)+1),"")</f>
        <v>0</v>
      </c>
      <c r="AL157">
        <f>IFERROR(SMALL(AL39:AL103,ROW()-ROW($AL$106)+1),"")</f>
        <v>0</v>
      </c>
      <c r="AM157">
        <f>IFERROR(SMALL(AM39:AM103,ROW()-ROW($AM$106)+1),"")</f>
        <v>0</v>
      </c>
      <c r="AN157">
        <f>IFERROR(SMALL(AN39:AN103,ROW()-ROW($AN$106)+1),"")</f>
        <v>0</v>
      </c>
      <c r="AO157">
        <f>IFERROR(SMALL(AO39:AO103,ROW()-ROW($AO$106)+1),"")</f>
        <v>0</v>
      </c>
      <c r="AP157">
        <f>IFERROR(SMALL(AP39:AP103,ROW()-ROW($AP$106)+1),"")</f>
        <v>0</v>
      </c>
      <c r="AQ157">
        <f>IFERROR(SMALL(AQ39:AQ103,ROW()-ROW($AQ$106)+1),"")</f>
        <v>0</v>
      </c>
      <c r="AR157">
        <f>IFERROR(SMALL(AR39:AR103,ROW()-ROW($AR$106)+1),"")</f>
        <v>0</v>
      </c>
      <c r="AS157">
        <f>IFERROR(SMALL(AS39:AS103,ROW()-ROW($AS$106)+1),"")</f>
        <v>0</v>
      </c>
      <c r="AT157">
        <f>IFERROR(SMALL(AT39:AT103,ROW()-ROW($AT$106)+1),"")</f>
        <v>0</v>
      </c>
      <c r="AU157">
        <f>IFERROR(SMALL(AU39:AU103,ROW()-ROW($AU$106)+1),"")</f>
        <v>0</v>
      </c>
      <c r="AV157">
        <f>IFERROR(SMALL(AV39:AV103,ROW()-ROW($AV$106)+1),"")</f>
        <v>0</v>
      </c>
      <c r="AW157">
        <f>IFERROR(SMALL(AW39:AW103,ROW()-ROW($AW$106)+1),"")</f>
        <v>0</v>
      </c>
      <c r="AX157">
        <f>IFERROR(SMALL(AX39:AX103,ROW()-ROW($AX$106)+1),"")</f>
        <v>0</v>
      </c>
      <c r="AY157">
        <f>IFERROR(SMALL(AY39:AY103,ROW()-ROW($AY$106)+1),"")</f>
        <v>0</v>
      </c>
      <c r="AZ157">
        <f>IFERROR(SMALL(AZ39:AZ103,ROW()-ROW($AZ$106)+1),"")</f>
        <v>0</v>
      </c>
      <c r="BA157">
        <f>IFERROR(SMALL(BA39:BA103,ROW()-ROW($BA$106)+1),"")</f>
        <v>0</v>
      </c>
      <c r="BB157">
        <f>IFERROR(SMALL(BB39:BB103,ROW()-ROW($BB$106)+1),"")</f>
        <v>0</v>
      </c>
      <c r="BC157">
        <f>IFERROR(SMALL(BC39:BC103,ROW()-ROW($BC$106)+1),"")</f>
        <v>0</v>
      </c>
      <c r="BD157">
        <f>IFERROR(SMALL(BD39:BD103,ROW()-ROW($BD$106)+1),"")</f>
        <v>0</v>
      </c>
      <c r="BE157">
        <f>IFERROR(SMALL(BE39:BE103,ROW()-ROW($BE$106)+1),"")</f>
        <v>0</v>
      </c>
      <c r="BF157">
        <f>IFERROR(SMALL(BF39:BF103,ROW()-ROW($BF$106)+1),"")</f>
        <v>0</v>
      </c>
      <c r="BG157">
        <f>IFERROR(SMALL(BG39:BG103,ROW()-ROW($BG$106)+1),"")</f>
        <v>0</v>
      </c>
      <c r="BH157">
        <f>IFERROR(SMALL(BH39:BH103,ROW()-ROW($BH$106)+1),"")</f>
        <v>0</v>
      </c>
      <c r="BI157">
        <f>IFERROR(SMALL(BI39:BI103,ROW()-ROW($BI$106)+1),"")</f>
        <v>0</v>
      </c>
      <c r="BJ157">
        <f>IFERROR(SMALL(BJ39:BJ103,ROW()-ROW($BJ$106)+1),"")</f>
        <v>0</v>
      </c>
      <c r="BK157">
        <f>IFERROR(SMALL(BK39:BK103,ROW()-ROW($BK$106)+1),"")</f>
        <v>0</v>
      </c>
      <c r="BL157">
        <f>IFERROR(SMALL(BL39:BL103,ROW()-ROW($BL$106)+1),"")</f>
        <v>0</v>
      </c>
      <c r="BM157">
        <f>IFERROR(SMALL(BM39:BM103,ROW()-ROW($BM$106)+1),"")</f>
        <v>0</v>
      </c>
      <c r="BN157">
        <f>IFERROR(SMALL(BN39:BN103,ROW()-ROW($BN$106)+1),"")</f>
        <v>0</v>
      </c>
      <c r="BO157">
        <f>IFERROR(SMALL(BO39:BO103,ROW()-ROW($BO$106)+1),"")</f>
        <v>0</v>
      </c>
      <c r="BP157">
        <f>IFERROR(SMALL(BP39:BP103,ROW()-ROW($BP$106)+1),"")</f>
        <v>0</v>
      </c>
      <c r="BS157">
        <f>IFERROR(SMALL(BS39:BS103,ROW()-ROW($BS$106)+1),"")</f>
        <v>0</v>
      </c>
      <c r="BT157">
        <f>IFERROR(SMALL(BT39:BT103,ROW()-ROW($BT$106)+1),"")</f>
        <v>0</v>
      </c>
      <c r="BU157">
        <f>IFERROR(SMALL(BU39:BU103,ROW()-ROW($BU$106)+1),"")</f>
        <v>0</v>
      </c>
      <c r="BV157">
        <f>IFERROR(SMALL(BV39:BV103,ROW()-ROW($BV$106)+1),"")</f>
        <v>0</v>
      </c>
      <c r="BW157">
        <f>IFERROR(SMALL(BW39:BW103,ROW()-ROW($BW$106)+1),"")</f>
        <v>0</v>
      </c>
      <c r="BX157">
        <f>IFERROR(SMALL(BX39:BX103,ROW()-ROW($BX$106)+1),"")</f>
        <v>0</v>
      </c>
      <c r="BY157">
        <f>IFERROR(SMALL(BY39:BY103,ROW()-ROW($BY$106)+1),"")</f>
        <v>0</v>
      </c>
      <c r="BZ157">
        <f>IFERROR(SMALL(BZ39:BZ103,ROW()-ROW($BZ$106)+1),"")</f>
        <v>0</v>
      </c>
      <c r="CA157">
        <f>IFERROR(SMALL(CA39:CA103,ROW()-ROW($CA$106)+1),"")</f>
        <v>0</v>
      </c>
      <c r="CB157">
        <f>IFERROR(SMALL(CB39:CB103,ROW()-ROW($CB$106)+1),"")</f>
        <v>0</v>
      </c>
      <c r="CC157">
        <f>IFERROR(SMALL(CC39:CC103,ROW()-ROW($CC$106)+1),"")</f>
        <v>0</v>
      </c>
      <c r="CD157">
        <f>IFERROR(SMALL(CD39:CD103,ROW()-ROW($CD$106)+1),"")</f>
        <v>0</v>
      </c>
      <c r="CE157">
        <f>IFERROR(SMALL(CE39:CE103,ROW()-ROW($CE$106)+1),"")</f>
        <v>0</v>
      </c>
      <c r="CF157">
        <f>IFERROR(SMALL(CF39:CF103,ROW()-ROW($CF$106)+1),"")</f>
        <v>0</v>
      </c>
      <c r="CG157">
        <f>IFERROR(SMALL(CG39:CG103,ROW()-ROW($CG$106)+1),"")</f>
        <v>0</v>
      </c>
      <c r="CH157">
        <f>IFERROR(SMALL(CH39:CH103,ROW()-ROW($CH$106)+1),"")</f>
        <v>0</v>
      </c>
      <c r="CI157">
        <f>IFERROR(SMALL(CI39:CI103,ROW()-ROW($CI$106)+1),"")</f>
        <v>0</v>
      </c>
      <c r="CJ157">
        <f>IFERROR(SMALL(CJ39:CJ103,ROW()-ROW($CJ$106)+1),"")</f>
        <v>0</v>
      </c>
      <c r="CK157">
        <f>IFERROR(SMALL(CK39:CK103,ROW()-ROW($CK$106)+1),"")</f>
        <v>0</v>
      </c>
      <c r="CL157">
        <f>IFERROR(SMALL(CL39:CL103,ROW()-ROW($CL$106)+1),"")</f>
        <v>0</v>
      </c>
      <c r="CM157">
        <f>IFERROR(SMALL(CM39:CM103,ROW()-ROW($CM$106)+1),"")</f>
        <v>0</v>
      </c>
      <c r="CN157">
        <f>IFERROR(SMALL(CN39:CN103,ROW()-ROW($CN$106)+1),"")</f>
        <v>0</v>
      </c>
      <c r="CO157">
        <f>IFERROR(SMALL(CO39:CO103,ROW()-ROW($CO$106)+1),"")</f>
        <v>0</v>
      </c>
      <c r="CP157">
        <f>IFERROR(SMALL(CP39:CP103,ROW()-ROW($CP$106)+1),"")</f>
        <v>0</v>
      </c>
      <c r="CQ157">
        <f>IFERROR(SMALL(CQ39:CQ103,ROW()-ROW($CQ$106)+1),"")</f>
        <v>0</v>
      </c>
      <c r="CR157">
        <f>IFERROR(SMALL(CR39:CR103,ROW()-ROW($CR$106)+1),"")</f>
        <v>0</v>
      </c>
      <c r="CS157">
        <f>IFERROR(SMALL(CS39:CS103,ROW()-ROW($CS$106)+1),"")</f>
        <v>0</v>
      </c>
      <c r="CT157">
        <f>IFERROR(SMALL(CT39:CT103,ROW()-ROW($CT$106)+1),"")</f>
        <v>0</v>
      </c>
      <c r="CU157">
        <f>IFERROR(SMALL(CU39:CU103,ROW()-ROW($CU$106)+1),"")</f>
        <v>0</v>
      </c>
      <c r="CV157">
        <f>IFERROR(SMALL(CV39:CV103,ROW()-ROW($CV$106)+1),"")</f>
        <v>0</v>
      </c>
      <c r="CW157">
        <f>IFERROR(SMALL(CW39:CW103,ROW()-ROW($CW$106)+1),"")</f>
        <v>0</v>
      </c>
      <c r="CX157">
        <f>IFERROR(SMALL(CX39:CX103,ROW()-ROW($CX$106)+1),"")</f>
        <v>0</v>
      </c>
      <c r="CY157">
        <f>IFERROR(SMALL(CY39:CY103,ROW()-ROW($CY$106)+1),"")</f>
        <v>0</v>
      </c>
      <c r="CZ157">
        <f>IFERROR(SMALL(CZ39:CZ103,ROW()-ROW($CZ$106)+1),"")</f>
        <v>0</v>
      </c>
      <c r="DA157">
        <f>IFERROR(SMALL(DA39:DA103,ROW()-ROW($DA$106)+1),"")</f>
        <v>0</v>
      </c>
      <c r="DB157">
        <f>IFERROR(SMALL(DB39:DB103,ROW()-ROW($DB$106)+1),"")</f>
        <v>0</v>
      </c>
      <c r="DC157">
        <f>IFERROR(SMALL(DC39:DC103,ROW()-ROW($DC$106)+1),"")</f>
        <v>0</v>
      </c>
      <c r="DD157">
        <f>IFERROR(SMALL(DD39:DD103,ROW()-ROW($DD$106)+1),"")</f>
        <v>0</v>
      </c>
      <c r="DE157">
        <f>IFERROR(SMALL(DE39:DE103,ROW()-ROW($DE$106)+1),"")</f>
        <v>0</v>
      </c>
      <c r="DF157">
        <f>IFERROR(SMALL(DF39:DF103,ROW()-ROW($DF$106)+1),"")</f>
        <v>0</v>
      </c>
      <c r="DG157">
        <f>IFERROR(SMALL(DG39:DG103,ROW()-ROW($DG$106)+1),"")</f>
        <v>0</v>
      </c>
      <c r="DH157">
        <f>IFERROR(SMALL(DH39:DH103,ROW()-ROW($DH$106)+1),"")</f>
        <v>0</v>
      </c>
      <c r="DI157">
        <f>IFERROR(SMALL(DI39:DI103,ROW()-ROW($DI$106)+1),"")</f>
        <v>0</v>
      </c>
      <c r="DJ157">
        <f>IFERROR(SMALL(DJ39:DJ103,ROW()-ROW($DJ$106)+1),"")</f>
        <v>0</v>
      </c>
      <c r="DK157">
        <f>IFERROR(SMALL(DK39:DK103,ROW()-ROW($DK$106)+1),"")</f>
        <v>0</v>
      </c>
      <c r="DL157">
        <f>IFERROR(SMALL(DL39:DL103,ROW()-ROW($DL$106)+1),"")</f>
        <v>0</v>
      </c>
      <c r="DM157">
        <f>IFERROR(SMALL(DM39:DM103,ROW()-ROW($DM$106)+1),"")</f>
        <v>0</v>
      </c>
      <c r="DN157">
        <f>IFERROR(SMALL(DN39:DN103,ROW()-ROW($DN$106)+1),"")</f>
        <v>0</v>
      </c>
      <c r="DO157">
        <f>IFERROR(SMALL(DO39:DO103,ROW()-ROW($DO$106)+1),"")</f>
        <v>0</v>
      </c>
      <c r="DP157">
        <f>IFERROR(SMALL(DP39:DP103,ROW()-ROW($DP$106)+1),"")</f>
        <v>0</v>
      </c>
      <c r="DQ157">
        <f>IFERROR(SMALL(DQ39:DQ103,ROW()-ROW($DQ$106)+1),"")</f>
        <v>0</v>
      </c>
      <c r="DR157">
        <f>IFERROR(SMALL(DR39:DR103,ROW()-ROW($DR$106)+1),"")</f>
        <v>0</v>
      </c>
      <c r="DS157">
        <f>IFERROR(SMALL(DS39:DS103,ROW()-ROW($DS$106)+1),"")</f>
        <v>0</v>
      </c>
      <c r="DT157">
        <f>IFERROR(SMALL(DT39:DT103,ROW()-ROW($DT$106)+1),"")</f>
        <v>0</v>
      </c>
      <c r="DU157">
        <f>IFERROR(SMALL(DU39:DU103,ROW()-ROW($DU$106)+1),"")</f>
        <v>0</v>
      </c>
      <c r="DV157">
        <f>IFERROR(SMALL(DV39:DV103,ROW()-ROW($DV$106)+1),"")</f>
        <v>0</v>
      </c>
      <c r="DW157">
        <f>IFERROR(SMALL(DW39:DW103,ROW()-ROW($DW$106)+1),"")</f>
        <v>0</v>
      </c>
      <c r="DX157">
        <f>IFERROR(SMALL(DX39:DX103,ROW()-ROW($DX$106)+1),"")</f>
        <v>0</v>
      </c>
      <c r="DY157">
        <f>IFERROR(SMALL(DY39:DY103,ROW()-ROW($DY$106)+1),"")</f>
        <v>0</v>
      </c>
      <c r="DZ157">
        <f>IFERROR(SMALL(DZ39:DZ103,ROW()-ROW($DZ$106)+1),"")</f>
        <v>0</v>
      </c>
      <c r="EA157">
        <f>IFERROR(SMALL(EA39:EA103,ROW()-ROW($EA$106)+1),"")</f>
        <v>0</v>
      </c>
      <c r="EB157">
        <f>IFERROR(SMALL(EB39:EB103,ROW()-ROW($EB$106)+1),"")</f>
        <v>0</v>
      </c>
      <c r="EC157">
        <f>IFERROR(SMALL(EC39:EC103,ROW()-ROW($EC$106)+1),"")</f>
        <v>0</v>
      </c>
      <c r="ED157">
        <f>IFERROR(SMALL(ED39:ED103,ROW()-ROW($ED$106)+1),"")</f>
        <v>0</v>
      </c>
    </row>
    <row r="158" spans="5:134">
      <c r="E158">
        <f>IFERROR(SMALL(E39:E103,ROW()-ROW($E$106)+1),"")</f>
        <v>0</v>
      </c>
      <c r="F158">
        <f>IFERROR(SMALL(F39:F103,ROW()-ROW($F$106)+1),"")</f>
        <v>0</v>
      </c>
      <c r="G158">
        <f>IFERROR(SMALL(G39:G103,ROW()-ROW($G$106)+1),"")</f>
        <v>0</v>
      </c>
      <c r="H158">
        <f>IFERROR(SMALL(H39:H103,ROW()-ROW($H$106)+1),"")</f>
        <v>0</v>
      </c>
      <c r="I158">
        <f>IFERROR(SMALL(I39:I103,ROW()-ROW($I$106)+1),"")</f>
        <v>0</v>
      </c>
      <c r="J158">
        <f>IFERROR(SMALL(J39:J103,ROW()-ROW($J$106)+1),"")</f>
        <v>0</v>
      </c>
      <c r="K158">
        <f>IFERROR(SMALL(K39:K103,ROW()-ROW($K$106)+1),"")</f>
        <v>0</v>
      </c>
      <c r="L158">
        <f>IFERROR(SMALL(L39:L103,ROW()-ROW($L$106)+1),"")</f>
        <v>0</v>
      </c>
      <c r="M158">
        <f>IFERROR(SMALL(M39:M103,ROW()-ROW($M$106)+1),"")</f>
        <v>0</v>
      </c>
      <c r="N158">
        <f>IFERROR(SMALL(N39:N103,ROW()-ROW($N$106)+1),"")</f>
        <v>0</v>
      </c>
      <c r="O158">
        <f>IFERROR(SMALL(O39:O103,ROW()-ROW($O$106)+1),"")</f>
        <v>0</v>
      </c>
      <c r="P158">
        <f>IFERROR(SMALL(P39:P103,ROW()-ROW($P$106)+1),"")</f>
        <v>0</v>
      </c>
      <c r="Q158">
        <f>IFERROR(SMALL(Q39:Q103,ROW()-ROW($Q$106)+1),"")</f>
        <v>0</v>
      </c>
      <c r="R158">
        <f>IFERROR(SMALL(R39:R103,ROW()-ROW($R$106)+1),"")</f>
        <v>0</v>
      </c>
      <c r="S158">
        <f>IFERROR(SMALL(S39:S103,ROW()-ROW($S$106)+1),"")</f>
        <v>0</v>
      </c>
      <c r="T158">
        <f>IFERROR(SMALL(T39:T103,ROW()-ROW($T$106)+1),"")</f>
        <v>0</v>
      </c>
      <c r="U158">
        <f>IFERROR(SMALL(U39:U103,ROW()-ROW($U$106)+1),"")</f>
        <v>0</v>
      </c>
      <c r="V158">
        <f>IFERROR(SMALL(V39:V103,ROW()-ROW($V$106)+1),"")</f>
        <v>0</v>
      </c>
      <c r="W158">
        <f>IFERROR(SMALL(W39:W103,ROW()-ROW($W$106)+1),"")</f>
        <v>0</v>
      </c>
      <c r="X158">
        <f>IFERROR(SMALL(X39:X103,ROW()-ROW($X$106)+1),"")</f>
        <v>0</v>
      </c>
      <c r="Y158">
        <f>IFERROR(SMALL(Y39:Y103,ROW()-ROW($Y$106)+1),"")</f>
        <v>0</v>
      </c>
      <c r="Z158">
        <f>IFERROR(SMALL(Z39:Z103,ROW()-ROW($Z$106)+1),"")</f>
        <v>0</v>
      </c>
      <c r="AA158">
        <f>IFERROR(SMALL(AA39:AA103,ROW()-ROW($AA$106)+1),"")</f>
        <v>0</v>
      </c>
      <c r="AB158">
        <f>IFERROR(SMALL(AB39:AB103,ROW()-ROW($AB$106)+1),"")</f>
        <v>0</v>
      </c>
      <c r="AC158">
        <f>IFERROR(SMALL(AC39:AC103,ROW()-ROW($AC$106)+1),"")</f>
        <v>0</v>
      </c>
      <c r="AD158">
        <f>IFERROR(SMALL(AD39:AD103,ROW()-ROW($AD$106)+1),"")</f>
        <v>0</v>
      </c>
      <c r="AE158">
        <f>IFERROR(SMALL(AE39:AE103,ROW()-ROW($AE$106)+1),"")</f>
        <v>0</v>
      </c>
      <c r="AF158">
        <f>IFERROR(SMALL(AF39:AF103,ROW()-ROW($AF$106)+1),"")</f>
        <v>0</v>
      </c>
      <c r="AG158">
        <f>IFERROR(SMALL(AG39:AG103,ROW()-ROW($AG$106)+1),"")</f>
        <v>0</v>
      </c>
      <c r="AH158">
        <f>IFERROR(SMALL(AH39:AH103,ROW()-ROW($AH$106)+1),"")</f>
        <v>0</v>
      </c>
      <c r="AI158">
        <f>IFERROR(SMALL(AI39:AI103,ROW()-ROW($AI$106)+1),"")</f>
        <v>0</v>
      </c>
      <c r="AJ158">
        <f>IFERROR(SMALL(AJ39:AJ103,ROW()-ROW($AJ$106)+1),"")</f>
        <v>0</v>
      </c>
      <c r="AK158">
        <f>IFERROR(SMALL(AK39:AK103,ROW()-ROW($AK$106)+1),"")</f>
        <v>0</v>
      </c>
      <c r="AL158">
        <f>IFERROR(SMALL(AL39:AL103,ROW()-ROW($AL$106)+1),"")</f>
        <v>0</v>
      </c>
      <c r="AM158">
        <f>IFERROR(SMALL(AM39:AM103,ROW()-ROW($AM$106)+1),"")</f>
        <v>0</v>
      </c>
      <c r="AN158">
        <f>IFERROR(SMALL(AN39:AN103,ROW()-ROW($AN$106)+1),"")</f>
        <v>0</v>
      </c>
      <c r="AO158">
        <f>IFERROR(SMALL(AO39:AO103,ROW()-ROW($AO$106)+1),"")</f>
        <v>0</v>
      </c>
      <c r="AP158">
        <f>IFERROR(SMALL(AP39:AP103,ROW()-ROW($AP$106)+1),"")</f>
        <v>0</v>
      </c>
      <c r="AQ158">
        <f>IFERROR(SMALL(AQ39:AQ103,ROW()-ROW($AQ$106)+1),"")</f>
        <v>0</v>
      </c>
      <c r="AR158">
        <f>IFERROR(SMALL(AR39:AR103,ROW()-ROW($AR$106)+1),"")</f>
        <v>0</v>
      </c>
      <c r="AS158">
        <f>IFERROR(SMALL(AS39:AS103,ROW()-ROW($AS$106)+1),"")</f>
        <v>0</v>
      </c>
      <c r="AT158">
        <f>IFERROR(SMALL(AT39:AT103,ROW()-ROW($AT$106)+1),"")</f>
        <v>0</v>
      </c>
      <c r="AU158">
        <f>IFERROR(SMALL(AU39:AU103,ROW()-ROW($AU$106)+1),"")</f>
        <v>0</v>
      </c>
      <c r="AV158">
        <f>IFERROR(SMALL(AV39:AV103,ROW()-ROW($AV$106)+1),"")</f>
        <v>0</v>
      </c>
      <c r="AW158">
        <f>IFERROR(SMALL(AW39:AW103,ROW()-ROW($AW$106)+1),"")</f>
        <v>0</v>
      </c>
      <c r="AX158">
        <f>IFERROR(SMALL(AX39:AX103,ROW()-ROW($AX$106)+1),"")</f>
        <v>0</v>
      </c>
      <c r="AY158">
        <f>IFERROR(SMALL(AY39:AY103,ROW()-ROW($AY$106)+1),"")</f>
        <v>0</v>
      </c>
      <c r="AZ158">
        <f>IFERROR(SMALL(AZ39:AZ103,ROW()-ROW($AZ$106)+1),"")</f>
        <v>0</v>
      </c>
      <c r="BA158">
        <f>IFERROR(SMALL(BA39:BA103,ROW()-ROW($BA$106)+1),"")</f>
        <v>0</v>
      </c>
      <c r="BB158">
        <f>IFERROR(SMALL(BB39:BB103,ROW()-ROW($BB$106)+1),"")</f>
        <v>0</v>
      </c>
      <c r="BC158">
        <f>IFERROR(SMALL(BC39:BC103,ROW()-ROW($BC$106)+1),"")</f>
        <v>0</v>
      </c>
      <c r="BD158">
        <f>IFERROR(SMALL(BD39:BD103,ROW()-ROW($BD$106)+1),"")</f>
        <v>0</v>
      </c>
      <c r="BE158">
        <f>IFERROR(SMALL(BE39:BE103,ROW()-ROW($BE$106)+1),"")</f>
        <v>0</v>
      </c>
      <c r="BF158">
        <f>IFERROR(SMALL(BF39:BF103,ROW()-ROW($BF$106)+1),"")</f>
        <v>0</v>
      </c>
      <c r="BG158">
        <f>IFERROR(SMALL(BG39:BG103,ROW()-ROW($BG$106)+1),"")</f>
        <v>0</v>
      </c>
      <c r="BH158">
        <f>IFERROR(SMALL(BH39:BH103,ROW()-ROW($BH$106)+1),"")</f>
        <v>0</v>
      </c>
      <c r="BI158">
        <f>IFERROR(SMALL(BI39:BI103,ROW()-ROW($BI$106)+1),"")</f>
        <v>0</v>
      </c>
      <c r="BJ158">
        <f>IFERROR(SMALL(BJ39:BJ103,ROW()-ROW($BJ$106)+1),"")</f>
        <v>0</v>
      </c>
      <c r="BK158">
        <f>IFERROR(SMALL(BK39:BK103,ROW()-ROW($BK$106)+1),"")</f>
        <v>0</v>
      </c>
      <c r="BL158">
        <f>IFERROR(SMALL(BL39:BL103,ROW()-ROW($BL$106)+1),"")</f>
        <v>0</v>
      </c>
      <c r="BM158">
        <f>IFERROR(SMALL(BM39:BM103,ROW()-ROW($BM$106)+1),"")</f>
        <v>0</v>
      </c>
      <c r="BN158">
        <f>IFERROR(SMALL(BN39:BN103,ROW()-ROW($BN$106)+1),"")</f>
        <v>0</v>
      </c>
      <c r="BO158">
        <f>IFERROR(SMALL(BO39:BO103,ROW()-ROW($BO$106)+1),"")</f>
        <v>0</v>
      </c>
      <c r="BP158">
        <f>IFERROR(SMALL(BP39:BP103,ROW()-ROW($BP$106)+1),"")</f>
        <v>0</v>
      </c>
      <c r="BS158">
        <f>IFERROR(SMALL(BS39:BS103,ROW()-ROW($BS$106)+1),"")</f>
        <v>0</v>
      </c>
      <c r="BT158">
        <f>IFERROR(SMALL(BT39:BT103,ROW()-ROW($BT$106)+1),"")</f>
        <v>0</v>
      </c>
      <c r="BU158">
        <f>IFERROR(SMALL(BU39:BU103,ROW()-ROW($BU$106)+1),"")</f>
        <v>0</v>
      </c>
      <c r="BV158">
        <f>IFERROR(SMALL(BV39:BV103,ROW()-ROW($BV$106)+1),"")</f>
        <v>0</v>
      </c>
      <c r="BW158">
        <f>IFERROR(SMALL(BW39:BW103,ROW()-ROW($BW$106)+1),"")</f>
        <v>0</v>
      </c>
      <c r="BX158">
        <f>IFERROR(SMALL(BX39:BX103,ROW()-ROW($BX$106)+1),"")</f>
        <v>0</v>
      </c>
      <c r="BY158">
        <f>IFERROR(SMALL(BY39:BY103,ROW()-ROW($BY$106)+1),"")</f>
        <v>0</v>
      </c>
      <c r="BZ158">
        <f>IFERROR(SMALL(BZ39:BZ103,ROW()-ROW($BZ$106)+1),"")</f>
        <v>0</v>
      </c>
      <c r="CA158">
        <f>IFERROR(SMALL(CA39:CA103,ROW()-ROW($CA$106)+1),"")</f>
        <v>0</v>
      </c>
      <c r="CB158">
        <f>IFERROR(SMALL(CB39:CB103,ROW()-ROW($CB$106)+1),"")</f>
        <v>0</v>
      </c>
      <c r="CC158">
        <f>IFERROR(SMALL(CC39:CC103,ROW()-ROW($CC$106)+1),"")</f>
        <v>0</v>
      </c>
      <c r="CD158">
        <f>IFERROR(SMALL(CD39:CD103,ROW()-ROW($CD$106)+1),"")</f>
        <v>0</v>
      </c>
      <c r="CE158">
        <f>IFERROR(SMALL(CE39:CE103,ROW()-ROW($CE$106)+1),"")</f>
        <v>0</v>
      </c>
      <c r="CF158">
        <f>IFERROR(SMALL(CF39:CF103,ROW()-ROW($CF$106)+1),"")</f>
        <v>0</v>
      </c>
      <c r="CG158">
        <f>IFERROR(SMALL(CG39:CG103,ROW()-ROW($CG$106)+1),"")</f>
        <v>0</v>
      </c>
      <c r="CH158">
        <f>IFERROR(SMALL(CH39:CH103,ROW()-ROW($CH$106)+1),"")</f>
        <v>0</v>
      </c>
      <c r="CI158">
        <f>IFERROR(SMALL(CI39:CI103,ROW()-ROW($CI$106)+1),"")</f>
        <v>0</v>
      </c>
      <c r="CJ158">
        <f>IFERROR(SMALL(CJ39:CJ103,ROW()-ROW($CJ$106)+1),"")</f>
        <v>0</v>
      </c>
      <c r="CK158">
        <f>IFERROR(SMALL(CK39:CK103,ROW()-ROW($CK$106)+1),"")</f>
        <v>0</v>
      </c>
      <c r="CL158">
        <f>IFERROR(SMALL(CL39:CL103,ROW()-ROW($CL$106)+1),"")</f>
        <v>0</v>
      </c>
      <c r="CM158">
        <f>IFERROR(SMALL(CM39:CM103,ROW()-ROW($CM$106)+1),"")</f>
        <v>0</v>
      </c>
      <c r="CN158">
        <f>IFERROR(SMALL(CN39:CN103,ROW()-ROW($CN$106)+1),"")</f>
        <v>0</v>
      </c>
      <c r="CO158">
        <f>IFERROR(SMALL(CO39:CO103,ROW()-ROW($CO$106)+1),"")</f>
        <v>0</v>
      </c>
      <c r="CP158">
        <f>IFERROR(SMALL(CP39:CP103,ROW()-ROW($CP$106)+1),"")</f>
        <v>0</v>
      </c>
      <c r="CQ158">
        <f>IFERROR(SMALL(CQ39:CQ103,ROW()-ROW($CQ$106)+1),"")</f>
        <v>0</v>
      </c>
      <c r="CR158">
        <f>IFERROR(SMALL(CR39:CR103,ROW()-ROW($CR$106)+1),"")</f>
        <v>0</v>
      </c>
      <c r="CS158">
        <f>IFERROR(SMALL(CS39:CS103,ROW()-ROW($CS$106)+1),"")</f>
        <v>0</v>
      </c>
      <c r="CT158">
        <f>IFERROR(SMALL(CT39:CT103,ROW()-ROW($CT$106)+1),"")</f>
        <v>0</v>
      </c>
      <c r="CU158">
        <f>IFERROR(SMALL(CU39:CU103,ROW()-ROW($CU$106)+1),"")</f>
        <v>0</v>
      </c>
      <c r="CV158">
        <f>IFERROR(SMALL(CV39:CV103,ROW()-ROW($CV$106)+1),"")</f>
        <v>0</v>
      </c>
      <c r="CW158">
        <f>IFERROR(SMALL(CW39:CW103,ROW()-ROW($CW$106)+1),"")</f>
        <v>0</v>
      </c>
      <c r="CX158">
        <f>IFERROR(SMALL(CX39:CX103,ROW()-ROW($CX$106)+1),"")</f>
        <v>0</v>
      </c>
      <c r="CY158">
        <f>IFERROR(SMALL(CY39:CY103,ROW()-ROW($CY$106)+1),"")</f>
        <v>0</v>
      </c>
      <c r="CZ158">
        <f>IFERROR(SMALL(CZ39:CZ103,ROW()-ROW($CZ$106)+1),"")</f>
        <v>0</v>
      </c>
      <c r="DA158">
        <f>IFERROR(SMALL(DA39:DA103,ROW()-ROW($DA$106)+1),"")</f>
        <v>0</v>
      </c>
      <c r="DB158">
        <f>IFERROR(SMALL(DB39:DB103,ROW()-ROW($DB$106)+1),"")</f>
        <v>0</v>
      </c>
      <c r="DC158">
        <f>IFERROR(SMALL(DC39:DC103,ROW()-ROW($DC$106)+1),"")</f>
        <v>0</v>
      </c>
      <c r="DD158">
        <f>IFERROR(SMALL(DD39:DD103,ROW()-ROW($DD$106)+1),"")</f>
        <v>0</v>
      </c>
      <c r="DE158">
        <f>IFERROR(SMALL(DE39:DE103,ROW()-ROW($DE$106)+1),"")</f>
        <v>0</v>
      </c>
      <c r="DF158">
        <f>IFERROR(SMALL(DF39:DF103,ROW()-ROW($DF$106)+1),"")</f>
        <v>0</v>
      </c>
      <c r="DG158">
        <f>IFERROR(SMALL(DG39:DG103,ROW()-ROW($DG$106)+1),"")</f>
        <v>0</v>
      </c>
      <c r="DH158">
        <f>IFERROR(SMALL(DH39:DH103,ROW()-ROW($DH$106)+1),"")</f>
        <v>0</v>
      </c>
      <c r="DI158">
        <f>IFERROR(SMALL(DI39:DI103,ROW()-ROW($DI$106)+1),"")</f>
        <v>0</v>
      </c>
      <c r="DJ158">
        <f>IFERROR(SMALL(DJ39:DJ103,ROW()-ROW($DJ$106)+1),"")</f>
        <v>0</v>
      </c>
      <c r="DK158">
        <f>IFERROR(SMALL(DK39:DK103,ROW()-ROW($DK$106)+1),"")</f>
        <v>0</v>
      </c>
      <c r="DL158">
        <f>IFERROR(SMALL(DL39:DL103,ROW()-ROW($DL$106)+1),"")</f>
        <v>0</v>
      </c>
      <c r="DM158">
        <f>IFERROR(SMALL(DM39:DM103,ROW()-ROW($DM$106)+1),"")</f>
        <v>0</v>
      </c>
      <c r="DN158">
        <f>IFERROR(SMALL(DN39:DN103,ROW()-ROW($DN$106)+1),"")</f>
        <v>0</v>
      </c>
      <c r="DO158">
        <f>IFERROR(SMALL(DO39:DO103,ROW()-ROW($DO$106)+1),"")</f>
        <v>0</v>
      </c>
      <c r="DP158">
        <f>IFERROR(SMALL(DP39:DP103,ROW()-ROW($DP$106)+1),"")</f>
        <v>0</v>
      </c>
      <c r="DQ158">
        <f>IFERROR(SMALL(DQ39:DQ103,ROW()-ROW($DQ$106)+1),"")</f>
        <v>0</v>
      </c>
      <c r="DR158">
        <f>IFERROR(SMALL(DR39:DR103,ROW()-ROW($DR$106)+1),"")</f>
        <v>0</v>
      </c>
      <c r="DS158">
        <f>IFERROR(SMALL(DS39:DS103,ROW()-ROW($DS$106)+1),"")</f>
        <v>0</v>
      </c>
      <c r="DT158">
        <f>IFERROR(SMALL(DT39:DT103,ROW()-ROW($DT$106)+1),"")</f>
        <v>0</v>
      </c>
      <c r="DU158">
        <f>IFERROR(SMALL(DU39:DU103,ROW()-ROW($DU$106)+1),"")</f>
        <v>0</v>
      </c>
      <c r="DV158">
        <f>IFERROR(SMALL(DV39:DV103,ROW()-ROW($DV$106)+1),"")</f>
        <v>0</v>
      </c>
      <c r="DW158">
        <f>IFERROR(SMALL(DW39:DW103,ROW()-ROW($DW$106)+1),"")</f>
        <v>0</v>
      </c>
      <c r="DX158">
        <f>IFERROR(SMALL(DX39:DX103,ROW()-ROW($DX$106)+1),"")</f>
        <v>0</v>
      </c>
      <c r="DY158">
        <f>IFERROR(SMALL(DY39:DY103,ROW()-ROW($DY$106)+1),"")</f>
        <v>0</v>
      </c>
      <c r="DZ158">
        <f>IFERROR(SMALL(DZ39:DZ103,ROW()-ROW($DZ$106)+1),"")</f>
        <v>0</v>
      </c>
      <c r="EA158">
        <f>IFERROR(SMALL(EA39:EA103,ROW()-ROW($EA$106)+1),"")</f>
        <v>0</v>
      </c>
      <c r="EB158">
        <f>IFERROR(SMALL(EB39:EB103,ROW()-ROW($EB$106)+1),"")</f>
        <v>0</v>
      </c>
      <c r="EC158">
        <f>IFERROR(SMALL(EC39:EC103,ROW()-ROW($EC$106)+1),"")</f>
        <v>0</v>
      </c>
      <c r="ED158">
        <f>IFERROR(SMALL(ED39:ED103,ROW()-ROW($ED$106)+1),"")</f>
        <v>0</v>
      </c>
    </row>
    <row r="159" spans="5:134">
      <c r="E159">
        <f>IFERROR(SMALL(E39:E103,ROW()-ROW($E$106)+1),"")</f>
        <v>0</v>
      </c>
      <c r="F159">
        <f>IFERROR(SMALL(F39:F103,ROW()-ROW($F$106)+1),"")</f>
        <v>0</v>
      </c>
      <c r="G159">
        <f>IFERROR(SMALL(G39:G103,ROW()-ROW($G$106)+1),"")</f>
        <v>0</v>
      </c>
      <c r="H159">
        <f>IFERROR(SMALL(H39:H103,ROW()-ROW($H$106)+1),"")</f>
        <v>0</v>
      </c>
      <c r="I159">
        <f>IFERROR(SMALL(I39:I103,ROW()-ROW($I$106)+1),"")</f>
        <v>0</v>
      </c>
      <c r="J159">
        <f>IFERROR(SMALL(J39:J103,ROW()-ROW($J$106)+1),"")</f>
        <v>0</v>
      </c>
      <c r="K159">
        <f>IFERROR(SMALL(K39:K103,ROW()-ROW($K$106)+1),"")</f>
        <v>0</v>
      </c>
      <c r="L159">
        <f>IFERROR(SMALL(L39:L103,ROW()-ROW($L$106)+1),"")</f>
        <v>0</v>
      </c>
      <c r="M159">
        <f>IFERROR(SMALL(M39:M103,ROW()-ROW($M$106)+1),"")</f>
        <v>0</v>
      </c>
      <c r="N159">
        <f>IFERROR(SMALL(N39:N103,ROW()-ROW($N$106)+1),"")</f>
        <v>0</v>
      </c>
      <c r="O159">
        <f>IFERROR(SMALL(O39:O103,ROW()-ROW($O$106)+1),"")</f>
        <v>0</v>
      </c>
      <c r="P159">
        <f>IFERROR(SMALL(P39:P103,ROW()-ROW($P$106)+1),"")</f>
        <v>0</v>
      </c>
      <c r="Q159">
        <f>IFERROR(SMALL(Q39:Q103,ROW()-ROW($Q$106)+1),"")</f>
        <v>0</v>
      </c>
      <c r="R159">
        <f>IFERROR(SMALL(R39:R103,ROW()-ROW($R$106)+1),"")</f>
        <v>0</v>
      </c>
      <c r="S159">
        <f>IFERROR(SMALL(S39:S103,ROW()-ROW($S$106)+1),"")</f>
        <v>0</v>
      </c>
      <c r="T159">
        <f>IFERROR(SMALL(T39:T103,ROW()-ROW($T$106)+1),"")</f>
        <v>0</v>
      </c>
      <c r="U159">
        <f>IFERROR(SMALL(U39:U103,ROW()-ROW($U$106)+1),"")</f>
        <v>0</v>
      </c>
      <c r="V159">
        <f>IFERROR(SMALL(V39:V103,ROW()-ROW($V$106)+1),"")</f>
        <v>0</v>
      </c>
      <c r="W159">
        <f>IFERROR(SMALL(W39:W103,ROW()-ROW($W$106)+1),"")</f>
        <v>0</v>
      </c>
      <c r="X159">
        <f>IFERROR(SMALL(X39:X103,ROW()-ROW($X$106)+1),"")</f>
        <v>0</v>
      </c>
      <c r="Y159">
        <f>IFERROR(SMALL(Y39:Y103,ROW()-ROW($Y$106)+1),"")</f>
        <v>0</v>
      </c>
      <c r="Z159">
        <f>IFERROR(SMALL(Z39:Z103,ROW()-ROW($Z$106)+1),"")</f>
        <v>0</v>
      </c>
      <c r="AA159">
        <f>IFERROR(SMALL(AA39:AA103,ROW()-ROW($AA$106)+1),"")</f>
        <v>0</v>
      </c>
      <c r="AB159">
        <f>IFERROR(SMALL(AB39:AB103,ROW()-ROW($AB$106)+1),"")</f>
        <v>0</v>
      </c>
      <c r="AC159">
        <f>IFERROR(SMALL(AC39:AC103,ROW()-ROW($AC$106)+1),"")</f>
        <v>0</v>
      </c>
      <c r="AD159">
        <f>IFERROR(SMALL(AD39:AD103,ROW()-ROW($AD$106)+1),"")</f>
        <v>0</v>
      </c>
      <c r="AE159">
        <f>IFERROR(SMALL(AE39:AE103,ROW()-ROW($AE$106)+1),"")</f>
        <v>0</v>
      </c>
      <c r="AF159">
        <f>IFERROR(SMALL(AF39:AF103,ROW()-ROW($AF$106)+1),"")</f>
        <v>0</v>
      </c>
      <c r="AG159">
        <f>IFERROR(SMALL(AG39:AG103,ROW()-ROW($AG$106)+1),"")</f>
        <v>0</v>
      </c>
      <c r="AH159">
        <f>IFERROR(SMALL(AH39:AH103,ROW()-ROW($AH$106)+1),"")</f>
        <v>0</v>
      </c>
      <c r="AI159">
        <f>IFERROR(SMALL(AI39:AI103,ROW()-ROW($AI$106)+1),"")</f>
        <v>0</v>
      </c>
      <c r="AJ159">
        <f>IFERROR(SMALL(AJ39:AJ103,ROW()-ROW($AJ$106)+1),"")</f>
        <v>0</v>
      </c>
      <c r="AK159">
        <f>IFERROR(SMALL(AK39:AK103,ROW()-ROW($AK$106)+1),"")</f>
        <v>0</v>
      </c>
      <c r="AL159">
        <f>IFERROR(SMALL(AL39:AL103,ROW()-ROW($AL$106)+1),"")</f>
        <v>0</v>
      </c>
      <c r="AM159">
        <f>IFERROR(SMALL(AM39:AM103,ROW()-ROW($AM$106)+1),"")</f>
        <v>0</v>
      </c>
      <c r="AN159">
        <f>IFERROR(SMALL(AN39:AN103,ROW()-ROW($AN$106)+1),"")</f>
        <v>0</v>
      </c>
      <c r="AO159">
        <f>IFERROR(SMALL(AO39:AO103,ROW()-ROW($AO$106)+1),"")</f>
        <v>0</v>
      </c>
      <c r="AP159">
        <f>IFERROR(SMALL(AP39:AP103,ROW()-ROW($AP$106)+1),"")</f>
        <v>0</v>
      </c>
      <c r="AQ159">
        <f>IFERROR(SMALL(AQ39:AQ103,ROW()-ROW($AQ$106)+1),"")</f>
        <v>0</v>
      </c>
      <c r="AR159">
        <f>IFERROR(SMALL(AR39:AR103,ROW()-ROW($AR$106)+1),"")</f>
        <v>0</v>
      </c>
      <c r="AS159">
        <f>IFERROR(SMALL(AS39:AS103,ROW()-ROW($AS$106)+1),"")</f>
        <v>0</v>
      </c>
      <c r="AT159">
        <f>IFERROR(SMALL(AT39:AT103,ROW()-ROW($AT$106)+1),"")</f>
        <v>0</v>
      </c>
      <c r="AU159">
        <f>IFERROR(SMALL(AU39:AU103,ROW()-ROW($AU$106)+1),"")</f>
        <v>0</v>
      </c>
      <c r="AV159">
        <f>IFERROR(SMALL(AV39:AV103,ROW()-ROW($AV$106)+1),"")</f>
        <v>0</v>
      </c>
      <c r="AW159">
        <f>IFERROR(SMALL(AW39:AW103,ROW()-ROW($AW$106)+1),"")</f>
        <v>0</v>
      </c>
      <c r="AX159">
        <f>IFERROR(SMALL(AX39:AX103,ROW()-ROW($AX$106)+1),"")</f>
        <v>0</v>
      </c>
      <c r="AY159">
        <f>IFERROR(SMALL(AY39:AY103,ROW()-ROW($AY$106)+1),"")</f>
        <v>0</v>
      </c>
      <c r="AZ159">
        <f>IFERROR(SMALL(AZ39:AZ103,ROW()-ROW($AZ$106)+1),"")</f>
        <v>0</v>
      </c>
      <c r="BA159">
        <f>IFERROR(SMALL(BA39:BA103,ROW()-ROW($BA$106)+1),"")</f>
        <v>0</v>
      </c>
      <c r="BB159">
        <f>IFERROR(SMALL(BB39:BB103,ROW()-ROW($BB$106)+1),"")</f>
        <v>0</v>
      </c>
      <c r="BC159">
        <f>IFERROR(SMALL(BC39:BC103,ROW()-ROW($BC$106)+1),"")</f>
        <v>0</v>
      </c>
      <c r="BD159">
        <f>IFERROR(SMALL(BD39:BD103,ROW()-ROW($BD$106)+1),"")</f>
        <v>0</v>
      </c>
      <c r="BE159">
        <f>IFERROR(SMALL(BE39:BE103,ROW()-ROW($BE$106)+1),"")</f>
        <v>0</v>
      </c>
      <c r="BF159">
        <f>IFERROR(SMALL(BF39:BF103,ROW()-ROW($BF$106)+1),"")</f>
        <v>0</v>
      </c>
      <c r="BG159">
        <f>IFERROR(SMALL(BG39:BG103,ROW()-ROW($BG$106)+1),"")</f>
        <v>0</v>
      </c>
      <c r="BH159">
        <f>IFERROR(SMALL(BH39:BH103,ROW()-ROW($BH$106)+1),"")</f>
        <v>0</v>
      </c>
      <c r="BI159">
        <f>IFERROR(SMALL(BI39:BI103,ROW()-ROW($BI$106)+1),"")</f>
        <v>0</v>
      </c>
      <c r="BJ159">
        <f>IFERROR(SMALL(BJ39:BJ103,ROW()-ROW($BJ$106)+1),"")</f>
        <v>0</v>
      </c>
      <c r="BK159">
        <f>IFERROR(SMALL(BK39:BK103,ROW()-ROW($BK$106)+1),"")</f>
        <v>0</v>
      </c>
      <c r="BL159">
        <f>IFERROR(SMALL(BL39:BL103,ROW()-ROW($BL$106)+1),"")</f>
        <v>0</v>
      </c>
      <c r="BM159">
        <f>IFERROR(SMALL(BM39:BM103,ROW()-ROW($BM$106)+1),"")</f>
        <v>0</v>
      </c>
      <c r="BN159">
        <f>IFERROR(SMALL(BN39:BN103,ROW()-ROW($BN$106)+1),"")</f>
        <v>0</v>
      </c>
      <c r="BO159">
        <f>IFERROR(SMALL(BO39:BO103,ROW()-ROW($BO$106)+1),"")</f>
        <v>0</v>
      </c>
      <c r="BP159">
        <f>IFERROR(SMALL(BP39:BP103,ROW()-ROW($BP$106)+1),"")</f>
        <v>0</v>
      </c>
      <c r="BS159">
        <f>IFERROR(SMALL(BS39:BS103,ROW()-ROW($BS$106)+1),"")</f>
        <v>0</v>
      </c>
      <c r="BT159">
        <f>IFERROR(SMALL(BT39:BT103,ROW()-ROW($BT$106)+1),"")</f>
        <v>0</v>
      </c>
      <c r="BU159">
        <f>IFERROR(SMALL(BU39:BU103,ROW()-ROW($BU$106)+1),"")</f>
        <v>0</v>
      </c>
      <c r="BV159">
        <f>IFERROR(SMALL(BV39:BV103,ROW()-ROW($BV$106)+1),"")</f>
        <v>0</v>
      </c>
      <c r="BW159">
        <f>IFERROR(SMALL(BW39:BW103,ROW()-ROW($BW$106)+1),"")</f>
        <v>0</v>
      </c>
      <c r="BX159">
        <f>IFERROR(SMALL(BX39:BX103,ROW()-ROW($BX$106)+1),"")</f>
        <v>0</v>
      </c>
      <c r="BY159">
        <f>IFERROR(SMALL(BY39:BY103,ROW()-ROW($BY$106)+1),"")</f>
        <v>0</v>
      </c>
      <c r="BZ159">
        <f>IFERROR(SMALL(BZ39:BZ103,ROW()-ROW($BZ$106)+1),"")</f>
        <v>0</v>
      </c>
      <c r="CA159">
        <f>IFERROR(SMALL(CA39:CA103,ROW()-ROW($CA$106)+1),"")</f>
        <v>0</v>
      </c>
      <c r="CB159">
        <f>IFERROR(SMALL(CB39:CB103,ROW()-ROW($CB$106)+1),"")</f>
        <v>0</v>
      </c>
      <c r="CC159">
        <f>IFERROR(SMALL(CC39:CC103,ROW()-ROW($CC$106)+1),"")</f>
        <v>0</v>
      </c>
      <c r="CD159">
        <f>IFERROR(SMALL(CD39:CD103,ROW()-ROW($CD$106)+1),"")</f>
        <v>0</v>
      </c>
      <c r="CE159">
        <f>IFERROR(SMALL(CE39:CE103,ROW()-ROW($CE$106)+1),"")</f>
        <v>0</v>
      </c>
      <c r="CF159">
        <f>IFERROR(SMALL(CF39:CF103,ROW()-ROW($CF$106)+1),"")</f>
        <v>0</v>
      </c>
      <c r="CG159">
        <f>IFERROR(SMALL(CG39:CG103,ROW()-ROW($CG$106)+1),"")</f>
        <v>0</v>
      </c>
      <c r="CH159">
        <f>IFERROR(SMALL(CH39:CH103,ROW()-ROW($CH$106)+1),"")</f>
        <v>0</v>
      </c>
      <c r="CI159">
        <f>IFERROR(SMALL(CI39:CI103,ROW()-ROW($CI$106)+1),"")</f>
        <v>0</v>
      </c>
      <c r="CJ159">
        <f>IFERROR(SMALL(CJ39:CJ103,ROW()-ROW($CJ$106)+1),"")</f>
        <v>0</v>
      </c>
      <c r="CK159">
        <f>IFERROR(SMALL(CK39:CK103,ROW()-ROW($CK$106)+1),"")</f>
        <v>0</v>
      </c>
      <c r="CL159">
        <f>IFERROR(SMALL(CL39:CL103,ROW()-ROW($CL$106)+1),"")</f>
        <v>0</v>
      </c>
      <c r="CM159">
        <f>IFERROR(SMALL(CM39:CM103,ROW()-ROW($CM$106)+1),"")</f>
        <v>0</v>
      </c>
      <c r="CN159">
        <f>IFERROR(SMALL(CN39:CN103,ROW()-ROW($CN$106)+1),"")</f>
        <v>0</v>
      </c>
      <c r="CO159">
        <f>IFERROR(SMALL(CO39:CO103,ROW()-ROW($CO$106)+1),"")</f>
        <v>0</v>
      </c>
      <c r="CP159">
        <f>IFERROR(SMALL(CP39:CP103,ROW()-ROW($CP$106)+1),"")</f>
        <v>0</v>
      </c>
      <c r="CQ159">
        <f>IFERROR(SMALL(CQ39:CQ103,ROW()-ROW($CQ$106)+1),"")</f>
        <v>0</v>
      </c>
      <c r="CR159">
        <f>IFERROR(SMALL(CR39:CR103,ROW()-ROW($CR$106)+1),"")</f>
        <v>0</v>
      </c>
      <c r="CS159">
        <f>IFERROR(SMALL(CS39:CS103,ROW()-ROW($CS$106)+1),"")</f>
        <v>0</v>
      </c>
      <c r="CT159">
        <f>IFERROR(SMALL(CT39:CT103,ROW()-ROW($CT$106)+1),"")</f>
        <v>0</v>
      </c>
      <c r="CU159">
        <f>IFERROR(SMALL(CU39:CU103,ROW()-ROW($CU$106)+1),"")</f>
        <v>0</v>
      </c>
      <c r="CV159">
        <f>IFERROR(SMALL(CV39:CV103,ROW()-ROW($CV$106)+1),"")</f>
        <v>0</v>
      </c>
      <c r="CW159">
        <f>IFERROR(SMALL(CW39:CW103,ROW()-ROW($CW$106)+1),"")</f>
        <v>0</v>
      </c>
      <c r="CX159">
        <f>IFERROR(SMALL(CX39:CX103,ROW()-ROW($CX$106)+1),"")</f>
        <v>0</v>
      </c>
      <c r="CY159">
        <f>IFERROR(SMALL(CY39:CY103,ROW()-ROW($CY$106)+1),"")</f>
        <v>0</v>
      </c>
      <c r="CZ159">
        <f>IFERROR(SMALL(CZ39:CZ103,ROW()-ROW($CZ$106)+1),"")</f>
        <v>0</v>
      </c>
      <c r="DA159">
        <f>IFERROR(SMALL(DA39:DA103,ROW()-ROW($DA$106)+1),"")</f>
        <v>0</v>
      </c>
      <c r="DB159">
        <f>IFERROR(SMALL(DB39:DB103,ROW()-ROW($DB$106)+1),"")</f>
        <v>0</v>
      </c>
      <c r="DC159">
        <f>IFERROR(SMALL(DC39:DC103,ROW()-ROW($DC$106)+1),"")</f>
        <v>0</v>
      </c>
      <c r="DD159">
        <f>IFERROR(SMALL(DD39:DD103,ROW()-ROW($DD$106)+1),"")</f>
        <v>0</v>
      </c>
      <c r="DE159">
        <f>IFERROR(SMALL(DE39:DE103,ROW()-ROW($DE$106)+1),"")</f>
        <v>0</v>
      </c>
      <c r="DF159">
        <f>IFERROR(SMALL(DF39:DF103,ROW()-ROW($DF$106)+1),"")</f>
        <v>0</v>
      </c>
      <c r="DG159">
        <f>IFERROR(SMALL(DG39:DG103,ROW()-ROW($DG$106)+1),"")</f>
        <v>0</v>
      </c>
      <c r="DH159">
        <f>IFERROR(SMALL(DH39:DH103,ROW()-ROW($DH$106)+1),"")</f>
        <v>0</v>
      </c>
      <c r="DI159">
        <f>IFERROR(SMALL(DI39:DI103,ROW()-ROW($DI$106)+1),"")</f>
        <v>0</v>
      </c>
      <c r="DJ159">
        <f>IFERROR(SMALL(DJ39:DJ103,ROW()-ROW($DJ$106)+1),"")</f>
        <v>0</v>
      </c>
      <c r="DK159">
        <f>IFERROR(SMALL(DK39:DK103,ROW()-ROW($DK$106)+1),"")</f>
        <v>0</v>
      </c>
      <c r="DL159">
        <f>IFERROR(SMALL(DL39:DL103,ROW()-ROW($DL$106)+1),"")</f>
        <v>0</v>
      </c>
      <c r="DM159">
        <f>IFERROR(SMALL(DM39:DM103,ROW()-ROW($DM$106)+1),"")</f>
        <v>0</v>
      </c>
      <c r="DN159">
        <f>IFERROR(SMALL(DN39:DN103,ROW()-ROW($DN$106)+1),"")</f>
        <v>0</v>
      </c>
      <c r="DO159">
        <f>IFERROR(SMALL(DO39:DO103,ROW()-ROW($DO$106)+1),"")</f>
        <v>0</v>
      </c>
      <c r="DP159">
        <f>IFERROR(SMALL(DP39:DP103,ROW()-ROW($DP$106)+1),"")</f>
        <v>0</v>
      </c>
      <c r="DQ159">
        <f>IFERROR(SMALL(DQ39:DQ103,ROW()-ROW($DQ$106)+1),"")</f>
        <v>0</v>
      </c>
      <c r="DR159">
        <f>IFERROR(SMALL(DR39:DR103,ROW()-ROW($DR$106)+1),"")</f>
        <v>0</v>
      </c>
      <c r="DS159">
        <f>IFERROR(SMALL(DS39:DS103,ROW()-ROW($DS$106)+1),"")</f>
        <v>0</v>
      </c>
      <c r="DT159">
        <f>IFERROR(SMALL(DT39:DT103,ROW()-ROW($DT$106)+1),"")</f>
        <v>0</v>
      </c>
      <c r="DU159">
        <f>IFERROR(SMALL(DU39:DU103,ROW()-ROW($DU$106)+1),"")</f>
        <v>0</v>
      </c>
      <c r="DV159">
        <f>IFERROR(SMALL(DV39:DV103,ROW()-ROW($DV$106)+1),"")</f>
        <v>0</v>
      </c>
      <c r="DW159">
        <f>IFERROR(SMALL(DW39:DW103,ROW()-ROW($DW$106)+1),"")</f>
        <v>0</v>
      </c>
      <c r="DX159">
        <f>IFERROR(SMALL(DX39:DX103,ROW()-ROW($DX$106)+1),"")</f>
        <v>0</v>
      </c>
      <c r="DY159">
        <f>IFERROR(SMALL(DY39:DY103,ROW()-ROW($DY$106)+1),"")</f>
        <v>0</v>
      </c>
      <c r="DZ159">
        <f>IFERROR(SMALL(DZ39:DZ103,ROW()-ROW($DZ$106)+1),"")</f>
        <v>0</v>
      </c>
      <c r="EA159">
        <f>IFERROR(SMALL(EA39:EA103,ROW()-ROW($EA$106)+1),"")</f>
        <v>0</v>
      </c>
      <c r="EB159">
        <f>IFERROR(SMALL(EB39:EB103,ROW()-ROW($EB$106)+1),"")</f>
        <v>0</v>
      </c>
      <c r="EC159">
        <f>IFERROR(SMALL(EC39:EC103,ROW()-ROW($EC$106)+1),"")</f>
        <v>0</v>
      </c>
      <c r="ED159">
        <f>IFERROR(SMALL(ED39:ED103,ROW()-ROW($ED$106)+1),"")</f>
        <v>0</v>
      </c>
    </row>
    <row r="160" spans="5:134">
      <c r="E160">
        <f>IFERROR(SMALL(E39:E103,ROW()-ROW($E$106)+1),"")</f>
        <v>0</v>
      </c>
      <c r="F160">
        <f>IFERROR(SMALL(F39:F103,ROW()-ROW($F$106)+1),"")</f>
        <v>0</v>
      </c>
      <c r="G160">
        <f>IFERROR(SMALL(G39:G103,ROW()-ROW($G$106)+1),"")</f>
        <v>0</v>
      </c>
      <c r="H160">
        <f>IFERROR(SMALL(H39:H103,ROW()-ROW($H$106)+1),"")</f>
        <v>0</v>
      </c>
      <c r="I160">
        <f>IFERROR(SMALL(I39:I103,ROW()-ROW($I$106)+1),"")</f>
        <v>0</v>
      </c>
      <c r="J160">
        <f>IFERROR(SMALL(J39:J103,ROW()-ROW($J$106)+1),"")</f>
        <v>0</v>
      </c>
      <c r="K160">
        <f>IFERROR(SMALL(K39:K103,ROW()-ROW($K$106)+1),"")</f>
        <v>0</v>
      </c>
      <c r="L160">
        <f>IFERROR(SMALL(L39:L103,ROW()-ROW($L$106)+1),"")</f>
        <v>0</v>
      </c>
      <c r="M160">
        <f>IFERROR(SMALL(M39:M103,ROW()-ROW($M$106)+1),"")</f>
        <v>0</v>
      </c>
      <c r="N160">
        <f>IFERROR(SMALL(N39:N103,ROW()-ROW($N$106)+1),"")</f>
        <v>0</v>
      </c>
      <c r="O160">
        <f>IFERROR(SMALL(O39:O103,ROW()-ROW($O$106)+1),"")</f>
        <v>0</v>
      </c>
      <c r="P160">
        <f>IFERROR(SMALL(P39:P103,ROW()-ROW($P$106)+1),"")</f>
        <v>0</v>
      </c>
      <c r="Q160">
        <f>IFERROR(SMALL(Q39:Q103,ROW()-ROW($Q$106)+1),"")</f>
        <v>0</v>
      </c>
      <c r="R160">
        <f>IFERROR(SMALL(R39:R103,ROW()-ROW($R$106)+1),"")</f>
        <v>0</v>
      </c>
      <c r="S160">
        <f>IFERROR(SMALL(S39:S103,ROW()-ROW($S$106)+1),"")</f>
        <v>0</v>
      </c>
      <c r="T160">
        <f>IFERROR(SMALL(T39:T103,ROW()-ROW($T$106)+1),"")</f>
        <v>0</v>
      </c>
      <c r="U160">
        <f>IFERROR(SMALL(U39:U103,ROW()-ROW($U$106)+1),"")</f>
        <v>0</v>
      </c>
      <c r="V160">
        <f>IFERROR(SMALL(V39:V103,ROW()-ROW($V$106)+1),"")</f>
        <v>0</v>
      </c>
      <c r="W160">
        <f>IFERROR(SMALL(W39:W103,ROW()-ROW($W$106)+1),"")</f>
        <v>0</v>
      </c>
      <c r="X160">
        <f>IFERROR(SMALL(X39:X103,ROW()-ROW($X$106)+1),"")</f>
        <v>0</v>
      </c>
      <c r="Y160">
        <f>IFERROR(SMALL(Y39:Y103,ROW()-ROW($Y$106)+1),"")</f>
        <v>0</v>
      </c>
      <c r="Z160">
        <f>IFERROR(SMALL(Z39:Z103,ROW()-ROW($Z$106)+1),"")</f>
        <v>0</v>
      </c>
      <c r="AA160">
        <f>IFERROR(SMALL(AA39:AA103,ROW()-ROW($AA$106)+1),"")</f>
        <v>0</v>
      </c>
      <c r="AB160">
        <f>IFERROR(SMALL(AB39:AB103,ROW()-ROW($AB$106)+1),"")</f>
        <v>0</v>
      </c>
      <c r="AC160">
        <f>IFERROR(SMALL(AC39:AC103,ROW()-ROW($AC$106)+1),"")</f>
        <v>0</v>
      </c>
      <c r="AD160">
        <f>IFERROR(SMALL(AD39:AD103,ROW()-ROW($AD$106)+1),"")</f>
        <v>0</v>
      </c>
      <c r="AE160">
        <f>IFERROR(SMALL(AE39:AE103,ROW()-ROW($AE$106)+1),"")</f>
        <v>0</v>
      </c>
      <c r="AF160">
        <f>IFERROR(SMALL(AF39:AF103,ROW()-ROW($AF$106)+1),"")</f>
        <v>0</v>
      </c>
      <c r="AG160">
        <f>IFERROR(SMALL(AG39:AG103,ROW()-ROW($AG$106)+1),"")</f>
        <v>0</v>
      </c>
      <c r="AH160">
        <f>IFERROR(SMALL(AH39:AH103,ROW()-ROW($AH$106)+1),"")</f>
        <v>0</v>
      </c>
      <c r="AI160">
        <f>IFERROR(SMALL(AI39:AI103,ROW()-ROW($AI$106)+1),"")</f>
        <v>0</v>
      </c>
      <c r="AJ160">
        <f>IFERROR(SMALL(AJ39:AJ103,ROW()-ROW($AJ$106)+1),"")</f>
        <v>0</v>
      </c>
      <c r="AK160">
        <f>IFERROR(SMALL(AK39:AK103,ROW()-ROW($AK$106)+1),"")</f>
        <v>0</v>
      </c>
      <c r="AL160">
        <f>IFERROR(SMALL(AL39:AL103,ROW()-ROW($AL$106)+1),"")</f>
        <v>0</v>
      </c>
      <c r="AM160">
        <f>IFERROR(SMALL(AM39:AM103,ROW()-ROW($AM$106)+1),"")</f>
        <v>0</v>
      </c>
      <c r="AN160">
        <f>IFERROR(SMALL(AN39:AN103,ROW()-ROW($AN$106)+1),"")</f>
        <v>0</v>
      </c>
      <c r="AO160">
        <f>IFERROR(SMALL(AO39:AO103,ROW()-ROW($AO$106)+1),"")</f>
        <v>0</v>
      </c>
      <c r="AP160">
        <f>IFERROR(SMALL(AP39:AP103,ROW()-ROW($AP$106)+1),"")</f>
        <v>0</v>
      </c>
      <c r="AQ160">
        <f>IFERROR(SMALL(AQ39:AQ103,ROW()-ROW($AQ$106)+1),"")</f>
        <v>0</v>
      </c>
      <c r="AR160">
        <f>IFERROR(SMALL(AR39:AR103,ROW()-ROW($AR$106)+1),"")</f>
        <v>0</v>
      </c>
      <c r="AS160">
        <f>IFERROR(SMALL(AS39:AS103,ROW()-ROW($AS$106)+1),"")</f>
        <v>0</v>
      </c>
      <c r="AT160">
        <f>IFERROR(SMALL(AT39:AT103,ROW()-ROW($AT$106)+1),"")</f>
        <v>0</v>
      </c>
      <c r="AU160">
        <f>IFERROR(SMALL(AU39:AU103,ROW()-ROW($AU$106)+1),"")</f>
        <v>0</v>
      </c>
      <c r="AV160">
        <f>IFERROR(SMALL(AV39:AV103,ROW()-ROW($AV$106)+1),"")</f>
        <v>0</v>
      </c>
      <c r="AW160">
        <f>IFERROR(SMALL(AW39:AW103,ROW()-ROW($AW$106)+1),"")</f>
        <v>0</v>
      </c>
      <c r="AX160">
        <f>IFERROR(SMALL(AX39:AX103,ROW()-ROW($AX$106)+1),"")</f>
        <v>0</v>
      </c>
      <c r="AY160">
        <f>IFERROR(SMALL(AY39:AY103,ROW()-ROW($AY$106)+1),"")</f>
        <v>0</v>
      </c>
      <c r="AZ160">
        <f>IFERROR(SMALL(AZ39:AZ103,ROW()-ROW($AZ$106)+1),"")</f>
        <v>0</v>
      </c>
      <c r="BA160">
        <f>IFERROR(SMALL(BA39:BA103,ROW()-ROW($BA$106)+1),"")</f>
        <v>0</v>
      </c>
      <c r="BB160">
        <f>IFERROR(SMALL(BB39:BB103,ROW()-ROW($BB$106)+1),"")</f>
        <v>0</v>
      </c>
      <c r="BC160">
        <f>IFERROR(SMALL(BC39:BC103,ROW()-ROW($BC$106)+1),"")</f>
        <v>0</v>
      </c>
      <c r="BD160">
        <f>IFERROR(SMALL(BD39:BD103,ROW()-ROW($BD$106)+1),"")</f>
        <v>0</v>
      </c>
      <c r="BE160">
        <f>IFERROR(SMALL(BE39:BE103,ROW()-ROW($BE$106)+1),"")</f>
        <v>0</v>
      </c>
      <c r="BF160">
        <f>IFERROR(SMALL(BF39:BF103,ROW()-ROW($BF$106)+1),"")</f>
        <v>0</v>
      </c>
      <c r="BG160">
        <f>IFERROR(SMALL(BG39:BG103,ROW()-ROW($BG$106)+1),"")</f>
        <v>0</v>
      </c>
      <c r="BH160">
        <f>IFERROR(SMALL(BH39:BH103,ROW()-ROW($BH$106)+1),"")</f>
        <v>0</v>
      </c>
      <c r="BI160">
        <f>IFERROR(SMALL(BI39:BI103,ROW()-ROW($BI$106)+1),"")</f>
        <v>0</v>
      </c>
      <c r="BJ160">
        <f>IFERROR(SMALL(BJ39:BJ103,ROW()-ROW($BJ$106)+1),"")</f>
        <v>0</v>
      </c>
      <c r="BK160">
        <f>IFERROR(SMALL(BK39:BK103,ROW()-ROW($BK$106)+1),"")</f>
        <v>0</v>
      </c>
      <c r="BL160">
        <f>IFERROR(SMALL(BL39:BL103,ROW()-ROW($BL$106)+1),"")</f>
        <v>0</v>
      </c>
      <c r="BM160">
        <f>IFERROR(SMALL(BM39:BM103,ROW()-ROW($BM$106)+1),"")</f>
        <v>0</v>
      </c>
      <c r="BN160">
        <f>IFERROR(SMALL(BN39:BN103,ROW()-ROW($BN$106)+1),"")</f>
        <v>0</v>
      </c>
      <c r="BO160">
        <f>IFERROR(SMALL(BO39:BO103,ROW()-ROW($BO$106)+1),"")</f>
        <v>0</v>
      </c>
      <c r="BP160">
        <f>IFERROR(SMALL(BP39:BP103,ROW()-ROW($BP$106)+1),"")</f>
        <v>0</v>
      </c>
      <c r="BS160">
        <f>IFERROR(SMALL(BS39:BS103,ROW()-ROW($BS$106)+1),"")</f>
        <v>0</v>
      </c>
      <c r="BT160">
        <f>IFERROR(SMALL(BT39:BT103,ROW()-ROW($BT$106)+1),"")</f>
        <v>0</v>
      </c>
      <c r="BU160">
        <f>IFERROR(SMALL(BU39:BU103,ROW()-ROW($BU$106)+1),"")</f>
        <v>0</v>
      </c>
      <c r="BV160">
        <f>IFERROR(SMALL(BV39:BV103,ROW()-ROW($BV$106)+1),"")</f>
        <v>0</v>
      </c>
      <c r="BW160">
        <f>IFERROR(SMALL(BW39:BW103,ROW()-ROW($BW$106)+1),"")</f>
        <v>0</v>
      </c>
      <c r="BX160">
        <f>IFERROR(SMALL(BX39:BX103,ROW()-ROW($BX$106)+1),"")</f>
        <v>0</v>
      </c>
      <c r="BY160">
        <f>IFERROR(SMALL(BY39:BY103,ROW()-ROW($BY$106)+1),"")</f>
        <v>0</v>
      </c>
      <c r="BZ160">
        <f>IFERROR(SMALL(BZ39:BZ103,ROW()-ROW($BZ$106)+1),"")</f>
        <v>0</v>
      </c>
      <c r="CA160">
        <f>IFERROR(SMALL(CA39:CA103,ROW()-ROW($CA$106)+1),"")</f>
        <v>0</v>
      </c>
      <c r="CB160">
        <f>IFERROR(SMALL(CB39:CB103,ROW()-ROW($CB$106)+1),"")</f>
        <v>0</v>
      </c>
      <c r="CC160">
        <f>IFERROR(SMALL(CC39:CC103,ROW()-ROW($CC$106)+1),"")</f>
        <v>0</v>
      </c>
      <c r="CD160">
        <f>IFERROR(SMALL(CD39:CD103,ROW()-ROW($CD$106)+1),"")</f>
        <v>0</v>
      </c>
      <c r="CE160">
        <f>IFERROR(SMALL(CE39:CE103,ROW()-ROW($CE$106)+1),"")</f>
        <v>0</v>
      </c>
      <c r="CF160">
        <f>IFERROR(SMALL(CF39:CF103,ROW()-ROW($CF$106)+1),"")</f>
        <v>0</v>
      </c>
      <c r="CG160">
        <f>IFERROR(SMALL(CG39:CG103,ROW()-ROW($CG$106)+1),"")</f>
        <v>0</v>
      </c>
      <c r="CH160">
        <f>IFERROR(SMALL(CH39:CH103,ROW()-ROW($CH$106)+1),"")</f>
        <v>0</v>
      </c>
      <c r="CI160">
        <f>IFERROR(SMALL(CI39:CI103,ROW()-ROW($CI$106)+1),"")</f>
        <v>0</v>
      </c>
      <c r="CJ160">
        <f>IFERROR(SMALL(CJ39:CJ103,ROW()-ROW($CJ$106)+1),"")</f>
        <v>0</v>
      </c>
      <c r="CK160">
        <f>IFERROR(SMALL(CK39:CK103,ROW()-ROW($CK$106)+1),"")</f>
        <v>0</v>
      </c>
      <c r="CL160">
        <f>IFERROR(SMALL(CL39:CL103,ROW()-ROW($CL$106)+1),"")</f>
        <v>0</v>
      </c>
      <c r="CM160">
        <f>IFERROR(SMALL(CM39:CM103,ROW()-ROW($CM$106)+1),"")</f>
        <v>0</v>
      </c>
      <c r="CN160">
        <f>IFERROR(SMALL(CN39:CN103,ROW()-ROW($CN$106)+1),"")</f>
        <v>0</v>
      </c>
      <c r="CO160">
        <f>IFERROR(SMALL(CO39:CO103,ROW()-ROW($CO$106)+1),"")</f>
        <v>0</v>
      </c>
      <c r="CP160">
        <f>IFERROR(SMALL(CP39:CP103,ROW()-ROW($CP$106)+1),"")</f>
        <v>0</v>
      </c>
      <c r="CQ160">
        <f>IFERROR(SMALL(CQ39:CQ103,ROW()-ROW($CQ$106)+1),"")</f>
        <v>0</v>
      </c>
      <c r="CR160">
        <f>IFERROR(SMALL(CR39:CR103,ROW()-ROW($CR$106)+1),"")</f>
        <v>0</v>
      </c>
      <c r="CS160">
        <f>IFERROR(SMALL(CS39:CS103,ROW()-ROW($CS$106)+1),"")</f>
        <v>0</v>
      </c>
      <c r="CT160">
        <f>IFERROR(SMALL(CT39:CT103,ROW()-ROW($CT$106)+1),"")</f>
        <v>0</v>
      </c>
      <c r="CU160">
        <f>IFERROR(SMALL(CU39:CU103,ROW()-ROW($CU$106)+1),"")</f>
        <v>0</v>
      </c>
      <c r="CV160">
        <f>IFERROR(SMALL(CV39:CV103,ROW()-ROW($CV$106)+1),"")</f>
        <v>0</v>
      </c>
      <c r="CW160">
        <f>IFERROR(SMALL(CW39:CW103,ROW()-ROW($CW$106)+1),"")</f>
        <v>0</v>
      </c>
      <c r="CX160">
        <f>IFERROR(SMALL(CX39:CX103,ROW()-ROW($CX$106)+1),"")</f>
        <v>0</v>
      </c>
      <c r="CY160">
        <f>IFERROR(SMALL(CY39:CY103,ROW()-ROW($CY$106)+1),"")</f>
        <v>0</v>
      </c>
      <c r="CZ160">
        <f>IFERROR(SMALL(CZ39:CZ103,ROW()-ROW($CZ$106)+1),"")</f>
        <v>0</v>
      </c>
      <c r="DA160">
        <f>IFERROR(SMALL(DA39:DA103,ROW()-ROW($DA$106)+1),"")</f>
        <v>0</v>
      </c>
      <c r="DB160">
        <f>IFERROR(SMALL(DB39:DB103,ROW()-ROW($DB$106)+1),"")</f>
        <v>0</v>
      </c>
      <c r="DC160">
        <f>IFERROR(SMALL(DC39:DC103,ROW()-ROW($DC$106)+1),"")</f>
        <v>0</v>
      </c>
      <c r="DD160">
        <f>IFERROR(SMALL(DD39:DD103,ROW()-ROW($DD$106)+1),"")</f>
        <v>0</v>
      </c>
      <c r="DE160">
        <f>IFERROR(SMALL(DE39:DE103,ROW()-ROW($DE$106)+1),"")</f>
        <v>0</v>
      </c>
      <c r="DF160">
        <f>IFERROR(SMALL(DF39:DF103,ROW()-ROW($DF$106)+1),"")</f>
        <v>0</v>
      </c>
      <c r="DG160">
        <f>IFERROR(SMALL(DG39:DG103,ROW()-ROW($DG$106)+1),"")</f>
        <v>0</v>
      </c>
      <c r="DH160">
        <f>IFERROR(SMALL(DH39:DH103,ROW()-ROW($DH$106)+1),"")</f>
        <v>0</v>
      </c>
      <c r="DI160">
        <f>IFERROR(SMALL(DI39:DI103,ROW()-ROW($DI$106)+1),"")</f>
        <v>0</v>
      </c>
      <c r="DJ160">
        <f>IFERROR(SMALL(DJ39:DJ103,ROW()-ROW($DJ$106)+1),"")</f>
        <v>0</v>
      </c>
      <c r="DK160">
        <f>IFERROR(SMALL(DK39:DK103,ROW()-ROW($DK$106)+1),"")</f>
        <v>0</v>
      </c>
      <c r="DL160">
        <f>IFERROR(SMALL(DL39:DL103,ROW()-ROW($DL$106)+1),"")</f>
        <v>0</v>
      </c>
      <c r="DM160">
        <f>IFERROR(SMALL(DM39:DM103,ROW()-ROW($DM$106)+1),"")</f>
        <v>0</v>
      </c>
      <c r="DN160">
        <f>IFERROR(SMALL(DN39:DN103,ROW()-ROW($DN$106)+1),"")</f>
        <v>0</v>
      </c>
      <c r="DO160">
        <f>IFERROR(SMALL(DO39:DO103,ROW()-ROW($DO$106)+1),"")</f>
        <v>0</v>
      </c>
      <c r="DP160">
        <f>IFERROR(SMALL(DP39:DP103,ROW()-ROW($DP$106)+1),"")</f>
        <v>0</v>
      </c>
      <c r="DQ160">
        <f>IFERROR(SMALL(DQ39:DQ103,ROW()-ROW($DQ$106)+1),"")</f>
        <v>0</v>
      </c>
      <c r="DR160">
        <f>IFERROR(SMALL(DR39:DR103,ROW()-ROW($DR$106)+1),"")</f>
        <v>0</v>
      </c>
      <c r="DS160">
        <f>IFERROR(SMALL(DS39:DS103,ROW()-ROW($DS$106)+1),"")</f>
        <v>0</v>
      </c>
      <c r="DT160">
        <f>IFERROR(SMALL(DT39:DT103,ROW()-ROW($DT$106)+1),"")</f>
        <v>0</v>
      </c>
      <c r="DU160">
        <f>IFERROR(SMALL(DU39:DU103,ROW()-ROW($DU$106)+1),"")</f>
        <v>0</v>
      </c>
      <c r="DV160">
        <f>IFERROR(SMALL(DV39:DV103,ROW()-ROW($DV$106)+1),"")</f>
        <v>0</v>
      </c>
      <c r="DW160">
        <f>IFERROR(SMALL(DW39:DW103,ROW()-ROW($DW$106)+1),"")</f>
        <v>0</v>
      </c>
      <c r="DX160">
        <f>IFERROR(SMALL(DX39:DX103,ROW()-ROW($DX$106)+1),"")</f>
        <v>0</v>
      </c>
      <c r="DY160">
        <f>IFERROR(SMALL(DY39:DY103,ROW()-ROW($DY$106)+1),"")</f>
        <v>0</v>
      </c>
      <c r="DZ160">
        <f>IFERROR(SMALL(DZ39:DZ103,ROW()-ROW($DZ$106)+1),"")</f>
        <v>0</v>
      </c>
      <c r="EA160">
        <f>IFERROR(SMALL(EA39:EA103,ROW()-ROW($EA$106)+1),"")</f>
        <v>0</v>
      </c>
      <c r="EB160">
        <f>IFERROR(SMALL(EB39:EB103,ROW()-ROW($EB$106)+1),"")</f>
        <v>0</v>
      </c>
      <c r="EC160">
        <f>IFERROR(SMALL(EC39:EC103,ROW()-ROW($EC$106)+1),"")</f>
        <v>0</v>
      </c>
      <c r="ED160">
        <f>IFERROR(SMALL(ED39:ED103,ROW()-ROW($ED$106)+1),"")</f>
        <v>0</v>
      </c>
    </row>
    <row r="161" spans="4:134">
      <c r="E161">
        <f>IFERROR(SMALL(E39:E103,ROW()-ROW($E$106)+1),"")</f>
        <v>0</v>
      </c>
      <c r="F161">
        <f>IFERROR(SMALL(F39:F103,ROW()-ROW($F$106)+1),"")</f>
        <v>0</v>
      </c>
      <c r="G161">
        <f>IFERROR(SMALL(G39:G103,ROW()-ROW($G$106)+1),"")</f>
        <v>0</v>
      </c>
      <c r="H161">
        <f>IFERROR(SMALL(H39:H103,ROW()-ROW($H$106)+1),"")</f>
        <v>0</v>
      </c>
      <c r="I161">
        <f>IFERROR(SMALL(I39:I103,ROW()-ROW($I$106)+1),"")</f>
        <v>0</v>
      </c>
      <c r="J161">
        <f>IFERROR(SMALL(J39:J103,ROW()-ROW($J$106)+1),"")</f>
        <v>0</v>
      </c>
      <c r="K161">
        <f>IFERROR(SMALL(K39:K103,ROW()-ROW($K$106)+1),"")</f>
        <v>0</v>
      </c>
      <c r="L161">
        <f>IFERROR(SMALL(L39:L103,ROW()-ROW($L$106)+1),"")</f>
        <v>0</v>
      </c>
      <c r="M161">
        <f>IFERROR(SMALL(M39:M103,ROW()-ROW($M$106)+1),"")</f>
        <v>0</v>
      </c>
      <c r="N161">
        <f>IFERROR(SMALL(N39:N103,ROW()-ROW($N$106)+1),"")</f>
        <v>0</v>
      </c>
      <c r="O161">
        <f>IFERROR(SMALL(O39:O103,ROW()-ROW($O$106)+1),"")</f>
        <v>0</v>
      </c>
      <c r="P161">
        <f>IFERROR(SMALL(P39:P103,ROW()-ROW($P$106)+1),"")</f>
        <v>0</v>
      </c>
      <c r="Q161">
        <f>IFERROR(SMALL(Q39:Q103,ROW()-ROW($Q$106)+1),"")</f>
        <v>0</v>
      </c>
      <c r="R161">
        <f>IFERROR(SMALL(R39:R103,ROW()-ROW($R$106)+1),"")</f>
        <v>0</v>
      </c>
      <c r="S161">
        <f>IFERROR(SMALL(S39:S103,ROW()-ROW($S$106)+1),"")</f>
        <v>0</v>
      </c>
      <c r="T161">
        <f>IFERROR(SMALL(T39:T103,ROW()-ROW($T$106)+1),"")</f>
        <v>0</v>
      </c>
      <c r="U161">
        <f>IFERROR(SMALL(U39:U103,ROW()-ROW($U$106)+1),"")</f>
        <v>0</v>
      </c>
      <c r="V161">
        <f>IFERROR(SMALL(V39:V103,ROW()-ROW($V$106)+1),"")</f>
        <v>0</v>
      </c>
      <c r="W161">
        <f>IFERROR(SMALL(W39:W103,ROW()-ROW($W$106)+1),"")</f>
        <v>0</v>
      </c>
      <c r="X161">
        <f>IFERROR(SMALL(X39:X103,ROW()-ROW($X$106)+1),"")</f>
        <v>0</v>
      </c>
      <c r="Y161">
        <f>IFERROR(SMALL(Y39:Y103,ROW()-ROW($Y$106)+1),"")</f>
        <v>0</v>
      </c>
      <c r="Z161">
        <f>IFERROR(SMALL(Z39:Z103,ROW()-ROW($Z$106)+1),"")</f>
        <v>0</v>
      </c>
      <c r="AA161">
        <f>IFERROR(SMALL(AA39:AA103,ROW()-ROW($AA$106)+1),"")</f>
        <v>0</v>
      </c>
      <c r="AB161">
        <f>IFERROR(SMALL(AB39:AB103,ROW()-ROW($AB$106)+1),"")</f>
        <v>0</v>
      </c>
      <c r="AC161">
        <f>IFERROR(SMALL(AC39:AC103,ROW()-ROW($AC$106)+1),"")</f>
        <v>0</v>
      </c>
      <c r="AD161">
        <f>IFERROR(SMALL(AD39:AD103,ROW()-ROW($AD$106)+1),"")</f>
        <v>0</v>
      </c>
      <c r="AE161">
        <f>IFERROR(SMALL(AE39:AE103,ROW()-ROW($AE$106)+1),"")</f>
        <v>0</v>
      </c>
      <c r="AF161">
        <f>IFERROR(SMALL(AF39:AF103,ROW()-ROW($AF$106)+1),"")</f>
        <v>0</v>
      </c>
      <c r="AG161">
        <f>IFERROR(SMALL(AG39:AG103,ROW()-ROW($AG$106)+1),"")</f>
        <v>0</v>
      </c>
      <c r="AH161">
        <f>IFERROR(SMALL(AH39:AH103,ROW()-ROW($AH$106)+1),"")</f>
        <v>0</v>
      </c>
      <c r="AI161">
        <f>IFERROR(SMALL(AI39:AI103,ROW()-ROW($AI$106)+1),"")</f>
        <v>0</v>
      </c>
      <c r="AJ161">
        <f>IFERROR(SMALL(AJ39:AJ103,ROW()-ROW($AJ$106)+1),"")</f>
        <v>0</v>
      </c>
      <c r="AK161">
        <f>IFERROR(SMALL(AK39:AK103,ROW()-ROW($AK$106)+1),"")</f>
        <v>0</v>
      </c>
      <c r="AL161">
        <f>IFERROR(SMALL(AL39:AL103,ROW()-ROW($AL$106)+1),"")</f>
        <v>0</v>
      </c>
      <c r="AM161">
        <f>IFERROR(SMALL(AM39:AM103,ROW()-ROW($AM$106)+1),"")</f>
        <v>0</v>
      </c>
      <c r="AN161">
        <f>IFERROR(SMALL(AN39:AN103,ROW()-ROW($AN$106)+1),"")</f>
        <v>0</v>
      </c>
      <c r="AO161">
        <f>IFERROR(SMALL(AO39:AO103,ROW()-ROW($AO$106)+1),"")</f>
        <v>0</v>
      </c>
      <c r="AP161">
        <f>IFERROR(SMALL(AP39:AP103,ROW()-ROW($AP$106)+1),"")</f>
        <v>0</v>
      </c>
      <c r="AQ161">
        <f>IFERROR(SMALL(AQ39:AQ103,ROW()-ROW($AQ$106)+1),"")</f>
        <v>0</v>
      </c>
      <c r="AR161">
        <f>IFERROR(SMALL(AR39:AR103,ROW()-ROW($AR$106)+1),"")</f>
        <v>0</v>
      </c>
      <c r="AS161">
        <f>IFERROR(SMALL(AS39:AS103,ROW()-ROW($AS$106)+1),"")</f>
        <v>0</v>
      </c>
      <c r="AT161">
        <f>IFERROR(SMALL(AT39:AT103,ROW()-ROW($AT$106)+1),"")</f>
        <v>0</v>
      </c>
      <c r="AU161">
        <f>IFERROR(SMALL(AU39:AU103,ROW()-ROW($AU$106)+1),"")</f>
        <v>0</v>
      </c>
      <c r="AV161">
        <f>IFERROR(SMALL(AV39:AV103,ROW()-ROW($AV$106)+1),"")</f>
        <v>0</v>
      </c>
      <c r="AW161">
        <f>IFERROR(SMALL(AW39:AW103,ROW()-ROW($AW$106)+1),"")</f>
        <v>0</v>
      </c>
      <c r="AX161">
        <f>IFERROR(SMALL(AX39:AX103,ROW()-ROW($AX$106)+1),"")</f>
        <v>0</v>
      </c>
      <c r="AY161">
        <f>IFERROR(SMALL(AY39:AY103,ROW()-ROW($AY$106)+1),"")</f>
        <v>0</v>
      </c>
      <c r="AZ161">
        <f>IFERROR(SMALL(AZ39:AZ103,ROW()-ROW($AZ$106)+1),"")</f>
        <v>0</v>
      </c>
      <c r="BA161">
        <f>IFERROR(SMALL(BA39:BA103,ROW()-ROW($BA$106)+1),"")</f>
        <v>0</v>
      </c>
      <c r="BB161">
        <f>IFERROR(SMALL(BB39:BB103,ROW()-ROW($BB$106)+1),"")</f>
        <v>0</v>
      </c>
      <c r="BC161">
        <f>IFERROR(SMALL(BC39:BC103,ROW()-ROW($BC$106)+1),"")</f>
        <v>0</v>
      </c>
      <c r="BD161">
        <f>IFERROR(SMALL(BD39:BD103,ROW()-ROW($BD$106)+1),"")</f>
        <v>0</v>
      </c>
      <c r="BE161">
        <f>IFERROR(SMALL(BE39:BE103,ROW()-ROW($BE$106)+1),"")</f>
        <v>0</v>
      </c>
      <c r="BF161">
        <f>IFERROR(SMALL(BF39:BF103,ROW()-ROW($BF$106)+1),"")</f>
        <v>0</v>
      </c>
      <c r="BG161">
        <f>IFERROR(SMALL(BG39:BG103,ROW()-ROW($BG$106)+1),"")</f>
        <v>0</v>
      </c>
      <c r="BH161">
        <f>IFERROR(SMALL(BH39:BH103,ROW()-ROW($BH$106)+1),"")</f>
        <v>0</v>
      </c>
      <c r="BI161">
        <f>IFERROR(SMALL(BI39:BI103,ROW()-ROW($BI$106)+1),"")</f>
        <v>0</v>
      </c>
      <c r="BJ161">
        <f>IFERROR(SMALL(BJ39:BJ103,ROW()-ROW($BJ$106)+1),"")</f>
        <v>0</v>
      </c>
      <c r="BK161">
        <f>IFERROR(SMALL(BK39:BK103,ROW()-ROW($BK$106)+1),"")</f>
        <v>0</v>
      </c>
      <c r="BL161">
        <f>IFERROR(SMALL(BL39:BL103,ROW()-ROW($BL$106)+1),"")</f>
        <v>0</v>
      </c>
      <c r="BM161">
        <f>IFERROR(SMALL(BM39:BM103,ROW()-ROW($BM$106)+1),"")</f>
        <v>0</v>
      </c>
      <c r="BN161">
        <f>IFERROR(SMALL(BN39:BN103,ROW()-ROW($BN$106)+1),"")</f>
        <v>0</v>
      </c>
      <c r="BO161">
        <f>IFERROR(SMALL(BO39:BO103,ROW()-ROW($BO$106)+1),"")</f>
        <v>0</v>
      </c>
      <c r="BP161">
        <f>IFERROR(SMALL(BP39:BP103,ROW()-ROW($BP$106)+1),"")</f>
        <v>0</v>
      </c>
      <c r="BS161">
        <f>IFERROR(SMALL(BS39:BS103,ROW()-ROW($BS$106)+1),"")</f>
        <v>0</v>
      </c>
      <c r="BT161">
        <f>IFERROR(SMALL(BT39:BT103,ROW()-ROW($BT$106)+1),"")</f>
        <v>0</v>
      </c>
      <c r="BU161">
        <f>IFERROR(SMALL(BU39:BU103,ROW()-ROW($BU$106)+1),"")</f>
        <v>0</v>
      </c>
      <c r="BV161">
        <f>IFERROR(SMALL(BV39:BV103,ROW()-ROW($BV$106)+1),"")</f>
        <v>0</v>
      </c>
      <c r="BW161">
        <f>IFERROR(SMALL(BW39:BW103,ROW()-ROW($BW$106)+1),"")</f>
        <v>0</v>
      </c>
      <c r="BX161">
        <f>IFERROR(SMALL(BX39:BX103,ROW()-ROW($BX$106)+1),"")</f>
        <v>0</v>
      </c>
      <c r="BY161">
        <f>IFERROR(SMALL(BY39:BY103,ROW()-ROW($BY$106)+1),"")</f>
        <v>0</v>
      </c>
      <c r="BZ161">
        <f>IFERROR(SMALL(BZ39:BZ103,ROW()-ROW($BZ$106)+1),"")</f>
        <v>0</v>
      </c>
      <c r="CA161">
        <f>IFERROR(SMALL(CA39:CA103,ROW()-ROW($CA$106)+1),"")</f>
        <v>0</v>
      </c>
      <c r="CB161">
        <f>IFERROR(SMALL(CB39:CB103,ROW()-ROW($CB$106)+1),"")</f>
        <v>0</v>
      </c>
      <c r="CC161">
        <f>IFERROR(SMALL(CC39:CC103,ROW()-ROW($CC$106)+1),"")</f>
        <v>0</v>
      </c>
      <c r="CD161">
        <f>IFERROR(SMALL(CD39:CD103,ROW()-ROW($CD$106)+1),"")</f>
        <v>0</v>
      </c>
      <c r="CE161">
        <f>IFERROR(SMALL(CE39:CE103,ROW()-ROW($CE$106)+1),"")</f>
        <v>0</v>
      </c>
      <c r="CF161">
        <f>IFERROR(SMALL(CF39:CF103,ROW()-ROW($CF$106)+1),"")</f>
        <v>0</v>
      </c>
      <c r="CG161">
        <f>IFERROR(SMALL(CG39:CG103,ROW()-ROW($CG$106)+1),"")</f>
        <v>0</v>
      </c>
      <c r="CH161">
        <f>IFERROR(SMALL(CH39:CH103,ROW()-ROW($CH$106)+1),"")</f>
        <v>0</v>
      </c>
      <c r="CI161">
        <f>IFERROR(SMALL(CI39:CI103,ROW()-ROW($CI$106)+1),"")</f>
        <v>0</v>
      </c>
      <c r="CJ161">
        <f>IFERROR(SMALL(CJ39:CJ103,ROW()-ROW($CJ$106)+1),"")</f>
        <v>0</v>
      </c>
      <c r="CK161">
        <f>IFERROR(SMALL(CK39:CK103,ROW()-ROW($CK$106)+1),"")</f>
        <v>0</v>
      </c>
      <c r="CL161">
        <f>IFERROR(SMALL(CL39:CL103,ROW()-ROW($CL$106)+1),"")</f>
        <v>0</v>
      </c>
      <c r="CM161">
        <f>IFERROR(SMALL(CM39:CM103,ROW()-ROW($CM$106)+1),"")</f>
        <v>0</v>
      </c>
      <c r="CN161">
        <f>IFERROR(SMALL(CN39:CN103,ROW()-ROW($CN$106)+1),"")</f>
        <v>0</v>
      </c>
      <c r="CO161">
        <f>IFERROR(SMALL(CO39:CO103,ROW()-ROW($CO$106)+1),"")</f>
        <v>0</v>
      </c>
      <c r="CP161">
        <f>IFERROR(SMALL(CP39:CP103,ROW()-ROW($CP$106)+1),"")</f>
        <v>0</v>
      </c>
      <c r="CQ161">
        <f>IFERROR(SMALL(CQ39:CQ103,ROW()-ROW($CQ$106)+1),"")</f>
        <v>0</v>
      </c>
      <c r="CR161">
        <f>IFERROR(SMALL(CR39:CR103,ROW()-ROW($CR$106)+1),"")</f>
        <v>0</v>
      </c>
      <c r="CS161">
        <f>IFERROR(SMALL(CS39:CS103,ROW()-ROW($CS$106)+1),"")</f>
        <v>0</v>
      </c>
      <c r="CT161">
        <f>IFERROR(SMALL(CT39:CT103,ROW()-ROW($CT$106)+1),"")</f>
        <v>0</v>
      </c>
      <c r="CU161">
        <f>IFERROR(SMALL(CU39:CU103,ROW()-ROW($CU$106)+1),"")</f>
        <v>0</v>
      </c>
      <c r="CV161">
        <f>IFERROR(SMALL(CV39:CV103,ROW()-ROW($CV$106)+1),"")</f>
        <v>0</v>
      </c>
      <c r="CW161">
        <f>IFERROR(SMALL(CW39:CW103,ROW()-ROW($CW$106)+1),"")</f>
        <v>0</v>
      </c>
      <c r="CX161">
        <f>IFERROR(SMALL(CX39:CX103,ROW()-ROW($CX$106)+1),"")</f>
        <v>0</v>
      </c>
      <c r="CY161">
        <f>IFERROR(SMALL(CY39:CY103,ROW()-ROW($CY$106)+1),"")</f>
        <v>0</v>
      </c>
      <c r="CZ161">
        <f>IFERROR(SMALL(CZ39:CZ103,ROW()-ROW($CZ$106)+1),"")</f>
        <v>0</v>
      </c>
      <c r="DA161">
        <f>IFERROR(SMALL(DA39:DA103,ROW()-ROW($DA$106)+1),"")</f>
        <v>0</v>
      </c>
      <c r="DB161">
        <f>IFERROR(SMALL(DB39:DB103,ROW()-ROW($DB$106)+1),"")</f>
        <v>0</v>
      </c>
      <c r="DC161">
        <f>IFERROR(SMALL(DC39:DC103,ROW()-ROW($DC$106)+1),"")</f>
        <v>0</v>
      </c>
      <c r="DD161">
        <f>IFERROR(SMALL(DD39:DD103,ROW()-ROW($DD$106)+1),"")</f>
        <v>0</v>
      </c>
      <c r="DE161">
        <f>IFERROR(SMALL(DE39:DE103,ROW()-ROW($DE$106)+1),"")</f>
        <v>0</v>
      </c>
      <c r="DF161">
        <f>IFERROR(SMALL(DF39:DF103,ROW()-ROW($DF$106)+1),"")</f>
        <v>0</v>
      </c>
      <c r="DG161">
        <f>IFERROR(SMALL(DG39:DG103,ROW()-ROW($DG$106)+1),"")</f>
        <v>0</v>
      </c>
      <c r="DH161">
        <f>IFERROR(SMALL(DH39:DH103,ROW()-ROW($DH$106)+1),"")</f>
        <v>0</v>
      </c>
      <c r="DI161">
        <f>IFERROR(SMALL(DI39:DI103,ROW()-ROW($DI$106)+1),"")</f>
        <v>0</v>
      </c>
      <c r="DJ161">
        <f>IFERROR(SMALL(DJ39:DJ103,ROW()-ROW($DJ$106)+1),"")</f>
        <v>0</v>
      </c>
      <c r="DK161">
        <f>IFERROR(SMALL(DK39:DK103,ROW()-ROW($DK$106)+1),"")</f>
        <v>0</v>
      </c>
      <c r="DL161">
        <f>IFERROR(SMALL(DL39:DL103,ROW()-ROW($DL$106)+1),"")</f>
        <v>0</v>
      </c>
      <c r="DM161">
        <f>IFERROR(SMALL(DM39:DM103,ROW()-ROW($DM$106)+1),"")</f>
        <v>0</v>
      </c>
      <c r="DN161">
        <f>IFERROR(SMALL(DN39:DN103,ROW()-ROW($DN$106)+1),"")</f>
        <v>0</v>
      </c>
      <c r="DO161">
        <f>IFERROR(SMALL(DO39:DO103,ROW()-ROW($DO$106)+1),"")</f>
        <v>0</v>
      </c>
      <c r="DP161">
        <f>IFERROR(SMALL(DP39:DP103,ROW()-ROW($DP$106)+1),"")</f>
        <v>0</v>
      </c>
      <c r="DQ161">
        <f>IFERROR(SMALL(DQ39:DQ103,ROW()-ROW($DQ$106)+1),"")</f>
        <v>0</v>
      </c>
      <c r="DR161">
        <f>IFERROR(SMALL(DR39:DR103,ROW()-ROW($DR$106)+1),"")</f>
        <v>0</v>
      </c>
      <c r="DS161">
        <f>IFERROR(SMALL(DS39:DS103,ROW()-ROW($DS$106)+1),"")</f>
        <v>0</v>
      </c>
      <c r="DT161">
        <f>IFERROR(SMALL(DT39:DT103,ROW()-ROW($DT$106)+1),"")</f>
        <v>0</v>
      </c>
      <c r="DU161">
        <f>IFERROR(SMALL(DU39:DU103,ROW()-ROW($DU$106)+1),"")</f>
        <v>0</v>
      </c>
      <c r="DV161">
        <f>IFERROR(SMALL(DV39:DV103,ROW()-ROW($DV$106)+1),"")</f>
        <v>0</v>
      </c>
      <c r="DW161">
        <f>IFERROR(SMALL(DW39:DW103,ROW()-ROW($DW$106)+1),"")</f>
        <v>0</v>
      </c>
      <c r="DX161">
        <f>IFERROR(SMALL(DX39:DX103,ROW()-ROW($DX$106)+1),"")</f>
        <v>0</v>
      </c>
      <c r="DY161">
        <f>IFERROR(SMALL(DY39:DY103,ROW()-ROW($DY$106)+1),"")</f>
        <v>0</v>
      </c>
      <c r="DZ161">
        <f>IFERROR(SMALL(DZ39:DZ103,ROW()-ROW($DZ$106)+1),"")</f>
        <v>0</v>
      </c>
      <c r="EA161">
        <f>IFERROR(SMALL(EA39:EA103,ROW()-ROW($EA$106)+1),"")</f>
        <v>0</v>
      </c>
      <c r="EB161">
        <f>IFERROR(SMALL(EB39:EB103,ROW()-ROW($EB$106)+1),"")</f>
        <v>0</v>
      </c>
      <c r="EC161">
        <f>IFERROR(SMALL(EC39:EC103,ROW()-ROW($EC$106)+1),"")</f>
        <v>0</v>
      </c>
      <c r="ED161">
        <f>IFERROR(SMALL(ED39:ED103,ROW()-ROW($ED$106)+1),"")</f>
        <v>0</v>
      </c>
    </row>
    <row r="162" spans="4:134">
      <c r="E162">
        <f>IFERROR(SMALL(E39:E103,ROW()-ROW($E$106)+1),"")</f>
        <v>0</v>
      </c>
      <c r="F162">
        <f>IFERROR(SMALL(F39:F103,ROW()-ROW($F$106)+1),"")</f>
        <v>0</v>
      </c>
      <c r="G162">
        <f>IFERROR(SMALL(G39:G103,ROW()-ROW($G$106)+1),"")</f>
        <v>0</v>
      </c>
      <c r="H162">
        <f>IFERROR(SMALL(H39:H103,ROW()-ROW($H$106)+1),"")</f>
        <v>0</v>
      </c>
      <c r="I162">
        <f>IFERROR(SMALL(I39:I103,ROW()-ROW($I$106)+1),"")</f>
        <v>0</v>
      </c>
      <c r="J162">
        <f>IFERROR(SMALL(J39:J103,ROW()-ROW($J$106)+1),"")</f>
        <v>0</v>
      </c>
      <c r="K162">
        <f>IFERROR(SMALL(K39:K103,ROW()-ROW($K$106)+1),"")</f>
        <v>0</v>
      </c>
      <c r="L162">
        <f>IFERROR(SMALL(L39:L103,ROW()-ROW($L$106)+1),"")</f>
        <v>0</v>
      </c>
      <c r="M162">
        <f>IFERROR(SMALL(M39:M103,ROW()-ROW($M$106)+1),"")</f>
        <v>0</v>
      </c>
      <c r="N162">
        <f>IFERROR(SMALL(N39:N103,ROW()-ROW($N$106)+1),"")</f>
        <v>0</v>
      </c>
      <c r="O162">
        <f>IFERROR(SMALL(O39:O103,ROW()-ROW($O$106)+1),"")</f>
        <v>0</v>
      </c>
      <c r="P162">
        <f>IFERROR(SMALL(P39:P103,ROW()-ROW($P$106)+1),"")</f>
        <v>0</v>
      </c>
      <c r="Q162">
        <f>IFERROR(SMALL(Q39:Q103,ROW()-ROW($Q$106)+1),"")</f>
        <v>0</v>
      </c>
      <c r="R162">
        <f>IFERROR(SMALL(R39:R103,ROW()-ROW($R$106)+1),"")</f>
        <v>0</v>
      </c>
      <c r="S162">
        <f>IFERROR(SMALL(S39:S103,ROW()-ROW($S$106)+1),"")</f>
        <v>0</v>
      </c>
      <c r="T162">
        <f>IFERROR(SMALL(T39:T103,ROW()-ROW($T$106)+1),"")</f>
        <v>0</v>
      </c>
      <c r="U162">
        <f>IFERROR(SMALL(U39:U103,ROW()-ROW($U$106)+1),"")</f>
        <v>0</v>
      </c>
      <c r="V162">
        <f>IFERROR(SMALL(V39:V103,ROW()-ROW($V$106)+1),"")</f>
        <v>0</v>
      </c>
      <c r="W162">
        <f>IFERROR(SMALL(W39:W103,ROW()-ROW($W$106)+1),"")</f>
        <v>0</v>
      </c>
      <c r="X162">
        <f>IFERROR(SMALL(X39:X103,ROW()-ROW($X$106)+1),"")</f>
        <v>0</v>
      </c>
      <c r="Y162">
        <f>IFERROR(SMALL(Y39:Y103,ROW()-ROW($Y$106)+1),"")</f>
        <v>0</v>
      </c>
      <c r="Z162">
        <f>IFERROR(SMALL(Z39:Z103,ROW()-ROW($Z$106)+1),"")</f>
        <v>0</v>
      </c>
      <c r="AA162">
        <f>IFERROR(SMALL(AA39:AA103,ROW()-ROW($AA$106)+1),"")</f>
        <v>0</v>
      </c>
      <c r="AB162">
        <f>IFERROR(SMALL(AB39:AB103,ROW()-ROW($AB$106)+1),"")</f>
        <v>0</v>
      </c>
      <c r="AC162">
        <f>IFERROR(SMALL(AC39:AC103,ROW()-ROW($AC$106)+1),"")</f>
        <v>0</v>
      </c>
      <c r="AD162">
        <f>IFERROR(SMALL(AD39:AD103,ROW()-ROW($AD$106)+1),"")</f>
        <v>0</v>
      </c>
      <c r="AE162">
        <f>IFERROR(SMALL(AE39:AE103,ROW()-ROW($AE$106)+1),"")</f>
        <v>0</v>
      </c>
      <c r="AF162">
        <f>IFERROR(SMALL(AF39:AF103,ROW()-ROW($AF$106)+1),"")</f>
        <v>0</v>
      </c>
      <c r="AG162">
        <f>IFERROR(SMALL(AG39:AG103,ROW()-ROW($AG$106)+1),"")</f>
        <v>0</v>
      </c>
      <c r="AH162">
        <f>IFERROR(SMALL(AH39:AH103,ROW()-ROW($AH$106)+1),"")</f>
        <v>0</v>
      </c>
      <c r="AI162">
        <f>IFERROR(SMALL(AI39:AI103,ROW()-ROW($AI$106)+1),"")</f>
        <v>0</v>
      </c>
      <c r="AJ162">
        <f>IFERROR(SMALL(AJ39:AJ103,ROW()-ROW($AJ$106)+1),"")</f>
        <v>0</v>
      </c>
      <c r="AK162">
        <f>IFERROR(SMALL(AK39:AK103,ROW()-ROW($AK$106)+1),"")</f>
        <v>0</v>
      </c>
      <c r="AL162">
        <f>IFERROR(SMALL(AL39:AL103,ROW()-ROW($AL$106)+1),"")</f>
        <v>0</v>
      </c>
      <c r="AM162">
        <f>IFERROR(SMALL(AM39:AM103,ROW()-ROW($AM$106)+1),"")</f>
        <v>0</v>
      </c>
      <c r="AN162">
        <f>IFERROR(SMALL(AN39:AN103,ROW()-ROW($AN$106)+1),"")</f>
        <v>0</v>
      </c>
      <c r="AO162">
        <f>IFERROR(SMALL(AO39:AO103,ROW()-ROW($AO$106)+1),"")</f>
        <v>0</v>
      </c>
      <c r="AP162">
        <f>IFERROR(SMALL(AP39:AP103,ROW()-ROW($AP$106)+1),"")</f>
        <v>0</v>
      </c>
      <c r="AQ162">
        <f>IFERROR(SMALL(AQ39:AQ103,ROW()-ROW($AQ$106)+1),"")</f>
        <v>0</v>
      </c>
      <c r="AR162">
        <f>IFERROR(SMALL(AR39:AR103,ROW()-ROW($AR$106)+1),"")</f>
        <v>0</v>
      </c>
      <c r="AS162">
        <f>IFERROR(SMALL(AS39:AS103,ROW()-ROW($AS$106)+1),"")</f>
        <v>0</v>
      </c>
      <c r="AT162">
        <f>IFERROR(SMALL(AT39:AT103,ROW()-ROW($AT$106)+1),"")</f>
        <v>0</v>
      </c>
      <c r="AU162">
        <f>IFERROR(SMALL(AU39:AU103,ROW()-ROW($AU$106)+1),"")</f>
        <v>0</v>
      </c>
      <c r="AV162">
        <f>IFERROR(SMALL(AV39:AV103,ROW()-ROW($AV$106)+1),"")</f>
        <v>0</v>
      </c>
      <c r="AW162">
        <f>IFERROR(SMALL(AW39:AW103,ROW()-ROW($AW$106)+1),"")</f>
        <v>0</v>
      </c>
      <c r="AX162">
        <f>IFERROR(SMALL(AX39:AX103,ROW()-ROW($AX$106)+1),"")</f>
        <v>0</v>
      </c>
      <c r="AY162">
        <f>IFERROR(SMALL(AY39:AY103,ROW()-ROW($AY$106)+1),"")</f>
        <v>0</v>
      </c>
      <c r="AZ162">
        <f>IFERROR(SMALL(AZ39:AZ103,ROW()-ROW($AZ$106)+1),"")</f>
        <v>0</v>
      </c>
      <c r="BA162">
        <f>IFERROR(SMALL(BA39:BA103,ROW()-ROW($BA$106)+1),"")</f>
        <v>0</v>
      </c>
      <c r="BB162">
        <f>IFERROR(SMALL(BB39:BB103,ROW()-ROW($BB$106)+1),"")</f>
        <v>0</v>
      </c>
      <c r="BC162">
        <f>IFERROR(SMALL(BC39:BC103,ROW()-ROW($BC$106)+1),"")</f>
        <v>0</v>
      </c>
      <c r="BD162">
        <f>IFERROR(SMALL(BD39:BD103,ROW()-ROW($BD$106)+1),"")</f>
        <v>0</v>
      </c>
      <c r="BE162">
        <f>IFERROR(SMALL(BE39:BE103,ROW()-ROW($BE$106)+1),"")</f>
        <v>0</v>
      </c>
      <c r="BF162">
        <f>IFERROR(SMALL(BF39:BF103,ROW()-ROW($BF$106)+1),"")</f>
        <v>0</v>
      </c>
      <c r="BG162">
        <f>IFERROR(SMALL(BG39:BG103,ROW()-ROW($BG$106)+1),"")</f>
        <v>0</v>
      </c>
      <c r="BH162">
        <f>IFERROR(SMALL(BH39:BH103,ROW()-ROW($BH$106)+1),"")</f>
        <v>0</v>
      </c>
      <c r="BI162">
        <f>IFERROR(SMALL(BI39:BI103,ROW()-ROW($BI$106)+1),"")</f>
        <v>0</v>
      </c>
      <c r="BJ162">
        <f>IFERROR(SMALL(BJ39:BJ103,ROW()-ROW($BJ$106)+1),"")</f>
        <v>0</v>
      </c>
      <c r="BK162">
        <f>IFERROR(SMALL(BK39:BK103,ROW()-ROW($BK$106)+1),"")</f>
        <v>0</v>
      </c>
      <c r="BL162">
        <f>IFERROR(SMALL(BL39:BL103,ROW()-ROW($BL$106)+1),"")</f>
        <v>0</v>
      </c>
      <c r="BM162">
        <f>IFERROR(SMALL(BM39:BM103,ROW()-ROW($BM$106)+1),"")</f>
        <v>0</v>
      </c>
      <c r="BN162">
        <f>IFERROR(SMALL(BN39:BN103,ROW()-ROW($BN$106)+1),"")</f>
        <v>0</v>
      </c>
      <c r="BO162">
        <f>IFERROR(SMALL(BO39:BO103,ROW()-ROW($BO$106)+1),"")</f>
        <v>0</v>
      </c>
      <c r="BP162">
        <f>IFERROR(SMALL(BP39:BP103,ROW()-ROW($BP$106)+1),"")</f>
        <v>0</v>
      </c>
      <c r="BS162">
        <f>IFERROR(SMALL(BS39:BS103,ROW()-ROW($BS$106)+1),"")</f>
        <v>0</v>
      </c>
      <c r="BT162">
        <f>IFERROR(SMALL(BT39:BT103,ROW()-ROW($BT$106)+1),"")</f>
        <v>0</v>
      </c>
      <c r="BU162">
        <f>IFERROR(SMALL(BU39:BU103,ROW()-ROW($BU$106)+1),"")</f>
        <v>0</v>
      </c>
      <c r="BV162">
        <f>IFERROR(SMALL(BV39:BV103,ROW()-ROW($BV$106)+1),"")</f>
        <v>0</v>
      </c>
      <c r="BW162">
        <f>IFERROR(SMALL(BW39:BW103,ROW()-ROW($BW$106)+1),"")</f>
        <v>0</v>
      </c>
      <c r="BX162">
        <f>IFERROR(SMALL(BX39:BX103,ROW()-ROW($BX$106)+1),"")</f>
        <v>0</v>
      </c>
      <c r="BY162">
        <f>IFERROR(SMALL(BY39:BY103,ROW()-ROW($BY$106)+1),"")</f>
        <v>0</v>
      </c>
      <c r="BZ162">
        <f>IFERROR(SMALL(BZ39:BZ103,ROW()-ROW($BZ$106)+1),"")</f>
        <v>0</v>
      </c>
      <c r="CA162">
        <f>IFERROR(SMALL(CA39:CA103,ROW()-ROW($CA$106)+1),"")</f>
        <v>0</v>
      </c>
      <c r="CB162">
        <f>IFERROR(SMALL(CB39:CB103,ROW()-ROW($CB$106)+1),"")</f>
        <v>0</v>
      </c>
      <c r="CC162">
        <f>IFERROR(SMALL(CC39:CC103,ROW()-ROW($CC$106)+1),"")</f>
        <v>0</v>
      </c>
      <c r="CD162">
        <f>IFERROR(SMALL(CD39:CD103,ROW()-ROW($CD$106)+1),"")</f>
        <v>0</v>
      </c>
      <c r="CE162">
        <f>IFERROR(SMALL(CE39:CE103,ROW()-ROW($CE$106)+1),"")</f>
        <v>0</v>
      </c>
      <c r="CF162">
        <f>IFERROR(SMALL(CF39:CF103,ROW()-ROW($CF$106)+1),"")</f>
        <v>0</v>
      </c>
      <c r="CG162">
        <f>IFERROR(SMALL(CG39:CG103,ROW()-ROW($CG$106)+1),"")</f>
        <v>0</v>
      </c>
      <c r="CH162">
        <f>IFERROR(SMALL(CH39:CH103,ROW()-ROW($CH$106)+1),"")</f>
        <v>0</v>
      </c>
      <c r="CI162">
        <f>IFERROR(SMALL(CI39:CI103,ROW()-ROW($CI$106)+1),"")</f>
        <v>0</v>
      </c>
      <c r="CJ162">
        <f>IFERROR(SMALL(CJ39:CJ103,ROW()-ROW($CJ$106)+1),"")</f>
        <v>0</v>
      </c>
      <c r="CK162">
        <f>IFERROR(SMALL(CK39:CK103,ROW()-ROW($CK$106)+1),"")</f>
        <v>0</v>
      </c>
      <c r="CL162">
        <f>IFERROR(SMALL(CL39:CL103,ROW()-ROW($CL$106)+1),"")</f>
        <v>0</v>
      </c>
      <c r="CM162">
        <f>IFERROR(SMALL(CM39:CM103,ROW()-ROW($CM$106)+1),"")</f>
        <v>0</v>
      </c>
      <c r="CN162">
        <f>IFERROR(SMALL(CN39:CN103,ROW()-ROW($CN$106)+1),"")</f>
        <v>0</v>
      </c>
      <c r="CO162">
        <f>IFERROR(SMALL(CO39:CO103,ROW()-ROW($CO$106)+1),"")</f>
        <v>0</v>
      </c>
      <c r="CP162">
        <f>IFERROR(SMALL(CP39:CP103,ROW()-ROW($CP$106)+1),"")</f>
        <v>0</v>
      </c>
      <c r="CQ162">
        <f>IFERROR(SMALL(CQ39:CQ103,ROW()-ROW($CQ$106)+1),"")</f>
        <v>0</v>
      </c>
      <c r="CR162">
        <f>IFERROR(SMALL(CR39:CR103,ROW()-ROW($CR$106)+1),"")</f>
        <v>0</v>
      </c>
      <c r="CS162">
        <f>IFERROR(SMALL(CS39:CS103,ROW()-ROW($CS$106)+1),"")</f>
        <v>0</v>
      </c>
      <c r="CT162">
        <f>IFERROR(SMALL(CT39:CT103,ROW()-ROW($CT$106)+1),"")</f>
        <v>0</v>
      </c>
      <c r="CU162">
        <f>IFERROR(SMALL(CU39:CU103,ROW()-ROW($CU$106)+1),"")</f>
        <v>0</v>
      </c>
      <c r="CV162">
        <f>IFERROR(SMALL(CV39:CV103,ROW()-ROW($CV$106)+1),"")</f>
        <v>0</v>
      </c>
      <c r="CW162">
        <f>IFERROR(SMALL(CW39:CW103,ROW()-ROW($CW$106)+1),"")</f>
        <v>0</v>
      </c>
      <c r="CX162">
        <f>IFERROR(SMALL(CX39:CX103,ROW()-ROW($CX$106)+1),"")</f>
        <v>0</v>
      </c>
      <c r="CY162">
        <f>IFERROR(SMALL(CY39:CY103,ROW()-ROW($CY$106)+1),"")</f>
        <v>0</v>
      </c>
      <c r="CZ162">
        <f>IFERROR(SMALL(CZ39:CZ103,ROW()-ROW($CZ$106)+1),"")</f>
        <v>0</v>
      </c>
      <c r="DA162">
        <f>IFERROR(SMALL(DA39:DA103,ROW()-ROW($DA$106)+1),"")</f>
        <v>0</v>
      </c>
      <c r="DB162">
        <f>IFERROR(SMALL(DB39:DB103,ROW()-ROW($DB$106)+1),"")</f>
        <v>0</v>
      </c>
      <c r="DC162">
        <f>IFERROR(SMALL(DC39:DC103,ROW()-ROW($DC$106)+1),"")</f>
        <v>0</v>
      </c>
      <c r="DD162">
        <f>IFERROR(SMALL(DD39:DD103,ROW()-ROW($DD$106)+1),"")</f>
        <v>0</v>
      </c>
      <c r="DE162">
        <f>IFERROR(SMALL(DE39:DE103,ROW()-ROW($DE$106)+1),"")</f>
        <v>0</v>
      </c>
      <c r="DF162">
        <f>IFERROR(SMALL(DF39:DF103,ROW()-ROW($DF$106)+1),"")</f>
        <v>0</v>
      </c>
      <c r="DG162">
        <f>IFERROR(SMALL(DG39:DG103,ROW()-ROW($DG$106)+1),"")</f>
        <v>0</v>
      </c>
      <c r="DH162">
        <f>IFERROR(SMALL(DH39:DH103,ROW()-ROW($DH$106)+1),"")</f>
        <v>0</v>
      </c>
      <c r="DI162">
        <f>IFERROR(SMALL(DI39:DI103,ROW()-ROW($DI$106)+1),"")</f>
        <v>0</v>
      </c>
      <c r="DJ162">
        <f>IFERROR(SMALL(DJ39:DJ103,ROW()-ROW($DJ$106)+1),"")</f>
        <v>0</v>
      </c>
      <c r="DK162">
        <f>IFERROR(SMALL(DK39:DK103,ROW()-ROW($DK$106)+1),"")</f>
        <v>0</v>
      </c>
      <c r="DL162">
        <f>IFERROR(SMALL(DL39:DL103,ROW()-ROW($DL$106)+1),"")</f>
        <v>0</v>
      </c>
      <c r="DM162">
        <f>IFERROR(SMALL(DM39:DM103,ROW()-ROW($DM$106)+1),"")</f>
        <v>0</v>
      </c>
      <c r="DN162">
        <f>IFERROR(SMALL(DN39:DN103,ROW()-ROW($DN$106)+1),"")</f>
        <v>0</v>
      </c>
      <c r="DO162">
        <f>IFERROR(SMALL(DO39:DO103,ROW()-ROW($DO$106)+1),"")</f>
        <v>0</v>
      </c>
      <c r="DP162">
        <f>IFERROR(SMALL(DP39:DP103,ROW()-ROW($DP$106)+1),"")</f>
        <v>0</v>
      </c>
      <c r="DQ162">
        <f>IFERROR(SMALL(DQ39:DQ103,ROW()-ROW($DQ$106)+1),"")</f>
        <v>0</v>
      </c>
      <c r="DR162">
        <f>IFERROR(SMALL(DR39:DR103,ROW()-ROW($DR$106)+1),"")</f>
        <v>0</v>
      </c>
      <c r="DS162">
        <f>IFERROR(SMALL(DS39:DS103,ROW()-ROW($DS$106)+1),"")</f>
        <v>0</v>
      </c>
      <c r="DT162">
        <f>IFERROR(SMALL(DT39:DT103,ROW()-ROW($DT$106)+1),"")</f>
        <v>0</v>
      </c>
      <c r="DU162">
        <f>IFERROR(SMALL(DU39:DU103,ROW()-ROW($DU$106)+1),"")</f>
        <v>0</v>
      </c>
      <c r="DV162">
        <f>IFERROR(SMALL(DV39:DV103,ROW()-ROW($DV$106)+1),"")</f>
        <v>0</v>
      </c>
      <c r="DW162">
        <f>IFERROR(SMALL(DW39:DW103,ROW()-ROW($DW$106)+1),"")</f>
        <v>0</v>
      </c>
      <c r="DX162">
        <f>IFERROR(SMALL(DX39:DX103,ROW()-ROW($DX$106)+1),"")</f>
        <v>0</v>
      </c>
      <c r="DY162">
        <f>IFERROR(SMALL(DY39:DY103,ROW()-ROW($DY$106)+1),"")</f>
        <v>0</v>
      </c>
      <c r="DZ162">
        <f>IFERROR(SMALL(DZ39:DZ103,ROW()-ROW($DZ$106)+1),"")</f>
        <v>0</v>
      </c>
      <c r="EA162">
        <f>IFERROR(SMALL(EA39:EA103,ROW()-ROW($EA$106)+1),"")</f>
        <v>0</v>
      </c>
      <c r="EB162">
        <f>IFERROR(SMALL(EB39:EB103,ROW()-ROW($EB$106)+1),"")</f>
        <v>0</v>
      </c>
      <c r="EC162">
        <f>IFERROR(SMALL(EC39:EC103,ROW()-ROW($EC$106)+1),"")</f>
        <v>0</v>
      </c>
      <c r="ED162">
        <f>IFERROR(SMALL(ED39:ED103,ROW()-ROW($ED$106)+1),"")</f>
        <v>0</v>
      </c>
    </row>
    <row r="163" spans="4:134">
      <c r="E163">
        <f>IFERROR(SMALL(E39:E103,ROW()-ROW($E$106)+1),"")</f>
        <v>0</v>
      </c>
      <c r="F163">
        <f>IFERROR(SMALL(F39:F103,ROW()-ROW($F$106)+1),"")</f>
        <v>0</v>
      </c>
      <c r="G163">
        <f>IFERROR(SMALL(G39:G103,ROW()-ROW($G$106)+1),"")</f>
        <v>0</v>
      </c>
      <c r="H163">
        <f>IFERROR(SMALL(H39:H103,ROW()-ROW($H$106)+1),"")</f>
        <v>0</v>
      </c>
      <c r="I163">
        <f>IFERROR(SMALL(I39:I103,ROW()-ROW($I$106)+1),"")</f>
        <v>0</v>
      </c>
      <c r="J163">
        <f>IFERROR(SMALL(J39:J103,ROW()-ROW($J$106)+1),"")</f>
        <v>0</v>
      </c>
      <c r="K163">
        <f>IFERROR(SMALL(K39:K103,ROW()-ROW($K$106)+1),"")</f>
        <v>0</v>
      </c>
      <c r="L163">
        <f>IFERROR(SMALL(L39:L103,ROW()-ROW($L$106)+1),"")</f>
        <v>0</v>
      </c>
      <c r="M163">
        <f>IFERROR(SMALL(M39:M103,ROW()-ROW($M$106)+1),"")</f>
        <v>0</v>
      </c>
      <c r="N163">
        <f>IFERROR(SMALL(N39:N103,ROW()-ROW($N$106)+1),"")</f>
        <v>0</v>
      </c>
      <c r="O163">
        <f>IFERROR(SMALL(O39:O103,ROW()-ROW($O$106)+1),"")</f>
        <v>0</v>
      </c>
      <c r="P163">
        <f>IFERROR(SMALL(P39:P103,ROW()-ROW($P$106)+1),"")</f>
        <v>0</v>
      </c>
      <c r="Q163">
        <f>IFERROR(SMALL(Q39:Q103,ROW()-ROW($Q$106)+1),"")</f>
        <v>0</v>
      </c>
      <c r="R163">
        <f>IFERROR(SMALL(R39:R103,ROW()-ROW($R$106)+1),"")</f>
        <v>0</v>
      </c>
      <c r="S163">
        <f>IFERROR(SMALL(S39:S103,ROW()-ROW($S$106)+1),"")</f>
        <v>0</v>
      </c>
      <c r="T163">
        <f>IFERROR(SMALL(T39:T103,ROW()-ROW($T$106)+1),"")</f>
        <v>0</v>
      </c>
      <c r="U163">
        <f>IFERROR(SMALL(U39:U103,ROW()-ROW($U$106)+1),"")</f>
        <v>0</v>
      </c>
      <c r="V163">
        <f>IFERROR(SMALL(V39:V103,ROW()-ROW($V$106)+1),"")</f>
        <v>0</v>
      </c>
      <c r="W163">
        <f>IFERROR(SMALL(W39:W103,ROW()-ROW($W$106)+1),"")</f>
        <v>0</v>
      </c>
      <c r="X163">
        <f>IFERROR(SMALL(X39:X103,ROW()-ROW($X$106)+1),"")</f>
        <v>0</v>
      </c>
      <c r="Y163">
        <f>IFERROR(SMALL(Y39:Y103,ROW()-ROW($Y$106)+1),"")</f>
        <v>0</v>
      </c>
      <c r="Z163">
        <f>IFERROR(SMALL(Z39:Z103,ROW()-ROW($Z$106)+1),"")</f>
        <v>0</v>
      </c>
      <c r="AA163">
        <f>IFERROR(SMALL(AA39:AA103,ROW()-ROW($AA$106)+1),"")</f>
        <v>0</v>
      </c>
      <c r="AB163">
        <f>IFERROR(SMALL(AB39:AB103,ROW()-ROW($AB$106)+1),"")</f>
        <v>0</v>
      </c>
      <c r="AC163">
        <f>IFERROR(SMALL(AC39:AC103,ROW()-ROW($AC$106)+1),"")</f>
        <v>0</v>
      </c>
      <c r="AD163">
        <f>IFERROR(SMALL(AD39:AD103,ROW()-ROW($AD$106)+1),"")</f>
        <v>0</v>
      </c>
      <c r="AE163">
        <f>IFERROR(SMALL(AE39:AE103,ROW()-ROW($AE$106)+1),"")</f>
        <v>0</v>
      </c>
      <c r="AF163">
        <f>IFERROR(SMALL(AF39:AF103,ROW()-ROW($AF$106)+1),"")</f>
        <v>0</v>
      </c>
      <c r="AG163">
        <f>IFERROR(SMALL(AG39:AG103,ROW()-ROW($AG$106)+1),"")</f>
        <v>0</v>
      </c>
      <c r="AH163">
        <f>IFERROR(SMALL(AH39:AH103,ROW()-ROW($AH$106)+1),"")</f>
        <v>0</v>
      </c>
      <c r="AI163">
        <f>IFERROR(SMALL(AI39:AI103,ROW()-ROW($AI$106)+1),"")</f>
        <v>0</v>
      </c>
      <c r="AJ163">
        <f>IFERROR(SMALL(AJ39:AJ103,ROW()-ROW($AJ$106)+1),"")</f>
        <v>0</v>
      </c>
      <c r="AK163">
        <f>IFERROR(SMALL(AK39:AK103,ROW()-ROW($AK$106)+1),"")</f>
        <v>0</v>
      </c>
      <c r="AL163">
        <f>IFERROR(SMALL(AL39:AL103,ROW()-ROW($AL$106)+1),"")</f>
        <v>0</v>
      </c>
      <c r="AM163">
        <f>IFERROR(SMALL(AM39:AM103,ROW()-ROW($AM$106)+1),"")</f>
        <v>0</v>
      </c>
      <c r="AN163">
        <f>IFERROR(SMALL(AN39:AN103,ROW()-ROW($AN$106)+1),"")</f>
        <v>0</v>
      </c>
      <c r="AO163">
        <f>IFERROR(SMALL(AO39:AO103,ROW()-ROW($AO$106)+1),"")</f>
        <v>0</v>
      </c>
      <c r="AP163">
        <f>IFERROR(SMALL(AP39:AP103,ROW()-ROW($AP$106)+1),"")</f>
        <v>0</v>
      </c>
      <c r="AQ163">
        <f>IFERROR(SMALL(AQ39:AQ103,ROW()-ROW($AQ$106)+1),"")</f>
        <v>0</v>
      </c>
      <c r="AR163">
        <f>IFERROR(SMALL(AR39:AR103,ROW()-ROW($AR$106)+1),"")</f>
        <v>0</v>
      </c>
      <c r="AS163">
        <f>IFERROR(SMALL(AS39:AS103,ROW()-ROW($AS$106)+1),"")</f>
        <v>0</v>
      </c>
      <c r="AT163">
        <f>IFERROR(SMALL(AT39:AT103,ROW()-ROW($AT$106)+1),"")</f>
        <v>0</v>
      </c>
      <c r="AU163">
        <f>IFERROR(SMALL(AU39:AU103,ROW()-ROW($AU$106)+1),"")</f>
        <v>0</v>
      </c>
      <c r="AV163">
        <f>IFERROR(SMALL(AV39:AV103,ROW()-ROW($AV$106)+1),"")</f>
        <v>0</v>
      </c>
      <c r="AW163">
        <f>IFERROR(SMALL(AW39:AW103,ROW()-ROW($AW$106)+1),"")</f>
        <v>0</v>
      </c>
      <c r="AX163">
        <f>IFERROR(SMALL(AX39:AX103,ROW()-ROW($AX$106)+1),"")</f>
        <v>0</v>
      </c>
      <c r="AY163">
        <f>IFERROR(SMALL(AY39:AY103,ROW()-ROW($AY$106)+1),"")</f>
        <v>0</v>
      </c>
      <c r="AZ163">
        <f>IFERROR(SMALL(AZ39:AZ103,ROW()-ROW($AZ$106)+1),"")</f>
        <v>0</v>
      </c>
      <c r="BA163">
        <f>IFERROR(SMALL(BA39:BA103,ROW()-ROW($BA$106)+1),"")</f>
        <v>0</v>
      </c>
      <c r="BB163">
        <f>IFERROR(SMALL(BB39:BB103,ROW()-ROW($BB$106)+1),"")</f>
        <v>0</v>
      </c>
      <c r="BC163">
        <f>IFERROR(SMALL(BC39:BC103,ROW()-ROW($BC$106)+1),"")</f>
        <v>0</v>
      </c>
      <c r="BD163">
        <f>IFERROR(SMALL(BD39:BD103,ROW()-ROW($BD$106)+1),"")</f>
        <v>0</v>
      </c>
      <c r="BE163">
        <f>IFERROR(SMALL(BE39:BE103,ROW()-ROW($BE$106)+1),"")</f>
        <v>0</v>
      </c>
      <c r="BF163">
        <f>IFERROR(SMALL(BF39:BF103,ROW()-ROW($BF$106)+1),"")</f>
        <v>0</v>
      </c>
      <c r="BG163">
        <f>IFERROR(SMALL(BG39:BG103,ROW()-ROW($BG$106)+1),"")</f>
        <v>0</v>
      </c>
      <c r="BH163">
        <f>IFERROR(SMALL(BH39:BH103,ROW()-ROW($BH$106)+1),"")</f>
        <v>0</v>
      </c>
      <c r="BI163">
        <f>IFERROR(SMALL(BI39:BI103,ROW()-ROW($BI$106)+1),"")</f>
        <v>0</v>
      </c>
      <c r="BJ163">
        <f>IFERROR(SMALL(BJ39:BJ103,ROW()-ROW($BJ$106)+1),"")</f>
        <v>0</v>
      </c>
      <c r="BK163">
        <f>IFERROR(SMALL(BK39:BK103,ROW()-ROW($BK$106)+1),"")</f>
        <v>0</v>
      </c>
      <c r="BL163">
        <f>IFERROR(SMALL(BL39:BL103,ROW()-ROW($BL$106)+1),"")</f>
        <v>0</v>
      </c>
      <c r="BM163">
        <f>IFERROR(SMALL(BM39:BM103,ROW()-ROW($BM$106)+1),"")</f>
        <v>0</v>
      </c>
      <c r="BN163">
        <f>IFERROR(SMALL(BN39:BN103,ROW()-ROW($BN$106)+1),"")</f>
        <v>0</v>
      </c>
      <c r="BO163">
        <f>IFERROR(SMALL(BO39:BO103,ROW()-ROW($BO$106)+1),"")</f>
        <v>0</v>
      </c>
      <c r="BP163">
        <f>IFERROR(SMALL(BP39:BP103,ROW()-ROW($BP$106)+1),"")</f>
        <v>0</v>
      </c>
      <c r="BS163">
        <f>IFERROR(SMALL(BS39:BS103,ROW()-ROW($BS$106)+1),"")</f>
        <v>0</v>
      </c>
      <c r="BT163">
        <f>IFERROR(SMALL(BT39:BT103,ROW()-ROW($BT$106)+1),"")</f>
        <v>0</v>
      </c>
      <c r="BU163">
        <f>IFERROR(SMALL(BU39:BU103,ROW()-ROW($BU$106)+1),"")</f>
        <v>0</v>
      </c>
      <c r="BV163">
        <f>IFERROR(SMALL(BV39:BV103,ROW()-ROW($BV$106)+1),"")</f>
        <v>0</v>
      </c>
      <c r="BW163">
        <f>IFERROR(SMALL(BW39:BW103,ROW()-ROW($BW$106)+1),"")</f>
        <v>0</v>
      </c>
      <c r="BX163">
        <f>IFERROR(SMALL(BX39:BX103,ROW()-ROW($BX$106)+1),"")</f>
        <v>0</v>
      </c>
      <c r="BY163">
        <f>IFERROR(SMALL(BY39:BY103,ROW()-ROW($BY$106)+1),"")</f>
        <v>0</v>
      </c>
      <c r="BZ163">
        <f>IFERROR(SMALL(BZ39:BZ103,ROW()-ROW($BZ$106)+1),"")</f>
        <v>0</v>
      </c>
      <c r="CA163">
        <f>IFERROR(SMALL(CA39:CA103,ROW()-ROW($CA$106)+1),"")</f>
        <v>0</v>
      </c>
      <c r="CB163">
        <f>IFERROR(SMALL(CB39:CB103,ROW()-ROW($CB$106)+1),"")</f>
        <v>0</v>
      </c>
      <c r="CC163">
        <f>IFERROR(SMALL(CC39:CC103,ROW()-ROW($CC$106)+1),"")</f>
        <v>0</v>
      </c>
      <c r="CD163">
        <f>IFERROR(SMALL(CD39:CD103,ROW()-ROW($CD$106)+1),"")</f>
        <v>0</v>
      </c>
      <c r="CE163">
        <f>IFERROR(SMALL(CE39:CE103,ROW()-ROW($CE$106)+1),"")</f>
        <v>0</v>
      </c>
      <c r="CF163">
        <f>IFERROR(SMALL(CF39:CF103,ROW()-ROW($CF$106)+1),"")</f>
        <v>0</v>
      </c>
      <c r="CG163">
        <f>IFERROR(SMALL(CG39:CG103,ROW()-ROW($CG$106)+1),"")</f>
        <v>0</v>
      </c>
      <c r="CH163">
        <f>IFERROR(SMALL(CH39:CH103,ROW()-ROW($CH$106)+1),"")</f>
        <v>0</v>
      </c>
      <c r="CI163">
        <f>IFERROR(SMALL(CI39:CI103,ROW()-ROW($CI$106)+1),"")</f>
        <v>0</v>
      </c>
      <c r="CJ163">
        <f>IFERROR(SMALL(CJ39:CJ103,ROW()-ROW($CJ$106)+1),"")</f>
        <v>0</v>
      </c>
      <c r="CK163">
        <f>IFERROR(SMALL(CK39:CK103,ROW()-ROW($CK$106)+1),"")</f>
        <v>0</v>
      </c>
      <c r="CL163">
        <f>IFERROR(SMALL(CL39:CL103,ROW()-ROW($CL$106)+1),"")</f>
        <v>0</v>
      </c>
      <c r="CM163">
        <f>IFERROR(SMALL(CM39:CM103,ROW()-ROW($CM$106)+1),"")</f>
        <v>0</v>
      </c>
      <c r="CN163">
        <f>IFERROR(SMALL(CN39:CN103,ROW()-ROW($CN$106)+1),"")</f>
        <v>0</v>
      </c>
      <c r="CO163">
        <f>IFERROR(SMALL(CO39:CO103,ROW()-ROW($CO$106)+1),"")</f>
        <v>0</v>
      </c>
      <c r="CP163">
        <f>IFERROR(SMALL(CP39:CP103,ROW()-ROW($CP$106)+1),"")</f>
        <v>0</v>
      </c>
      <c r="CQ163">
        <f>IFERROR(SMALL(CQ39:CQ103,ROW()-ROW($CQ$106)+1),"")</f>
        <v>0</v>
      </c>
      <c r="CR163">
        <f>IFERROR(SMALL(CR39:CR103,ROW()-ROW($CR$106)+1),"")</f>
        <v>0</v>
      </c>
      <c r="CS163">
        <f>IFERROR(SMALL(CS39:CS103,ROW()-ROW($CS$106)+1),"")</f>
        <v>0</v>
      </c>
      <c r="CT163">
        <f>IFERROR(SMALL(CT39:CT103,ROW()-ROW($CT$106)+1),"")</f>
        <v>0</v>
      </c>
      <c r="CU163">
        <f>IFERROR(SMALL(CU39:CU103,ROW()-ROW($CU$106)+1),"")</f>
        <v>0</v>
      </c>
      <c r="CV163">
        <f>IFERROR(SMALL(CV39:CV103,ROW()-ROW($CV$106)+1),"")</f>
        <v>0</v>
      </c>
      <c r="CW163">
        <f>IFERROR(SMALL(CW39:CW103,ROW()-ROW($CW$106)+1),"")</f>
        <v>0</v>
      </c>
      <c r="CX163">
        <f>IFERROR(SMALL(CX39:CX103,ROW()-ROW($CX$106)+1),"")</f>
        <v>0</v>
      </c>
      <c r="CY163">
        <f>IFERROR(SMALL(CY39:CY103,ROW()-ROW($CY$106)+1),"")</f>
        <v>0</v>
      </c>
      <c r="CZ163">
        <f>IFERROR(SMALL(CZ39:CZ103,ROW()-ROW($CZ$106)+1),"")</f>
        <v>0</v>
      </c>
      <c r="DA163">
        <f>IFERROR(SMALL(DA39:DA103,ROW()-ROW($DA$106)+1),"")</f>
        <v>0</v>
      </c>
      <c r="DB163">
        <f>IFERROR(SMALL(DB39:DB103,ROW()-ROW($DB$106)+1),"")</f>
        <v>0</v>
      </c>
      <c r="DC163">
        <f>IFERROR(SMALL(DC39:DC103,ROW()-ROW($DC$106)+1),"")</f>
        <v>0</v>
      </c>
      <c r="DD163">
        <f>IFERROR(SMALL(DD39:DD103,ROW()-ROW($DD$106)+1),"")</f>
        <v>0</v>
      </c>
      <c r="DE163">
        <f>IFERROR(SMALL(DE39:DE103,ROW()-ROW($DE$106)+1),"")</f>
        <v>0</v>
      </c>
      <c r="DF163">
        <f>IFERROR(SMALL(DF39:DF103,ROW()-ROW($DF$106)+1),"")</f>
        <v>0</v>
      </c>
      <c r="DG163">
        <f>IFERROR(SMALL(DG39:DG103,ROW()-ROW($DG$106)+1),"")</f>
        <v>0</v>
      </c>
      <c r="DH163">
        <f>IFERROR(SMALL(DH39:DH103,ROW()-ROW($DH$106)+1),"")</f>
        <v>0</v>
      </c>
      <c r="DI163">
        <f>IFERROR(SMALL(DI39:DI103,ROW()-ROW($DI$106)+1),"")</f>
        <v>0</v>
      </c>
      <c r="DJ163">
        <f>IFERROR(SMALL(DJ39:DJ103,ROW()-ROW($DJ$106)+1),"")</f>
        <v>0</v>
      </c>
      <c r="DK163">
        <f>IFERROR(SMALL(DK39:DK103,ROW()-ROW($DK$106)+1),"")</f>
        <v>0</v>
      </c>
      <c r="DL163">
        <f>IFERROR(SMALL(DL39:DL103,ROW()-ROW($DL$106)+1),"")</f>
        <v>0</v>
      </c>
      <c r="DM163">
        <f>IFERROR(SMALL(DM39:DM103,ROW()-ROW($DM$106)+1),"")</f>
        <v>0</v>
      </c>
      <c r="DN163">
        <f>IFERROR(SMALL(DN39:DN103,ROW()-ROW($DN$106)+1),"")</f>
        <v>0</v>
      </c>
      <c r="DO163">
        <f>IFERROR(SMALL(DO39:DO103,ROW()-ROW($DO$106)+1),"")</f>
        <v>0</v>
      </c>
      <c r="DP163">
        <f>IFERROR(SMALL(DP39:DP103,ROW()-ROW($DP$106)+1),"")</f>
        <v>0</v>
      </c>
      <c r="DQ163">
        <f>IFERROR(SMALL(DQ39:DQ103,ROW()-ROW($DQ$106)+1),"")</f>
        <v>0</v>
      </c>
      <c r="DR163">
        <f>IFERROR(SMALL(DR39:DR103,ROW()-ROW($DR$106)+1),"")</f>
        <v>0</v>
      </c>
      <c r="DS163">
        <f>IFERROR(SMALL(DS39:DS103,ROW()-ROW($DS$106)+1),"")</f>
        <v>0</v>
      </c>
      <c r="DT163">
        <f>IFERROR(SMALL(DT39:DT103,ROW()-ROW($DT$106)+1),"")</f>
        <v>0</v>
      </c>
      <c r="DU163">
        <f>IFERROR(SMALL(DU39:DU103,ROW()-ROW($DU$106)+1),"")</f>
        <v>0</v>
      </c>
      <c r="DV163">
        <f>IFERROR(SMALL(DV39:DV103,ROW()-ROW($DV$106)+1),"")</f>
        <v>0</v>
      </c>
      <c r="DW163">
        <f>IFERROR(SMALL(DW39:DW103,ROW()-ROW($DW$106)+1),"")</f>
        <v>0</v>
      </c>
      <c r="DX163">
        <f>IFERROR(SMALL(DX39:DX103,ROW()-ROW($DX$106)+1),"")</f>
        <v>0</v>
      </c>
      <c r="DY163">
        <f>IFERROR(SMALL(DY39:DY103,ROW()-ROW($DY$106)+1),"")</f>
        <v>0</v>
      </c>
      <c r="DZ163">
        <f>IFERROR(SMALL(DZ39:DZ103,ROW()-ROW($DZ$106)+1),"")</f>
        <v>0</v>
      </c>
      <c r="EA163">
        <f>IFERROR(SMALL(EA39:EA103,ROW()-ROW($EA$106)+1),"")</f>
        <v>0</v>
      </c>
      <c r="EB163">
        <f>IFERROR(SMALL(EB39:EB103,ROW()-ROW($EB$106)+1),"")</f>
        <v>0</v>
      </c>
      <c r="EC163">
        <f>IFERROR(SMALL(EC39:EC103,ROW()-ROW($EC$106)+1),"")</f>
        <v>0</v>
      </c>
      <c r="ED163">
        <f>IFERROR(SMALL(ED39:ED103,ROW()-ROW($ED$106)+1),"")</f>
        <v>0</v>
      </c>
    </row>
    <row r="164" spans="4:134">
      <c r="E164">
        <f>IFERROR(SMALL(E39:E103,ROW()-ROW($E$106)+1),"")</f>
        <v>0</v>
      </c>
      <c r="F164">
        <f>IFERROR(SMALL(F39:F103,ROW()-ROW($F$106)+1),"")</f>
        <v>0</v>
      </c>
      <c r="G164">
        <f>IFERROR(SMALL(G39:G103,ROW()-ROW($G$106)+1),"")</f>
        <v>0</v>
      </c>
      <c r="H164">
        <f>IFERROR(SMALL(H39:H103,ROW()-ROW($H$106)+1),"")</f>
        <v>0</v>
      </c>
      <c r="I164">
        <f>IFERROR(SMALL(I39:I103,ROW()-ROW($I$106)+1),"")</f>
        <v>0</v>
      </c>
      <c r="J164">
        <f>IFERROR(SMALL(J39:J103,ROW()-ROW($J$106)+1),"")</f>
        <v>0</v>
      </c>
      <c r="K164">
        <f>IFERROR(SMALL(K39:K103,ROW()-ROW($K$106)+1),"")</f>
        <v>0</v>
      </c>
      <c r="L164">
        <f>IFERROR(SMALL(L39:L103,ROW()-ROW($L$106)+1),"")</f>
        <v>0</v>
      </c>
      <c r="M164">
        <f>IFERROR(SMALL(M39:M103,ROW()-ROW($M$106)+1),"")</f>
        <v>0</v>
      </c>
      <c r="N164">
        <f>IFERROR(SMALL(N39:N103,ROW()-ROW($N$106)+1),"")</f>
        <v>0</v>
      </c>
      <c r="O164">
        <f>IFERROR(SMALL(O39:O103,ROW()-ROW($O$106)+1),"")</f>
        <v>0</v>
      </c>
      <c r="P164">
        <f>IFERROR(SMALL(P39:P103,ROW()-ROW($P$106)+1),"")</f>
        <v>0</v>
      </c>
      <c r="Q164">
        <f>IFERROR(SMALL(Q39:Q103,ROW()-ROW($Q$106)+1),"")</f>
        <v>0</v>
      </c>
      <c r="R164">
        <f>IFERROR(SMALL(R39:R103,ROW()-ROW($R$106)+1),"")</f>
        <v>0</v>
      </c>
      <c r="S164">
        <f>IFERROR(SMALL(S39:S103,ROW()-ROW($S$106)+1),"")</f>
        <v>0</v>
      </c>
      <c r="T164">
        <f>IFERROR(SMALL(T39:T103,ROW()-ROW($T$106)+1),"")</f>
        <v>0</v>
      </c>
      <c r="U164">
        <f>IFERROR(SMALL(U39:U103,ROW()-ROW($U$106)+1),"")</f>
        <v>0</v>
      </c>
      <c r="V164">
        <f>IFERROR(SMALL(V39:V103,ROW()-ROW($V$106)+1),"")</f>
        <v>0</v>
      </c>
      <c r="W164">
        <f>IFERROR(SMALL(W39:W103,ROW()-ROW($W$106)+1),"")</f>
        <v>0</v>
      </c>
      <c r="X164">
        <f>IFERROR(SMALL(X39:X103,ROW()-ROW($X$106)+1),"")</f>
        <v>0</v>
      </c>
      <c r="Y164">
        <f>IFERROR(SMALL(Y39:Y103,ROW()-ROW($Y$106)+1),"")</f>
        <v>0</v>
      </c>
      <c r="Z164">
        <f>IFERROR(SMALL(Z39:Z103,ROW()-ROW($Z$106)+1),"")</f>
        <v>0</v>
      </c>
      <c r="AA164">
        <f>IFERROR(SMALL(AA39:AA103,ROW()-ROW($AA$106)+1),"")</f>
        <v>0</v>
      </c>
      <c r="AB164">
        <f>IFERROR(SMALL(AB39:AB103,ROW()-ROW($AB$106)+1),"")</f>
        <v>0</v>
      </c>
      <c r="AC164">
        <f>IFERROR(SMALL(AC39:AC103,ROW()-ROW($AC$106)+1),"")</f>
        <v>0</v>
      </c>
      <c r="AD164">
        <f>IFERROR(SMALL(AD39:AD103,ROW()-ROW($AD$106)+1),"")</f>
        <v>0</v>
      </c>
      <c r="AE164">
        <f>IFERROR(SMALL(AE39:AE103,ROW()-ROW($AE$106)+1),"")</f>
        <v>0</v>
      </c>
      <c r="AF164">
        <f>IFERROR(SMALL(AF39:AF103,ROW()-ROW($AF$106)+1),"")</f>
        <v>0</v>
      </c>
      <c r="AG164">
        <f>IFERROR(SMALL(AG39:AG103,ROW()-ROW($AG$106)+1),"")</f>
        <v>0</v>
      </c>
      <c r="AH164">
        <f>IFERROR(SMALL(AH39:AH103,ROW()-ROW($AH$106)+1),"")</f>
        <v>0</v>
      </c>
      <c r="AI164">
        <f>IFERROR(SMALL(AI39:AI103,ROW()-ROW($AI$106)+1),"")</f>
        <v>0</v>
      </c>
      <c r="AJ164">
        <f>IFERROR(SMALL(AJ39:AJ103,ROW()-ROW($AJ$106)+1),"")</f>
        <v>0</v>
      </c>
      <c r="AK164">
        <f>IFERROR(SMALL(AK39:AK103,ROW()-ROW($AK$106)+1),"")</f>
        <v>0</v>
      </c>
      <c r="AL164">
        <f>IFERROR(SMALL(AL39:AL103,ROW()-ROW($AL$106)+1),"")</f>
        <v>0</v>
      </c>
      <c r="AM164">
        <f>IFERROR(SMALL(AM39:AM103,ROW()-ROW($AM$106)+1),"")</f>
        <v>0</v>
      </c>
      <c r="AN164">
        <f>IFERROR(SMALL(AN39:AN103,ROW()-ROW($AN$106)+1),"")</f>
        <v>0</v>
      </c>
      <c r="AO164">
        <f>IFERROR(SMALL(AO39:AO103,ROW()-ROW($AO$106)+1),"")</f>
        <v>0</v>
      </c>
      <c r="AP164">
        <f>IFERROR(SMALL(AP39:AP103,ROW()-ROW($AP$106)+1),"")</f>
        <v>0</v>
      </c>
      <c r="AQ164">
        <f>IFERROR(SMALL(AQ39:AQ103,ROW()-ROW($AQ$106)+1),"")</f>
        <v>0</v>
      </c>
      <c r="AR164">
        <f>IFERROR(SMALL(AR39:AR103,ROW()-ROW($AR$106)+1),"")</f>
        <v>0</v>
      </c>
      <c r="AS164">
        <f>IFERROR(SMALL(AS39:AS103,ROW()-ROW($AS$106)+1),"")</f>
        <v>0</v>
      </c>
      <c r="AT164">
        <f>IFERROR(SMALL(AT39:AT103,ROW()-ROW($AT$106)+1),"")</f>
        <v>0</v>
      </c>
      <c r="AU164">
        <f>IFERROR(SMALL(AU39:AU103,ROW()-ROW($AU$106)+1),"")</f>
        <v>0</v>
      </c>
      <c r="AV164">
        <f>IFERROR(SMALL(AV39:AV103,ROW()-ROW($AV$106)+1),"")</f>
        <v>0</v>
      </c>
      <c r="AW164">
        <f>IFERROR(SMALL(AW39:AW103,ROW()-ROW($AW$106)+1),"")</f>
        <v>0</v>
      </c>
      <c r="AX164">
        <f>IFERROR(SMALL(AX39:AX103,ROW()-ROW($AX$106)+1),"")</f>
        <v>0</v>
      </c>
      <c r="AY164">
        <f>IFERROR(SMALL(AY39:AY103,ROW()-ROW($AY$106)+1),"")</f>
        <v>0</v>
      </c>
      <c r="AZ164">
        <f>IFERROR(SMALL(AZ39:AZ103,ROW()-ROW($AZ$106)+1),"")</f>
        <v>0</v>
      </c>
      <c r="BA164">
        <f>IFERROR(SMALL(BA39:BA103,ROW()-ROW($BA$106)+1),"")</f>
        <v>0</v>
      </c>
      <c r="BB164">
        <f>IFERROR(SMALL(BB39:BB103,ROW()-ROW($BB$106)+1),"")</f>
        <v>0</v>
      </c>
      <c r="BC164">
        <f>IFERROR(SMALL(BC39:BC103,ROW()-ROW($BC$106)+1),"")</f>
        <v>0</v>
      </c>
      <c r="BD164">
        <f>IFERROR(SMALL(BD39:BD103,ROW()-ROW($BD$106)+1),"")</f>
        <v>0</v>
      </c>
      <c r="BE164">
        <f>IFERROR(SMALL(BE39:BE103,ROW()-ROW($BE$106)+1),"")</f>
        <v>0</v>
      </c>
      <c r="BF164">
        <f>IFERROR(SMALL(BF39:BF103,ROW()-ROW($BF$106)+1),"")</f>
        <v>0</v>
      </c>
      <c r="BG164">
        <f>IFERROR(SMALL(BG39:BG103,ROW()-ROW($BG$106)+1),"")</f>
        <v>0</v>
      </c>
      <c r="BH164">
        <f>IFERROR(SMALL(BH39:BH103,ROW()-ROW($BH$106)+1),"")</f>
        <v>0</v>
      </c>
      <c r="BI164">
        <f>IFERROR(SMALL(BI39:BI103,ROW()-ROW($BI$106)+1),"")</f>
        <v>0</v>
      </c>
      <c r="BJ164">
        <f>IFERROR(SMALL(BJ39:BJ103,ROW()-ROW($BJ$106)+1),"")</f>
        <v>0</v>
      </c>
      <c r="BK164">
        <f>IFERROR(SMALL(BK39:BK103,ROW()-ROW($BK$106)+1),"")</f>
        <v>0</v>
      </c>
      <c r="BL164">
        <f>IFERROR(SMALL(BL39:BL103,ROW()-ROW($BL$106)+1),"")</f>
        <v>0</v>
      </c>
      <c r="BM164">
        <f>IFERROR(SMALL(BM39:BM103,ROW()-ROW($BM$106)+1),"")</f>
        <v>0</v>
      </c>
      <c r="BN164">
        <f>IFERROR(SMALL(BN39:BN103,ROW()-ROW($BN$106)+1),"")</f>
        <v>0</v>
      </c>
      <c r="BO164">
        <f>IFERROR(SMALL(BO39:BO103,ROW()-ROW($BO$106)+1),"")</f>
        <v>0</v>
      </c>
      <c r="BP164">
        <f>IFERROR(SMALL(BP39:BP103,ROW()-ROW($BP$106)+1),"")</f>
        <v>0</v>
      </c>
      <c r="BS164">
        <f>IFERROR(SMALL(BS39:BS103,ROW()-ROW($BS$106)+1),"")</f>
        <v>0</v>
      </c>
      <c r="BT164">
        <f>IFERROR(SMALL(BT39:BT103,ROW()-ROW($BT$106)+1),"")</f>
        <v>0</v>
      </c>
      <c r="BU164">
        <f>IFERROR(SMALL(BU39:BU103,ROW()-ROW($BU$106)+1),"")</f>
        <v>0</v>
      </c>
      <c r="BV164">
        <f>IFERROR(SMALL(BV39:BV103,ROW()-ROW($BV$106)+1),"")</f>
        <v>0</v>
      </c>
      <c r="BW164">
        <f>IFERROR(SMALL(BW39:BW103,ROW()-ROW($BW$106)+1),"")</f>
        <v>0</v>
      </c>
      <c r="BX164">
        <f>IFERROR(SMALL(BX39:BX103,ROW()-ROW($BX$106)+1),"")</f>
        <v>0</v>
      </c>
      <c r="BY164">
        <f>IFERROR(SMALL(BY39:BY103,ROW()-ROW($BY$106)+1),"")</f>
        <v>0</v>
      </c>
      <c r="BZ164">
        <f>IFERROR(SMALL(BZ39:BZ103,ROW()-ROW($BZ$106)+1),"")</f>
        <v>0</v>
      </c>
      <c r="CA164">
        <f>IFERROR(SMALL(CA39:CA103,ROW()-ROW($CA$106)+1),"")</f>
        <v>0</v>
      </c>
      <c r="CB164">
        <f>IFERROR(SMALL(CB39:CB103,ROW()-ROW($CB$106)+1),"")</f>
        <v>0</v>
      </c>
      <c r="CC164">
        <f>IFERROR(SMALL(CC39:CC103,ROW()-ROW($CC$106)+1),"")</f>
        <v>0</v>
      </c>
      <c r="CD164">
        <f>IFERROR(SMALL(CD39:CD103,ROW()-ROW($CD$106)+1),"")</f>
        <v>0</v>
      </c>
      <c r="CE164">
        <f>IFERROR(SMALL(CE39:CE103,ROW()-ROW($CE$106)+1),"")</f>
        <v>0</v>
      </c>
      <c r="CF164">
        <f>IFERROR(SMALL(CF39:CF103,ROW()-ROW($CF$106)+1),"")</f>
        <v>0</v>
      </c>
      <c r="CG164">
        <f>IFERROR(SMALL(CG39:CG103,ROW()-ROW($CG$106)+1),"")</f>
        <v>0</v>
      </c>
      <c r="CH164">
        <f>IFERROR(SMALL(CH39:CH103,ROW()-ROW($CH$106)+1),"")</f>
        <v>0</v>
      </c>
      <c r="CI164">
        <f>IFERROR(SMALL(CI39:CI103,ROW()-ROW($CI$106)+1),"")</f>
        <v>0</v>
      </c>
      <c r="CJ164">
        <f>IFERROR(SMALL(CJ39:CJ103,ROW()-ROW($CJ$106)+1),"")</f>
        <v>0</v>
      </c>
      <c r="CK164">
        <f>IFERROR(SMALL(CK39:CK103,ROW()-ROW($CK$106)+1),"")</f>
        <v>0</v>
      </c>
      <c r="CL164">
        <f>IFERROR(SMALL(CL39:CL103,ROW()-ROW($CL$106)+1),"")</f>
        <v>0</v>
      </c>
      <c r="CM164">
        <f>IFERROR(SMALL(CM39:CM103,ROW()-ROW($CM$106)+1),"")</f>
        <v>0</v>
      </c>
      <c r="CN164">
        <f>IFERROR(SMALL(CN39:CN103,ROW()-ROW($CN$106)+1),"")</f>
        <v>0</v>
      </c>
      <c r="CO164">
        <f>IFERROR(SMALL(CO39:CO103,ROW()-ROW($CO$106)+1),"")</f>
        <v>0</v>
      </c>
      <c r="CP164">
        <f>IFERROR(SMALL(CP39:CP103,ROW()-ROW($CP$106)+1),"")</f>
        <v>0</v>
      </c>
      <c r="CQ164">
        <f>IFERROR(SMALL(CQ39:CQ103,ROW()-ROW($CQ$106)+1),"")</f>
        <v>0</v>
      </c>
      <c r="CR164">
        <f>IFERROR(SMALL(CR39:CR103,ROW()-ROW($CR$106)+1),"")</f>
        <v>0</v>
      </c>
      <c r="CS164">
        <f>IFERROR(SMALL(CS39:CS103,ROW()-ROW($CS$106)+1),"")</f>
        <v>0</v>
      </c>
      <c r="CT164">
        <f>IFERROR(SMALL(CT39:CT103,ROW()-ROW($CT$106)+1),"")</f>
        <v>0</v>
      </c>
      <c r="CU164">
        <f>IFERROR(SMALL(CU39:CU103,ROW()-ROW($CU$106)+1),"")</f>
        <v>0</v>
      </c>
      <c r="CV164">
        <f>IFERROR(SMALL(CV39:CV103,ROW()-ROW($CV$106)+1),"")</f>
        <v>0</v>
      </c>
      <c r="CW164">
        <f>IFERROR(SMALL(CW39:CW103,ROW()-ROW($CW$106)+1),"")</f>
        <v>0</v>
      </c>
      <c r="CX164">
        <f>IFERROR(SMALL(CX39:CX103,ROW()-ROW($CX$106)+1),"")</f>
        <v>0</v>
      </c>
      <c r="CY164">
        <f>IFERROR(SMALL(CY39:CY103,ROW()-ROW($CY$106)+1),"")</f>
        <v>0</v>
      </c>
      <c r="CZ164">
        <f>IFERROR(SMALL(CZ39:CZ103,ROW()-ROW($CZ$106)+1),"")</f>
        <v>0</v>
      </c>
      <c r="DA164">
        <f>IFERROR(SMALL(DA39:DA103,ROW()-ROW($DA$106)+1),"")</f>
        <v>0</v>
      </c>
      <c r="DB164">
        <f>IFERROR(SMALL(DB39:DB103,ROW()-ROW($DB$106)+1),"")</f>
        <v>0</v>
      </c>
      <c r="DC164">
        <f>IFERROR(SMALL(DC39:DC103,ROW()-ROW($DC$106)+1),"")</f>
        <v>0</v>
      </c>
      <c r="DD164">
        <f>IFERROR(SMALL(DD39:DD103,ROW()-ROW($DD$106)+1),"")</f>
        <v>0</v>
      </c>
      <c r="DE164">
        <f>IFERROR(SMALL(DE39:DE103,ROW()-ROW($DE$106)+1),"")</f>
        <v>0</v>
      </c>
      <c r="DF164">
        <f>IFERROR(SMALL(DF39:DF103,ROW()-ROW($DF$106)+1),"")</f>
        <v>0</v>
      </c>
      <c r="DG164">
        <f>IFERROR(SMALL(DG39:DG103,ROW()-ROW($DG$106)+1),"")</f>
        <v>0</v>
      </c>
      <c r="DH164">
        <f>IFERROR(SMALL(DH39:DH103,ROW()-ROW($DH$106)+1),"")</f>
        <v>0</v>
      </c>
      <c r="DI164">
        <f>IFERROR(SMALL(DI39:DI103,ROW()-ROW($DI$106)+1),"")</f>
        <v>0</v>
      </c>
      <c r="DJ164">
        <f>IFERROR(SMALL(DJ39:DJ103,ROW()-ROW($DJ$106)+1),"")</f>
        <v>0</v>
      </c>
      <c r="DK164">
        <f>IFERROR(SMALL(DK39:DK103,ROW()-ROW($DK$106)+1),"")</f>
        <v>0</v>
      </c>
      <c r="DL164">
        <f>IFERROR(SMALL(DL39:DL103,ROW()-ROW($DL$106)+1),"")</f>
        <v>0</v>
      </c>
      <c r="DM164">
        <f>IFERROR(SMALL(DM39:DM103,ROW()-ROW($DM$106)+1),"")</f>
        <v>0</v>
      </c>
      <c r="DN164">
        <f>IFERROR(SMALL(DN39:DN103,ROW()-ROW($DN$106)+1),"")</f>
        <v>0</v>
      </c>
      <c r="DO164">
        <f>IFERROR(SMALL(DO39:DO103,ROW()-ROW($DO$106)+1),"")</f>
        <v>0</v>
      </c>
      <c r="DP164">
        <f>IFERROR(SMALL(DP39:DP103,ROW()-ROW($DP$106)+1),"")</f>
        <v>0</v>
      </c>
      <c r="DQ164">
        <f>IFERROR(SMALL(DQ39:DQ103,ROW()-ROW($DQ$106)+1),"")</f>
        <v>0</v>
      </c>
      <c r="DR164">
        <f>IFERROR(SMALL(DR39:DR103,ROW()-ROW($DR$106)+1),"")</f>
        <v>0</v>
      </c>
      <c r="DS164">
        <f>IFERROR(SMALL(DS39:DS103,ROW()-ROW($DS$106)+1),"")</f>
        <v>0</v>
      </c>
      <c r="DT164">
        <f>IFERROR(SMALL(DT39:DT103,ROW()-ROW($DT$106)+1),"")</f>
        <v>0</v>
      </c>
      <c r="DU164">
        <f>IFERROR(SMALL(DU39:DU103,ROW()-ROW($DU$106)+1),"")</f>
        <v>0</v>
      </c>
      <c r="DV164">
        <f>IFERROR(SMALL(DV39:DV103,ROW()-ROW($DV$106)+1),"")</f>
        <v>0</v>
      </c>
      <c r="DW164">
        <f>IFERROR(SMALL(DW39:DW103,ROW()-ROW($DW$106)+1),"")</f>
        <v>0</v>
      </c>
      <c r="DX164">
        <f>IFERROR(SMALL(DX39:DX103,ROW()-ROW($DX$106)+1),"")</f>
        <v>0</v>
      </c>
      <c r="DY164">
        <f>IFERROR(SMALL(DY39:DY103,ROW()-ROW($DY$106)+1),"")</f>
        <v>0</v>
      </c>
      <c r="DZ164">
        <f>IFERROR(SMALL(DZ39:DZ103,ROW()-ROW($DZ$106)+1),"")</f>
        <v>0</v>
      </c>
      <c r="EA164">
        <f>IFERROR(SMALL(EA39:EA103,ROW()-ROW($EA$106)+1),"")</f>
        <v>0</v>
      </c>
      <c r="EB164">
        <f>IFERROR(SMALL(EB39:EB103,ROW()-ROW($EB$106)+1),"")</f>
        <v>0</v>
      </c>
      <c r="EC164">
        <f>IFERROR(SMALL(EC39:EC103,ROW()-ROW($EC$106)+1),"")</f>
        <v>0</v>
      </c>
      <c r="ED164">
        <f>IFERROR(SMALL(ED39:ED103,ROW()-ROW($ED$106)+1),"")</f>
        <v>0</v>
      </c>
    </row>
    <row r="165" spans="4:134">
      <c r="E165">
        <f>IFERROR(SMALL(E39:E103,ROW()-ROW($E$106)+1),"")</f>
        <v>0</v>
      </c>
      <c r="F165">
        <f>IFERROR(SMALL(F39:F103,ROW()-ROW($F$106)+1),"")</f>
        <v>0</v>
      </c>
      <c r="G165">
        <f>IFERROR(SMALL(G39:G103,ROW()-ROW($G$106)+1),"")</f>
        <v>0</v>
      </c>
      <c r="H165">
        <f>IFERROR(SMALL(H39:H103,ROW()-ROW($H$106)+1),"")</f>
        <v>0</v>
      </c>
      <c r="I165">
        <f>IFERROR(SMALL(I39:I103,ROW()-ROW($I$106)+1),"")</f>
        <v>0</v>
      </c>
      <c r="J165">
        <f>IFERROR(SMALL(J39:J103,ROW()-ROW($J$106)+1),"")</f>
        <v>0</v>
      </c>
      <c r="K165">
        <f>IFERROR(SMALL(K39:K103,ROW()-ROW($K$106)+1),"")</f>
        <v>0</v>
      </c>
      <c r="L165">
        <f>IFERROR(SMALL(L39:L103,ROW()-ROW($L$106)+1),"")</f>
        <v>0</v>
      </c>
      <c r="M165">
        <f>IFERROR(SMALL(M39:M103,ROW()-ROW($M$106)+1),"")</f>
        <v>0</v>
      </c>
      <c r="N165">
        <f>IFERROR(SMALL(N39:N103,ROW()-ROW($N$106)+1),"")</f>
        <v>0</v>
      </c>
      <c r="O165">
        <f>IFERROR(SMALL(O39:O103,ROW()-ROW($O$106)+1),"")</f>
        <v>0</v>
      </c>
      <c r="P165">
        <f>IFERROR(SMALL(P39:P103,ROW()-ROW($P$106)+1),"")</f>
        <v>0</v>
      </c>
      <c r="Q165">
        <f>IFERROR(SMALL(Q39:Q103,ROW()-ROW($Q$106)+1),"")</f>
        <v>0</v>
      </c>
      <c r="R165">
        <f>IFERROR(SMALL(R39:R103,ROW()-ROW($R$106)+1),"")</f>
        <v>0</v>
      </c>
      <c r="S165">
        <f>IFERROR(SMALL(S39:S103,ROW()-ROW($S$106)+1),"")</f>
        <v>0</v>
      </c>
      <c r="T165">
        <f>IFERROR(SMALL(T39:T103,ROW()-ROW($T$106)+1),"")</f>
        <v>0</v>
      </c>
      <c r="U165">
        <f>IFERROR(SMALL(U39:U103,ROW()-ROW($U$106)+1),"")</f>
        <v>0</v>
      </c>
      <c r="V165">
        <f>IFERROR(SMALL(V39:V103,ROW()-ROW($V$106)+1),"")</f>
        <v>0</v>
      </c>
      <c r="W165">
        <f>IFERROR(SMALL(W39:W103,ROW()-ROW($W$106)+1),"")</f>
        <v>0</v>
      </c>
      <c r="X165">
        <f>IFERROR(SMALL(X39:X103,ROW()-ROW($X$106)+1),"")</f>
        <v>0</v>
      </c>
      <c r="Y165">
        <f>IFERROR(SMALL(Y39:Y103,ROW()-ROW($Y$106)+1),"")</f>
        <v>0</v>
      </c>
      <c r="Z165">
        <f>IFERROR(SMALL(Z39:Z103,ROW()-ROW($Z$106)+1),"")</f>
        <v>0</v>
      </c>
      <c r="AA165">
        <f>IFERROR(SMALL(AA39:AA103,ROW()-ROW($AA$106)+1),"")</f>
        <v>0</v>
      </c>
      <c r="AB165">
        <f>IFERROR(SMALL(AB39:AB103,ROW()-ROW($AB$106)+1),"")</f>
        <v>0</v>
      </c>
      <c r="AC165">
        <f>IFERROR(SMALL(AC39:AC103,ROW()-ROW($AC$106)+1),"")</f>
        <v>0</v>
      </c>
      <c r="AD165">
        <f>IFERROR(SMALL(AD39:AD103,ROW()-ROW($AD$106)+1),"")</f>
        <v>0</v>
      </c>
      <c r="AE165">
        <f>IFERROR(SMALL(AE39:AE103,ROW()-ROW($AE$106)+1),"")</f>
        <v>0</v>
      </c>
      <c r="AF165">
        <f>IFERROR(SMALL(AF39:AF103,ROW()-ROW($AF$106)+1),"")</f>
        <v>0</v>
      </c>
      <c r="AG165">
        <f>IFERROR(SMALL(AG39:AG103,ROW()-ROW($AG$106)+1),"")</f>
        <v>0</v>
      </c>
      <c r="AH165">
        <f>IFERROR(SMALL(AH39:AH103,ROW()-ROW($AH$106)+1),"")</f>
        <v>0</v>
      </c>
      <c r="AI165">
        <f>IFERROR(SMALL(AI39:AI103,ROW()-ROW($AI$106)+1),"")</f>
        <v>0</v>
      </c>
      <c r="AJ165">
        <f>IFERROR(SMALL(AJ39:AJ103,ROW()-ROW($AJ$106)+1),"")</f>
        <v>0</v>
      </c>
      <c r="AK165">
        <f>IFERROR(SMALL(AK39:AK103,ROW()-ROW($AK$106)+1),"")</f>
        <v>0</v>
      </c>
      <c r="AL165">
        <f>IFERROR(SMALL(AL39:AL103,ROW()-ROW($AL$106)+1),"")</f>
        <v>0</v>
      </c>
      <c r="AM165">
        <f>IFERROR(SMALL(AM39:AM103,ROW()-ROW($AM$106)+1),"")</f>
        <v>0</v>
      </c>
      <c r="AN165">
        <f>IFERROR(SMALL(AN39:AN103,ROW()-ROW($AN$106)+1),"")</f>
        <v>0</v>
      </c>
      <c r="AO165">
        <f>IFERROR(SMALL(AO39:AO103,ROW()-ROW($AO$106)+1),"")</f>
        <v>0</v>
      </c>
      <c r="AP165">
        <f>IFERROR(SMALL(AP39:AP103,ROW()-ROW($AP$106)+1),"")</f>
        <v>0</v>
      </c>
      <c r="AQ165">
        <f>IFERROR(SMALL(AQ39:AQ103,ROW()-ROW($AQ$106)+1),"")</f>
        <v>0</v>
      </c>
      <c r="AR165">
        <f>IFERROR(SMALL(AR39:AR103,ROW()-ROW($AR$106)+1),"")</f>
        <v>0</v>
      </c>
      <c r="AS165">
        <f>IFERROR(SMALL(AS39:AS103,ROW()-ROW($AS$106)+1),"")</f>
        <v>0</v>
      </c>
      <c r="AT165">
        <f>IFERROR(SMALL(AT39:AT103,ROW()-ROW($AT$106)+1),"")</f>
        <v>0</v>
      </c>
      <c r="AU165">
        <f>IFERROR(SMALL(AU39:AU103,ROW()-ROW($AU$106)+1),"")</f>
        <v>0</v>
      </c>
      <c r="AV165">
        <f>IFERROR(SMALL(AV39:AV103,ROW()-ROW($AV$106)+1),"")</f>
        <v>0</v>
      </c>
      <c r="AW165">
        <f>IFERROR(SMALL(AW39:AW103,ROW()-ROW($AW$106)+1),"")</f>
        <v>0</v>
      </c>
      <c r="AX165">
        <f>IFERROR(SMALL(AX39:AX103,ROW()-ROW($AX$106)+1),"")</f>
        <v>0</v>
      </c>
      <c r="AY165">
        <f>IFERROR(SMALL(AY39:AY103,ROW()-ROW($AY$106)+1),"")</f>
        <v>0</v>
      </c>
      <c r="AZ165">
        <f>IFERROR(SMALL(AZ39:AZ103,ROW()-ROW($AZ$106)+1),"")</f>
        <v>0</v>
      </c>
      <c r="BA165">
        <f>IFERROR(SMALL(BA39:BA103,ROW()-ROW($BA$106)+1),"")</f>
        <v>0</v>
      </c>
      <c r="BB165">
        <f>IFERROR(SMALL(BB39:BB103,ROW()-ROW($BB$106)+1),"")</f>
        <v>0</v>
      </c>
      <c r="BC165">
        <f>IFERROR(SMALL(BC39:BC103,ROW()-ROW($BC$106)+1),"")</f>
        <v>0</v>
      </c>
      <c r="BD165">
        <f>IFERROR(SMALL(BD39:BD103,ROW()-ROW($BD$106)+1),"")</f>
        <v>0</v>
      </c>
      <c r="BE165">
        <f>IFERROR(SMALL(BE39:BE103,ROW()-ROW($BE$106)+1),"")</f>
        <v>0</v>
      </c>
      <c r="BF165">
        <f>IFERROR(SMALL(BF39:BF103,ROW()-ROW($BF$106)+1),"")</f>
        <v>0</v>
      </c>
      <c r="BG165">
        <f>IFERROR(SMALL(BG39:BG103,ROW()-ROW($BG$106)+1),"")</f>
        <v>0</v>
      </c>
      <c r="BH165">
        <f>IFERROR(SMALL(BH39:BH103,ROW()-ROW($BH$106)+1),"")</f>
        <v>0</v>
      </c>
      <c r="BI165">
        <f>IFERROR(SMALL(BI39:BI103,ROW()-ROW($BI$106)+1),"")</f>
        <v>0</v>
      </c>
      <c r="BJ165">
        <f>IFERROR(SMALL(BJ39:BJ103,ROW()-ROW($BJ$106)+1),"")</f>
        <v>0</v>
      </c>
      <c r="BK165">
        <f>IFERROR(SMALL(BK39:BK103,ROW()-ROW($BK$106)+1),"")</f>
        <v>0</v>
      </c>
      <c r="BL165">
        <f>IFERROR(SMALL(BL39:BL103,ROW()-ROW($BL$106)+1),"")</f>
        <v>0</v>
      </c>
      <c r="BM165">
        <f>IFERROR(SMALL(BM39:BM103,ROW()-ROW($BM$106)+1),"")</f>
        <v>0</v>
      </c>
      <c r="BN165">
        <f>IFERROR(SMALL(BN39:BN103,ROW()-ROW($BN$106)+1),"")</f>
        <v>0</v>
      </c>
      <c r="BO165">
        <f>IFERROR(SMALL(BO39:BO103,ROW()-ROW($BO$106)+1),"")</f>
        <v>0</v>
      </c>
      <c r="BP165">
        <f>IFERROR(SMALL(BP39:BP103,ROW()-ROW($BP$106)+1),"")</f>
        <v>0</v>
      </c>
      <c r="BS165">
        <f>IFERROR(SMALL(BS39:BS103,ROW()-ROW($BS$106)+1),"")</f>
        <v>0</v>
      </c>
      <c r="BT165">
        <f>IFERROR(SMALL(BT39:BT103,ROW()-ROW($BT$106)+1),"")</f>
        <v>0</v>
      </c>
      <c r="BU165">
        <f>IFERROR(SMALL(BU39:BU103,ROW()-ROW($BU$106)+1),"")</f>
        <v>0</v>
      </c>
      <c r="BV165">
        <f>IFERROR(SMALL(BV39:BV103,ROW()-ROW($BV$106)+1),"")</f>
        <v>0</v>
      </c>
      <c r="BW165">
        <f>IFERROR(SMALL(BW39:BW103,ROW()-ROW($BW$106)+1),"")</f>
        <v>0</v>
      </c>
      <c r="BX165">
        <f>IFERROR(SMALL(BX39:BX103,ROW()-ROW($BX$106)+1),"")</f>
        <v>0</v>
      </c>
      <c r="BY165">
        <f>IFERROR(SMALL(BY39:BY103,ROW()-ROW($BY$106)+1),"")</f>
        <v>0</v>
      </c>
      <c r="BZ165">
        <f>IFERROR(SMALL(BZ39:BZ103,ROW()-ROW($BZ$106)+1),"")</f>
        <v>0</v>
      </c>
      <c r="CA165">
        <f>IFERROR(SMALL(CA39:CA103,ROW()-ROW($CA$106)+1),"")</f>
        <v>0</v>
      </c>
      <c r="CB165">
        <f>IFERROR(SMALL(CB39:CB103,ROW()-ROW($CB$106)+1),"")</f>
        <v>0</v>
      </c>
      <c r="CC165">
        <f>IFERROR(SMALL(CC39:CC103,ROW()-ROW($CC$106)+1),"")</f>
        <v>0</v>
      </c>
      <c r="CD165">
        <f>IFERROR(SMALL(CD39:CD103,ROW()-ROW($CD$106)+1),"")</f>
        <v>0</v>
      </c>
      <c r="CE165">
        <f>IFERROR(SMALL(CE39:CE103,ROW()-ROW($CE$106)+1),"")</f>
        <v>0</v>
      </c>
      <c r="CF165">
        <f>IFERROR(SMALL(CF39:CF103,ROW()-ROW($CF$106)+1),"")</f>
        <v>0</v>
      </c>
      <c r="CG165">
        <f>IFERROR(SMALL(CG39:CG103,ROW()-ROW($CG$106)+1),"")</f>
        <v>0</v>
      </c>
      <c r="CH165">
        <f>IFERROR(SMALL(CH39:CH103,ROW()-ROW($CH$106)+1),"")</f>
        <v>0</v>
      </c>
      <c r="CI165">
        <f>IFERROR(SMALL(CI39:CI103,ROW()-ROW($CI$106)+1),"")</f>
        <v>0</v>
      </c>
      <c r="CJ165">
        <f>IFERROR(SMALL(CJ39:CJ103,ROW()-ROW($CJ$106)+1),"")</f>
        <v>0</v>
      </c>
      <c r="CK165">
        <f>IFERROR(SMALL(CK39:CK103,ROW()-ROW($CK$106)+1),"")</f>
        <v>0</v>
      </c>
      <c r="CL165">
        <f>IFERROR(SMALL(CL39:CL103,ROW()-ROW($CL$106)+1),"")</f>
        <v>0</v>
      </c>
      <c r="CM165">
        <f>IFERROR(SMALL(CM39:CM103,ROW()-ROW($CM$106)+1),"")</f>
        <v>0</v>
      </c>
      <c r="CN165">
        <f>IFERROR(SMALL(CN39:CN103,ROW()-ROW($CN$106)+1),"")</f>
        <v>0</v>
      </c>
      <c r="CO165">
        <f>IFERROR(SMALL(CO39:CO103,ROW()-ROW($CO$106)+1),"")</f>
        <v>0</v>
      </c>
      <c r="CP165">
        <f>IFERROR(SMALL(CP39:CP103,ROW()-ROW($CP$106)+1),"")</f>
        <v>0</v>
      </c>
      <c r="CQ165">
        <f>IFERROR(SMALL(CQ39:CQ103,ROW()-ROW($CQ$106)+1),"")</f>
        <v>0</v>
      </c>
      <c r="CR165">
        <f>IFERROR(SMALL(CR39:CR103,ROW()-ROW($CR$106)+1),"")</f>
        <v>0</v>
      </c>
      <c r="CS165">
        <f>IFERROR(SMALL(CS39:CS103,ROW()-ROW($CS$106)+1),"")</f>
        <v>0</v>
      </c>
      <c r="CT165">
        <f>IFERROR(SMALL(CT39:CT103,ROW()-ROW($CT$106)+1),"")</f>
        <v>0</v>
      </c>
      <c r="CU165">
        <f>IFERROR(SMALL(CU39:CU103,ROW()-ROW($CU$106)+1),"")</f>
        <v>0</v>
      </c>
      <c r="CV165">
        <f>IFERROR(SMALL(CV39:CV103,ROW()-ROW($CV$106)+1),"")</f>
        <v>0</v>
      </c>
      <c r="CW165">
        <f>IFERROR(SMALL(CW39:CW103,ROW()-ROW($CW$106)+1),"")</f>
        <v>0</v>
      </c>
      <c r="CX165">
        <f>IFERROR(SMALL(CX39:CX103,ROW()-ROW($CX$106)+1),"")</f>
        <v>0</v>
      </c>
      <c r="CY165">
        <f>IFERROR(SMALL(CY39:CY103,ROW()-ROW($CY$106)+1),"")</f>
        <v>0</v>
      </c>
      <c r="CZ165">
        <f>IFERROR(SMALL(CZ39:CZ103,ROW()-ROW($CZ$106)+1),"")</f>
        <v>0</v>
      </c>
      <c r="DA165">
        <f>IFERROR(SMALL(DA39:DA103,ROW()-ROW($DA$106)+1),"")</f>
        <v>0</v>
      </c>
      <c r="DB165">
        <f>IFERROR(SMALL(DB39:DB103,ROW()-ROW($DB$106)+1),"")</f>
        <v>0</v>
      </c>
      <c r="DC165">
        <f>IFERROR(SMALL(DC39:DC103,ROW()-ROW($DC$106)+1),"")</f>
        <v>0</v>
      </c>
      <c r="DD165">
        <f>IFERROR(SMALL(DD39:DD103,ROW()-ROW($DD$106)+1),"")</f>
        <v>0</v>
      </c>
      <c r="DE165">
        <f>IFERROR(SMALL(DE39:DE103,ROW()-ROW($DE$106)+1),"")</f>
        <v>0</v>
      </c>
      <c r="DF165">
        <f>IFERROR(SMALL(DF39:DF103,ROW()-ROW($DF$106)+1),"")</f>
        <v>0</v>
      </c>
      <c r="DG165">
        <f>IFERROR(SMALL(DG39:DG103,ROW()-ROW($DG$106)+1),"")</f>
        <v>0</v>
      </c>
      <c r="DH165">
        <f>IFERROR(SMALL(DH39:DH103,ROW()-ROW($DH$106)+1),"")</f>
        <v>0</v>
      </c>
      <c r="DI165">
        <f>IFERROR(SMALL(DI39:DI103,ROW()-ROW($DI$106)+1),"")</f>
        <v>0</v>
      </c>
      <c r="DJ165">
        <f>IFERROR(SMALL(DJ39:DJ103,ROW()-ROW($DJ$106)+1),"")</f>
        <v>0</v>
      </c>
      <c r="DK165">
        <f>IFERROR(SMALL(DK39:DK103,ROW()-ROW($DK$106)+1),"")</f>
        <v>0</v>
      </c>
      <c r="DL165">
        <f>IFERROR(SMALL(DL39:DL103,ROW()-ROW($DL$106)+1),"")</f>
        <v>0</v>
      </c>
      <c r="DM165">
        <f>IFERROR(SMALL(DM39:DM103,ROW()-ROW($DM$106)+1),"")</f>
        <v>0</v>
      </c>
      <c r="DN165">
        <f>IFERROR(SMALL(DN39:DN103,ROW()-ROW($DN$106)+1),"")</f>
        <v>0</v>
      </c>
      <c r="DO165">
        <f>IFERROR(SMALL(DO39:DO103,ROW()-ROW($DO$106)+1),"")</f>
        <v>0</v>
      </c>
      <c r="DP165">
        <f>IFERROR(SMALL(DP39:DP103,ROW()-ROW($DP$106)+1),"")</f>
        <v>0</v>
      </c>
      <c r="DQ165">
        <f>IFERROR(SMALL(DQ39:DQ103,ROW()-ROW($DQ$106)+1),"")</f>
        <v>0</v>
      </c>
      <c r="DR165">
        <f>IFERROR(SMALL(DR39:DR103,ROW()-ROW($DR$106)+1),"")</f>
        <v>0</v>
      </c>
      <c r="DS165">
        <f>IFERROR(SMALL(DS39:DS103,ROW()-ROW($DS$106)+1),"")</f>
        <v>0</v>
      </c>
      <c r="DT165">
        <f>IFERROR(SMALL(DT39:DT103,ROW()-ROW($DT$106)+1),"")</f>
        <v>0</v>
      </c>
      <c r="DU165">
        <f>IFERROR(SMALL(DU39:DU103,ROW()-ROW($DU$106)+1),"")</f>
        <v>0</v>
      </c>
      <c r="DV165">
        <f>IFERROR(SMALL(DV39:DV103,ROW()-ROW($DV$106)+1),"")</f>
        <v>0</v>
      </c>
      <c r="DW165">
        <f>IFERROR(SMALL(DW39:DW103,ROW()-ROW($DW$106)+1),"")</f>
        <v>0</v>
      </c>
      <c r="DX165">
        <f>IFERROR(SMALL(DX39:DX103,ROW()-ROW($DX$106)+1),"")</f>
        <v>0</v>
      </c>
      <c r="DY165">
        <f>IFERROR(SMALL(DY39:DY103,ROW()-ROW($DY$106)+1),"")</f>
        <v>0</v>
      </c>
      <c r="DZ165">
        <f>IFERROR(SMALL(DZ39:DZ103,ROW()-ROW($DZ$106)+1),"")</f>
        <v>0</v>
      </c>
      <c r="EA165">
        <f>IFERROR(SMALL(EA39:EA103,ROW()-ROW($EA$106)+1),"")</f>
        <v>0</v>
      </c>
      <c r="EB165">
        <f>IFERROR(SMALL(EB39:EB103,ROW()-ROW($EB$106)+1),"")</f>
        <v>0</v>
      </c>
      <c r="EC165">
        <f>IFERROR(SMALL(EC39:EC103,ROW()-ROW($EC$106)+1),"")</f>
        <v>0</v>
      </c>
      <c r="ED165">
        <f>IFERROR(SMALL(ED39:ED103,ROW()-ROW($ED$106)+1),"")</f>
        <v>0</v>
      </c>
    </row>
    <row r="166" spans="4:134">
      <c r="E166">
        <f>IFERROR(SMALL(E39:E103,ROW()-ROW($E$106)+1),"")</f>
        <v>0</v>
      </c>
      <c r="F166">
        <f>IFERROR(SMALL(F39:F103,ROW()-ROW($F$106)+1),"")</f>
        <v>0</v>
      </c>
      <c r="G166">
        <f>IFERROR(SMALL(G39:G103,ROW()-ROW($G$106)+1),"")</f>
        <v>0</v>
      </c>
      <c r="H166">
        <f>IFERROR(SMALL(H39:H103,ROW()-ROW($H$106)+1),"")</f>
        <v>0</v>
      </c>
      <c r="I166">
        <f>IFERROR(SMALL(I39:I103,ROW()-ROW($I$106)+1),"")</f>
        <v>0</v>
      </c>
      <c r="J166">
        <f>IFERROR(SMALL(J39:J103,ROW()-ROW($J$106)+1),"")</f>
        <v>0</v>
      </c>
      <c r="K166">
        <f>IFERROR(SMALL(K39:K103,ROW()-ROW($K$106)+1),"")</f>
        <v>0</v>
      </c>
      <c r="L166">
        <f>IFERROR(SMALL(L39:L103,ROW()-ROW($L$106)+1),"")</f>
        <v>0</v>
      </c>
      <c r="M166">
        <f>IFERROR(SMALL(M39:M103,ROW()-ROW($M$106)+1),"")</f>
        <v>0</v>
      </c>
      <c r="N166">
        <f>IFERROR(SMALL(N39:N103,ROW()-ROW($N$106)+1),"")</f>
        <v>0</v>
      </c>
      <c r="O166">
        <f>IFERROR(SMALL(O39:O103,ROW()-ROW($O$106)+1),"")</f>
        <v>0</v>
      </c>
      <c r="P166">
        <f>IFERROR(SMALL(P39:P103,ROW()-ROW($P$106)+1),"")</f>
        <v>0</v>
      </c>
      <c r="Q166">
        <f>IFERROR(SMALL(Q39:Q103,ROW()-ROW($Q$106)+1),"")</f>
        <v>0</v>
      </c>
      <c r="R166">
        <f>IFERROR(SMALL(R39:R103,ROW()-ROW($R$106)+1),"")</f>
        <v>0</v>
      </c>
      <c r="S166">
        <f>IFERROR(SMALL(S39:S103,ROW()-ROW($S$106)+1),"")</f>
        <v>0</v>
      </c>
      <c r="T166">
        <f>IFERROR(SMALL(T39:T103,ROW()-ROW($T$106)+1),"")</f>
        <v>0</v>
      </c>
      <c r="U166">
        <f>IFERROR(SMALL(U39:U103,ROW()-ROW($U$106)+1),"")</f>
        <v>0</v>
      </c>
      <c r="V166">
        <f>IFERROR(SMALL(V39:V103,ROW()-ROW($V$106)+1),"")</f>
        <v>0</v>
      </c>
      <c r="W166">
        <f>IFERROR(SMALL(W39:W103,ROW()-ROW($W$106)+1),"")</f>
        <v>0</v>
      </c>
      <c r="X166">
        <f>IFERROR(SMALL(X39:X103,ROW()-ROW($X$106)+1),"")</f>
        <v>0</v>
      </c>
      <c r="Y166">
        <f>IFERROR(SMALL(Y39:Y103,ROW()-ROW($Y$106)+1),"")</f>
        <v>0</v>
      </c>
      <c r="Z166">
        <f>IFERROR(SMALL(Z39:Z103,ROW()-ROW($Z$106)+1),"")</f>
        <v>0</v>
      </c>
      <c r="AA166">
        <f>IFERROR(SMALL(AA39:AA103,ROW()-ROW($AA$106)+1),"")</f>
        <v>0</v>
      </c>
      <c r="AB166">
        <f>IFERROR(SMALL(AB39:AB103,ROW()-ROW($AB$106)+1),"")</f>
        <v>0</v>
      </c>
      <c r="AC166">
        <f>IFERROR(SMALL(AC39:AC103,ROW()-ROW($AC$106)+1),"")</f>
        <v>0</v>
      </c>
      <c r="AD166">
        <f>IFERROR(SMALL(AD39:AD103,ROW()-ROW($AD$106)+1),"")</f>
        <v>0</v>
      </c>
      <c r="AE166">
        <f>IFERROR(SMALL(AE39:AE103,ROW()-ROW($AE$106)+1),"")</f>
        <v>0</v>
      </c>
      <c r="AF166">
        <f>IFERROR(SMALL(AF39:AF103,ROW()-ROW($AF$106)+1),"")</f>
        <v>0</v>
      </c>
      <c r="AG166">
        <f>IFERROR(SMALL(AG39:AG103,ROW()-ROW($AG$106)+1),"")</f>
        <v>0</v>
      </c>
      <c r="AH166">
        <f>IFERROR(SMALL(AH39:AH103,ROW()-ROW($AH$106)+1),"")</f>
        <v>0</v>
      </c>
      <c r="AI166">
        <f>IFERROR(SMALL(AI39:AI103,ROW()-ROW($AI$106)+1),"")</f>
        <v>0</v>
      </c>
      <c r="AJ166">
        <f>IFERROR(SMALL(AJ39:AJ103,ROW()-ROW($AJ$106)+1),"")</f>
        <v>0</v>
      </c>
      <c r="AK166">
        <f>IFERROR(SMALL(AK39:AK103,ROW()-ROW($AK$106)+1),"")</f>
        <v>0</v>
      </c>
      <c r="AL166">
        <f>IFERROR(SMALL(AL39:AL103,ROW()-ROW($AL$106)+1),"")</f>
        <v>0</v>
      </c>
      <c r="AM166">
        <f>IFERROR(SMALL(AM39:AM103,ROW()-ROW($AM$106)+1),"")</f>
        <v>0</v>
      </c>
      <c r="AN166">
        <f>IFERROR(SMALL(AN39:AN103,ROW()-ROW($AN$106)+1),"")</f>
        <v>0</v>
      </c>
      <c r="AO166">
        <f>IFERROR(SMALL(AO39:AO103,ROW()-ROW($AO$106)+1),"")</f>
        <v>0</v>
      </c>
      <c r="AP166">
        <f>IFERROR(SMALL(AP39:AP103,ROW()-ROW($AP$106)+1),"")</f>
        <v>0</v>
      </c>
      <c r="AQ166">
        <f>IFERROR(SMALL(AQ39:AQ103,ROW()-ROW($AQ$106)+1),"")</f>
        <v>0</v>
      </c>
      <c r="AR166">
        <f>IFERROR(SMALL(AR39:AR103,ROW()-ROW($AR$106)+1),"")</f>
        <v>0</v>
      </c>
      <c r="AS166">
        <f>IFERROR(SMALL(AS39:AS103,ROW()-ROW($AS$106)+1),"")</f>
        <v>0</v>
      </c>
      <c r="AT166">
        <f>IFERROR(SMALL(AT39:AT103,ROW()-ROW($AT$106)+1),"")</f>
        <v>0</v>
      </c>
      <c r="AU166">
        <f>IFERROR(SMALL(AU39:AU103,ROW()-ROW($AU$106)+1),"")</f>
        <v>0</v>
      </c>
      <c r="AV166">
        <f>IFERROR(SMALL(AV39:AV103,ROW()-ROW($AV$106)+1),"")</f>
        <v>0</v>
      </c>
      <c r="AW166">
        <f>IFERROR(SMALL(AW39:AW103,ROW()-ROW($AW$106)+1),"")</f>
        <v>0</v>
      </c>
      <c r="AX166">
        <f>IFERROR(SMALL(AX39:AX103,ROW()-ROW($AX$106)+1),"")</f>
        <v>0</v>
      </c>
      <c r="AY166">
        <f>IFERROR(SMALL(AY39:AY103,ROW()-ROW($AY$106)+1),"")</f>
        <v>0</v>
      </c>
      <c r="AZ166">
        <f>IFERROR(SMALL(AZ39:AZ103,ROW()-ROW($AZ$106)+1),"")</f>
        <v>0</v>
      </c>
      <c r="BA166">
        <f>IFERROR(SMALL(BA39:BA103,ROW()-ROW($BA$106)+1),"")</f>
        <v>0</v>
      </c>
      <c r="BB166">
        <f>IFERROR(SMALL(BB39:BB103,ROW()-ROW($BB$106)+1),"")</f>
        <v>0</v>
      </c>
      <c r="BC166">
        <f>IFERROR(SMALL(BC39:BC103,ROW()-ROW($BC$106)+1),"")</f>
        <v>0</v>
      </c>
      <c r="BD166">
        <f>IFERROR(SMALL(BD39:BD103,ROW()-ROW($BD$106)+1),"")</f>
        <v>0</v>
      </c>
      <c r="BE166">
        <f>IFERROR(SMALL(BE39:BE103,ROW()-ROW($BE$106)+1),"")</f>
        <v>0</v>
      </c>
      <c r="BF166">
        <f>IFERROR(SMALL(BF39:BF103,ROW()-ROW($BF$106)+1),"")</f>
        <v>0</v>
      </c>
      <c r="BG166">
        <f>IFERROR(SMALL(BG39:BG103,ROW()-ROW($BG$106)+1),"")</f>
        <v>0</v>
      </c>
      <c r="BH166">
        <f>IFERROR(SMALL(BH39:BH103,ROW()-ROW($BH$106)+1),"")</f>
        <v>0</v>
      </c>
      <c r="BI166">
        <f>IFERROR(SMALL(BI39:BI103,ROW()-ROW($BI$106)+1),"")</f>
        <v>0</v>
      </c>
      <c r="BJ166">
        <f>IFERROR(SMALL(BJ39:BJ103,ROW()-ROW($BJ$106)+1),"")</f>
        <v>0</v>
      </c>
      <c r="BK166">
        <f>IFERROR(SMALL(BK39:BK103,ROW()-ROW($BK$106)+1),"")</f>
        <v>0</v>
      </c>
      <c r="BL166">
        <f>IFERROR(SMALL(BL39:BL103,ROW()-ROW($BL$106)+1),"")</f>
        <v>0</v>
      </c>
      <c r="BM166">
        <f>IFERROR(SMALL(BM39:BM103,ROW()-ROW($BM$106)+1),"")</f>
        <v>0</v>
      </c>
      <c r="BN166">
        <f>IFERROR(SMALL(BN39:BN103,ROW()-ROW($BN$106)+1),"")</f>
        <v>0</v>
      </c>
      <c r="BO166">
        <f>IFERROR(SMALL(BO39:BO103,ROW()-ROW($BO$106)+1),"")</f>
        <v>0</v>
      </c>
      <c r="BP166">
        <f>IFERROR(SMALL(BP39:BP103,ROW()-ROW($BP$106)+1),"")</f>
        <v>0</v>
      </c>
      <c r="BS166">
        <f>IFERROR(SMALL(BS39:BS103,ROW()-ROW($BS$106)+1),"")</f>
        <v>0</v>
      </c>
      <c r="BT166">
        <f>IFERROR(SMALL(BT39:BT103,ROW()-ROW($BT$106)+1),"")</f>
        <v>0</v>
      </c>
      <c r="BU166">
        <f>IFERROR(SMALL(BU39:BU103,ROW()-ROW($BU$106)+1),"")</f>
        <v>0</v>
      </c>
      <c r="BV166">
        <f>IFERROR(SMALL(BV39:BV103,ROW()-ROW($BV$106)+1),"")</f>
        <v>0</v>
      </c>
      <c r="BW166">
        <f>IFERROR(SMALL(BW39:BW103,ROW()-ROW($BW$106)+1),"")</f>
        <v>0</v>
      </c>
      <c r="BX166">
        <f>IFERROR(SMALL(BX39:BX103,ROW()-ROW($BX$106)+1),"")</f>
        <v>0</v>
      </c>
      <c r="BY166">
        <f>IFERROR(SMALL(BY39:BY103,ROW()-ROW($BY$106)+1),"")</f>
        <v>0</v>
      </c>
      <c r="BZ166">
        <f>IFERROR(SMALL(BZ39:BZ103,ROW()-ROW($BZ$106)+1),"")</f>
        <v>0</v>
      </c>
      <c r="CA166">
        <f>IFERROR(SMALL(CA39:CA103,ROW()-ROW($CA$106)+1),"")</f>
        <v>0</v>
      </c>
      <c r="CB166">
        <f>IFERROR(SMALL(CB39:CB103,ROW()-ROW($CB$106)+1),"")</f>
        <v>0</v>
      </c>
      <c r="CC166">
        <f>IFERROR(SMALL(CC39:CC103,ROW()-ROW($CC$106)+1),"")</f>
        <v>0</v>
      </c>
      <c r="CD166">
        <f>IFERROR(SMALL(CD39:CD103,ROW()-ROW($CD$106)+1),"")</f>
        <v>0</v>
      </c>
      <c r="CE166">
        <f>IFERROR(SMALL(CE39:CE103,ROW()-ROW($CE$106)+1),"")</f>
        <v>0</v>
      </c>
      <c r="CF166">
        <f>IFERROR(SMALL(CF39:CF103,ROW()-ROW($CF$106)+1),"")</f>
        <v>0</v>
      </c>
      <c r="CG166">
        <f>IFERROR(SMALL(CG39:CG103,ROW()-ROW($CG$106)+1),"")</f>
        <v>0</v>
      </c>
      <c r="CH166">
        <f>IFERROR(SMALL(CH39:CH103,ROW()-ROW($CH$106)+1),"")</f>
        <v>0</v>
      </c>
      <c r="CI166">
        <f>IFERROR(SMALL(CI39:CI103,ROW()-ROW($CI$106)+1),"")</f>
        <v>0</v>
      </c>
      <c r="CJ166">
        <f>IFERROR(SMALL(CJ39:CJ103,ROW()-ROW($CJ$106)+1),"")</f>
        <v>0</v>
      </c>
      <c r="CK166">
        <f>IFERROR(SMALL(CK39:CK103,ROW()-ROW($CK$106)+1),"")</f>
        <v>0</v>
      </c>
      <c r="CL166">
        <f>IFERROR(SMALL(CL39:CL103,ROW()-ROW($CL$106)+1),"")</f>
        <v>0</v>
      </c>
      <c r="CM166">
        <f>IFERROR(SMALL(CM39:CM103,ROW()-ROW($CM$106)+1),"")</f>
        <v>0</v>
      </c>
      <c r="CN166">
        <f>IFERROR(SMALL(CN39:CN103,ROW()-ROW($CN$106)+1),"")</f>
        <v>0</v>
      </c>
      <c r="CO166">
        <f>IFERROR(SMALL(CO39:CO103,ROW()-ROW($CO$106)+1),"")</f>
        <v>0</v>
      </c>
      <c r="CP166">
        <f>IFERROR(SMALL(CP39:CP103,ROW()-ROW($CP$106)+1),"")</f>
        <v>0</v>
      </c>
      <c r="CQ166">
        <f>IFERROR(SMALL(CQ39:CQ103,ROW()-ROW($CQ$106)+1),"")</f>
        <v>0</v>
      </c>
      <c r="CR166">
        <f>IFERROR(SMALL(CR39:CR103,ROW()-ROW($CR$106)+1),"")</f>
        <v>0</v>
      </c>
      <c r="CS166">
        <f>IFERROR(SMALL(CS39:CS103,ROW()-ROW($CS$106)+1),"")</f>
        <v>0</v>
      </c>
      <c r="CT166">
        <f>IFERROR(SMALL(CT39:CT103,ROW()-ROW($CT$106)+1),"")</f>
        <v>0</v>
      </c>
      <c r="CU166">
        <f>IFERROR(SMALL(CU39:CU103,ROW()-ROW($CU$106)+1),"")</f>
        <v>0</v>
      </c>
      <c r="CV166">
        <f>IFERROR(SMALL(CV39:CV103,ROW()-ROW($CV$106)+1),"")</f>
        <v>0</v>
      </c>
      <c r="CW166">
        <f>IFERROR(SMALL(CW39:CW103,ROW()-ROW($CW$106)+1),"")</f>
        <v>0</v>
      </c>
      <c r="CX166">
        <f>IFERROR(SMALL(CX39:CX103,ROW()-ROW($CX$106)+1),"")</f>
        <v>0</v>
      </c>
      <c r="CY166">
        <f>IFERROR(SMALL(CY39:CY103,ROW()-ROW($CY$106)+1),"")</f>
        <v>0</v>
      </c>
      <c r="CZ166">
        <f>IFERROR(SMALL(CZ39:CZ103,ROW()-ROW($CZ$106)+1),"")</f>
        <v>0</v>
      </c>
      <c r="DA166">
        <f>IFERROR(SMALL(DA39:DA103,ROW()-ROW($DA$106)+1),"")</f>
        <v>0</v>
      </c>
      <c r="DB166">
        <f>IFERROR(SMALL(DB39:DB103,ROW()-ROW($DB$106)+1),"")</f>
        <v>0</v>
      </c>
      <c r="DC166">
        <f>IFERROR(SMALL(DC39:DC103,ROW()-ROW($DC$106)+1),"")</f>
        <v>0</v>
      </c>
      <c r="DD166">
        <f>IFERROR(SMALL(DD39:DD103,ROW()-ROW($DD$106)+1),"")</f>
        <v>0</v>
      </c>
      <c r="DE166">
        <f>IFERROR(SMALL(DE39:DE103,ROW()-ROW($DE$106)+1),"")</f>
        <v>0</v>
      </c>
      <c r="DF166">
        <f>IFERROR(SMALL(DF39:DF103,ROW()-ROW($DF$106)+1),"")</f>
        <v>0</v>
      </c>
      <c r="DG166">
        <f>IFERROR(SMALL(DG39:DG103,ROW()-ROW($DG$106)+1),"")</f>
        <v>0</v>
      </c>
      <c r="DH166">
        <f>IFERROR(SMALL(DH39:DH103,ROW()-ROW($DH$106)+1),"")</f>
        <v>0</v>
      </c>
      <c r="DI166">
        <f>IFERROR(SMALL(DI39:DI103,ROW()-ROW($DI$106)+1),"")</f>
        <v>0</v>
      </c>
      <c r="DJ166">
        <f>IFERROR(SMALL(DJ39:DJ103,ROW()-ROW($DJ$106)+1),"")</f>
        <v>0</v>
      </c>
      <c r="DK166">
        <f>IFERROR(SMALL(DK39:DK103,ROW()-ROW($DK$106)+1),"")</f>
        <v>0</v>
      </c>
      <c r="DL166">
        <f>IFERROR(SMALL(DL39:DL103,ROW()-ROW($DL$106)+1),"")</f>
        <v>0</v>
      </c>
      <c r="DM166">
        <f>IFERROR(SMALL(DM39:DM103,ROW()-ROW($DM$106)+1),"")</f>
        <v>0</v>
      </c>
      <c r="DN166">
        <f>IFERROR(SMALL(DN39:DN103,ROW()-ROW($DN$106)+1),"")</f>
        <v>0</v>
      </c>
      <c r="DO166">
        <f>IFERROR(SMALL(DO39:DO103,ROW()-ROW($DO$106)+1),"")</f>
        <v>0</v>
      </c>
      <c r="DP166">
        <f>IFERROR(SMALL(DP39:DP103,ROW()-ROW($DP$106)+1),"")</f>
        <v>0</v>
      </c>
      <c r="DQ166">
        <f>IFERROR(SMALL(DQ39:DQ103,ROW()-ROW($DQ$106)+1),"")</f>
        <v>0</v>
      </c>
      <c r="DR166">
        <f>IFERROR(SMALL(DR39:DR103,ROW()-ROW($DR$106)+1),"")</f>
        <v>0</v>
      </c>
      <c r="DS166">
        <f>IFERROR(SMALL(DS39:DS103,ROW()-ROW($DS$106)+1),"")</f>
        <v>0</v>
      </c>
      <c r="DT166">
        <f>IFERROR(SMALL(DT39:DT103,ROW()-ROW($DT$106)+1),"")</f>
        <v>0</v>
      </c>
      <c r="DU166">
        <f>IFERROR(SMALL(DU39:DU103,ROW()-ROW($DU$106)+1),"")</f>
        <v>0</v>
      </c>
      <c r="DV166">
        <f>IFERROR(SMALL(DV39:DV103,ROW()-ROW($DV$106)+1),"")</f>
        <v>0</v>
      </c>
      <c r="DW166">
        <f>IFERROR(SMALL(DW39:DW103,ROW()-ROW($DW$106)+1),"")</f>
        <v>0</v>
      </c>
      <c r="DX166">
        <f>IFERROR(SMALL(DX39:DX103,ROW()-ROW($DX$106)+1),"")</f>
        <v>0</v>
      </c>
      <c r="DY166">
        <f>IFERROR(SMALL(DY39:DY103,ROW()-ROW($DY$106)+1),"")</f>
        <v>0</v>
      </c>
      <c r="DZ166">
        <f>IFERROR(SMALL(DZ39:DZ103,ROW()-ROW($DZ$106)+1),"")</f>
        <v>0</v>
      </c>
      <c r="EA166">
        <f>IFERROR(SMALL(EA39:EA103,ROW()-ROW($EA$106)+1),"")</f>
        <v>0</v>
      </c>
      <c r="EB166">
        <f>IFERROR(SMALL(EB39:EB103,ROW()-ROW($EB$106)+1),"")</f>
        <v>0</v>
      </c>
      <c r="EC166">
        <f>IFERROR(SMALL(EC39:EC103,ROW()-ROW($EC$106)+1),"")</f>
        <v>0</v>
      </c>
      <c r="ED166">
        <f>IFERROR(SMALL(ED39:ED103,ROW()-ROW($ED$106)+1),"")</f>
        <v>0</v>
      </c>
    </row>
    <row r="167" spans="4:134">
      <c r="E167">
        <f>IFERROR(SMALL(E39:E103,ROW()-ROW($E$106)+1),"")</f>
        <v>0</v>
      </c>
      <c r="F167">
        <f>IFERROR(SMALL(F39:F103,ROW()-ROW($F$106)+1),"")</f>
        <v>0</v>
      </c>
      <c r="G167">
        <f>IFERROR(SMALL(G39:G103,ROW()-ROW($G$106)+1),"")</f>
        <v>0</v>
      </c>
      <c r="H167">
        <f>IFERROR(SMALL(H39:H103,ROW()-ROW($H$106)+1),"")</f>
        <v>0</v>
      </c>
      <c r="I167">
        <f>IFERROR(SMALL(I39:I103,ROW()-ROW($I$106)+1),"")</f>
        <v>0</v>
      </c>
      <c r="J167">
        <f>IFERROR(SMALL(J39:J103,ROW()-ROW($J$106)+1),"")</f>
        <v>0</v>
      </c>
      <c r="K167">
        <f>IFERROR(SMALL(K39:K103,ROW()-ROW($K$106)+1),"")</f>
        <v>0</v>
      </c>
      <c r="L167">
        <f>IFERROR(SMALL(L39:L103,ROW()-ROW($L$106)+1),"")</f>
        <v>0</v>
      </c>
      <c r="M167">
        <f>IFERROR(SMALL(M39:M103,ROW()-ROW($M$106)+1),"")</f>
        <v>0</v>
      </c>
      <c r="N167">
        <f>IFERROR(SMALL(N39:N103,ROW()-ROW($N$106)+1),"")</f>
        <v>0</v>
      </c>
      <c r="O167">
        <f>IFERROR(SMALL(O39:O103,ROW()-ROW($O$106)+1),"")</f>
        <v>0</v>
      </c>
      <c r="P167">
        <f>IFERROR(SMALL(P39:P103,ROW()-ROW($P$106)+1),"")</f>
        <v>0</v>
      </c>
      <c r="Q167">
        <f>IFERROR(SMALL(Q39:Q103,ROW()-ROW($Q$106)+1),"")</f>
        <v>0</v>
      </c>
      <c r="R167">
        <f>IFERROR(SMALL(R39:R103,ROW()-ROW($R$106)+1),"")</f>
        <v>0</v>
      </c>
      <c r="S167">
        <f>IFERROR(SMALL(S39:S103,ROW()-ROW($S$106)+1),"")</f>
        <v>0</v>
      </c>
      <c r="T167">
        <f>IFERROR(SMALL(T39:T103,ROW()-ROW($T$106)+1),"")</f>
        <v>0</v>
      </c>
      <c r="U167">
        <f>IFERROR(SMALL(U39:U103,ROW()-ROW($U$106)+1),"")</f>
        <v>0</v>
      </c>
      <c r="V167">
        <f>IFERROR(SMALL(V39:V103,ROW()-ROW($V$106)+1),"")</f>
        <v>0</v>
      </c>
      <c r="W167">
        <f>IFERROR(SMALL(W39:W103,ROW()-ROW($W$106)+1),"")</f>
        <v>0</v>
      </c>
      <c r="X167">
        <f>IFERROR(SMALL(X39:X103,ROW()-ROW($X$106)+1),"")</f>
        <v>0</v>
      </c>
      <c r="Y167">
        <f>IFERROR(SMALL(Y39:Y103,ROW()-ROW($Y$106)+1),"")</f>
        <v>0</v>
      </c>
      <c r="Z167">
        <f>IFERROR(SMALL(Z39:Z103,ROW()-ROW($Z$106)+1),"")</f>
        <v>0</v>
      </c>
      <c r="AA167">
        <f>IFERROR(SMALL(AA39:AA103,ROW()-ROW($AA$106)+1),"")</f>
        <v>0</v>
      </c>
      <c r="AB167">
        <f>IFERROR(SMALL(AB39:AB103,ROW()-ROW($AB$106)+1),"")</f>
        <v>0</v>
      </c>
      <c r="AC167">
        <f>IFERROR(SMALL(AC39:AC103,ROW()-ROW($AC$106)+1),"")</f>
        <v>0</v>
      </c>
      <c r="AD167">
        <f>IFERROR(SMALL(AD39:AD103,ROW()-ROW($AD$106)+1),"")</f>
        <v>0</v>
      </c>
      <c r="AE167">
        <f>IFERROR(SMALL(AE39:AE103,ROW()-ROW($AE$106)+1),"")</f>
        <v>0</v>
      </c>
      <c r="AF167">
        <f>IFERROR(SMALL(AF39:AF103,ROW()-ROW($AF$106)+1),"")</f>
        <v>0</v>
      </c>
      <c r="AG167">
        <f>IFERROR(SMALL(AG39:AG103,ROW()-ROW($AG$106)+1),"")</f>
        <v>0</v>
      </c>
      <c r="AH167">
        <f>IFERROR(SMALL(AH39:AH103,ROW()-ROW($AH$106)+1),"")</f>
        <v>0</v>
      </c>
      <c r="AI167">
        <f>IFERROR(SMALL(AI39:AI103,ROW()-ROW($AI$106)+1),"")</f>
        <v>0</v>
      </c>
      <c r="AJ167">
        <f>IFERROR(SMALL(AJ39:AJ103,ROW()-ROW($AJ$106)+1),"")</f>
        <v>0</v>
      </c>
      <c r="AK167">
        <f>IFERROR(SMALL(AK39:AK103,ROW()-ROW($AK$106)+1),"")</f>
        <v>0</v>
      </c>
      <c r="AL167">
        <f>IFERROR(SMALL(AL39:AL103,ROW()-ROW($AL$106)+1),"")</f>
        <v>0</v>
      </c>
      <c r="AM167">
        <f>IFERROR(SMALL(AM39:AM103,ROW()-ROW($AM$106)+1),"")</f>
        <v>0</v>
      </c>
      <c r="AN167">
        <f>IFERROR(SMALL(AN39:AN103,ROW()-ROW($AN$106)+1),"")</f>
        <v>0</v>
      </c>
      <c r="AO167">
        <f>IFERROR(SMALL(AO39:AO103,ROW()-ROW($AO$106)+1),"")</f>
        <v>0</v>
      </c>
      <c r="AP167">
        <f>IFERROR(SMALL(AP39:AP103,ROW()-ROW($AP$106)+1),"")</f>
        <v>0</v>
      </c>
      <c r="AQ167">
        <f>IFERROR(SMALL(AQ39:AQ103,ROW()-ROW($AQ$106)+1),"")</f>
        <v>0</v>
      </c>
      <c r="AR167">
        <f>IFERROR(SMALL(AR39:AR103,ROW()-ROW($AR$106)+1),"")</f>
        <v>0</v>
      </c>
      <c r="AS167">
        <f>IFERROR(SMALL(AS39:AS103,ROW()-ROW($AS$106)+1),"")</f>
        <v>0</v>
      </c>
      <c r="AT167">
        <f>IFERROR(SMALL(AT39:AT103,ROW()-ROW($AT$106)+1),"")</f>
        <v>0</v>
      </c>
      <c r="AU167">
        <f>IFERROR(SMALL(AU39:AU103,ROW()-ROW($AU$106)+1),"")</f>
        <v>0</v>
      </c>
      <c r="AV167">
        <f>IFERROR(SMALL(AV39:AV103,ROW()-ROW($AV$106)+1),"")</f>
        <v>0</v>
      </c>
      <c r="AW167">
        <f>IFERROR(SMALL(AW39:AW103,ROW()-ROW($AW$106)+1),"")</f>
        <v>0</v>
      </c>
      <c r="AX167">
        <f>IFERROR(SMALL(AX39:AX103,ROW()-ROW($AX$106)+1),"")</f>
        <v>0</v>
      </c>
      <c r="AY167">
        <f>IFERROR(SMALL(AY39:AY103,ROW()-ROW($AY$106)+1),"")</f>
        <v>0</v>
      </c>
      <c r="AZ167">
        <f>IFERROR(SMALL(AZ39:AZ103,ROW()-ROW($AZ$106)+1),"")</f>
        <v>0</v>
      </c>
      <c r="BA167">
        <f>IFERROR(SMALL(BA39:BA103,ROW()-ROW($BA$106)+1),"")</f>
        <v>0</v>
      </c>
      <c r="BB167">
        <f>IFERROR(SMALL(BB39:BB103,ROW()-ROW($BB$106)+1),"")</f>
        <v>0</v>
      </c>
      <c r="BC167">
        <f>IFERROR(SMALL(BC39:BC103,ROW()-ROW($BC$106)+1),"")</f>
        <v>0</v>
      </c>
      <c r="BD167">
        <f>IFERROR(SMALL(BD39:BD103,ROW()-ROW($BD$106)+1),"")</f>
        <v>0</v>
      </c>
      <c r="BE167">
        <f>IFERROR(SMALL(BE39:BE103,ROW()-ROW($BE$106)+1),"")</f>
        <v>0</v>
      </c>
      <c r="BF167">
        <f>IFERROR(SMALL(BF39:BF103,ROW()-ROW($BF$106)+1),"")</f>
        <v>0</v>
      </c>
      <c r="BG167">
        <f>IFERROR(SMALL(BG39:BG103,ROW()-ROW($BG$106)+1),"")</f>
        <v>0</v>
      </c>
      <c r="BH167">
        <f>IFERROR(SMALL(BH39:BH103,ROW()-ROW($BH$106)+1),"")</f>
        <v>0</v>
      </c>
      <c r="BI167">
        <f>IFERROR(SMALL(BI39:BI103,ROW()-ROW($BI$106)+1),"")</f>
        <v>0</v>
      </c>
      <c r="BJ167">
        <f>IFERROR(SMALL(BJ39:BJ103,ROW()-ROW($BJ$106)+1),"")</f>
        <v>0</v>
      </c>
      <c r="BK167">
        <f>IFERROR(SMALL(BK39:BK103,ROW()-ROW($BK$106)+1),"")</f>
        <v>0</v>
      </c>
      <c r="BL167">
        <f>IFERROR(SMALL(BL39:BL103,ROW()-ROW($BL$106)+1),"")</f>
        <v>0</v>
      </c>
      <c r="BM167">
        <f>IFERROR(SMALL(BM39:BM103,ROW()-ROW($BM$106)+1),"")</f>
        <v>0</v>
      </c>
      <c r="BN167">
        <f>IFERROR(SMALL(BN39:BN103,ROW()-ROW($BN$106)+1),"")</f>
        <v>0</v>
      </c>
      <c r="BO167">
        <f>IFERROR(SMALL(BO39:BO103,ROW()-ROW($BO$106)+1),"")</f>
        <v>0</v>
      </c>
      <c r="BP167">
        <f>IFERROR(SMALL(BP39:BP103,ROW()-ROW($BP$106)+1),"")</f>
        <v>0</v>
      </c>
      <c r="BS167">
        <f>IFERROR(SMALL(BS39:BS103,ROW()-ROW($BS$106)+1),"")</f>
        <v>0</v>
      </c>
      <c r="BT167">
        <f>IFERROR(SMALL(BT39:BT103,ROW()-ROW($BT$106)+1),"")</f>
        <v>0</v>
      </c>
      <c r="BU167">
        <f>IFERROR(SMALL(BU39:BU103,ROW()-ROW($BU$106)+1),"")</f>
        <v>0</v>
      </c>
      <c r="BV167">
        <f>IFERROR(SMALL(BV39:BV103,ROW()-ROW($BV$106)+1),"")</f>
        <v>0</v>
      </c>
      <c r="BW167">
        <f>IFERROR(SMALL(BW39:BW103,ROW()-ROW($BW$106)+1),"")</f>
        <v>0</v>
      </c>
      <c r="BX167">
        <f>IFERROR(SMALL(BX39:BX103,ROW()-ROW($BX$106)+1),"")</f>
        <v>0</v>
      </c>
      <c r="BY167">
        <f>IFERROR(SMALL(BY39:BY103,ROW()-ROW($BY$106)+1),"")</f>
        <v>0</v>
      </c>
      <c r="BZ167">
        <f>IFERROR(SMALL(BZ39:BZ103,ROW()-ROW($BZ$106)+1),"")</f>
        <v>0</v>
      </c>
      <c r="CA167">
        <f>IFERROR(SMALL(CA39:CA103,ROW()-ROW($CA$106)+1),"")</f>
        <v>0</v>
      </c>
      <c r="CB167">
        <f>IFERROR(SMALL(CB39:CB103,ROW()-ROW($CB$106)+1),"")</f>
        <v>0</v>
      </c>
      <c r="CC167">
        <f>IFERROR(SMALL(CC39:CC103,ROW()-ROW($CC$106)+1),"")</f>
        <v>0</v>
      </c>
      <c r="CD167">
        <f>IFERROR(SMALL(CD39:CD103,ROW()-ROW($CD$106)+1),"")</f>
        <v>0</v>
      </c>
      <c r="CE167">
        <f>IFERROR(SMALL(CE39:CE103,ROW()-ROW($CE$106)+1),"")</f>
        <v>0</v>
      </c>
      <c r="CF167">
        <f>IFERROR(SMALL(CF39:CF103,ROW()-ROW($CF$106)+1),"")</f>
        <v>0</v>
      </c>
      <c r="CG167">
        <f>IFERROR(SMALL(CG39:CG103,ROW()-ROW($CG$106)+1),"")</f>
        <v>0</v>
      </c>
      <c r="CH167">
        <f>IFERROR(SMALL(CH39:CH103,ROW()-ROW($CH$106)+1),"")</f>
        <v>0</v>
      </c>
      <c r="CI167">
        <f>IFERROR(SMALL(CI39:CI103,ROW()-ROW($CI$106)+1),"")</f>
        <v>0</v>
      </c>
      <c r="CJ167">
        <f>IFERROR(SMALL(CJ39:CJ103,ROW()-ROW($CJ$106)+1),"")</f>
        <v>0</v>
      </c>
      <c r="CK167">
        <f>IFERROR(SMALL(CK39:CK103,ROW()-ROW($CK$106)+1),"")</f>
        <v>0</v>
      </c>
      <c r="CL167">
        <f>IFERROR(SMALL(CL39:CL103,ROW()-ROW($CL$106)+1),"")</f>
        <v>0</v>
      </c>
      <c r="CM167">
        <f>IFERROR(SMALL(CM39:CM103,ROW()-ROW($CM$106)+1),"")</f>
        <v>0</v>
      </c>
      <c r="CN167">
        <f>IFERROR(SMALL(CN39:CN103,ROW()-ROW($CN$106)+1),"")</f>
        <v>0</v>
      </c>
      <c r="CO167">
        <f>IFERROR(SMALL(CO39:CO103,ROW()-ROW($CO$106)+1),"")</f>
        <v>0</v>
      </c>
      <c r="CP167">
        <f>IFERROR(SMALL(CP39:CP103,ROW()-ROW($CP$106)+1),"")</f>
        <v>0</v>
      </c>
      <c r="CQ167">
        <f>IFERROR(SMALL(CQ39:CQ103,ROW()-ROW($CQ$106)+1),"")</f>
        <v>0</v>
      </c>
      <c r="CR167">
        <f>IFERROR(SMALL(CR39:CR103,ROW()-ROW($CR$106)+1),"")</f>
        <v>0</v>
      </c>
      <c r="CS167">
        <f>IFERROR(SMALL(CS39:CS103,ROW()-ROW($CS$106)+1),"")</f>
        <v>0</v>
      </c>
      <c r="CT167">
        <f>IFERROR(SMALL(CT39:CT103,ROW()-ROW($CT$106)+1),"")</f>
        <v>0</v>
      </c>
      <c r="CU167">
        <f>IFERROR(SMALL(CU39:CU103,ROW()-ROW($CU$106)+1),"")</f>
        <v>0</v>
      </c>
      <c r="CV167">
        <f>IFERROR(SMALL(CV39:CV103,ROW()-ROW($CV$106)+1),"")</f>
        <v>0</v>
      </c>
      <c r="CW167">
        <f>IFERROR(SMALL(CW39:CW103,ROW()-ROW($CW$106)+1),"")</f>
        <v>0</v>
      </c>
      <c r="CX167">
        <f>IFERROR(SMALL(CX39:CX103,ROW()-ROW($CX$106)+1),"")</f>
        <v>0</v>
      </c>
      <c r="CY167">
        <f>IFERROR(SMALL(CY39:CY103,ROW()-ROW($CY$106)+1),"")</f>
        <v>0</v>
      </c>
      <c r="CZ167">
        <f>IFERROR(SMALL(CZ39:CZ103,ROW()-ROW($CZ$106)+1),"")</f>
        <v>0</v>
      </c>
      <c r="DA167">
        <f>IFERROR(SMALL(DA39:DA103,ROW()-ROW($DA$106)+1),"")</f>
        <v>0</v>
      </c>
      <c r="DB167">
        <f>IFERROR(SMALL(DB39:DB103,ROW()-ROW($DB$106)+1),"")</f>
        <v>0</v>
      </c>
      <c r="DC167">
        <f>IFERROR(SMALL(DC39:DC103,ROW()-ROW($DC$106)+1),"")</f>
        <v>0</v>
      </c>
      <c r="DD167">
        <f>IFERROR(SMALL(DD39:DD103,ROW()-ROW($DD$106)+1),"")</f>
        <v>0</v>
      </c>
      <c r="DE167">
        <f>IFERROR(SMALL(DE39:DE103,ROW()-ROW($DE$106)+1),"")</f>
        <v>0</v>
      </c>
      <c r="DF167">
        <f>IFERROR(SMALL(DF39:DF103,ROW()-ROW($DF$106)+1),"")</f>
        <v>0</v>
      </c>
      <c r="DG167">
        <f>IFERROR(SMALL(DG39:DG103,ROW()-ROW($DG$106)+1),"")</f>
        <v>0</v>
      </c>
      <c r="DH167">
        <f>IFERROR(SMALL(DH39:DH103,ROW()-ROW($DH$106)+1),"")</f>
        <v>0</v>
      </c>
      <c r="DI167">
        <f>IFERROR(SMALL(DI39:DI103,ROW()-ROW($DI$106)+1),"")</f>
        <v>0</v>
      </c>
      <c r="DJ167">
        <f>IFERROR(SMALL(DJ39:DJ103,ROW()-ROW($DJ$106)+1),"")</f>
        <v>0</v>
      </c>
      <c r="DK167">
        <f>IFERROR(SMALL(DK39:DK103,ROW()-ROW($DK$106)+1),"")</f>
        <v>0</v>
      </c>
      <c r="DL167">
        <f>IFERROR(SMALL(DL39:DL103,ROW()-ROW($DL$106)+1),"")</f>
        <v>0</v>
      </c>
      <c r="DM167">
        <f>IFERROR(SMALL(DM39:DM103,ROW()-ROW($DM$106)+1),"")</f>
        <v>0</v>
      </c>
      <c r="DN167">
        <f>IFERROR(SMALL(DN39:DN103,ROW()-ROW($DN$106)+1),"")</f>
        <v>0</v>
      </c>
      <c r="DO167">
        <f>IFERROR(SMALL(DO39:DO103,ROW()-ROW($DO$106)+1),"")</f>
        <v>0</v>
      </c>
      <c r="DP167">
        <f>IFERROR(SMALL(DP39:DP103,ROW()-ROW($DP$106)+1),"")</f>
        <v>0</v>
      </c>
      <c r="DQ167">
        <f>IFERROR(SMALL(DQ39:DQ103,ROW()-ROW($DQ$106)+1),"")</f>
        <v>0</v>
      </c>
      <c r="DR167">
        <f>IFERROR(SMALL(DR39:DR103,ROW()-ROW($DR$106)+1),"")</f>
        <v>0</v>
      </c>
      <c r="DS167">
        <f>IFERROR(SMALL(DS39:DS103,ROW()-ROW($DS$106)+1),"")</f>
        <v>0</v>
      </c>
      <c r="DT167">
        <f>IFERROR(SMALL(DT39:DT103,ROW()-ROW($DT$106)+1),"")</f>
        <v>0</v>
      </c>
      <c r="DU167">
        <f>IFERROR(SMALL(DU39:DU103,ROW()-ROW($DU$106)+1),"")</f>
        <v>0</v>
      </c>
      <c r="DV167">
        <f>IFERROR(SMALL(DV39:DV103,ROW()-ROW($DV$106)+1),"")</f>
        <v>0</v>
      </c>
      <c r="DW167">
        <f>IFERROR(SMALL(DW39:DW103,ROW()-ROW($DW$106)+1),"")</f>
        <v>0</v>
      </c>
      <c r="DX167">
        <f>IFERROR(SMALL(DX39:DX103,ROW()-ROW($DX$106)+1),"")</f>
        <v>0</v>
      </c>
      <c r="DY167">
        <f>IFERROR(SMALL(DY39:DY103,ROW()-ROW($DY$106)+1),"")</f>
        <v>0</v>
      </c>
      <c r="DZ167">
        <f>IFERROR(SMALL(DZ39:DZ103,ROW()-ROW($DZ$106)+1),"")</f>
        <v>0</v>
      </c>
      <c r="EA167">
        <f>IFERROR(SMALL(EA39:EA103,ROW()-ROW($EA$106)+1),"")</f>
        <v>0</v>
      </c>
      <c r="EB167">
        <f>IFERROR(SMALL(EB39:EB103,ROW()-ROW($EB$106)+1),"")</f>
        <v>0</v>
      </c>
      <c r="EC167">
        <f>IFERROR(SMALL(EC39:EC103,ROW()-ROW($EC$106)+1),"")</f>
        <v>0</v>
      </c>
      <c r="ED167">
        <f>IFERROR(SMALL(ED39:ED103,ROW()-ROW($ED$106)+1),"")</f>
        <v>0</v>
      </c>
    </row>
    <row r="168" spans="4:134">
      <c r="E168">
        <f>IFERROR(SMALL(E39:E103,ROW()-ROW($E$106)+1),"")</f>
        <v>0</v>
      </c>
      <c r="F168">
        <f>IFERROR(SMALL(F39:F103,ROW()-ROW($F$106)+1),"")</f>
        <v>0</v>
      </c>
      <c r="G168">
        <f>IFERROR(SMALL(G39:G103,ROW()-ROW($G$106)+1),"")</f>
        <v>0</v>
      </c>
      <c r="H168">
        <f>IFERROR(SMALL(H39:H103,ROW()-ROW($H$106)+1),"")</f>
        <v>0</v>
      </c>
      <c r="I168">
        <f>IFERROR(SMALL(I39:I103,ROW()-ROW($I$106)+1),"")</f>
        <v>0</v>
      </c>
      <c r="J168">
        <f>IFERROR(SMALL(J39:J103,ROW()-ROW($J$106)+1),"")</f>
        <v>0</v>
      </c>
      <c r="K168">
        <f>IFERROR(SMALL(K39:K103,ROW()-ROW($K$106)+1),"")</f>
        <v>0</v>
      </c>
      <c r="L168">
        <f>IFERROR(SMALL(L39:L103,ROW()-ROW($L$106)+1),"")</f>
        <v>0</v>
      </c>
      <c r="M168">
        <f>IFERROR(SMALL(M39:M103,ROW()-ROW($M$106)+1),"")</f>
        <v>0</v>
      </c>
      <c r="N168">
        <f>IFERROR(SMALL(N39:N103,ROW()-ROW($N$106)+1),"")</f>
        <v>0</v>
      </c>
      <c r="O168">
        <f>IFERROR(SMALL(O39:O103,ROW()-ROW($O$106)+1),"")</f>
        <v>0</v>
      </c>
      <c r="P168">
        <f>IFERROR(SMALL(P39:P103,ROW()-ROW($P$106)+1),"")</f>
        <v>0</v>
      </c>
      <c r="Q168">
        <f>IFERROR(SMALL(Q39:Q103,ROW()-ROW($Q$106)+1),"")</f>
        <v>0</v>
      </c>
      <c r="R168">
        <f>IFERROR(SMALL(R39:R103,ROW()-ROW($R$106)+1),"")</f>
        <v>0</v>
      </c>
      <c r="S168">
        <f>IFERROR(SMALL(S39:S103,ROW()-ROW($S$106)+1),"")</f>
        <v>0</v>
      </c>
      <c r="T168">
        <f>IFERROR(SMALL(T39:T103,ROW()-ROW($T$106)+1),"")</f>
        <v>0</v>
      </c>
      <c r="U168">
        <f>IFERROR(SMALL(U39:U103,ROW()-ROW($U$106)+1),"")</f>
        <v>0</v>
      </c>
      <c r="V168">
        <f>IFERROR(SMALL(V39:V103,ROW()-ROW($V$106)+1),"")</f>
        <v>0</v>
      </c>
      <c r="W168">
        <f>IFERROR(SMALL(W39:W103,ROW()-ROW($W$106)+1),"")</f>
        <v>0</v>
      </c>
      <c r="X168">
        <f>IFERROR(SMALL(X39:X103,ROW()-ROW($X$106)+1),"")</f>
        <v>0</v>
      </c>
      <c r="Y168">
        <f>IFERROR(SMALL(Y39:Y103,ROW()-ROW($Y$106)+1),"")</f>
        <v>0</v>
      </c>
      <c r="Z168">
        <f>IFERROR(SMALL(Z39:Z103,ROW()-ROW($Z$106)+1),"")</f>
        <v>0</v>
      </c>
      <c r="AA168">
        <f>IFERROR(SMALL(AA39:AA103,ROW()-ROW($AA$106)+1),"")</f>
        <v>0</v>
      </c>
      <c r="AB168">
        <f>IFERROR(SMALL(AB39:AB103,ROW()-ROW($AB$106)+1),"")</f>
        <v>0</v>
      </c>
      <c r="AC168">
        <f>IFERROR(SMALL(AC39:AC103,ROW()-ROW($AC$106)+1),"")</f>
        <v>0</v>
      </c>
      <c r="AD168">
        <f>IFERROR(SMALL(AD39:AD103,ROW()-ROW($AD$106)+1),"")</f>
        <v>0</v>
      </c>
      <c r="AE168">
        <f>IFERROR(SMALL(AE39:AE103,ROW()-ROW($AE$106)+1),"")</f>
        <v>0</v>
      </c>
      <c r="AF168">
        <f>IFERROR(SMALL(AF39:AF103,ROW()-ROW($AF$106)+1),"")</f>
        <v>0</v>
      </c>
      <c r="AG168">
        <f>IFERROR(SMALL(AG39:AG103,ROW()-ROW($AG$106)+1),"")</f>
        <v>0</v>
      </c>
      <c r="AH168">
        <f>IFERROR(SMALL(AH39:AH103,ROW()-ROW($AH$106)+1),"")</f>
        <v>0</v>
      </c>
      <c r="AI168">
        <f>IFERROR(SMALL(AI39:AI103,ROW()-ROW($AI$106)+1),"")</f>
        <v>0</v>
      </c>
      <c r="AJ168">
        <f>IFERROR(SMALL(AJ39:AJ103,ROW()-ROW($AJ$106)+1),"")</f>
        <v>0</v>
      </c>
      <c r="AK168">
        <f>IFERROR(SMALL(AK39:AK103,ROW()-ROW($AK$106)+1),"")</f>
        <v>0</v>
      </c>
      <c r="AL168">
        <f>IFERROR(SMALL(AL39:AL103,ROW()-ROW($AL$106)+1),"")</f>
        <v>0</v>
      </c>
      <c r="AM168">
        <f>IFERROR(SMALL(AM39:AM103,ROW()-ROW($AM$106)+1),"")</f>
        <v>0</v>
      </c>
      <c r="AN168">
        <f>IFERROR(SMALL(AN39:AN103,ROW()-ROW($AN$106)+1),"")</f>
        <v>0</v>
      </c>
      <c r="AO168">
        <f>IFERROR(SMALL(AO39:AO103,ROW()-ROW($AO$106)+1),"")</f>
        <v>0</v>
      </c>
      <c r="AP168">
        <f>IFERROR(SMALL(AP39:AP103,ROW()-ROW($AP$106)+1),"")</f>
        <v>0</v>
      </c>
      <c r="AQ168">
        <f>IFERROR(SMALL(AQ39:AQ103,ROW()-ROW($AQ$106)+1),"")</f>
        <v>0</v>
      </c>
      <c r="AR168">
        <f>IFERROR(SMALL(AR39:AR103,ROW()-ROW($AR$106)+1),"")</f>
        <v>0</v>
      </c>
      <c r="AS168">
        <f>IFERROR(SMALL(AS39:AS103,ROW()-ROW($AS$106)+1),"")</f>
        <v>0</v>
      </c>
      <c r="AT168">
        <f>IFERROR(SMALL(AT39:AT103,ROW()-ROW($AT$106)+1),"")</f>
        <v>0</v>
      </c>
      <c r="AU168">
        <f>IFERROR(SMALL(AU39:AU103,ROW()-ROW($AU$106)+1),"")</f>
        <v>0</v>
      </c>
      <c r="AV168">
        <f>IFERROR(SMALL(AV39:AV103,ROW()-ROW($AV$106)+1),"")</f>
        <v>0</v>
      </c>
      <c r="AW168">
        <f>IFERROR(SMALL(AW39:AW103,ROW()-ROW($AW$106)+1),"")</f>
        <v>0</v>
      </c>
      <c r="AX168">
        <f>IFERROR(SMALL(AX39:AX103,ROW()-ROW($AX$106)+1),"")</f>
        <v>0</v>
      </c>
      <c r="AY168">
        <f>IFERROR(SMALL(AY39:AY103,ROW()-ROW($AY$106)+1),"")</f>
        <v>0</v>
      </c>
      <c r="AZ168">
        <f>IFERROR(SMALL(AZ39:AZ103,ROW()-ROW($AZ$106)+1),"")</f>
        <v>0</v>
      </c>
      <c r="BA168">
        <f>IFERROR(SMALL(BA39:BA103,ROW()-ROW($BA$106)+1),"")</f>
        <v>0</v>
      </c>
      <c r="BB168">
        <f>IFERROR(SMALL(BB39:BB103,ROW()-ROW($BB$106)+1),"")</f>
        <v>0</v>
      </c>
      <c r="BC168">
        <f>IFERROR(SMALL(BC39:BC103,ROW()-ROW($BC$106)+1),"")</f>
        <v>0</v>
      </c>
      <c r="BD168">
        <f>IFERROR(SMALL(BD39:BD103,ROW()-ROW($BD$106)+1),"")</f>
        <v>0</v>
      </c>
      <c r="BE168">
        <f>IFERROR(SMALL(BE39:BE103,ROW()-ROW($BE$106)+1),"")</f>
        <v>0</v>
      </c>
      <c r="BF168">
        <f>IFERROR(SMALL(BF39:BF103,ROW()-ROW($BF$106)+1),"")</f>
        <v>0</v>
      </c>
      <c r="BG168">
        <f>IFERROR(SMALL(BG39:BG103,ROW()-ROW($BG$106)+1),"")</f>
        <v>0</v>
      </c>
      <c r="BH168">
        <f>IFERROR(SMALL(BH39:BH103,ROW()-ROW($BH$106)+1),"")</f>
        <v>0</v>
      </c>
      <c r="BI168">
        <f>IFERROR(SMALL(BI39:BI103,ROW()-ROW($BI$106)+1),"")</f>
        <v>0</v>
      </c>
      <c r="BJ168">
        <f>IFERROR(SMALL(BJ39:BJ103,ROW()-ROW($BJ$106)+1),"")</f>
        <v>0</v>
      </c>
      <c r="BK168">
        <f>IFERROR(SMALL(BK39:BK103,ROW()-ROW($BK$106)+1),"")</f>
        <v>0</v>
      </c>
      <c r="BL168">
        <f>IFERROR(SMALL(BL39:BL103,ROW()-ROW($BL$106)+1),"")</f>
        <v>0</v>
      </c>
      <c r="BM168">
        <f>IFERROR(SMALL(BM39:BM103,ROW()-ROW($BM$106)+1),"")</f>
        <v>0</v>
      </c>
      <c r="BN168">
        <f>IFERROR(SMALL(BN39:BN103,ROW()-ROW($BN$106)+1),"")</f>
        <v>0</v>
      </c>
      <c r="BO168">
        <f>IFERROR(SMALL(BO39:BO103,ROW()-ROW($BO$106)+1),"")</f>
        <v>0</v>
      </c>
      <c r="BP168">
        <f>IFERROR(SMALL(BP39:BP103,ROW()-ROW($BP$106)+1),"")</f>
        <v>0</v>
      </c>
      <c r="BS168">
        <f>IFERROR(SMALL(BS39:BS103,ROW()-ROW($BS$106)+1),"")</f>
        <v>0</v>
      </c>
      <c r="BT168">
        <f>IFERROR(SMALL(BT39:BT103,ROW()-ROW($BT$106)+1),"")</f>
        <v>0</v>
      </c>
      <c r="BU168">
        <f>IFERROR(SMALL(BU39:BU103,ROW()-ROW($BU$106)+1),"")</f>
        <v>0</v>
      </c>
      <c r="BV168">
        <f>IFERROR(SMALL(BV39:BV103,ROW()-ROW($BV$106)+1),"")</f>
        <v>0</v>
      </c>
      <c r="BW168">
        <f>IFERROR(SMALL(BW39:BW103,ROW()-ROW($BW$106)+1),"")</f>
        <v>0</v>
      </c>
      <c r="BX168">
        <f>IFERROR(SMALL(BX39:BX103,ROW()-ROW($BX$106)+1),"")</f>
        <v>0</v>
      </c>
      <c r="BY168">
        <f>IFERROR(SMALL(BY39:BY103,ROW()-ROW($BY$106)+1),"")</f>
        <v>0</v>
      </c>
      <c r="BZ168">
        <f>IFERROR(SMALL(BZ39:BZ103,ROW()-ROW($BZ$106)+1),"")</f>
        <v>0</v>
      </c>
      <c r="CA168">
        <f>IFERROR(SMALL(CA39:CA103,ROW()-ROW($CA$106)+1),"")</f>
        <v>0</v>
      </c>
      <c r="CB168">
        <f>IFERROR(SMALL(CB39:CB103,ROW()-ROW($CB$106)+1),"")</f>
        <v>0</v>
      </c>
      <c r="CC168">
        <f>IFERROR(SMALL(CC39:CC103,ROW()-ROW($CC$106)+1),"")</f>
        <v>0</v>
      </c>
      <c r="CD168">
        <f>IFERROR(SMALL(CD39:CD103,ROW()-ROW($CD$106)+1),"")</f>
        <v>0</v>
      </c>
      <c r="CE168">
        <f>IFERROR(SMALL(CE39:CE103,ROW()-ROW($CE$106)+1),"")</f>
        <v>0</v>
      </c>
      <c r="CF168">
        <f>IFERROR(SMALL(CF39:CF103,ROW()-ROW($CF$106)+1),"")</f>
        <v>0</v>
      </c>
      <c r="CG168">
        <f>IFERROR(SMALL(CG39:CG103,ROW()-ROW($CG$106)+1),"")</f>
        <v>0</v>
      </c>
      <c r="CH168">
        <f>IFERROR(SMALL(CH39:CH103,ROW()-ROW($CH$106)+1),"")</f>
        <v>0</v>
      </c>
      <c r="CI168">
        <f>IFERROR(SMALL(CI39:CI103,ROW()-ROW($CI$106)+1),"")</f>
        <v>0</v>
      </c>
      <c r="CJ168">
        <f>IFERROR(SMALL(CJ39:CJ103,ROW()-ROW($CJ$106)+1),"")</f>
        <v>0</v>
      </c>
      <c r="CK168">
        <f>IFERROR(SMALL(CK39:CK103,ROW()-ROW($CK$106)+1),"")</f>
        <v>0</v>
      </c>
      <c r="CL168">
        <f>IFERROR(SMALL(CL39:CL103,ROW()-ROW($CL$106)+1),"")</f>
        <v>0</v>
      </c>
      <c r="CM168">
        <f>IFERROR(SMALL(CM39:CM103,ROW()-ROW($CM$106)+1),"")</f>
        <v>0</v>
      </c>
      <c r="CN168">
        <f>IFERROR(SMALL(CN39:CN103,ROW()-ROW($CN$106)+1),"")</f>
        <v>0</v>
      </c>
      <c r="CO168">
        <f>IFERROR(SMALL(CO39:CO103,ROW()-ROW($CO$106)+1),"")</f>
        <v>0</v>
      </c>
      <c r="CP168">
        <f>IFERROR(SMALL(CP39:CP103,ROW()-ROW($CP$106)+1),"")</f>
        <v>0</v>
      </c>
      <c r="CQ168">
        <f>IFERROR(SMALL(CQ39:CQ103,ROW()-ROW($CQ$106)+1),"")</f>
        <v>0</v>
      </c>
      <c r="CR168">
        <f>IFERROR(SMALL(CR39:CR103,ROW()-ROW($CR$106)+1),"")</f>
        <v>0</v>
      </c>
      <c r="CS168">
        <f>IFERROR(SMALL(CS39:CS103,ROW()-ROW($CS$106)+1),"")</f>
        <v>0</v>
      </c>
      <c r="CT168">
        <f>IFERROR(SMALL(CT39:CT103,ROW()-ROW($CT$106)+1),"")</f>
        <v>0</v>
      </c>
      <c r="CU168">
        <f>IFERROR(SMALL(CU39:CU103,ROW()-ROW($CU$106)+1),"")</f>
        <v>0</v>
      </c>
      <c r="CV168">
        <f>IFERROR(SMALL(CV39:CV103,ROW()-ROW($CV$106)+1),"")</f>
        <v>0</v>
      </c>
      <c r="CW168">
        <f>IFERROR(SMALL(CW39:CW103,ROW()-ROW($CW$106)+1),"")</f>
        <v>0</v>
      </c>
      <c r="CX168">
        <f>IFERROR(SMALL(CX39:CX103,ROW()-ROW($CX$106)+1),"")</f>
        <v>0</v>
      </c>
      <c r="CY168">
        <f>IFERROR(SMALL(CY39:CY103,ROW()-ROW($CY$106)+1),"")</f>
        <v>0</v>
      </c>
      <c r="CZ168">
        <f>IFERROR(SMALL(CZ39:CZ103,ROW()-ROW($CZ$106)+1),"")</f>
        <v>0</v>
      </c>
      <c r="DA168">
        <f>IFERROR(SMALL(DA39:DA103,ROW()-ROW($DA$106)+1),"")</f>
        <v>0</v>
      </c>
      <c r="DB168">
        <f>IFERROR(SMALL(DB39:DB103,ROW()-ROW($DB$106)+1),"")</f>
        <v>0</v>
      </c>
      <c r="DC168">
        <f>IFERROR(SMALL(DC39:DC103,ROW()-ROW($DC$106)+1),"")</f>
        <v>0</v>
      </c>
      <c r="DD168">
        <f>IFERROR(SMALL(DD39:DD103,ROW()-ROW($DD$106)+1),"")</f>
        <v>0</v>
      </c>
      <c r="DE168">
        <f>IFERROR(SMALL(DE39:DE103,ROW()-ROW($DE$106)+1),"")</f>
        <v>0</v>
      </c>
      <c r="DF168">
        <f>IFERROR(SMALL(DF39:DF103,ROW()-ROW($DF$106)+1),"")</f>
        <v>0</v>
      </c>
      <c r="DG168">
        <f>IFERROR(SMALL(DG39:DG103,ROW()-ROW($DG$106)+1),"")</f>
        <v>0</v>
      </c>
      <c r="DH168">
        <f>IFERROR(SMALL(DH39:DH103,ROW()-ROW($DH$106)+1),"")</f>
        <v>0</v>
      </c>
      <c r="DI168">
        <f>IFERROR(SMALL(DI39:DI103,ROW()-ROW($DI$106)+1),"")</f>
        <v>0</v>
      </c>
      <c r="DJ168">
        <f>IFERROR(SMALL(DJ39:DJ103,ROW()-ROW($DJ$106)+1),"")</f>
        <v>0</v>
      </c>
      <c r="DK168">
        <f>IFERROR(SMALL(DK39:DK103,ROW()-ROW($DK$106)+1),"")</f>
        <v>0</v>
      </c>
      <c r="DL168">
        <f>IFERROR(SMALL(DL39:DL103,ROW()-ROW($DL$106)+1),"")</f>
        <v>0</v>
      </c>
      <c r="DM168">
        <f>IFERROR(SMALL(DM39:DM103,ROW()-ROW($DM$106)+1),"")</f>
        <v>0</v>
      </c>
      <c r="DN168">
        <f>IFERROR(SMALL(DN39:DN103,ROW()-ROW($DN$106)+1),"")</f>
        <v>0</v>
      </c>
      <c r="DO168">
        <f>IFERROR(SMALL(DO39:DO103,ROW()-ROW($DO$106)+1),"")</f>
        <v>0</v>
      </c>
      <c r="DP168">
        <f>IFERROR(SMALL(DP39:DP103,ROW()-ROW($DP$106)+1),"")</f>
        <v>0</v>
      </c>
      <c r="DQ168">
        <f>IFERROR(SMALL(DQ39:DQ103,ROW()-ROW($DQ$106)+1),"")</f>
        <v>0</v>
      </c>
      <c r="DR168">
        <f>IFERROR(SMALL(DR39:DR103,ROW()-ROW($DR$106)+1),"")</f>
        <v>0</v>
      </c>
      <c r="DS168">
        <f>IFERROR(SMALL(DS39:DS103,ROW()-ROW($DS$106)+1),"")</f>
        <v>0</v>
      </c>
      <c r="DT168">
        <f>IFERROR(SMALL(DT39:DT103,ROW()-ROW($DT$106)+1),"")</f>
        <v>0</v>
      </c>
      <c r="DU168">
        <f>IFERROR(SMALL(DU39:DU103,ROW()-ROW($DU$106)+1),"")</f>
        <v>0</v>
      </c>
      <c r="DV168">
        <f>IFERROR(SMALL(DV39:DV103,ROW()-ROW($DV$106)+1),"")</f>
        <v>0</v>
      </c>
      <c r="DW168">
        <f>IFERROR(SMALL(DW39:DW103,ROW()-ROW($DW$106)+1),"")</f>
        <v>0</v>
      </c>
      <c r="DX168">
        <f>IFERROR(SMALL(DX39:DX103,ROW()-ROW($DX$106)+1),"")</f>
        <v>0</v>
      </c>
      <c r="DY168">
        <f>IFERROR(SMALL(DY39:DY103,ROW()-ROW($DY$106)+1),"")</f>
        <v>0</v>
      </c>
      <c r="DZ168">
        <f>IFERROR(SMALL(DZ39:DZ103,ROW()-ROW($DZ$106)+1),"")</f>
        <v>0</v>
      </c>
      <c r="EA168">
        <f>IFERROR(SMALL(EA39:EA103,ROW()-ROW($EA$106)+1),"")</f>
        <v>0</v>
      </c>
      <c r="EB168">
        <f>IFERROR(SMALL(EB39:EB103,ROW()-ROW($EB$106)+1),"")</f>
        <v>0</v>
      </c>
      <c r="EC168">
        <f>IFERROR(SMALL(EC39:EC103,ROW()-ROW($EC$106)+1),"")</f>
        <v>0</v>
      </c>
      <c r="ED168">
        <f>IFERROR(SMALL(ED39:ED103,ROW()-ROW($ED$106)+1),"")</f>
        <v>0</v>
      </c>
    </row>
    <row r="169" spans="4:134">
      <c r="E169">
        <f>IFERROR(SMALL(E39:E103,ROW()-ROW($E$106)+1),"")</f>
        <v>0</v>
      </c>
      <c r="F169">
        <f>IFERROR(SMALL(F39:F103,ROW()-ROW($F$106)+1),"")</f>
        <v>0</v>
      </c>
      <c r="G169">
        <f>IFERROR(SMALL(G39:G103,ROW()-ROW($G$106)+1),"")</f>
        <v>0</v>
      </c>
      <c r="H169">
        <f>IFERROR(SMALL(H39:H103,ROW()-ROW($H$106)+1),"")</f>
        <v>0</v>
      </c>
      <c r="I169">
        <f>IFERROR(SMALL(I39:I103,ROW()-ROW($I$106)+1),"")</f>
        <v>0</v>
      </c>
      <c r="J169">
        <f>IFERROR(SMALL(J39:J103,ROW()-ROW($J$106)+1),"")</f>
        <v>0</v>
      </c>
      <c r="K169">
        <f>IFERROR(SMALL(K39:K103,ROW()-ROW($K$106)+1),"")</f>
        <v>0</v>
      </c>
      <c r="L169">
        <f>IFERROR(SMALL(L39:L103,ROW()-ROW($L$106)+1),"")</f>
        <v>0</v>
      </c>
      <c r="M169">
        <f>IFERROR(SMALL(M39:M103,ROW()-ROW($M$106)+1),"")</f>
        <v>0</v>
      </c>
      <c r="N169">
        <f>IFERROR(SMALL(N39:N103,ROW()-ROW($N$106)+1),"")</f>
        <v>0</v>
      </c>
      <c r="O169">
        <f>IFERROR(SMALL(O39:O103,ROW()-ROW($O$106)+1),"")</f>
        <v>0</v>
      </c>
      <c r="P169">
        <f>IFERROR(SMALL(P39:P103,ROW()-ROW($P$106)+1),"")</f>
        <v>0</v>
      </c>
      <c r="Q169">
        <f>IFERROR(SMALL(Q39:Q103,ROW()-ROW($Q$106)+1),"")</f>
        <v>0</v>
      </c>
      <c r="R169">
        <f>IFERROR(SMALL(R39:R103,ROW()-ROW($R$106)+1),"")</f>
        <v>0</v>
      </c>
      <c r="S169">
        <f>IFERROR(SMALL(S39:S103,ROW()-ROW($S$106)+1),"")</f>
        <v>0</v>
      </c>
      <c r="T169">
        <f>IFERROR(SMALL(T39:T103,ROW()-ROW($T$106)+1),"")</f>
        <v>0</v>
      </c>
      <c r="U169">
        <f>IFERROR(SMALL(U39:U103,ROW()-ROW($U$106)+1),"")</f>
        <v>0</v>
      </c>
      <c r="V169">
        <f>IFERROR(SMALL(V39:V103,ROW()-ROW($V$106)+1),"")</f>
        <v>0</v>
      </c>
      <c r="W169">
        <f>IFERROR(SMALL(W39:W103,ROW()-ROW($W$106)+1),"")</f>
        <v>0</v>
      </c>
      <c r="X169">
        <f>IFERROR(SMALL(X39:X103,ROW()-ROW($X$106)+1),"")</f>
        <v>0</v>
      </c>
      <c r="Y169">
        <f>IFERROR(SMALL(Y39:Y103,ROW()-ROW($Y$106)+1),"")</f>
        <v>0</v>
      </c>
      <c r="Z169">
        <f>IFERROR(SMALL(Z39:Z103,ROW()-ROW($Z$106)+1),"")</f>
        <v>0</v>
      </c>
      <c r="AA169">
        <f>IFERROR(SMALL(AA39:AA103,ROW()-ROW($AA$106)+1),"")</f>
        <v>0</v>
      </c>
      <c r="AB169">
        <f>IFERROR(SMALL(AB39:AB103,ROW()-ROW($AB$106)+1),"")</f>
        <v>0</v>
      </c>
      <c r="AC169">
        <f>IFERROR(SMALL(AC39:AC103,ROW()-ROW($AC$106)+1),"")</f>
        <v>0</v>
      </c>
      <c r="AD169">
        <f>IFERROR(SMALL(AD39:AD103,ROW()-ROW($AD$106)+1),"")</f>
        <v>0</v>
      </c>
      <c r="AE169">
        <f>IFERROR(SMALL(AE39:AE103,ROW()-ROW($AE$106)+1),"")</f>
        <v>0</v>
      </c>
      <c r="AF169">
        <f>IFERROR(SMALL(AF39:AF103,ROW()-ROW($AF$106)+1),"")</f>
        <v>0</v>
      </c>
      <c r="AG169">
        <f>IFERROR(SMALL(AG39:AG103,ROW()-ROW($AG$106)+1),"")</f>
        <v>0</v>
      </c>
      <c r="AH169">
        <f>IFERROR(SMALL(AH39:AH103,ROW()-ROW($AH$106)+1),"")</f>
        <v>0</v>
      </c>
      <c r="AI169">
        <f>IFERROR(SMALL(AI39:AI103,ROW()-ROW($AI$106)+1),"")</f>
        <v>0</v>
      </c>
      <c r="AJ169">
        <f>IFERROR(SMALL(AJ39:AJ103,ROW()-ROW($AJ$106)+1),"")</f>
        <v>0</v>
      </c>
      <c r="AK169">
        <f>IFERROR(SMALL(AK39:AK103,ROW()-ROW($AK$106)+1),"")</f>
        <v>0</v>
      </c>
      <c r="AL169">
        <f>IFERROR(SMALL(AL39:AL103,ROW()-ROW($AL$106)+1),"")</f>
        <v>0</v>
      </c>
      <c r="AM169">
        <f>IFERROR(SMALL(AM39:AM103,ROW()-ROW($AM$106)+1),"")</f>
        <v>0</v>
      </c>
      <c r="AN169">
        <f>IFERROR(SMALL(AN39:AN103,ROW()-ROW($AN$106)+1),"")</f>
        <v>0</v>
      </c>
      <c r="AO169">
        <f>IFERROR(SMALL(AO39:AO103,ROW()-ROW($AO$106)+1),"")</f>
        <v>0</v>
      </c>
      <c r="AP169">
        <f>IFERROR(SMALL(AP39:AP103,ROW()-ROW($AP$106)+1),"")</f>
        <v>0</v>
      </c>
      <c r="AQ169">
        <f>IFERROR(SMALL(AQ39:AQ103,ROW()-ROW($AQ$106)+1),"")</f>
        <v>0</v>
      </c>
      <c r="AR169">
        <f>IFERROR(SMALL(AR39:AR103,ROW()-ROW($AR$106)+1),"")</f>
        <v>0</v>
      </c>
      <c r="AS169">
        <f>IFERROR(SMALL(AS39:AS103,ROW()-ROW($AS$106)+1),"")</f>
        <v>0</v>
      </c>
      <c r="AT169">
        <f>IFERROR(SMALL(AT39:AT103,ROW()-ROW($AT$106)+1),"")</f>
        <v>0</v>
      </c>
      <c r="AU169">
        <f>IFERROR(SMALL(AU39:AU103,ROW()-ROW($AU$106)+1),"")</f>
        <v>0</v>
      </c>
      <c r="AV169">
        <f>IFERROR(SMALL(AV39:AV103,ROW()-ROW($AV$106)+1),"")</f>
        <v>0</v>
      </c>
      <c r="AW169">
        <f>IFERROR(SMALL(AW39:AW103,ROW()-ROW($AW$106)+1),"")</f>
        <v>0</v>
      </c>
      <c r="AX169">
        <f>IFERROR(SMALL(AX39:AX103,ROW()-ROW($AX$106)+1),"")</f>
        <v>0</v>
      </c>
      <c r="AY169">
        <f>IFERROR(SMALL(AY39:AY103,ROW()-ROW($AY$106)+1),"")</f>
        <v>0</v>
      </c>
      <c r="AZ169">
        <f>IFERROR(SMALL(AZ39:AZ103,ROW()-ROW($AZ$106)+1),"")</f>
        <v>0</v>
      </c>
      <c r="BA169">
        <f>IFERROR(SMALL(BA39:BA103,ROW()-ROW($BA$106)+1),"")</f>
        <v>0</v>
      </c>
      <c r="BB169">
        <f>IFERROR(SMALL(BB39:BB103,ROW()-ROW($BB$106)+1),"")</f>
        <v>0</v>
      </c>
      <c r="BC169">
        <f>IFERROR(SMALL(BC39:BC103,ROW()-ROW($BC$106)+1),"")</f>
        <v>0</v>
      </c>
      <c r="BD169">
        <f>IFERROR(SMALL(BD39:BD103,ROW()-ROW($BD$106)+1),"")</f>
        <v>0</v>
      </c>
      <c r="BE169">
        <f>IFERROR(SMALL(BE39:BE103,ROW()-ROW($BE$106)+1),"")</f>
        <v>0</v>
      </c>
      <c r="BF169">
        <f>IFERROR(SMALL(BF39:BF103,ROW()-ROW($BF$106)+1),"")</f>
        <v>0</v>
      </c>
      <c r="BG169">
        <f>IFERROR(SMALL(BG39:BG103,ROW()-ROW($BG$106)+1),"")</f>
        <v>0</v>
      </c>
      <c r="BH169">
        <f>IFERROR(SMALL(BH39:BH103,ROW()-ROW($BH$106)+1),"")</f>
        <v>0</v>
      </c>
      <c r="BI169">
        <f>IFERROR(SMALL(BI39:BI103,ROW()-ROW($BI$106)+1),"")</f>
        <v>0</v>
      </c>
      <c r="BJ169">
        <f>IFERROR(SMALL(BJ39:BJ103,ROW()-ROW($BJ$106)+1),"")</f>
        <v>0</v>
      </c>
      <c r="BK169">
        <f>IFERROR(SMALL(BK39:BK103,ROW()-ROW($BK$106)+1),"")</f>
        <v>0</v>
      </c>
      <c r="BL169">
        <f>IFERROR(SMALL(BL39:BL103,ROW()-ROW($BL$106)+1),"")</f>
        <v>0</v>
      </c>
      <c r="BM169">
        <f>IFERROR(SMALL(BM39:BM103,ROW()-ROW($BM$106)+1),"")</f>
        <v>0</v>
      </c>
      <c r="BN169">
        <f>IFERROR(SMALL(BN39:BN103,ROW()-ROW($BN$106)+1),"")</f>
        <v>0</v>
      </c>
      <c r="BO169">
        <f>IFERROR(SMALL(BO39:BO103,ROW()-ROW($BO$106)+1),"")</f>
        <v>0</v>
      </c>
      <c r="BP169">
        <f>IFERROR(SMALL(BP39:BP103,ROW()-ROW($BP$106)+1),"")</f>
        <v>0</v>
      </c>
      <c r="BS169">
        <f>IFERROR(SMALL(BS39:BS103,ROW()-ROW($BS$106)+1),"")</f>
        <v>0</v>
      </c>
      <c r="BT169">
        <f>IFERROR(SMALL(BT39:BT103,ROW()-ROW($BT$106)+1),"")</f>
        <v>0</v>
      </c>
      <c r="BU169">
        <f>IFERROR(SMALL(BU39:BU103,ROW()-ROW($BU$106)+1),"")</f>
        <v>0</v>
      </c>
      <c r="BV169">
        <f>IFERROR(SMALL(BV39:BV103,ROW()-ROW($BV$106)+1),"")</f>
        <v>0</v>
      </c>
      <c r="BW169">
        <f>IFERROR(SMALL(BW39:BW103,ROW()-ROW($BW$106)+1),"")</f>
        <v>0</v>
      </c>
      <c r="BX169">
        <f>IFERROR(SMALL(BX39:BX103,ROW()-ROW($BX$106)+1),"")</f>
        <v>0</v>
      </c>
      <c r="BY169">
        <f>IFERROR(SMALL(BY39:BY103,ROW()-ROW($BY$106)+1),"")</f>
        <v>0</v>
      </c>
      <c r="BZ169">
        <f>IFERROR(SMALL(BZ39:BZ103,ROW()-ROW($BZ$106)+1),"")</f>
        <v>0</v>
      </c>
      <c r="CA169">
        <f>IFERROR(SMALL(CA39:CA103,ROW()-ROW($CA$106)+1),"")</f>
        <v>0</v>
      </c>
      <c r="CB169">
        <f>IFERROR(SMALL(CB39:CB103,ROW()-ROW($CB$106)+1),"")</f>
        <v>0</v>
      </c>
      <c r="CC169">
        <f>IFERROR(SMALL(CC39:CC103,ROW()-ROW($CC$106)+1),"")</f>
        <v>0</v>
      </c>
      <c r="CD169">
        <f>IFERROR(SMALL(CD39:CD103,ROW()-ROW($CD$106)+1),"")</f>
        <v>0</v>
      </c>
      <c r="CE169">
        <f>IFERROR(SMALL(CE39:CE103,ROW()-ROW($CE$106)+1),"")</f>
        <v>0</v>
      </c>
      <c r="CF169">
        <f>IFERROR(SMALL(CF39:CF103,ROW()-ROW($CF$106)+1),"")</f>
        <v>0</v>
      </c>
      <c r="CG169">
        <f>IFERROR(SMALL(CG39:CG103,ROW()-ROW($CG$106)+1),"")</f>
        <v>0</v>
      </c>
      <c r="CH169">
        <f>IFERROR(SMALL(CH39:CH103,ROW()-ROW($CH$106)+1),"")</f>
        <v>0</v>
      </c>
      <c r="CI169">
        <f>IFERROR(SMALL(CI39:CI103,ROW()-ROW($CI$106)+1),"")</f>
        <v>0</v>
      </c>
      <c r="CJ169">
        <f>IFERROR(SMALL(CJ39:CJ103,ROW()-ROW($CJ$106)+1),"")</f>
        <v>0</v>
      </c>
      <c r="CK169">
        <f>IFERROR(SMALL(CK39:CK103,ROW()-ROW($CK$106)+1),"")</f>
        <v>0</v>
      </c>
      <c r="CL169">
        <f>IFERROR(SMALL(CL39:CL103,ROW()-ROW($CL$106)+1),"")</f>
        <v>0</v>
      </c>
      <c r="CM169">
        <f>IFERROR(SMALL(CM39:CM103,ROW()-ROW($CM$106)+1),"")</f>
        <v>0</v>
      </c>
      <c r="CN169">
        <f>IFERROR(SMALL(CN39:CN103,ROW()-ROW($CN$106)+1),"")</f>
        <v>0</v>
      </c>
      <c r="CO169">
        <f>IFERROR(SMALL(CO39:CO103,ROW()-ROW($CO$106)+1),"")</f>
        <v>0</v>
      </c>
      <c r="CP169">
        <f>IFERROR(SMALL(CP39:CP103,ROW()-ROW($CP$106)+1),"")</f>
        <v>0</v>
      </c>
      <c r="CQ169">
        <f>IFERROR(SMALL(CQ39:CQ103,ROW()-ROW($CQ$106)+1),"")</f>
        <v>0</v>
      </c>
      <c r="CR169">
        <f>IFERROR(SMALL(CR39:CR103,ROW()-ROW($CR$106)+1),"")</f>
        <v>0</v>
      </c>
      <c r="CS169">
        <f>IFERROR(SMALL(CS39:CS103,ROW()-ROW($CS$106)+1),"")</f>
        <v>0</v>
      </c>
      <c r="CT169">
        <f>IFERROR(SMALL(CT39:CT103,ROW()-ROW($CT$106)+1),"")</f>
        <v>0</v>
      </c>
      <c r="CU169">
        <f>IFERROR(SMALL(CU39:CU103,ROW()-ROW($CU$106)+1),"")</f>
        <v>0</v>
      </c>
      <c r="CV169">
        <f>IFERROR(SMALL(CV39:CV103,ROW()-ROW($CV$106)+1),"")</f>
        <v>0</v>
      </c>
      <c r="CW169">
        <f>IFERROR(SMALL(CW39:CW103,ROW()-ROW($CW$106)+1),"")</f>
        <v>0</v>
      </c>
      <c r="CX169">
        <f>IFERROR(SMALL(CX39:CX103,ROW()-ROW($CX$106)+1),"")</f>
        <v>0</v>
      </c>
      <c r="CY169">
        <f>IFERROR(SMALL(CY39:CY103,ROW()-ROW($CY$106)+1),"")</f>
        <v>0</v>
      </c>
      <c r="CZ169">
        <f>IFERROR(SMALL(CZ39:CZ103,ROW()-ROW($CZ$106)+1),"")</f>
        <v>0</v>
      </c>
      <c r="DA169">
        <f>IFERROR(SMALL(DA39:DA103,ROW()-ROW($DA$106)+1),"")</f>
        <v>0</v>
      </c>
      <c r="DB169">
        <f>IFERROR(SMALL(DB39:DB103,ROW()-ROW($DB$106)+1),"")</f>
        <v>0</v>
      </c>
      <c r="DC169">
        <f>IFERROR(SMALL(DC39:DC103,ROW()-ROW($DC$106)+1),"")</f>
        <v>0</v>
      </c>
      <c r="DD169">
        <f>IFERROR(SMALL(DD39:DD103,ROW()-ROW($DD$106)+1),"")</f>
        <v>0</v>
      </c>
      <c r="DE169">
        <f>IFERROR(SMALL(DE39:DE103,ROW()-ROW($DE$106)+1),"")</f>
        <v>0</v>
      </c>
      <c r="DF169">
        <f>IFERROR(SMALL(DF39:DF103,ROW()-ROW($DF$106)+1),"")</f>
        <v>0</v>
      </c>
      <c r="DG169">
        <f>IFERROR(SMALL(DG39:DG103,ROW()-ROW($DG$106)+1),"")</f>
        <v>0</v>
      </c>
      <c r="DH169">
        <f>IFERROR(SMALL(DH39:DH103,ROW()-ROW($DH$106)+1),"")</f>
        <v>0</v>
      </c>
      <c r="DI169">
        <f>IFERROR(SMALL(DI39:DI103,ROW()-ROW($DI$106)+1),"")</f>
        <v>0</v>
      </c>
      <c r="DJ169">
        <f>IFERROR(SMALL(DJ39:DJ103,ROW()-ROW($DJ$106)+1),"")</f>
        <v>0</v>
      </c>
      <c r="DK169">
        <f>IFERROR(SMALL(DK39:DK103,ROW()-ROW($DK$106)+1),"")</f>
        <v>0</v>
      </c>
      <c r="DL169">
        <f>IFERROR(SMALL(DL39:DL103,ROW()-ROW($DL$106)+1),"")</f>
        <v>0</v>
      </c>
      <c r="DM169">
        <f>IFERROR(SMALL(DM39:DM103,ROW()-ROW($DM$106)+1),"")</f>
        <v>0</v>
      </c>
      <c r="DN169">
        <f>IFERROR(SMALL(DN39:DN103,ROW()-ROW($DN$106)+1),"")</f>
        <v>0</v>
      </c>
      <c r="DO169">
        <f>IFERROR(SMALL(DO39:DO103,ROW()-ROW($DO$106)+1),"")</f>
        <v>0</v>
      </c>
      <c r="DP169">
        <f>IFERROR(SMALL(DP39:DP103,ROW()-ROW($DP$106)+1),"")</f>
        <v>0</v>
      </c>
      <c r="DQ169">
        <f>IFERROR(SMALL(DQ39:DQ103,ROW()-ROW($DQ$106)+1),"")</f>
        <v>0</v>
      </c>
      <c r="DR169">
        <f>IFERROR(SMALL(DR39:DR103,ROW()-ROW($DR$106)+1),"")</f>
        <v>0</v>
      </c>
      <c r="DS169">
        <f>IFERROR(SMALL(DS39:DS103,ROW()-ROW($DS$106)+1),"")</f>
        <v>0</v>
      </c>
      <c r="DT169">
        <f>IFERROR(SMALL(DT39:DT103,ROW()-ROW($DT$106)+1),"")</f>
        <v>0</v>
      </c>
      <c r="DU169">
        <f>IFERROR(SMALL(DU39:DU103,ROW()-ROW($DU$106)+1),"")</f>
        <v>0</v>
      </c>
      <c r="DV169">
        <f>IFERROR(SMALL(DV39:DV103,ROW()-ROW($DV$106)+1),"")</f>
        <v>0</v>
      </c>
      <c r="DW169">
        <f>IFERROR(SMALL(DW39:DW103,ROW()-ROW($DW$106)+1),"")</f>
        <v>0</v>
      </c>
      <c r="DX169">
        <f>IFERROR(SMALL(DX39:DX103,ROW()-ROW($DX$106)+1),"")</f>
        <v>0</v>
      </c>
      <c r="DY169">
        <f>IFERROR(SMALL(DY39:DY103,ROW()-ROW($DY$106)+1),"")</f>
        <v>0</v>
      </c>
      <c r="DZ169">
        <f>IFERROR(SMALL(DZ39:DZ103,ROW()-ROW($DZ$106)+1),"")</f>
        <v>0</v>
      </c>
      <c r="EA169">
        <f>IFERROR(SMALL(EA39:EA103,ROW()-ROW($EA$106)+1),"")</f>
        <v>0</v>
      </c>
      <c r="EB169">
        <f>IFERROR(SMALL(EB39:EB103,ROW()-ROW($EB$106)+1),"")</f>
        <v>0</v>
      </c>
      <c r="EC169">
        <f>IFERROR(SMALL(EC39:EC103,ROW()-ROW($EC$106)+1),"")</f>
        <v>0</v>
      </c>
      <c r="ED169">
        <f>IFERROR(SMALL(ED39:ED103,ROW()-ROW($ED$106)+1),"")</f>
        <v>0</v>
      </c>
    </row>
    <row r="171" spans="4:134">
      <c r="D171" t="s">
        <v>85</v>
      </c>
      <c r="E171" t="s">
        <v>82</v>
      </c>
      <c r="F171" t="s">
        <v>87</v>
      </c>
      <c r="G171" t="s">
        <v>82</v>
      </c>
      <c r="H171" t="s">
        <v>88</v>
      </c>
      <c r="I171" t="s">
        <v>82</v>
      </c>
      <c r="J171" t="s">
        <v>87</v>
      </c>
      <c r="K171" t="s">
        <v>82</v>
      </c>
      <c r="L171" t="s">
        <v>88</v>
      </c>
      <c r="M171" t="s">
        <v>82</v>
      </c>
      <c r="N171" t="s">
        <v>87</v>
      </c>
      <c r="O171" t="s">
        <v>82</v>
      </c>
      <c r="P171" t="s">
        <v>88</v>
      </c>
      <c r="Q171" t="s">
        <v>82</v>
      </c>
      <c r="R171" t="s">
        <v>87</v>
      </c>
      <c r="S171" t="s">
        <v>82</v>
      </c>
      <c r="T171" t="s">
        <v>88</v>
      </c>
      <c r="U171" t="s">
        <v>82</v>
      </c>
      <c r="V171" t="s">
        <v>87</v>
      </c>
      <c r="W171" t="s">
        <v>82</v>
      </c>
      <c r="X171" t="s">
        <v>88</v>
      </c>
      <c r="Y171" t="s">
        <v>82</v>
      </c>
      <c r="Z171" t="s">
        <v>87</v>
      </c>
      <c r="AA171" t="s">
        <v>82</v>
      </c>
      <c r="AB171" t="s">
        <v>88</v>
      </c>
      <c r="AC171" t="s">
        <v>82</v>
      </c>
      <c r="AD171" t="s">
        <v>87</v>
      </c>
      <c r="AE171" t="s">
        <v>82</v>
      </c>
      <c r="AF171" t="s">
        <v>88</v>
      </c>
      <c r="AG171" t="s">
        <v>82</v>
      </c>
      <c r="AH171" t="s">
        <v>87</v>
      </c>
      <c r="AI171" t="s">
        <v>82</v>
      </c>
      <c r="AJ171" t="s">
        <v>88</v>
      </c>
      <c r="AK171" t="s">
        <v>82</v>
      </c>
      <c r="AL171" t="s">
        <v>87</v>
      </c>
      <c r="AM171" t="s">
        <v>82</v>
      </c>
      <c r="AN171" t="s">
        <v>88</v>
      </c>
      <c r="AO171" t="s">
        <v>82</v>
      </c>
      <c r="AP171" t="s">
        <v>87</v>
      </c>
      <c r="AQ171" t="s">
        <v>82</v>
      </c>
      <c r="AR171" t="s">
        <v>88</v>
      </c>
      <c r="AS171" t="s">
        <v>82</v>
      </c>
      <c r="AT171" t="s">
        <v>87</v>
      </c>
      <c r="AU171" t="s">
        <v>82</v>
      </c>
      <c r="AV171" t="s">
        <v>88</v>
      </c>
      <c r="AW171" t="s">
        <v>82</v>
      </c>
      <c r="AX171" t="s">
        <v>87</v>
      </c>
      <c r="AY171" t="s">
        <v>82</v>
      </c>
      <c r="AZ171" t="s">
        <v>88</v>
      </c>
      <c r="BA171" t="s">
        <v>82</v>
      </c>
      <c r="BB171" t="s">
        <v>87</v>
      </c>
      <c r="BC171" t="s">
        <v>82</v>
      </c>
      <c r="BD171" t="s">
        <v>88</v>
      </c>
      <c r="BE171" t="s">
        <v>82</v>
      </c>
      <c r="BF171" t="s">
        <v>87</v>
      </c>
      <c r="BG171" t="s">
        <v>82</v>
      </c>
      <c r="BH171" t="s">
        <v>88</v>
      </c>
      <c r="BI171" t="s">
        <v>82</v>
      </c>
      <c r="BJ171" t="s">
        <v>87</v>
      </c>
      <c r="BK171" t="s">
        <v>82</v>
      </c>
      <c r="BL171" t="s">
        <v>88</v>
      </c>
      <c r="BM171" t="s">
        <v>82</v>
      </c>
      <c r="BN171" t="s">
        <v>87</v>
      </c>
      <c r="BO171" t="s">
        <v>82</v>
      </c>
      <c r="BP171" t="s">
        <v>88</v>
      </c>
      <c r="BR171" t="s">
        <v>85</v>
      </c>
      <c r="BS171" t="s">
        <v>82</v>
      </c>
      <c r="BT171" t="s">
        <v>87</v>
      </c>
      <c r="BU171" t="s">
        <v>82</v>
      </c>
      <c r="BV171" t="s">
        <v>88</v>
      </c>
      <c r="BW171" t="s">
        <v>82</v>
      </c>
      <c r="BX171" t="s">
        <v>87</v>
      </c>
      <c r="BY171" t="s">
        <v>82</v>
      </c>
      <c r="BZ171" t="s">
        <v>88</v>
      </c>
      <c r="CA171" t="s">
        <v>82</v>
      </c>
      <c r="CB171" t="s">
        <v>87</v>
      </c>
      <c r="CC171" t="s">
        <v>82</v>
      </c>
      <c r="CD171" t="s">
        <v>88</v>
      </c>
      <c r="CE171" t="s">
        <v>82</v>
      </c>
      <c r="CF171" t="s">
        <v>87</v>
      </c>
      <c r="CG171" t="s">
        <v>82</v>
      </c>
      <c r="CH171" t="s">
        <v>88</v>
      </c>
      <c r="CI171" t="s">
        <v>82</v>
      </c>
      <c r="CJ171" t="s">
        <v>87</v>
      </c>
      <c r="CK171" t="s">
        <v>82</v>
      </c>
      <c r="CL171" t="s">
        <v>88</v>
      </c>
      <c r="CM171" t="s">
        <v>82</v>
      </c>
      <c r="CN171" t="s">
        <v>87</v>
      </c>
      <c r="CO171" t="s">
        <v>82</v>
      </c>
      <c r="CP171" t="s">
        <v>88</v>
      </c>
      <c r="CQ171" t="s">
        <v>82</v>
      </c>
      <c r="CR171" t="s">
        <v>87</v>
      </c>
      <c r="CS171" t="s">
        <v>82</v>
      </c>
      <c r="CT171" t="s">
        <v>88</v>
      </c>
      <c r="CU171" t="s">
        <v>82</v>
      </c>
      <c r="CV171" t="s">
        <v>87</v>
      </c>
      <c r="CW171" t="s">
        <v>82</v>
      </c>
      <c r="CX171" t="s">
        <v>88</v>
      </c>
      <c r="CY171" t="s">
        <v>82</v>
      </c>
      <c r="CZ171" t="s">
        <v>87</v>
      </c>
      <c r="DA171" t="s">
        <v>82</v>
      </c>
      <c r="DB171" t="s">
        <v>88</v>
      </c>
      <c r="DC171" t="s">
        <v>82</v>
      </c>
      <c r="DD171" t="s">
        <v>87</v>
      </c>
      <c r="DE171" t="s">
        <v>82</v>
      </c>
      <c r="DF171" t="s">
        <v>88</v>
      </c>
      <c r="DG171" t="s">
        <v>82</v>
      </c>
      <c r="DH171" t="s">
        <v>87</v>
      </c>
      <c r="DI171" t="s">
        <v>82</v>
      </c>
      <c r="DJ171" t="s">
        <v>88</v>
      </c>
      <c r="DK171" t="s">
        <v>82</v>
      </c>
      <c r="DL171" t="s">
        <v>87</v>
      </c>
      <c r="DM171" t="s">
        <v>82</v>
      </c>
      <c r="DN171" t="s">
        <v>88</v>
      </c>
      <c r="DO171" t="s">
        <v>82</v>
      </c>
      <c r="DP171" t="s">
        <v>87</v>
      </c>
      <c r="DQ171" t="s">
        <v>82</v>
      </c>
      <c r="DR171" t="s">
        <v>88</v>
      </c>
      <c r="DS171" t="s">
        <v>82</v>
      </c>
      <c r="DT171" t="s">
        <v>87</v>
      </c>
      <c r="DU171" t="s">
        <v>82</v>
      </c>
      <c r="DV171" t="s">
        <v>88</v>
      </c>
      <c r="DW171" t="s">
        <v>82</v>
      </c>
      <c r="DX171" t="s">
        <v>87</v>
      </c>
      <c r="DY171" t="s">
        <v>82</v>
      </c>
      <c r="DZ171" t="s">
        <v>88</v>
      </c>
      <c r="EA171" t="s">
        <v>82</v>
      </c>
      <c r="EB171" t="s">
        <v>87</v>
      </c>
      <c r="EC171" t="s">
        <v>82</v>
      </c>
      <c r="ED171" t="s">
        <v>88</v>
      </c>
    </row>
    <row r="172" spans="4:134">
      <c r="E172">
        <f>IF(ISNA(F172),NA(),E106)</f>
        <v>0</v>
      </c>
      <c r="F172">
        <f>IF(F106="",NA(),F106)</f>
        <v>0</v>
      </c>
      <c r="G172">
        <f>IF(ISNA(H172),NA(),G106)</f>
        <v>0</v>
      </c>
      <c r="H172">
        <f>IF(H106="",NA(),H106)</f>
        <v>0</v>
      </c>
      <c r="I172">
        <f>IF(ISNA(J172),NA(),I106)</f>
        <v>0</v>
      </c>
      <c r="J172">
        <f>IF(J106="",NA(),J106)</f>
        <v>0</v>
      </c>
      <c r="K172">
        <f>IF(ISNA(L172),NA(),K106)</f>
        <v>0</v>
      </c>
      <c r="L172">
        <f>IF(L106="",NA(),L106)</f>
        <v>0</v>
      </c>
      <c r="M172">
        <f>IF(ISNA(N172),NA(),M106)</f>
        <v>0</v>
      </c>
      <c r="N172">
        <f>IF(N106="",NA(),N106)</f>
        <v>0</v>
      </c>
      <c r="O172">
        <f>IF(ISNA(P172),NA(),O106)</f>
        <v>0</v>
      </c>
      <c r="P172">
        <f>IF(P106="",NA(),P106)</f>
        <v>0</v>
      </c>
      <c r="Q172">
        <f>IF(ISNA(R172),NA(),Q106)</f>
        <v>0</v>
      </c>
      <c r="R172">
        <f>IF(R106="",NA(),R106)</f>
        <v>0</v>
      </c>
      <c r="S172">
        <f>IF(ISNA(T172),NA(),S106)</f>
        <v>0</v>
      </c>
      <c r="T172">
        <f>IF(T106="",NA(),T106)</f>
        <v>0</v>
      </c>
      <c r="U172">
        <f>IF(ISNA(V172),NA(),U106)</f>
        <v>0</v>
      </c>
      <c r="V172">
        <f>IF(V106="",NA(),V106)</f>
        <v>0</v>
      </c>
      <c r="W172">
        <f>IF(ISNA(X172),NA(),W106)</f>
        <v>0</v>
      </c>
      <c r="X172">
        <f>IF(X106="",NA(),X106)</f>
        <v>0</v>
      </c>
      <c r="Y172">
        <f>IF(ISNA(Z172),NA(),Y106)</f>
        <v>0</v>
      </c>
      <c r="Z172">
        <f>IF(Z106="",NA(),Z106)</f>
        <v>0</v>
      </c>
      <c r="AA172">
        <f>IF(ISNA(AB172),NA(),AA106)</f>
        <v>0</v>
      </c>
      <c r="AB172">
        <f>IF(AB106="",NA(),AB106)</f>
        <v>0</v>
      </c>
      <c r="AC172">
        <f>IF(ISNA(AD172),NA(),AC106)</f>
        <v>0</v>
      </c>
      <c r="AD172">
        <f>IF(AD106="",NA(),AD106)</f>
        <v>0</v>
      </c>
      <c r="AE172">
        <f>IF(ISNA(AF172),NA(),AE106)</f>
        <v>0</v>
      </c>
      <c r="AF172">
        <f>IF(AF106="",NA(),AF106)</f>
        <v>0</v>
      </c>
      <c r="AG172">
        <f>IF(ISNA(AH172),NA(),AG106)</f>
        <v>0</v>
      </c>
      <c r="AH172">
        <f>IF(AH106="",NA(),AH106)</f>
        <v>0</v>
      </c>
      <c r="AI172">
        <f>IF(ISNA(AJ172),NA(),AI106)</f>
        <v>0</v>
      </c>
      <c r="AJ172">
        <f>IF(AJ106="",NA(),AJ106)</f>
        <v>0</v>
      </c>
      <c r="AK172">
        <f>IF(ISNA(AL172),NA(),AK106)</f>
        <v>0</v>
      </c>
      <c r="AL172">
        <f>IF(AL106="",NA(),AL106)</f>
        <v>0</v>
      </c>
      <c r="AM172">
        <f>IF(ISNA(AN172),NA(),AM106)</f>
        <v>0</v>
      </c>
      <c r="AN172">
        <f>IF(AN106="",NA(),AN106)</f>
        <v>0</v>
      </c>
      <c r="AO172">
        <f>IF(ISNA(AP172),NA(),AO106)</f>
        <v>0</v>
      </c>
      <c r="AP172">
        <f>IF(AP106="",NA(),AP106)</f>
        <v>0</v>
      </c>
      <c r="AQ172">
        <f>IF(ISNA(AR172),NA(),AQ106)</f>
        <v>0</v>
      </c>
      <c r="AR172">
        <f>IF(AR106="",NA(),AR106)</f>
        <v>0</v>
      </c>
      <c r="AS172">
        <f>IF(ISNA(AT172),NA(),AS106)</f>
        <v>0</v>
      </c>
      <c r="AT172">
        <f>IF(AT106="",NA(),AT106)</f>
        <v>0</v>
      </c>
      <c r="AU172">
        <f>IF(ISNA(AV172),NA(),AU106)</f>
        <v>0</v>
      </c>
      <c r="AV172">
        <f>IF(AV106="",NA(),AV106)</f>
        <v>0</v>
      </c>
      <c r="AW172">
        <f>IF(ISNA(AX172),NA(),AW106)</f>
        <v>0</v>
      </c>
      <c r="AX172">
        <f>IF(AX106="",NA(),AX106)</f>
        <v>0</v>
      </c>
      <c r="AY172">
        <f>IF(ISNA(AZ172),NA(),AY106)</f>
        <v>0</v>
      </c>
      <c r="AZ172">
        <f>IF(AZ106="",NA(),AZ106)</f>
        <v>0</v>
      </c>
      <c r="BA172">
        <f>IF(ISNA(BB172),NA(),BA106)</f>
        <v>0</v>
      </c>
      <c r="BB172">
        <f>IF(BB106="",NA(),BB106)</f>
        <v>0</v>
      </c>
      <c r="BC172">
        <f>IF(ISNA(BD172),NA(),BC106)</f>
        <v>0</v>
      </c>
      <c r="BD172">
        <f>IF(BD106="",NA(),BD106)</f>
        <v>0</v>
      </c>
      <c r="BE172">
        <f>IF(ISNA(BF172),NA(),BE106)</f>
        <v>0</v>
      </c>
      <c r="BF172">
        <f>IF(BF106="",NA(),BF106)</f>
        <v>0</v>
      </c>
      <c r="BG172">
        <f>IF(ISNA(BH172),NA(),BG106)</f>
        <v>0</v>
      </c>
      <c r="BH172">
        <f>IF(BH106="",NA(),BH106)</f>
        <v>0</v>
      </c>
      <c r="BI172">
        <f>IF(ISNA(BJ172),NA(),BI106)</f>
        <v>0</v>
      </c>
      <c r="BJ172">
        <f>IF(BJ106="",NA(),BJ106)</f>
        <v>0</v>
      </c>
      <c r="BK172">
        <f>IF(ISNA(BL172),NA(),BK106)</f>
        <v>0</v>
      </c>
      <c r="BL172">
        <f>IF(BL106="",NA(),BL106)</f>
        <v>0</v>
      </c>
      <c r="BM172">
        <f>IF(ISNA(BN172),NA(),BM106)</f>
        <v>0</v>
      </c>
      <c r="BN172">
        <f>IF(BN106="",NA(),BN106)</f>
        <v>0</v>
      </c>
      <c r="BO172">
        <f>IF(ISNA(BP172),NA(),BO106)</f>
        <v>0</v>
      </c>
      <c r="BP172">
        <f>IF(BP106="",NA(),BP106)</f>
        <v>0</v>
      </c>
      <c r="BS172">
        <f>IF(ISNA(BT172),NA(),BS106)</f>
        <v>0</v>
      </c>
      <c r="BT172">
        <f>IF(BT106="",NA(),BT106)</f>
        <v>0</v>
      </c>
      <c r="BU172">
        <f>IF(ISNA(BV172),NA(),BU106)</f>
        <v>0</v>
      </c>
      <c r="BV172">
        <f>IF(BV106="",NA(),BV106)</f>
        <v>0</v>
      </c>
      <c r="BW172">
        <f>IF(ISNA(BX172),NA(),BW106)</f>
        <v>0</v>
      </c>
      <c r="BX172">
        <f>IF(BX106="",NA(),BX106)</f>
        <v>0</v>
      </c>
      <c r="BY172">
        <f>IF(ISNA(BZ172),NA(),BY106)</f>
        <v>0</v>
      </c>
      <c r="BZ172">
        <f>IF(BZ106="",NA(),BZ106)</f>
        <v>0</v>
      </c>
      <c r="CA172">
        <f>IF(ISNA(CB172),NA(),CA106)</f>
        <v>0</v>
      </c>
      <c r="CB172">
        <f>IF(CB106="",NA(),CB106)</f>
        <v>0</v>
      </c>
      <c r="CC172">
        <f>IF(ISNA(CD172),NA(),CC106)</f>
        <v>0</v>
      </c>
      <c r="CD172">
        <f>IF(CD106="",NA(),CD106)</f>
        <v>0</v>
      </c>
      <c r="CE172">
        <f>IF(ISNA(CF172),NA(),CE106)</f>
        <v>0</v>
      </c>
      <c r="CF172">
        <f>IF(CF106="",NA(),CF106)</f>
        <v>0</v>
      </c>
      <c r="CG172">
        <f>IF(ISNA(CH172),NA(),CG106)</f>
        <v>0</v>
      </c>
      <c r="CH172">
        <f>IF(CH106="",NA(),CH106)</f>
        <v>0</v>
      </c>
      <c r="CI172">
        <f>IF(ISNA(CJ172),NA(),CI106)</f>
        <v>0</v>
      </c>
      <c r="CJ172">
        <f>IF(CJ106="",NA(),CJ106)</f>
        <v>0</v>
      </c>
      <c r="CK172">
        <f>IF(ISNA(CL172),NA(),CK106)</f>
        <v>0</v>
      </c>
      <c r="CL172">
        <f>IF(CL106="",NA(),CL106)</f>
        <v>0</v>
      </c>
      <c r="CM172">
        <f>IF(ISNA(CN172),NA(),CM106)</f>
        <v>0</v>
      </c>
      <c r="CN172">
        <f>IF(CN106="",NA(),CN106)</f>
        <v>0</v>
      </c>
      <c r="CO172">
        <f>IF(ISNA(CP172),NA(),CO106)</f>
        <v>0</v>
      </c>
      <c r="CP172">
        <f>IF(CP106="",NA(),CP106)</f>
        <v>0</v>
      </c>
      <c r="CQ172">
        <f>IF(ISNA(CR172),NA(),CQ106)</f>
        <v>0</v>
      </c>
      <c r="CR172">
        <f>IF(CR106="",NA(),CR106)</f>
        <v>0</v>
      </c>
      <c r="CS172">
        <f>IF(ISNA(CT172),NA(),CS106)</f>
        <v>0</v>
      </c>
      <c r="CT172">
        <f>IF(CT106="",NA(),CT106)</f>
        <v>0</v>
      </c>
      <c r="CU172">
        <f>IF(ISNA(CV172),NA(),CU106)</f>
        <v>0</v>
      </c>
      <c r="CV172">
        <f>IF(CV106="",NA(),CV106)</f>
        <v>0</v>
      </c>
      <c r="CW172">
        <f>IF(ISNA(CX172),NA(),CW106)</f>
        <v>0</v>
      </c>
      <c r="CX172">
        <f>IF(CX106="",NA(),CX106)</f>
        <v>0</v>
      </c>
      <c r="CY172">
        <f>IF(ISNA(CZ172),NA(),CY106)</f>
        <v>0</v>
      </c>
      <c r="CZ172">
        <f>IF(CZ106="",NA(),CZ106)</f>
        <v>0</v>
      </c>
      <c r="DA172">
        <f>IF(ISNA(DB172),NA(),DA106)</f>
        <v>0</v>
      </c>
      <c r="DB172">
        <f>IF(DB106="",NA(),DB106)</f>
        <v>0</v>
      </c>
      <c r="DC172">
        <f>IF(ISNA(DD172),NA(),DC106)</f>
        <v>0</v>
      </c>
      <c r="DD172">
        <f>IF(DD106="",NA(),DD106)</f>
        <v>0</v>
      </c>
      <c r="DE172">
        <f>IF(ISNA(DF172),NA(),DE106)</f>
        <v>0</v>
      </c>
      <c r="DF172">
        <f>IF(DF106="",NA(),DF106)</f>
        <v>0</v>
      </c>
      <c r="DG172">
        <f>IF(ISNA(DH172),NA(),DG106)</f>
        <v>0</v>
      </c>
      <c r="DH172">
        <f>IF(DH106="",NA(),DH106)</f>
        <v>0</v>
      </c>
      <c r="DI172">
        <f>IF(ISNA(DJ172),NA(),DI106)</f>
        <v>0</v>
      </c>
      <c r="DJ172">
        <f>IF(DJ106="",NA(),DJ106)</f>
        <v>0</v>
      </c>
      <c r="DK172">
        <f>IF(ISNA(DL172),NA(),DK106)</f>
        <v>0</v>
      </c>
      <c r="DL172">
        <f>IF(DL106="",NA(),DL106)</f>
        <v>0</v>
      </c>
      <c r="DM172">
        <f>IF(ISNA(DN172),NA(),DM106)</f>
        <v>0</v>
      </c>
      <c r="DN172">
        <f>IF(DN106="",NA(),DN106)</f>
        <v>0</v>
      </c>
      <c r="DO172">
        <f>IF(ISNA(DP172),NA(),DO106)</f>
        <v>0</v>
      </c>
      <c r="DP172">
        <f>IF(DP106="",NA(),DP106)</f>
        <v>0</v>
      </c>
      <c r="DQ172">
        <f>IF(ISNA(DR172),NA(),DQ106)</f>
        <v>0</v>
      </c>
      <c r="DR172">
        <f>IF(DR106="",NA(),DR106)</f>
        <v>0</v>
      </c>
      <c r="DS172">
        <f>IF(ISNA(DT172),NA(),DS106)</f>
        <v>0</v>
      </c>
      <c r="DT172">
        <f>IF(DT106="",NA(),DT106)</f>
        <v>0</v>
      </c>
      <c r="DU172">
        <f>IF(ISNA(DV172),NA(),DU106)</f>
        <v>0</v>
      </c>
      <c r="DV172">
        <f>IF(DV106="",NA(),DV106)</f>
        <v>0</v>
      </c>
      <c r="DW172">
        <f>IF(ISNA(DX172),NA(),DW106)</f>
        <v>0</v>
      </c>
      <c r="DX172">
        <f>IF(DX106="",NA(),DX106)</f>
        <v>0</v>
      </c>
      <c r="DY172">
        <f>IF(ISNA(DZ172),NA(),DY106)</f>
        <v>0</v>
      </c>
      <c r="DZ172">
        <f>IF(DZ106="",NA(),DZ106)</f>
        <v>0</v>
      </c>
      <c r="EA172">
        <f>IF(ISNA(EB172),NA(),EA106)</f>
        <v>0</v>
      </c>
      <c r="EB172">
        <f>IF(EB106="",NA(),EB106)</f>
        <v>0</v>
      </c>
      <c r="EC172">
        <f>IF(ISNA(ED172),NA(),EC106)</f>
        <v>0</v>
      </c>
      <c r="ED172">
        <f>IF(ED106="",NA(),ED106)</f>
        <v>0</v>
      </c>
    </row>
    <row r="173" spans="4:134">
      <c r="E173">
        <f>IF(ISNA(F173),NA(),E107)</f>
        <v>0</v>
      </c>
      <c r="F173">
        <f>IF(OR(F107="",AND(F107=F106,F107=F108)),NA(), F107)</f>
        <v>0</v>
      </c>
      <c r="G173">
        <f>IF(ISNA(H173),NA(),G107)</f>
        <v>0</v>
      </c>
      <c r="H173">
        <f>IF(OR(H107="",AND(H107=H106,H107=H108)),NA(), H107)</f>
        <v>0</v>
      </c>
      <c r="I173">
        <f>IF(ISNA(J173),NA(),I107)</f>
        <v>0</v>
      </c>
      <c r="J173">
        <f>IF(OR(J107="",AND(J107=J106,J107=J108)),NA(), J107)</f>
        <v>0</v>
      </c>
      <c r="K173">
        <f>IF(ISNA(L173),NA(),K107)</f>
        <v>0</v>
      </c>
      <c r="L173">
        <f>IF(OR(L107="",AND(L107=L106,L107=L108)),NA(), L107)</f>
        <v>0</v>
      </c>
      <c r="M173">
        <f>IF(ISNA(N173),NA(),M107)</f>
        <v>0</v>
      </c>
      <c r="N173">
        <f>IF(OR(N107="",AND(N107=N106,N107=N108)),NA(), N107)</f>
        <v>0</v>
      </c>
      <c r="O173">
        <f>IF(ISNA(P173),NA(),O107)</f>
        <v>0</v>
      </c>
      <c r="P173">
        <f>IF(OR(P107="",AND(P107=P106,P107=P108)),NA(), P107)</f>
        <v>0</v>
      </c>
      <c r="Q173">
        <f>IF(ISNA(R173),NA(),Q107)</f>
        <v>0</v>
      </c>
      <c r="R173">
        <f>IF(OR(R107="",AND(R107=R106,R107=R108)),NA(), R107)</f>
        <v>0</v>
      </c>
      <c r="S173">
        <f>IF(ISNA(T173),NA(),S107)</f>
        <v>0</v>
      </c>
      <c r="T173">
        <f>IF(OR(T107="",AND(T107=T106,T107=T108)),NA(), T107)</f>
        <v>0</v>
      </c>
      <c r="U173">
        <f>IF(ISNA(V173),NA(),U107)</f>
        <v>0</v>
      </c>
      <c r="V173">
        <f>IF(OR(V107="",AND(V107=V106,V107=V108)),NA(), V107)</f>
        <v>0</v>
      </c>
      <c r="W173">
        <f>IF(ISNA(X173),NA(),W107)</f>
        <v>0</v>
      </c>
      <c r="X173">
        <f>IF(OR(X107="",AND(X107=X106,X107=X108)),NA(), X107)</f>
        <v>0</v>
      </c>
      <c r="Y173">
        <f>IF(ISNA(Z173),NA(),Y107)</f>
        <v>0</v>
      </c>
      <c r="Z173">
        <f>IF(OR(Z107="",AND(Z107=Z106,Z107=Z108)),NA(), Z107)</f>
        <v>0</v>
      </c>
      <c r="AA173">
        <f>IF(ISNA(AB173),NA(),AA107)</f>
        <v>0</v>
      </c>
      <c r="AB173">
        <f>IF(OR(AB107="",AND(AB107=AB106,AB107=AB108)),NA(), AB107)</f>
        <v>0</v>
      </c>
      <c r="AC173">
        <f>IF(ISNA(AD173),NA(),AC107)</f>
        <v>0</v>
      </c>
      <c r="AD173">
        <f>IF(OR(AD107="",AND(AD107=AD106,AD107=AD108)),NA(), AD107)</f>
        <v>0</v>
      </c>
      <c r="AE173">
        <f>IF(ISNA(AF173),NA(),AE107)</f>
        <v>0</v>
      </c>
      <c r="AF173">
        <f>IF(OR(AF107="",AND(AF107=AF106,AF107=AF108)),NA(), AF107)</f>
        <v>0</v>
      </c>
      <c r="AG173">
        <f>IF(ISNA(AH173),NA(),AG107)</f>
        <v>0</v>
      </c>
      <c r="AH173">
        <f>IF(OR(AH107="",AND(AH107=AH106,AH107=AH108)),NA(), AH107)</f>
        <v>0</v>
      </c>
      <c r="AI173">
        <f>IF(ISNA(AJ173),NA(),AI107)</f>
        <v>0</v>
      </c>
      <c r="AJ173">
        <f>IF(OR(AJ107="",AND(AJ107=AJ106,AJ107=AJ108)),NA(), AJ107)</f>
        <v>0</v>
      </c>
      <c r="AK173">
        <f>IF(ISNA(AL173),NA(),AK107)</f>
        <v>0</v>
      </c>
      <c r="AL173">
        <f>IF(OR(AL107="",AND(AL107=AL106,AL107=AL108)),NA(), AL107)</f>
        <v>0</v>
      </c>
      <c r="AM173">
        <f>IF(ISNA(AN173),NA(),AM107)</f>
        <v>0</v>
      </c>
      <c r="AN173">
        <f>IF(OR(AN107="",AND(AN107=AN106,AN107=AN108)),NA(), AN107)</f>
        <v>0</v>
      </c>
      <c r="AO173">
        <f>IF(ISNA(AP173),NA(),AO107)</f>
        <v>0</v>
      </c>
      <c r="AP173">
        <f>IF(OR(AP107="",AND(AP107=AP106,AP107=AP108)),NA(), AP107)</f>
        <v>0</v>
      </c>
      <c r="AQ173">
        <f>IF(ISNA(AR173),NA(),AQ107)</f>
        <v>0</v>
      </c>
      <c r="AR173">
        <f>IF(OR(AR107="",AND(AR107=AR106,AR107=AR108)),NA(), AR107)</f>
        <v>0</v>
      </c>
      <c r="AS173">
        <f>IF(ISNA(AT173),NA(),AS107)</f>
        <v>0</v>
      </c>
      <c r="AT173">
        <f>IF(OR(AT107="",AND(AT107=AT106,AT107=AT108)),NA(), AT107)</f>
        <v>0</v>
      </c>
      <c r="AU173">
        <f>IF(ISNA(AV173),NA(),AU107)</f>
        <v>0</v>
      </c>
      <c r="AV173">
        <f>IF(OR(AV107="",AND(AV107=AV106,AV107=AV108)),NA(), AV107)</f>
        <v>0</v>
      </c>
      <c r="AW173">
        <f>IF(ISNA(AX173),NA(),AW107)</f>
        <v>0</v>
      </c>
      <c r="AX173">
        <f>IF(OR(AX107="",AND(AX107=AX106,AX107=AX108)),NA(), AX107)</f>
        <v>0</v>
      </c>
      <c r="AY173">
        <f>IF(ISNA(AZ173),NA(),AY107)</f>
        <v>0</v>
      </c>
      <c r="AZ173">
        <f>IF(OR(AZ107="",AND(AZ107=AZ106,AZ107=AZ108)),NA(), AZ107)</f>
        <v>0</v>
      </c>
      <c r="BA173">
        <f>IF(ISNA(BB173),NA(),BA107)</f>
        <v>0</v>
      </c>
      <c r="BB173">
        <f>IF(OR(BB107="",AND(BB107=BB106,BB107=BB108)),NA(), BB107)</f>
        <v>0</v>
      </c>
      <c r="BC173">
        <f>IF(ISNA(BD173),NA(),BC107)</f>
        <v>0</v>
      </c>
      <c r="BD173">
        <f>IF(OR(BD107="",AND(BD107=BD106,BD107=BD108)),NA(), BD107)</f>
        <v>0</v>
      </c>
      <c r="BE173">
        <f>IF(ISNA(BF173),NA(),BE107)</f>
        <v>0</v>
      </c>
      <c r="BF173">
        <f>IF(OR(BF107="",AND(BF107=BF106,BF107=BF108)),NA(), BF107)</f>
        <v>0</v>
      </c>
      <c r="BG173">
        <f>IF(ISNA(BH173),NA(),BG107)</f>
        <v>0</v>
      </c>
      <c r="BH173">
        <f>IF(OR(BH107="",AND(BH107=BH106,BH107=BH108)),NA(), BH107)</f>
        <v>0</v>
      </c>
      <c r="BI173">
        <f>IF(ISNA(BJ173),NA(),BI107)</f>
        <v>0</v>
      </c>
      <c r="BJ173">
        <f>IF(OR(BJ107="",AND(BJ107=BJ106,BJ107=BJ108)),NA(), BJ107)</f>
        <v>0</v>
      </c>
      <c r="BK173">
        <f>IF(ISNA(BL173),NA(),BK107)</f>
        <v>0</v>
      </c>
      <c r="BL173">
        <f>IF(OR(BL107="",AND(BL107=BL106,BL107=BL108)),NA(), BL107)</f>
        <v>0</v>
      </c>
      <c r="BM173">
        <f>IF(ISNA(BN173),NA(),BM107)</f>
        <v>0</v>
      </c>
      <c r="BN173">
        <f>IF(OR(BN107="",AND(BN107=BN106,BN107=BN108)),NA(), BN107)</f>
        <v>0</v>
      </c>
      <c r="BO173">
        <f>IF(ISNA(BP173),NA(),BO107)</f>
        <v>0</v>
      </c>
      <c r="BP173">
        <f>IF(OR(BP107="",AND(BP107=BP106,BP107=BP108)),NA(), BP107)</f>
        <v>0</v>
      </c>
      <c r="BS173">
        <f>IF(ISNA(BT173),NA(),BS107)</f>
        <v>0</v>
      </c>
      <c r="BT173">
        <f>IF(OR(BT107="",AND(BT107=BT106,BT107=BT108)),NA(), BT107)</f>
        <v>0</v>
      </c>
      <c r="BU173">
        <f>IF(ISNA(BV173),NA(),BU107)</f>
        <v>0</v>
      </c>
      <c r="BV173">
        <f>IF(OR(BV107="",AND(BV107=BV106,BV107=BV108)),NA(), BV107)</f>
        <v>0</v>
      </c>
      <c r="BW173">
        <f>IF(ISNA(BX173),NA(),BW107)</f>
        <v>0</v>
      </c>
      <c r="BX173">
        <f>IF(OR(BX107="",AND(BX107=BX106,BX107=BX108)),NA(), BX107)</f>
        <v>0</v>
      </c>
      <c r="BY173">
        <f>IF(ISNA(BZ173),NA(),BY107)</f>
        <v>0</v>
      </c>
      <c r="BZ173">
        <f>IF(OR(BZ107="",AND(BZ107=BZ106,BZ107=BZ108)),NA(), BZ107)</f>
        <v>0</v>
      </c>
      <c r="CA173">
        <f>IF(ISNA(CB173),NA(),CA107)</f>
        <v>0</v>
      </c>
      <c r="CB173">
        <f>IF(OR(CB107="",AND(CB107=CB106,CB107=CB108)),NA(), CB107)</f>
        <v>0</v>
      </c>
      <c r="CC173">
        <f>IF(ISNA(CD173),NA(),CC107)</f>
        <v>0</v>
      </c>
      <c r="CD173">
        <f>IF(OR(CD107="",AND(CD107=CD106,CD107=CD108)),NA(), CD107)</f>
        <v>0</v>
      </c>
      <c r="CE173">
        <f>IF(ISNA(CF173),NA(),CE107)</f>
        <v>0</v>
      </c>
      <c r="CF173">
        <f>IF(OR(CF107="",AND(CF107=CF106,CF107=CF108)),NA(), CF107)</f>
        <v>0</v>
      </c>
      <c r="CG173">
        <f>IF(ISNA(CH173),NA(),CG107)</f>
        <v>0</v>
      </c>
      <c r="CH173">
        <f>IF(OR(CH107="",AND(CH107=CH106,CH107=CH108)),NA(), CH107)</f>
        <v>0</v>
      </c>
      <c r="CI173">
        <f>IF(ISNA(CJ173),NA(),CI107)</f>
        <v>0</v>
      </c>
      <c r="CJ173">
        <f>IF(OR(CJ107="",AND(CJ107=CJ106,CJ107=CJ108)),NA(), CJ107)</f>
        <v>0</v>
      </c>
      <c r="CK173">
        <f>IF(ISNA(CL173),NA(),CK107)</f>
        <v>0</v>
      </c>
      <c r="CL173">
        <f>IF(OR(CL107="",AND(CL107=CL106,CL107=CL108)),NA(), CL107)</f>
        <v>0</v>
      </c>
      <c r="CM173">
        <f>IF(ISNA(CN173),NA(),CM107)</f>
        <v>0</v>
      </c>
      <c r="CN173">
        <f>IF(OR(CN107="",AND(CN107=CN106,CN107=CN108)),NA(), CN107)</f>
        <v>0</v>
      </c>
      <c r="CO173">
        <f>IF(ISNA(CP173),NA(),CO107)</f>
        <v>0</v>
      </c>
      <c r="CP173">
        <f>IF(OR(CP107="",AND(CP107=CP106,CP107=CP108)),NA(), CP107)</f>
        <v>0</v>
      </c>
      <c r="CQ173">
        <f>IF(ISNA(CR173),NA(),CQ107)</f>
        <v>0</v>
      </c>
      <c r="CR173">
        <f>IF(OR(CR107="",AND(CR107=CR106,CR107=CR108)),NA(), CR107)</f>
        <v>0</v>
      </c>
      <c r="CS173">
        <f>IF(ISNA(CT173),NA(),CS107)</f>
        <v>0</v>
      </c>
      <c r="CT173">
        <f>IF(OR(CT107="",AND(CT107=CT106,CT107=CT108)),NA(), CT107)</f>
        <v>0</v>
      </c>
      <c r="CU173">
        <f>IF(ISNA(CV173),NA(),CU107)</f>
        <v>0</v>
      </c>
      <c r="CV173">
        <f>IF(OR(CV107="",AND(CV107=CV106,CV107=CV108)),NA(), CV107)</f>
        <v>0</v>
      </c>
      <c r="CW173">
        <f>IF(ISNA(CX173),NA(),CW107)</f>
        <v>0</v>
      </c>
      <c r="CX173">
        <f>IF(OR(CX107="",AND(CX107=CX106,CX107=CX108)),NA(), CX107)</f>
        <v>0</v>
      </c>
      <c r="CY173">
        <f>IF(ISNA(CZ173),NA(),CY107)</f>
        <v>0</v>
      </c>
      <c r="CZ173">
        <f>IF(OR(CZ107="",AND(CZ107=CZ106,CZ107=CZ108)),NA(), CZ107)</f>
        <v>0</v>
      </c>
      <c r="DA173">
        <f>IF(ISNA(DB173),NA(),DA107)</f>
        <v>0</v>
      </c>
      <c r="DB173">
        <f>IF(OR(DB107="",AND(DB107=DB106,DB107=DB108)),NA(), DB107)</f>
        <v>0</v>
      </c>
      <c r="DC173">
        <f>IF(ISNA(DD173),NA(),DC107)</f>
        <v>0</v>
      </c>
      <c r="DD173">
        <f>IF(OR(DD107="",AND(DD107=DD106,DD107=DD108)),NA(), DD107)</f>
        <v>0</v>
      </c>
      <c r="DE173">
        <f>IF(ISNA(DF173),NA(),DE107)</f>
        <v>0</v>
      </c>
      <c r="DF173">
        <f>IF(OR(DF107="",AND(DF107=DF106,DF107=DF108)),NA(), DF107)</f>
        <v>0</v>
      </c>
      <c r="DG173">
        <f>IF(ISNA(DH173),NA(),DG107)</f>
        <v>0</v>
      </c>
      <c r="DH173">
        <f>IF(OR(DH107="",AND(DH107=DH106,DH107=DH108)),NA(), DH107)</f>
        <v>0</v>
      </c>
      <c r="DI173">
        <f>IF(ISNA(DJ173),NA(),DI107)</f>
        <v>0</v>
      </c>
      <c r="DJ173">
        <f>IF(OR(DJ107="",AND(DJ107=DJ106,DJ107=DJ108)),NA(), DJ107)</f>
        <v>0</v>
      </c>
      <c r="DK173">
        <f>IF(ISNA(DL173),NA(),DK107)</f>
        <v>0</v>
      </c>
      <c r="DL173">
        <f>IF(OR(DL107="",AND(DL107=DL106,DL107=DL108)),NA(), DL107)</f>
        <v>0</v>
      </c>
      <c r="DM173">
        <f>IF(ISNA(DN173),NA(),DM107)</f>
        <v>0</v>
      </c>
      <c r="DN173">
        <f>IF(OR(DN107="",AND(DN107=DN106,DN107=DN108)),NA(), DN107)</f>
        <v>0</v>
      </c>
      <c r="DO173">
        <f>IF(ISNA(DP173),NA(),DO107)</f>
        <v>0</v>
      </c>
      <c r="DP173">
        <f>IF(OR(DP107="",AND(DP107=DP106,DP107=DP108)),NA(), DP107)</f>
        <v>0</v>
      </c>
      <c r="DQ173">
        <f>IF(ISNA(DR173),NA(),DQ107)</f>
        <v>0</v>
      </c>
      <c r="DR173">
        <f>IF(OR(DR107="",AND(DR107=DR106,DR107=DR108)),NA(), DR107)</f>
        <v>0</v>
      </c>
      <c r="DS173">
        <f>IF(ISNA(DT173),NA(),DS107)</f>
        <v>0</v>
      </c>
      <c r="DT173">
        <f>IF(OR(DT107="",AND(DT107=DT106,DT107=DT108)),NA(), DT107)</f>
        <v>0</v>
      </c>
      <c r="DU173">
        <f>IF(ISNA(DV173),NA(),DU107)</f>
        <v>0</v>
      </c>
      <c r="DV173">
        <f>IF(OR(DV107="",AND(DV107=DV106,DV107=DV108)),NA(), DV107)</f>
        <v>0</v>
      </c>
      <c r="DW173">
        <f>IF(ISNA(DX173),NA(),DW107)</f>
        <v>0</v>
      </c>
      <c r="DX173">
        <f>IF(OR(DX107="",AND(DX107=DX106,DX107=DX108)),NA(), DX107)</f>
        <v>0</v>
      </c>
      <c r="DY173">
        <f>IF(ISNA(DZ173),NA(),DY107)</f>
        <v>0</v>
      </c>
      <c r="DZ173">
        <f>IF(OR(DZ107="",AND(DZ107=DZ106,DZ107=DZ108)),NA(), DZ107)</f>
        <v>0</v>
      </c>
      <c r="EA173">
        <f>IF(ISNA(EB173),NA(),EA107)</f>
        <v>0</v>
      </c>
      <c r="EB173">
        <f>IF(OR(EB107="",AND(EB107=EB106,EB107=EB108)),NA(), EB107)</f>
        <v>0</v>
      </c>
      <c r="EC173">
        <f>IF(ISNA(ED173),NA(),EC107)</f>
        <v>0</v>
      </c>
      <c r="ED173">
        <f>IF(OR(ED107="",AND(ED107=ED106,ED107=ED108)),NA(), ED107)</f>
        <v>0</v>
      </c>
    </row>
    <row r="174" spans="4:134">
      <c r="E174">
        <f>IF(ISNA(F174),NA(),E108)</f>
        <v>0</v>
      </c>
      <c r="F174">
        <f>IF(OR(F108="",AND(F108=F107,F108=F109)),NA(), F108)</f>
        <v>0</v>
      </c>
      <c r="G174">
        <f>IF(ISNA(H174),NA(),G108)</f>
        <v>0</v>
      </c>
      <c r="H174">
        <f>IF(OR(H108="",AND(H108=H107,H108=H109)),NA(), H108)</f>
        <v>0</v>
      </c>
      <c r="I174">
        <f>IF(ISNA(J174),NA(),I108)</f>
        <v>0</v>
      </c>
      <c r="J174">
        <f>IF(OR(J108="",AND(J108=J107,J108=J109)),NA(), J108)</f>
        <v>0</v>
      </c>
      <c r="K174">
        <f>IF(ISNA(L174),NA(),K108)</f>
        <v>0</v>
      </c>
      <c r="L174">
        <f>IF(OR(L108="",AND(L108=L107,L108=L109)),NA(), L108)</f>
        <v>0</v>
      </c>
      <c r="M174">
        <f>IF(ISNA(N174),NA(),M108)</f>
        <v>0</v>
      </c>
      <c r="N174">
        <f>IF(OR(N108="",AND(N108=N107,N108=N109)),NA(), N108)</f>
        <v>0</v>
      </c>
      <c r="O174">
        <f>IF(ISNA(P174),NA(),O108)</f>
        <v>0</v>
      </c>
      <c r="P174">
        <f>IF(OR(P108="",AND(P108=P107,P108=P109)),NA(), P108)</f>
        <v>0</v>
      </c>
      <c r="Q174">
        <f>IF(ISNA(R174),NA(),Q108)</f>
        <v>0</v>
      </c>
      <c r="R174">
        <f>IF(OR(R108="",AND(R108=R107,R108=R109)),NA(), R108)</f>
        <v>0</v>
      </c>
      <c r="S174">
        <f>IF(ISNA(T174),NA(),S108)</f>
        <v>0</v>
      </c>
      <c r="T174">
        <f>IF(OR(T108="",AND(T108=T107,T108=T109)),NA(), T108)</f>
        <v>0</v>
      </c>
      <c r="U174">
        <f>IF(ISNA(V174),NA(),U108)</f>
        <v>0</v>
      </c>
      <c r="V174">
        <f>IF(OR(V108="",AND(V108=V107,V108=V109)),NA(), V108)</f>
        <v>0</v>
      </c>
      <c r="W174">
        <f>IF(ISNA(X174),NA(),W108)</f>
        <v>0</v>
      </c>
      <c r="X174">
        <f>IF(OR(X108="",AND(X108=X107,X108=X109)),NA(), X108)</f>
        <v>0</v>
      </c>
      <c r="Y174">
        <f>IF(ISNA(Z174),NA(),Y108)</f>
        <v>0</v>
      </c>
      <c r="Z174">
        <f>IF(OR(Z108="",AND(Z108=Z107,Z108=Z109)),NA(), Z108)</f>
        <v>0</v>
      </c>
      <c r="AA174">
        <f>IF(ISNA(AB174),NA(),AA108)</f>
        <v>0</v>
      </c>
      <c r="AB174">
        <f>IF(OR(AB108="",AND(AB108=AB107,AB108=AB109)),NA(), AB108)</f>
        <v>0</v>
      </c>
      <c r="AC174">
        <f>IF(ISNA(AD174),NA(),AC108)</f>
        <v>0</v>
      </c>
      <c r="AD174">
        <f>IF(OR(AD108="",AND(AD108=AD107,AD108=AD109)),NA(), AD108)</f>
        <v>0</v>
      </c>
      <c r="AE174">
        <f>IF(ISNA(AF174),NA(),AE108)</f>
        <v>0</v>
      </c>
      <c r="AF174">
        <f>IF(OR(AF108="",AND(AF108=AF107,AF108=AF109)),NA(), AF108)</f>
        <v>0</v>
      </c>
      <c r="AG174">
        <f>IF(ISNA(AH174),NA(),AG108)</f>
        <v>0</v>
      </c>
      <c r="AH174">
        <f>IF(OR(AH108="",AND(AH108=AH107,AH108=AH109)),NA(), AH108)</f>
        <v>0</v>
      </c>
      <c r="AI174">
        <f>IF(ISNA(AJ174),NA(),AI108)</f>
        <v>0</v>
      </c>
      <c r="AJ174">
        <f>IF(OR(AJ108="",AND(AJ108=AJ107,AJ108=AJ109)),NA(), AJ108)</f>
        <v>0</v>
      </c>
      <c r="AK174">
        <f>IF(ISNA(AL174),NA(),AK108)</f>
        <v>0</v>
      </c>
      <c r="AL174">
        <f>IF(OR(AL108="",AND(AL108=AL107,AL108=AL109)),NA(), AL108)</f>
        <v>0</v>
      </c>
      <c r="AM174">
        <f>IF(ISNA(AN174),NA(),AM108)</f>
        <v>0</v>
      </c>
      <c r="AN174">
        <f>IF(OR(AN108="",AND(AN108=AN107,AN108=AN109)),NA(), AN108)</f>
        <v>0</v>
      </c>
      <c r="AO174">
        <f>IF(ISNA(AP174),NA(),AO108)</f>
        <v>0</v>
      </c>
      <c r="AP174">
        <f>IF(OR(AP108="",AND(AP108=AP107,AP108=AP109)),NA(), AP108)</f>
        <v>0</v>
      </c>
      <c r="AQ174">
        <f>IF(ISNA(AR174),NA(),AQ108)</f>
        <v>0</v>
      </c>
      <c r="AR174">
        <f>IF(OR(AR108="",AND(AR108=AR107,AR108=AR109)),NA(), AR108)</f>
        <v>0</v>
      </c>
      <c r="AS174">
        <f>IF(ISNA(AT174),NA(),AS108)</f>
        <v>0</v>
      </c>
      <c r="AT174">
        <f>IF(OR(AT108="",AND(AT108=AT107,AT108=AT109)),NA(), AT108)</f>
        <v>0</v>
      </c>
      <c r="AU174">
        <f>IF(ISNA(AV174),NA(),AU108)</f>
        <v>0</v>
      </c>
      <c r="AV174">
        <f>IF(OR(AV108="",AND(AV108=AV107,AV108=AV109)),NA(), AV108)</f>
        <v>0</v>
      </c>
      <c r="AW174">
        <f>IF(ISNA(AX174),NA(),AW108)</f>
        <v>0</v>
      </c>
      <c r="AX174">
        <f>IF(OR(AX108="",AND(AX108=AX107,AX108=AX109)),NA(), AX108)</f>
        <v>0</v>
      </c>
      <c r="AY174">
        <f>IF(ISNA(AZ174),NA(),AY108)</f>
        <v>0</v>
      </c>
      <c r="AZ174">
        <f>IF(OR(AZ108="",AND(AZ108=AZ107,AZ108=AZ109)),NA(), AZ108)</f>
        <v>0</v>
      </c>
      <c r="BA174">
        <f>IF(ISNA(BB174),NA(),BA108)</f>
        <v>0</v>
      </c>
      <c r="BB174">
        <f>IF(OR(BB108="",AND(BB108=BB107,BB108=BB109)),NA(), BB108)</f>
        <v>0</v>
      </c>
      <c r="BC174">
        <f>IF(ISNA(BD174),NA(),BC108)</f>
        <v>0</v>
      </c>
      <c r="BD174">
        <f>IF(OR(BD108="",AND(BD108=BD107,BD108=BD109)),NA(), BD108)</f>
        <v>0</v>
      </c>
      <c r="BE174">
        <f>IF(ISNA(BF174),NA(),BE108)</f>
        <v>0</v>
      </c>
      <c r="BF174">
        <f>IF(OR(BF108="",AND(BF108=BF107,BF108=BF109)),NA(), BF108)</f>
        <v>0</v>
      </c>
      <c r="BG174">
        <f>IF(ISNA(BH174),NA(),BG108)</f>
        <v>0</v>
      </c>
      <c r="BH174">
        <f>IF(OR(BH108="",AND(BH108=BH107,BH108=BH109)),NA(), BH108)</f>
        <v>0</v>
      </c>
      <c r="BI174">
        <f>IF(ISNA(BJ174),NA(),BI108)</f>
        <v>0</v>
      </c>
      <c r="BJ174">
        <f>IF(OR(BJ108="",AND(BJ108=BJ107,BJ108=BJ109)),NA(), BJ108)</f>
        <v>0</v>
      </c>
      <c r="BK174">
        <f>IF(ISNA(BL174),NA(),BK108)</f>
        <v>0</v>
      </c>
      <c r="BL174">
        <f>IF(OR(BL108="",AND(BL108=BL107,BL108=BL109)),NA(), BL108)</f>
        <v>0</v>
      </c>
      <c r="BM174">
        <f>IF(ISNA(BN174),NA(),BM108)</f>
        <v>0</v>
      </c>
      <c r="BN174">
        <f>IF(OR(BN108="",AND(BN108=BN107,BN108=BN109)),NA(), BN108)</f>
        <v>0</v>
      </c>
      <c r="BO174">
        <f>IF(ISNA(BP174),NA(),BO108)</f>
        <v>0</v>
      </c>
      <c r="BP174">
        <f>IF(OR(BP108="",AND(BP108=BP107,BP108=BP109)),NA(), BP108)</f>
        <v>0</v>
      </c>
      <c r="BS174">
        <f>IF(ISNA(BT174),NA(),BS108)</f>
        <v>0</v>
      </c>
      <c r="BT174">
        <f>IF(OR(BT108="",AND(BT108=BT107,BT108=BT109)),NA(), BT108)</f>
        <v>0</v>
      </c>
      <c r="BU174">
        <f>IF(ISNA(BV174),NA(),BU108)</f>
        <v>0</v>
      </c>
      <c r="BV174">
        <f>IF(OR(BV108="",AND(BV108=BV107,BV108=BV109)),NA(), BV108)</f>
        <v>0</v>
      </c>
      <c r="BW174">
        <f>IF(ISNA(BX174),NA(),BW108)</f>
        <v>0</v>
      </c>
      <c r="BX174">
        <f>IF(OR(BX108="",AND(BX108=BX107,BX108=BX109)),NA(), BX108)</f>
        <v>0</v>
      </c>
      <c r="BY174">
        <f>IF(ISNA(BZ174),NA(),BY108)</f>
        <v>0</v>
      </c>
      <c r="BZ174">
        <f>IF(OR(BZ108="",AND(BZ108=BZ107,BZ108=BZ109)),NA(), BZ108)</f>
        <v>0</v>
      </c>
      <c r="CA174">
        <f>IF(ISNA(CB174),NA(),CA108)</f>
        <v>0</v>
      </c>
      <c r="CB174">
        <f>IF(OR(CB108="",AND(CB108=CB107,CB108=CB109)),NA(), CB108)</f>
        <v>0</v>
      </c>
      <c r="CC174">
        <f>IF(ISNA(CD174),NA(),CC108)</f>
        <v>0</v>
      </c>
      <c r="CD174">
        <f>IF(OR(CD108="",AND(CD108=CD107,CD108=CD109)),NA(), CD108)</f>
        <v>0</v>
      </c>
      <c r="CE174">
        <f>IF(ISNA(CF174),NA(),CE108)</f>
        <v>0</v>
      </c>
      <c r="CF174">
        <f>IF(OR(CF108="",AND(CF108=CF107,CF108=CF109)),NA(), CF108)</f>
        <v>0</v>
      </c>
      <c r="CG174">
        <f>IF(ISNA(CH174),NA(),CG108)</f>
        <v>0</v>
      </c>
      <c r="CH174">
        <f>IF(OR(CH108="",AND(CH108=CH107,CH108=CH109)),NA(), CH108)</f>
        <v>0</v>
      </c>
      <c r="CI174">
        <f>IF(ISNA(CJ174),NA(),CI108)</f>
        <v>0</v>
      </c>
      <c r="CJ174">
        <f>IF(OR(CJ108="",AND(CJ108=CJ107,CJ108=CJ109)),NA(), CJ108)</f>
        <v>0</v>
      </c>
      <c r="CK174">
        <f>IF(ISNA(CL174),NA(),CK108)</f>
        <v>0</v>
      </c>
      <c r="CL174">
        <f>IF(OR(CL108="",AND(CL108=CL107,CL108=CL109)),NA(), CL108)</f>
        <v>0</v>
      </c>
      <c r="CM174">
        <f>IF(ISNA(CN174),NA(),CM108)</f>
        <v>0</v>
      </c>
      <c r="CN174">
        <f>IF(OR(CN108="",AND(CN108=CN107,CN108=CN109)),NA(), CN108)</f>
        <v>0</v>
      </c>
      <c r="CO174">
        <f>IF(ISNA(CP174),NA(),CO108)</f>
        <v>0</v>
      </c>
      <c r="CP174">
        <f>IF(OR(CP108="",AND(CP108=CP107,CP108=CP109)),NA(), CP108)</f>
        <v>0</v>
      </c>
      <c r="CQ174">
        <f>IF(ISNA(CR174),NA(),CQ108)</f>
        <v>0</v>
      </c>
      <c r="CR174">
        <f>IF(OR(CR108="",AND(CR108=CR107,CR108=CR109)),NA(), CR108)</f>
        <v>0</v>
      </c>
      <c r="CS174">
        <f>IF(ISNA(CT174),NA(),CS108)</f>
        <v>0</v>
      </c>
      <c r="CT174">
        <f>IF(OR(CT108="",AND(CT108=CT107,CT108=CT109)),NA(), CT108)</f>
        <v>0</v>
      </c>
      <c r="CU174">
        <f>IF(ISNA(CV174),NA(),CU108)</f>
        <v>0</v>
      </c>
      <c r="CV174">
        <f>IF(OR(CV108="",AND(CV108=CV107,CV108=CV109)),NA(), CV108)</f>
        <v>0</v>
      </c>
      <c r="CW174">
        <f>IF(ISNA(CX174),NA(),CW108)</f>
        <v>0</v>
      </c>
      <c r="CX174">
        <f>IF(OR(CX108="",AND(CX108=CX107,CX108=CX109)),NA(), CX108)</f>
        <v>0</v>
      </c>
      <c r="CY174">
        <f>IF(ISNA(CZ174),NA(),CY108)</f>
        <v>0</v>
      </c>
      <c r="CZ174">
        <f>IF(OR(CZ108="",AND(CZ108=CZ107,CZ108=CZ109)),NA(), CZ108)</f>
        <v>0</v>
      </c>
      <c r="DA174">
        <f>IF(ISNA(DB174),NA(),DA108)</f>
        <v>0</v>
      </c>
      <c r="DB174">
        <f>IF(OR(DB108="",AND(DB108=DB107,DB108=DB109)),NA(), DB108)</f>
        <v>0</v>
      </c>
      <c r="DC174">
        <f>IF(ISNA(DD174),NA(),DC108)</f>
        <v>0</v>
      </c>
      <c r="DD174">
        <f>IF(OR(DD108="",AND(DD108=DD107,DD108=DD109)),NA(), DD108)</f>
        <v>0</v>
      </c>
      <c r="DE174">
        <f>IF(ISNA(DF174),NA(),DE108)</f>
        <v>0</v>
      </c>
      <c r="DF174">
        <f>IF(OR(DF108="",AND(DF108=DF107,DF108=DF109)),NA(), DF108)</f>
        <v>0</v>
      </c>
      <c r="DG174">
        <f>IF(ISNA(DH174),NA(),DG108)</f>
        <v>0</v>
      </c>
      <c r="DH174">
        <f>IF(OR(DH108="",AND(DH108=DH107,DH108=DH109)),NA(), DH108)</f>
        <v>0</v>
      </c>
      <c r="DI174">
        <f>IF(ISNA(DJ174),NA(),DI108)</f>
        <v>0</v>
      </c>
      <c r="DJ174">
        <f>IF(OR(DJ108="",AND(DJ108=DJ107,DJ108=DJ109)),NA(), DJ108)</f>
        <v>0</v>
      </c>
      <c r="DK174">
        <f>IF(ISNA(DL174),NA(),DK108)</f>
        <v>0</v>
      </c>
      <c r="DL174">
        <f>IF(OR(DL108="",AND(DL108=DL107,DL108=DL109)),NA(), DL108)</f>
        <v>0</v>
      </c>
      <c r="DM174">
        <f>IF(ISNA(DN174),NA(),DM108)</f>
        <v>0</v>
      </c>
      <c r="DN174">
        <f>IF(OR(DN108="",AND(DN108=DN107,DN108=DN109)),NA(), DN108)</f>
        <v>0</v>
      </c>
      <c r="DO174">
        <f>IF(ISNA(DP174),NA(),DO108)</f>
        <v>0</v>
      </c>
      <c r="DP174">
        <f>IF(OR(DP108="",AND(DP108=DP107,DP108=DP109)),NA(), DP108)</f>
        <v>0</v>
      </c>
      <c r="DQ174">
        <f>IF(ISNA(DR174),NA(),DQ108)</f>
        <v>0</v>
      </c>
      <c r="DR174">
        <f>IF(OR(DR108="",AND(DR108=DR107,DR108=DR109)),NA(), DR108)</f>
        <v>0</v>
      </c>
      <c r="DS174">
        <f>IF(ISNA(DT174),NA(),DS108)</f>
        <v>0</v>
      </c>
      <c r="DT174">
        <f>IF(OR(DT108="",AND(DT108=DT107,DT108=DT109)),NA(), DT108)</f>
        <v>0</v>
      </c>
      <c r="DU174">
        <f>IF(ISNA(DV174),NA(),DU108)</f>
        <v>0</v>
      </c>
      <c r="DV174">
        <f>IF(OR(DV108="",AND(DV108=DV107,DV108=DV109)),NA(), DV108)</f>
        <v>0</v>
      </c>
      <c r="DW174">
        <f>IF(ISNA(DX174),NA(),DW108)</f>
        <v>0</v>
      </c>
      <c r="DX174">
        <f>IF(OR(DX108="",AND(DX108=DX107,DX108=DX109)),NA(), DX108)</f>
        <v>0</v>
      </c>
      <c r="DY174">
        <f>IF(ISNA(DZ174),NA(),DY108)</f>
        <v>0</v>
      </c>
      <c r="DZ174">
        <f>IF(OR(DZ108="",AND(DZ108=DZ107,DZ108=DZ109)),NA(), DZ108)</f>
        <v>0</v>
      </c>
      <c r="EA174">
        <f>IF(ISNA(EB174),NA(),EA108)</f>
        <v>0</v>
      </c>
      <c r="EB174">
        <f>IF(OR(EB108="",AND(EB108=EB107,EB108=EB109)),NA(), EB108)</f>
        <v>0</v>
      </c>
      <c r="EC174">
        <f>IF(ISNA(ED174),NA(),EC108)</f>
        <v>0</v>
      </c>
      <c r="ED174">
        <f>IF(OR(ED108="",AND(ED108=ED107,ED108=ED109)),NA(), ED108)</f>
        <v>0</v>
      </c>
    </row>
    <row r="175" spans="4:134">
      <c r="E175">
        <f>IF(ISNA(F175),NA(),E109)</f>
        <v>0</v>
      </c>
      <c r="F175">
        <f>IF(OR(F109="",AND(F109=F108,F109=F110)),NA(), F109)</f>
        <v>0</v>
      </c>
      <c r="G175">
        <f>IF(ISNA(H175),NA(),G109)</f>
        <v>0</v>
      </c>
      <c r="H175">
        <f>IF(OR(H109="",AND(H109=H108,H109=H110)),NA(), H109)</f>
        <v>0</v>
      </c>
      <c r="I175">
        <f>IF(ISNA(J175),NA(),I109)</f>
        <v>0</v>
      </c>
      <c r="J175">
        <f>IF(OR(J109="",AND(J109=J108,J109=J110)),NA(), J109)</f>
        <v>0</v>
      </c>
      <c r="K175">
        <f>IF(ISNA(L175),NA(),K109)</f>
        <v>0</v>
      </c>
      <c r="L175">
        <f>IF(OR(L109="",AND(L109=L108,L109=L110)),NA(), L109)</f>
        <v>0</v>
      </c>
      <c r="M175">
        <f>IF(ISNA(N175),NA(),M109)</f>
        <v>0</v>
      </c>
      <c r="N175">
        <f>IF(OR(N109="",AND(N109=N108,N109=N110)),NA(), N109)</f>
        <v>0</v>
      </c>
      <c r="O175">
        <f>IF(ISNA(P175),NA(),O109)</f>
        <v>0</v>
      </c>
      <c r="P175">
        <f>IF(OR(P109="",AND(P109=P108,P109=P110)),NA(), P109)</f>
        <v>0</v>
      </c>
      <c r="Q175">
        <f>IF(ISNA(R175),NA(),Q109)</f>
        <v>0</v>
      </c>
      <c r="R175">
        <f>IF(OR(R109="",AND(R109=R108,R109=R110)),NA(), R109)</f>
        <v>0</v>
      </c>
      <c r="S175">
        <f>IF(ISNA(T175),NA(),S109)</f>
        <v>0</v>
      </c>
      <c r="T175">
        <f>IF(OR(T109="",AND(T109=T108,T109=T110)),NA(), T109)</f>
        <v>0</v>
      </c>
      <c r="U175">
        <f>IF(ISNA(V175),NA(),U109)</f>
        <v>0</v>
      </c>
      <c r="V175">
        <f>IF(OR(V109="",AND(V109=V108,V109=V110)),NA(), V109)</f>
        <v>0</v>
      </c>
      <c r="W175">
        <f>IF(ISNA(X175),NA(),W109)</f>
        <v>0</v>
      </c>
      <c r="X175">
        <f>IF(OR(X109="",AND(X109=X108,X109=X110)),NA(), X109)</f>
        <v>0</v>
      </c>
      <c r="Y175">
        <f>IF(ISNA(Z175),NA(),Y109)</f>
        <v>0</v>
      </c>
      <c r="Z175">
        <f>IF(OR(Z109="",AND(Z109=Z108,Z109=Z110)),NA(), Z109)</f>
        <v>0</v>
      </c>
      <c r="AA175">
        <f>IF(ISNA(AB175),NA(),AA109)</f>
        <v>0</v>
      </c>
      <c r="AB175">
        <f>IF(OR(AB109="",AND(AB109=AB108,AB109=AB110)),NA(), AB109)</f>
        <v>0</v>
      </c>
      <c r="AC175">
        <f>IF(ISNA(AD175),NA(),AC109)</f>
        <v>0</v>
      </c>
      <c r="AD175">
        <f>IF(OR(AD109="",AND(AD109=AD108,AD109=AD110)),NA(), AD109)</f>
        <v>0</v>
      </c>
      <c r="AE175">
        <f>IF(ISNA(AF175),NA(),AE109)</f>
        <v>0</v>
      </c>
      <c r="AF175">
        <f>IF(OR(AF109="",AND(AF109=AF108,AF109=AF110)),NA(), AF109)</f>
        <v>0</v>
      </c>
      <c r="AG175">
        <f>IF(ISNA(AH175),NA(),AG109)</f>
        <v>0</v>
      </c>
      <c r="AH175">
        <f>IF(OR(AH109="",AND(AH109=AH108,AH109=AH110)),NA(), AH109)</f>
        <v>0</v>
      </c>
      <c r="AI175">
        <f>IF(ISNA(AJ175),NA(),AI109)</f>
        <v>0</v>
      </c>
      <c r="AJ175">
        <f>IF(OR(AJ109="",AND(AJ109=AJ108,AJ109=AJ110)),NA(), AJ109)</f>
        <v>0</v>
      </c>
      <c r="AK175">
        <f>IF(ISNA(AL175),NA(),AK109)</f>
        <v>0</v>
      </c>
      <c r="AL175">
        <f>IF(OR(AL109="",AND(AL109=AL108,AL109=AL110)),NA(), AL109)</f>
        <v>0</v>
      </c>
      <c r="AM175">
        <f>IF(ISNA(AN175),NA(),AM109)</f>
        <v>0</v>
      </c>
      <c r="AN175">
        <f>IF(OR(AN109="",AND(AN109=AN108,AN109=AN110)),NA(), AN109)</f>
        <v>0</v>
      </c>
      <c r="AO175">
        <f>IF(ISNA(AP175),NA(),AO109)</f>
        <v>0</v>
      </c>
      <c r="AP175">
        <f>IF(OR(AP109="",AND(AP109=AP108,AP109=AP110)),NA(), AP109)</f>
        <v>0</v>
      </c>
      <c r="AQ175">
        <f>IF(ISNA(AR175),NA(),AQ109)</f>
        <v>0</v>
      </c>
      <c r="AR175">
        <f>IF(OR(AR109="",AND(AR109=AR108,AR109=AR110)),NA(), AR109)</f>
        <v>0</v>
      </c>
      <c r="AS175">
        <f>IF(ISNA(AT175),NA(),AS109)</f>
        <v>0</v>
      </c>
      <c r="AT175">
        <f>IF(OR(AT109="",AND(AT109=AT108,AT109=AT110)),NA(), AT109)</f>
        <v>0</v>
      </c>
      <c r="AU175">
        <f>IF(ISNA(AV175),NA(),AU109)</f>
        <v>0</v>
      </c>
      <c r="AV175">
        <f>IF(OR(AV109="",AND(AV109=AV108,AV109=AV110)),NA(), AV109)</f>
        <v>0</v>
      </c>
      <c r="AW175">
        <f>IF(ISNA(AX175),NA(),AW109)</f>
        <v>0</v>
      </c>
      <c r="AX175">
        <f>IF(OR(AX109="",AND(AX109=AX108,AX109=AX110)),NA(), AX109)</f>
        <v>0</v>
      </c>
      <c r="AY175">
        <f>IF(ISNA(AZ175),NA(),AY109)</f>
        <v>0</v>
      </c>
      <c r="AZ175">
        <f>IF(OR(AZ109="",AND(AZ109=AZ108,AZ109=AZ110)),NA(), AZ109)</f>
        <v>0</v>
      </c>
      <c r="BA175">
        <f>IF(ISNA(BB175),NA(),BA109)</f>
        <v>0</v>
      </c>
      <c r="BB175">
        <f>IF(OR(BB109="",AND(BB109=BB108,BB109=BB110)),NA(), BB109)</f>
        <v>0</v>
      </c>
      <c r="BC175">
        <f>IF(ISNA(BD175),NA(),BC109)</f>
        <v>0</v>
      </c>
      <c r="BD175">
        <f>IF(OR(BD109="",AND(BD109=BD108,BD109=BD110)),NA(), BD109)</f>
        <v>0</v>
      </c>
      <c r="BE175">
        <f>IF(ISNA(BF175),NA(),BE109)</f>
        <v>0</v>
      </c>
      <c r="BF175">
        <f>IF(OR(BF109="",AND(BF109=BF108,BF109=BF110)),NA(), BF109)</f>
        <v>0</v>
      </c>
      <c r="BG175">
        <f>IF(ISNA(BH175),NA(),BG109)</f>
        <v>0</v>
      </c>
      <c r="BH175">
        <f>IF(OR(BH109="",AND(BH109=BH108,BH109=BH110)),NA(), BH109)</f>
        <v>0</v>
      </c>
      <c r="BI175">
        <f>IF(ISNA(BJ175),NA(),BI109)</f>
        <v>0</v>
      </c>
      <c r="BJ175">
        <f>IF(OR(BJ109="",AND(BJ109=BJ108,BJ109=BJ110)),NA(), BJ109)</f>
        <v>0</v>
      </c>
      <c r="BK175">
        <f>IF(ISNA(BL175),NA(),BK109)</f>
        <v>0</v>
      </c>
      <c r="BL175">
        <f>IF(OR(BL109="",AND(BL109=BL108,BL109=BL110)),NA(), BL109)</f>
        <v>0</v>
      </c>
      <c r="BM175">
        <f>IF(ISNA(BN175),NA(),BM109)</f>
        <v>0</v>
      </c>
      <c r="BN175">
        <f>IF(OR(BN109="",AND(BN109=BN108,BN109=BN110)),NA(), BN109)</f>
        <v>0</v>
      </c>
      <c r="BO175">
        <f>IF(ISNA(BP175),NA(),BO109)</f>
        <v>0</v>
      </c>
      <c r="BP175">
        <f>IF(OR(BP109="",AND(BP109=BP108,BP109=BP110)),NA(), BP109)</f>
        <v>0</v>
      </c>
      <c r="BS175">
        <f>IF(ISNA(BT175),NA(),BS109)</f>
        <v>0</v>
      </c>
      <c r="BT175">
        <f>IF(OR(BT109="",AND(BT109=BT108,BT109=BT110)),NA(), BT109)</f>
        <v>0</v>
      </c>
      <c r="BU175">
        <f>IF(ISNA(BV175),NA(),BU109)</f>
        <v>0</v>
      </c>
      <c r="BV175">
        <f>IF(OR(BV109="",AND(BV109=BV108,BV109=BV110)),NA(), BV109)</f>
        <v>0</v>
      </c>
      <c r="BW175">
        <f>IF(ISNA(BX175),NA(),BW109)</f>
        <v>0</v>
      </c>
      <c r="BX175">
        <f>IF(OR(BX109="",AND(BX109=BX108,BX109=BX110)),NA(), BX109)</f>
        <v>0</v>
      </c>
      <c r="BY175">
        <f>IF(ISNA(BZ175),NA(),BY109)</f>
        <v>0</v>
      </c>
      <c r="BZ175">
        <f>IF(OR(BZ109="",AND(BZ109=BZ108,BZ109=BZ110)),NA(), BZ109)</f>
        <v>0</v>
      </c>
      <c r="CA175">
        <f>IF(ISNA(CB175),NA(),CA109)</f>
        <v>0</v>
      </c>
      <c r="CB175">
        <f>IF(OR(CB109="",AND(CB109=CB108,CB109=CB110)),NA(), CB109)</f>
        <v>0</v>
      </c>
      <c r="CC175">
        <f>IF(ISNA(CD175),NA(),CC109)</f>
        <v>0</v>
      </c>
      <c r="CD175">
        <f>IF(OR(CD109="",AND(CD109=CD108,CD109=CD110)),NA(), CD109)</f>
        <v>0</v>
      </c>
      <c r="CE175">
        <f>IF(ISNA(CF175),NA(),CE109)</f>
        <v>0</v>
      </c>
      <c r="CF175">
        <f>IF(OR(CF109="",AND(CF109=CF108,CF109=CF110)),NA(), CF109)</f>
        <v>0</v>
      </c>
      <c r="CG175">
        <f>IF(ISNA(CH175),NA(),CG109)</f>
        <v>0</v>
      </c>
      <c r="CH175">
        <f>IF(OR(CH109="",AND(CH109=CH108,CH109=CH110)),NA(), CH109)</f>
        <v>0</v>
      </c>
      <c r="CI175">
        <f>IF(ISNA(CJ175),NA(),CI109)</f>
        <v>0</v>
      </c>
      <c r="CJ175">
        <f>IF(OR(CJ109="",AND(CJ109=CJ108,CJ109=CJ110)),NA(), CJ109)</f>
        <v>0</v>
      </c>
      <c r="CK175">
        <f>IF(ISNA(CL175),NA(),CK109)</f>
        <v>0</v>
      </c>
      <c r="CL175">
        <f>IF(OR(CL109="",AND(CL109=CL108,CL109=CL110)),NA(), CL109)</f>
        <v>0</v>
      </c>
      <c r="CM175">
        <f>IF(ISNA(CN175),NA(),CM109)</f>
        <v>0</v>
      </c>
      <c r="CN175">
        <f>IF(OR(CN109="",AND(CN109=CN108,CN109=CN110)),NA(), CN109)</f>
        <v>0</v>
      </c>
      <c r="CO175">
        <f>IF(ISNA(CP175),NA(),CO109)</f>
        <v>0</v>
      </c>
      <c r="CP175">
        <f>IF(OR(CP109="",AND(CP109=CP108,CP109=CP110)),NA(), CP109)</f>
        <v>0</v>
      </c>
      <c r="CQ175">
        <f>IF(ISNA(CR175),NA(),CQ109)</f>
        <v>0</v>
      </c>
      <c r="CR175">
        <f>IF(OR(CR109="",AND(CR109=CR108,CR109=CR110)),NA(), CR109)</f>
        <v>0</v>
      </c>
      <c r="CS175">
        <f>IF(ISNA(CT175),NA(),CS109)</f>
        <v>0</v>
      </c>
      <c r="CT175">
        <f>IF(OR(CT109="",AND(CT109=CT108,CT109=CT110)),NA(), CT109)</f>
        <v>0</v>
      </c>
      <c r="CU175">
        <f>IF(ISNA(CV175),NA(),CU109)</f>
        <v>0</v>
      </c>
      <c r="CV175">
        <f>IF(OR(CV109="",AND(CV109=CV108,CV109=CV110)),NA(), CV109)</f>
        <v>0</v>
      </c>
      <c r="CW175">
        <f>IF(ISNA(CX175),NA(),CW109)</f>
        <v>0</v>
      </c>
      <c r="CX175">
        <f>IF(OR(CX109="",AND(CX109=CX108,CX109=CX110)),NA(), CX109)</f>
        <v>0</v>
      </c>
      <c r="CY175">
        <f>IF(ISNA(CZ175),NA(),CY109)</f>
        <v>0</v>
      </c>
      <c r="CZ175">
        <f>IF(OR(CZ109="",AND(CZ109=CZ108,CZ109=CZ110)),NA(), CZ109)</f>
        <v>0</v>
      </c>
      <c r="DA175">
        <f>IF(ISNA(DB175),NA(),DA109)</f>
        <v>0</v>
      </c>
      <c r="DB175">
        <f>IF(OR(DB109="",AND(DB109=DB108,DB109=DB110)),NA(), DB109)</f>
        <v>0</v>
      </c>
      <c r="DC175">
        <f>IF(ISNA(DD175),NA(),DC109)</f>
        <v>0</v>
      </c>
      <c r="DD175">
        <f>IF(OR(DD109="",AND(DD109=DD108,DD109=DD110)),NA(), DD109)</f>
        <v>0</v>
      </c>
      <c r="DE175">
        <f>IF(ISNA(DF175),NA(),DE109)</f>
        <v>0</v>
      </c>
      <c r="DF175">
        <f>IF(OR(DF109="",AND(DF109=DF108,DF109=DF110)),NA(), DF109)</f>
        <v>0</v>
      </c>
      <c r="DG175">
        <f>IF(ISNA(DH175),NA(),DG109)</f>
        <v>0</v>
      </c>
      <c r="DH175">
        <f>IF(OR(DH109="",AND(DH109=DH108,DH109=DH110)),NA(), DH109)</f>
        <v>0</v>
      </c>
      <c r="DI175">
        <f>IF(ISNA(DJ175),NA(),DI109)</f>
        <v>0</v>
      </c>
      <c r="DJ175">
        <f>IF(OR(DJ109="",AND(DJ109=DJ108,DJ109=DJ110)),NA(), DJ109)</f>
        <v>0</v>
      </c>
      <c r="DK175">
        <f>IF(ISNA(DL175),NA(),DK109)</f>
        <v>0</v>
      </c>
      <c r="DL175">
        <f>IF(OR(DL109="",AND(DL109=DL108,DL109=DL110)),NA(), DL109)</f>
        <v>0</v>
      </c>
      <c r="DM175">
        <f>IF(ISNA(DN175),NA(),DM109)</f>
        <v>0</v>
      </c>
      <c r="DN175">
        <f>IF(OR(DN109="",AND(DN109=DN108,DN109=DN110)),NA(), DN109)</f>
        <v>0</v>
      </c>
      <c r="DO175">
        <f>IF(ISNA(DP175),NA(),DO109)</f>
        <v>0</v>
      </c>
      <c r="DP175">
        <f>IF(OR(DP109="",AND(DP109=DP108,DP109=DP110)),NA(), DP109)</f>
        <v>0</v>
      </c>
      <c r="DQ175">
        <f>IF(ISNA(DR175),NA(),DQ109)</f>
        <v>0</v>
      </c>
      <c r="DR175">
        <f>IF(OR(DR109="",AND(DR109=DR108,DR109=DR110)),NA(), DR109)</f>
        <v>0</v>
      </c>
      <c r="DS175">
        <f>IF(ISNA(DT175),NA(),DS109)</f>
        <v>0</v>
      </c>
      <c r="DT175">
        <f>IF(OR(DT109="",AND(DT109=DT108,DT109=DT110)),NA(), DT109)</f>
        <v>0</v>
      </c>
      <c r="DU175">
        <f>IF(ISNA(DV175),NA(),DU109)</f>
        <v>0</v>
      </c>
      <c r="DV175">
        <f>IF(OR(DV109="",AND(DV109=DV108,DV109=DV110)),NA(), DV109)</f>
        <v>0</v>
      </c>
      <c r="DW175">
        <f>IF(ISNA(DX175),NA(),DW109)</f>
        <v>0</v>
      </c>
      <c r="DX175">
        <f>IF(OR(DX109="",AND(DX109=DX108,DX109=DX110)),NA(), DX109)</f>
        <v>0</v>
      </c>
      <c r="DY175">
        <f>IF(ISNA(DZ175),NA(),DY109)</f>
        <v>0</v>
      </c>
      <c r="DZ175">
        <f>IF(OR(DZ109="",AND(DZ109=DZ108,DZ109=DZ110)),NA(), DZ109)</f>
        <v>0</v>
      </c>
      <c r="EA175">
        <f>IF(ISNA(EB175),NA(),EA109)</f>
        <v>0</v>
      </c>
      <c r="EB175">
        <f>IF(OR(EB109="",AND(EB109=EB108,EB109=EB110)),NA(), EB109)</f>
        <v>0</v>
      </c>
      <c r="EC175">
        <f>IF(ISNA(ED175),NA(),EC109)</f>
        <v>0</v>
      </c>
      <c r="ED175">
        <f>IF(OR(ED109="",AND(ED109=ED108,ED109=ED110)),NA(), ED109)</f>
        <v>0</v>
      </c>
    </row>
    <row r="176" spans="4:134">
      <c r="E176">
        <f>IF(ISNA(F176),NA(),E110)</f>
        <v>0</v>
      </c>
      <c r="F176">
        <f>IF(OR(F110="",AND(F110=F109,F110=F111)),NA(), F110)</f>
        <v>0</v>
      </c>
      <c r="G176">
        <f>IF(ISNA(H176),NA(),G110)</f>
        <v>0</v>
      </c>
      <c r="H176">
        <f>IF(OR(H110="",AND(H110=H109,H110=H111)),NA(), H110)</f>
        <v>0</v>
      </c>
      <c r="I176">
        <f>IF(ISNA(J176),NA(),I110)</f>
        <v>0</v>
      </c>
      <c r="J176">
        <f>IF(OR(J110="",AND(J110=J109,J110=J111)),NA(), J110)</f>
        <v>0</v>
      </c>
      <c r="K176">
        <f>IF(ISNA(L176),NA(),K110)</f>
        <v>0</v>
      </c>
      <c r="L176">
        <f>IF(OR(L110="",AND(L110=L109,L110=L111)),NA(), L110)</f>
        <v>0</v>
      </c>
      <c r="M176">
        <f>IF(ISNA(N176),NA(),M110)</f>
        <v>0</v>
      </c>
      <c r="N176">
        <f>IF(OR(N110="",AND(N110=N109,N110=N111)),NA(), N110)</f>
        <v>0</v>
      </c>
      <c r="O176">
        <f>IF(ISNA(P176),NA(),O110)</f>
        <v>0</v>
      </c>
      <c r="P176">
        <f>IF(OR(P110="",AND(P110=P109,P110=P111)),NA(), P110)</f>
        <v>0</v>
      </c>
      <c r="Q176">
        <f>IF(ISNA(R176),NA(),Q110)</f>
        <v>0</v>
      </c>
      <c r="R176">
        <f>IF(OR(R110="",AND(R110=R109,R110=R111)),NA(), R110)</f>
        <v>0</v>
      </c>
      <c r="S176">
        <f>IF(ISNA(T176),NA(),S110)</f>
        <v>0</v>
      </c>
      <c r="T176">
        <f>IF(OR(T110="",AND(T110=T109,T110=T111)),NA(), T110)</f>
        <v>0</v>
      </c>
      <c r="U176">
        <f>IF(ISNA(V176),NA(),U110)</f>
        <v>0</v>
      </c>
      <c r="V176">
        <f>IF(OR(V110="",AND(V110=V109,V110=V111)),NA(), V110)</f>
        <v>0</v>
      </c>
      <c r="W176">
        <f>IF(ISNA(X176),NA(),W110)</f>
        <v>0</v>
      </c>
      <c r="X176">
        <f>IF(OR(X110="",AND(X110=X109,X110=X111)),NA(), X110)</f>
        <v>0</v>
      </c>
      <c r="Y176">
        <f>IF(ISNA(Z176),NA(),Y110)</f>
        <v>0</v>
      </c>
      <c r="Z176">
        <f>IF(OR(Z110="",AND(Z110=Z109,Z110=Z111)),NA(), Z110)</f>
        <v>0</v>
      </c>
      <c r="AA176">
        <f>IF(ISNA(AB176),NA(),AA110)</f>
        <v>0</v>
      </c>
      <c r="AB176">
        <f>IF(OR(AB110="",AND(AB110=AB109,AB110=AB111)),NA(), AB110)</f>
        <v>0</v>
      </c>
      <c r="AC176">
        <f>IF(ISNA(AD176),NA(),AC110)</f>
        <v>0</v>
      </c>
      <c r="AD176">
        <f>IF(OR(AD110="",AND(AD110=AD109,AD110=AD111)),NA(), AD110)</f>
        <v>0</v>
      </c>
      <c r="AE176">
        <f>IF(ISNA(AF176),NA(),AE110)</f>
        <v>0</v>
      </c>
      <c r="AF176">
        <f>IF(OR(AF110="",AND(AF110=AF109,AF110=AF111)),NA(), AF110)</f>
        <v>0</v>
      </c>
      <c r="AG176">
        <f>IF(ISNA(AH176),NA(),AG110)</f>
        <v>0</v>
      </c>
      <c r="AH176">
        <f>IF(OR(AH110="",AND(AH110=AH109,AH110=AH111)),NA(), AH110)</f>
        <v>0</v>
      </c>
      <c r="AI176">
        <f>IF(ISNA(AJ176),NA(),AI110)</f>
        <v>0</v>
      </c>
      <c r="AJ176">
        <f>IF(OR(AJ110="",AND(AJ110=AJ109,AJ110=AJ111)),NA(), AJ110)</f>
        <v>0</v>
      </c>
      <c r="AK176">
        <f>IF(ISNA(AL176),NA(),AK110)</f>
        <v>0</v>
      </c>
      <c r="AL176">
        <f>IF(OR(AL110="",AND(AL110=AL109,AL110=AL111)),NA(), AL110)</f>
        <v>0</v>
      </c>
      <c r="AM176">
        <f>IF(ISNA(AN176),NA(),AM110)</f>
        <v>0</v>
      </c>
      <c r="AN176">
        <f>IF(OR(AN110="",AND(AN110=AN109,AN110=AN111)),NA(), AN110)</f>
        <v>0</v>
      </c>
      <c r="AO176">
        <f>IF(ISNA(AP176),NA(),AO110)</f>
        <v>0</v>
      </c>
      <c r="AP176">
        <f>IF(OR(AP110="",AND(AP110=AP109,AP110=AP111)),NA(), AP110)</f>
        <v>0</v>
      </c>
      <c r="AQ176">
        <f>IF(ISNA(AR176),NA(),AQ110)</f>
        <v>0</v>
      </c>
      <c r="AR176">
        <f>IF(OR(AR110="",AND(AR110=AR109,AR110=AR111)),NA(), AR110)</f>
        <v>0</v>
      </c>
      <c r="AS176">
        <f>IF(ISNA(AT176),NA(),AS110)</f>
        <v>0</v>
      </c>
      <c r="AT176">
        <f>IF(OR(AT110="",AND(AT110=AT109,AT110=AT111)),NA(), AT110)</f>
        <v>0</v>
      </c>
      <c r="AU176">
        <f>IF(ISNA(AV176),NA(),AU110)</f>
        <v>0</v>
      </c>
      <c r="AV176">
        <f>IF(OR(AV110="",AND(AV110=AV109,AV110=AV111)),NA(), AV110)</f>
        <v>0</v>
      </c>
      <c r="AW176">
        <f>IF(ISNA(AX176),NA(),AW110)</f>
        <v>0</v>
      </c>
      <c r="AX176">
        <f>IF(OR(AX110="",AND(AX110=AX109,AX110=AX111)),NA(), AX110)</f>
        <v>0</v>
      </c>
      <c r="AY176">
        <f>IF(ISNA(AZ176),NA(),AY110)</f>
        <v>0</v>
      </c>
      <c r="AZ176">
        <f>IF(OR(AZ110="",AND(AZ110=AZ109,AZ110=AZ111)),NA(), AZ110)</f>
        <v>0</v>
      </c>
      <c r="BA176">
        <f>IF(ISNA(BB176),NA(),BA110)</f>
        <v>0</v>
      </c>
      <c r="BB176">
        <f>IF(OR(BB110="",AND(BB110=BB109,BB110=BB111)),NA(), BB110)</f>
        <v>0</v>
      </c>
      <c r="BC176">
        <f>IF(ISNA(BD176),NA(),BC110)</f>
        <v>0</v>
      </c>
      <c r="BD176">
        <f>IF(OR(BD110="",AND(BD110=BD109,BD110=BD111)),NA(), BD110)</f>
        <v>0</v>
      </c>
      <c r="BE176">
        <f>IF(ISNA(BF176),NA(),BE110)</f>
        <v>0</v>
      </c>
      <c r="BF176">
        <f>IF(OR(BF110="",AND(BF110=BF109,BF110=BF111)),NA(), BF110)</f>
        <v>0</v>
      </c>
      <c r="BG176">
        <f>IF(ISNA(BH176),NA(),BG110)</f>
        <v>0</v>
      </c>
      <c r="BH176">
        <f>IF(OR(BH110="",AND(BH110=BH109,BH110=BH111)),NA(), BH110)</f>
        <v>0</v>
      </c>
      <c r="BI176">
        <f>IF(ISNA(BJ176),NA(),BI110)</f>
        <v>0</v>
      </c>
      <c r="BJ176">
        <f>IF(OR(BJ110="",AND(BJ110=BJ109,BJ110=BJ111)),NA(), BJ110)</f>
        <v>0</v>
      </c>
      <c r="BK176">
        <f>IF(ISNA(BL176),NA(),BK110)</f>
        <v>0</v>
      </c>
      <c r="BL176">
        <f>IF(OR(BL110="",AND(BL110=BL109,BL110=BL111)),NA(), BL110)</f>
        <v>0</v>
      </c>
      <c r="BM176">
        <f>IF(ISNA(BN176),NA(),BM110)</f>
        <v>0</v>
      </c>
      <c r="BN176">
        <f>IF(OR(BN110="",AND(BN110=BN109,BN110=BN111)),NA(), BN110)</f>
        <v>0</v>
      </c>
      <c r="BO176">
        <f>IF(ISNA(BP176),NA(),BO110)</f>
        <v>0</v>
      </c>
      <c r="BP176">
        <f>IF(OR(BP110="",AND(BP110=BP109,BP110=BP111)),NA(), BP110)</f>
        <v>0</v>
      </c>
      <c r="BS176">
        <f>IF(ISNA(BT176),NA(),BS110)</f>
        <v>0</v>
      </c>
      <c r="BT176">
        <f>IF(OR(BT110="",AND(BT110=BT109,BT110=BT111)),NA(), BT110)</f>
        <v>0</v>
      </c>
      <c r="BU176">
        <f>IF(ISNA(BV176),NA(),BU110)</f>
        <v>0</v>
      </c>
      <c r="BV176">
        <f>IF(OR(BV110="",AND(BV110=BV109,BV110=BV111)),NA(), BV110)</f>
        <v>0</v>
      </c>
      <c r="BW176">
        <f>IF(ISNA(BX176),NA(),BW110)</f>
        <v>0</v>
      </c>
      <c r="BX176">
        <f>IF(OR(BX110="",AND(BX110=BX109,BX110=BX111)),NA(), BX110)</f>
        <v>0</v>
      </c>
      <c r="BY176">
        <f>IF(ISNA(BZ176),NA(),BY110)</f>
        <v>0</v>
      </c>
      <c r="BZ176">
        <f>IF(OR(BZ110="",AND(BZ110=BZ109,BZ110=BZ111)),NA(), BZ110)</f>
        <v>0</v>
      </c>
      <c r="CA176">
        <f>IF(ISNA(CB176),NA(),CA110)</f>
        <v>0</v>
      </c>
      <c r="CB176">
        <f>IF(OR(CB110="",AND(CB110=CB109,CB110=CB111)),NA(), CB110)</f>
        <v>0</v>
      </c>
      <c r="CC176">
        <f>IF(ISNA(CD176),NA(),CC110)</f>
        <v>0</v>
      </c>
      <c r="CD176">
        <f>IF(OR(CD110="",AND(CD110=CD109,CD110=CD111)),NA(), CD110)</f>
        <v>0</v>
      </c>
      <c r="CE176">
        <f>IF(ISNA(CF176),NA(),CE110)</f>
        <v>0</v>
      </c>
      <c r="CF176">
        <f>IF(OR(CF110="",AND(CF110=CF109,CF110=CF111)),NA(), CF110)</f>
        <v>0</v>
      </c>
      <c r="CG176">
        <f>IF(ISNA(CH176),NA(),CG110)</f>
        <v>0</v>
      </c>
      <c r="CH176">
        <f>IF(OR(CH110="",AND(CH110=CH109,CH110=CH111)),NA(), CH110)</f>
        <v>0</v>
      </c>
      <c r="CI176">
        <f>IF(ISNA(CJ176),NA(),CI110)</f>
        <v>0</v>
      </c>
      <c r="CJ176">
        <f>IF(OR(CJ110="",AND(CJ110=CJ109,CJ110=CJ111)),NA(), CJ110)</f>
        <v>0</v>
      </c>
      <c r="CK176">
        <f>IF(ISNA(CL176),NA(),CK110)</f>
        <v>0</v>
      </c>
      <c r="CL176">
        <f>IF(OR(CL110="",AND(CL110=CL109,CL110=CL111)),NA(), CL110)</f>
        <v>0</v>
      </c>
      <c r="CM176">
        <f>IF(ISNA(CN176),NA(),CM110)</f>
        <v>0</v>
      </c>
      <c r="CN176">
        <f>IF(OR(CN110="",AND(CN110=CN109,CN110=CN111)),NA(), CN110)</f>
        <v>0</v>
      </c>
      <c r="CO176">
        <f>IF(ISNA(CP176),NA(),CO110)</f>
        <v>0</v>
      </c>
      <c r="CP176">
        <f>IF(OR(CP110="",AND(CP110=CP109,CP110=CP111)),NA(), CP110)</f>
        <v>0</v>
      </c>
      <c r="CQ176">
        <f>IF(ISNA(CR176),NA(),CQ110)</f>
        <v>0</v>
      </c>
      <c r="CR176">
        <f>IF(OR(CR110="",AND(CR110=CR109,CR110=CR111)),NA(), CR110)</f>
        <v>0</v>
      </c>
      <c r="CS176">
        <f>IF(ISNA(CT176),NA(),CS110)</f>
        <v>0</v>
      </c>
      <c r="CT176">
        <f>IF(OR(CT110="",AND(CT110=CT109,CT110=CT111)),NA(), CT110)</f>
        <v>0</v>
      </c>
      <c r="CU176">
        <f>IF(ISNA(CV176),NA(),CU110)</f>
        <v>0</v>
      </c>
      <c r="CV176">
        <f>IF(OR(CV110="",AND(CV110=CV109,CV110=CV111)),NA(), CV110)</f>
        <v>0</v>
      </c>
      <c r="CW176">
        <f>IF(ISNA(CX176),NA(),CW110)</f>
        <v>0</v>
      </c>
      <c r="CX176">
        <f>IF(OR(CX110="",AND(CX110=CX109,CX110=CX111)),NA(), CX110)</f>
        <v>0</v>
      </c>
      <c r="CY176">
        <f>IF(ISNA(CZ176),NA(),CY110)</f>
        <v>0</v>
      </c>
      <c r="CZ176">
        <f>IF(OR(CZ110="",AND(CZ110=CZ109,CZ110=CZ111)),NA(), CZ110)</f>
        <v>0</v>
      </c>
      <c r="DA176">
        <f>IF(ISNA(DB176),NA(),DA110)</f>
        <v>0</v>
      </c>
      <c r="DB176">
        <f>IF(OR(DB110="",AND(DB110=DB109,DB110=DB111)),NA(), DB110)</f>
        <v>0</v>
      </c>
      <c r="DC176">
        <f>IF(ISNA(DD176),NA(),DC110)</f>
        <v>0</v>
      </c>
      <c r="DD176">
        <f>IF(OR(DD110="",AND(DD110=DD109,DD110=DD111)),NA(), DD110)</f>
        <v>0</v>
      </c>
      <c r="DE176">
        <f>IF(ISNA(DF176),NA(),DE110)</f>
        <v>0</v>
      </c>
      <c r="DF176">
        <f>IF(OR(DF110="",AND(DF110=DF109,DF110=DF111)),NA(), DF110)</f>
        <v>0</v>
      </c>
      <c r="DG176">
        <f>IF(ISNA(DH176),NA(),DG110)</f>
        <v>0</v>
      </c>
      <c r="DH176">
        <f>IF(OR(DH110="",AND(DH110=DH109,DH110=DH111)),NA(), DH110)</f>
        <v>0</v>
      </c>
      <c r="DI176">
        <f>IF(ISNA(DJ176),NA(),DI110)</f>
        <v>0</v>
      </c>
      <c r="DJ176">
        <f>IF(OR(DJ110="",AND(DJ110=DJ109,DJ110=DJ111)),NA(), DJ110)</f>
        <v>0</v>
      </c>
      <c r="DK176">
        <f>IF(ISNA(DL176),NA(),DK110)</f>
        <v>0</v>
      </c>
      <c r="DL176">
        <f>IF(OR(DL110="",AND(DL110=DL109,DL110=DL111)),NA(), DL110)</f>
        <v>0</v>
      </c>
      <c r="DM176">
        <f>IF(ISNA(DN176),NA(),DM110)</f>
        <v>0</v>
      </c>
      <c r="DN176">
        <f>IF(OR(DN110="",AND(DN110=DN109,DN110=DN111)),NA(), DN110)</f>
        <v>0</v>
      </c>
      <c r="DO176">
        <f>IF(ISNA(DP176),NA(),DO110)</f>
        <v>0</v>
      </c>
      <c r="DP176">
        <f>IF(OR(DP110="",AND(DP110=DP109,DP110=DP111)),NA(), DP110)</f>
        <v>0</v>
      </c>
      <c r="DQ176">
        <f>IF(ISNA(DR176),NA(),DQ110)</f>
        <v>0</v>
      </c>
      <c r="DR176">
        <f>IF(OR(DR110="",AND(DR110=DR109,DR110=DR111)),NA(), DR110)</f>
        <v>0</v>
      </c>
      <c r="DS176">
        <f>IF(ISNA(DT176),NA(),DS110)</f>
        <v>0</v>
      </c>
      <c r="DT176">
        <f>IF(OR(DT110="",AND(DT110=DT109,DT110=DT111)),NA(), DT110)</f>
        <v>0</v>
      </c>
      <c r="DU176">
        <f>IF(ISNA(DV176),NA(),DU110)</f>
        <v>0</v>
      </c>
      <c r="DV176">
        <f>IF(OR(DV110="",AND(DV110=DV109,DV110=DV111)),NA(), DV110)</f>
        <v>0</v>
      </c>
      <c r="DW176">
        <f>IF(ISNA(DX176),NA(),DW110)</f>
        <v>0</v>
      </c>
      <c r="DX176">
        <f>IF(OR(DX110="",AND(DX110=DX109,DX110=DX111)),NA(), DX110)</f>
        <v>0</v>
      </c>
      <c r="DY176">
        <f>IF(ISNA(DZ176),NA(),DY110)</f>
        <v>0</v>
      </c>
      <c r="DZ176">
        <f>IF(OR(DZ110="",AND(DZ110=DZ109,DZ110=DZ111)),NA(), DZ110)</f>
        <v>0</v>
      </c>
      <c r="EA176">
        <f>IF(ISNA(EB176),NA(),EA110)</f>
        <v>0</v>
      </c>
      <c r="EB176">
        <f>IF(OR(EB110="",AND(EB110=EB109,EB110=EB111)),NA(), EB110)</f>
        <v>0</v>
      </c>
      <c r="EC176">
        <f>IF(ISNA(ED176),NA(),EC110)</f>
        <v>0</v>
      </c>
      <c r="ED176">
        <f>IF(OR(ED110="",AND(ED110=ED109,ED110=ED111)),NA(), ED110)</f>
        <v>0</v>
      </c>
    </row>
    <row r="177" spans="5:134">
      <c r="E177">
        <f>IF(ISNA(F177),NA(),E111)</f>
        <v>0</v>
      </c>
      <c r="F177">
        <f>IF(OR(F111="",AND(F111=F110,F111=F112)),NA(), F111)</f>
        <v>0</v>
      </c>
      <c r="G177">
        <f>IF(ISNA(H177),NA(),G111)</f>
        <v>0</v>
      </c>
      <c r="H177">
        <f>IF(OR(H111="",AND(H111=H110,H111=H112)),NA(), H111)</f>
        <v>0</v>
      </c>
      <c r="I177">
        <f>IF(ISNA(J177),NA(),I111)</f>
        <v>0</v>
      </c>
      <c r="J177">
        <f>IF(OR(J111="",AND(J111=J110,J111=J112)),NA(), J111)</f>
        <v>0</v>
      </c>
      <c r="K177">
        <f>IF(ISNA(L177),NA(),K111)</f>
        <v>0</v>
      </c>
      <c r="L177">
        <f>IF(OR(L111="",AND(L111=L110,L111=L112)),NA(), L111)</f>
        <v>0</v>
      </c>
      <c r="M177">
        <f>IF(ISNA(N177),NA(),M111)</f>
        <v>0</v>
      </c>
      <c r="N177">
        <f>IF(OR(N111="",AND(N111=N110,N111=N112)),NA(), N111)</f>
        <v>0</v>
      </c>
      <c r="O177">
        <f>IF(ISNA(P177),NA(),O111)</f>
        <v>0</v>
      </c>
      <c r="P177">
        <f>IF(OR(P111="",AND(P111=P110,P111=P112)),NA(), P111)</f>
        <v>0</v>
      </c>
      <c r="Q177">
        <f>IF(ISNA(R177),NA(),Q111)</f>
        <v>0</v>
      </c>
      <c r="R177">
        <f>IF(OR(R111="",AND(R111=R110,R111=R112)),NA(), R111)</f>
        <v>0</v>
      </c>
      <c r="S177">
        <f>IF(ISNA(T177),NA(),S111)</f>
        <v>0</v>
      </c>
      <c r="T177">
        <f>IF(OR(T111="",AND(T111=T110,T111=T112)),NA(), T111)</f>
        <v>0</v>
      </c>
      <c r="U177">
        <f>IF(ISNA(V177),NA(),U111)</f>
        <v>0</v>
      </c>
      <c r="V177">
        <f>IF(OR(V111="",AND(V111=V110,V111=V112)),NA(), V111)</f>
        <v>0</v>
      </c>
      <c r="W177">
        <f>IF(ISNA(X177),NA(),W111)</f>
        <v>0</v>
      </c>
      <c r="X177">
        <f>IF(OR(X111="",AND(X111=X110,X111=X112)),NA(), X111)</f>
        <v>0</v>
      </c>
      <c r="Y177">
        <f>IF(ISNA(Z177),NA(),Y111)</f>
        <v>0</v>
      </c>
      <c r="Z177">
        <f>IF(OR(Z111="",AND(Z111=Z110,Z111=Z112)),NA(), Z111)</f>
        <v>0</v>
      </c>
      <c r="AA177">
        <f>IF(ISNA(AB177),NA(),AA111)</f>
        <v>0</v>
      </c>
      <c r="AB177">
        <f>IF(OR(AB111="",AND(AB111=AB110,AB111=AB112)),NA(), AB111)</f>
        <v>0</v>
      </c>
      <c r="AC177">
        <f>IF(ISNA(AD177),NA(),AC111)</f>
        <v>0</v>
      </c>
      <c r="AD177">
        <f>IF(OR(AD111="",AND(AD111=AD110,AD111=AD112)),NA(), AD111)</f>
        <v>0</v>
      </c>
      <c r="AE177">
        <f>IF(ISNA(AF177),NA(),AE111)</f>
        <v>0</v>
      </c>
      <c r="AF177">
        <f>IF(OR(AF111="",AND(AF111=AF110,AF111=AF112)),NA(), AF111)</f>
        <v>0</v>
      </c>
      <c r="AG177">
        <f>IF(ISNA(AH177),NA(),AG111)</f>
        <v>0</v>
      </c>
      <c r="AH177">
        <f>IF(OR(AH111="",AND(AH111=AH110,AH111=AH112)),NA(), AH111)</f>
        <v>0</v>
      </c>
      <c r="AI177">
        <f>IF(ISNA(AJ177),NA(),AI111)</f>
        <v>0</v>
      </c>
      <c r="AJ177">
        <f>IF(OR(AJ111="",AND(AJ111=AJ110,AJ111=AJ112)),NA(), AJ111)</f>
        <v>0</v>
      </c>
      <c r="AK177">
        <f>IF(ISNA(AL177),NA(),AK111)</f>
        <v>0</v>
      </c>
      <c r="AL177">
        <f>IF(OR(AL111="",AND(AL111=AL110,AL111=AL112)),NA(), AL111)</f>
        <v>0</v>
      </c>
      <c r="AM177">
        <f>IF(ISNA(AN177),NA(),AM111)</f>
        <v>0</v>
      </c>
      <c r="AN177">
        <f>IF(OR(AN111="",AND(AN111=AN110,AN111=AN112)),NA(), AN111)</f>
        <v>0</v>
      </c>
      <c r="AO177">
        <f>IF(ISNA(AP177),NA(),AO111)</f>
        <v>0</v>
      </c>
      <c r="AP177">
        <f>IF(OR(AP111="",AND(AP111=AP110,AP111=AP112)),NA(), AP111)</f>
        <v>0</v>
      </c>
      <c r="AQ177">
        <f>IF(ISNA(AR177),NA(),AQ111)</f>
        <v>0</v>
      </c>
      <c r="AR177">
        <f>IF(OR(AR111="",AND(AR111=AR110,AR111=AR112)),NA(), AR111)</f>
        <v>0</v>
      </c>
      <c r="AS177">
        <f>IF(ISNA(AT177),NA(),AS111)</f>
        <v>0</v>
      </c>
      <c r="AT177">
        <f>IF(OR(AT111="",AND(AT111=AT110,AT111=AT112)),NA(), AT111)</f>
        <v>0</v>
      </c>
      <c r="AU177">
        <f>IF(ISNA(AV177),NA(),AU111)</f>
        <v>0</v>
      </c>
      <c r="AV177">
        <f>IF(OR(AV111="",AND(AV111=AV110,AV111=AV112)),NA(), AV111)</f>
        <v>0</v>
      </c>
      <c r="AW177">
        <f>IF(ISNA(AX177),NA(),AW111)</f>
        <v>0</v>
      </c>
      <c r="AX177">
        <f>IF(OR(AX111="",AND(AX111=AX110,AX111=AX112)),NA(), AX111)</f>
        <v>0</v>
      </c>
      <c r="AY177">
        <f>IF(ISNA(AZ177),NA(),AY111)</f>
        <v>0</v>
      </c>
      <c r="AZ177">
        <f>IF(OR(AZ111="",AND(AZ111=AZ110,AZ111=AZ112)),NA(), AZ111)</f>
        <v>0</v>
      </c>
      <c r="BA177">
        <f>IF(ISNA(BB177),NA(),BA111)</f>
        <v>0</v>
      </c>
      <c r="BB177">
        <f>IF(OR(BB111="",AND(BB111=BB110,BB111=BB112)),NA(), BB111)</f>
        <v>0</v>
      </c>
      <c r="BC177">
        <f>IF(ISNA(BD177),NA(),BC111)</f>
        <v>0</v>
      </c>
      <c r="BD177">
        <f>IF(OR(BD111="",AND(BD111=BD110,BD111=BD112)),NA(), BD111)</f>
        <v>0</v>
      </c>
      <c r="BE177">
        <f>IF(ISNA(BF177),NA(),BE111)</f>
        <v>0</v>
      </c>
      <c r="BF177">
        <f>IF(OR(BF111="",AND(BF111=BF110,BF111=BF112)),NA(), BF111)</f>
        <v>0</v>
      </c>
      <c r="BG177">
        <f>IF(ISNA(BH177),NA(),BG111)</f>
        <v>0</v>
      </c>
      <c r="BH177">
        <f>IF(OR(BH111="",AND(BH111=BH110,BH111=BH112)),NA(), BH111)</f>
        <v>0</v>
      </c>
      <c r="BI177">
        <f>IF(ISNA(BJ177),NA(),BI111)</f>
        <v>0</v>
      </c>
      <c r="BJ177">
        <f>IF(OR(BJ111="",AND(BJ111=BJ110,BJ111=BJ112)),NA(), BJ111)</f>
        <v>0</v>
      </c>
      <c r="BK177">
        <f>IF(ISNA(BL177),NA(),BK111)</f>
        <v>0</v>
      </c>
      <c r="BL177">
        <f>IF(OR(BL111="",AND(BL111=BL110,BL111=BL112)),NA(), BL111)</f>
        <v>0</v>
      </c>
      <c r="BM177">
        <f>IF(ISNA(BN177),NA(),BM111)</f>
        <v>0</v>
      </c>
      <c r="BN177">
        <f>IF(OR(BN111="",AND(BN111=BN110,BN111=BN112)),NA(), BN111)</f>
        <v>0</v>
      </c>
      <c r="BO177">
        <f>IF(ISNA(BP177),NA(),BO111)</f>
        <v>0</v>
      </c>
      <c r="BP177">
        <f>IF(OR(BP111="",AND(BP111=BP110,BP111=BP112)),NA(), BP111)</f>
        <v>0</v>
      </c>
      <c r="BS177">
        <f>IF(ISNA(BT177),NA(),BS111)</f>
        <v>0</v>
      </c>
      <c r="BT177">
        <f>IF(OR(BT111="",AND(BT111=BT110,BT111=BT112)),NA(), BT111)</f>
        <v>0</v>
      </c>
      <c r="BU177">
        <f>IF(ISNA(BV177),NA(),BU111)</f>
        <v>0</v>
      </c>
      <c r="BV177">
        <f>IF(OR(BV111="",AND(BV111=BV110,BV111=BV112)),NA(), BV111)</f>
        <v>0</v>
      </c>
      <c r="BW177">
        <f>IF(ISNA(BX177),NA(),BW111)</f>
        <v>0</v>
      </c>
      <c r="BX177">
        <f>IF(OR(BX111="",AND(BX111=BX110,BX111=BX112)),NA(), BX111)</f>
        <v>0</v>
      </c>
      <c r="BY177">
        <f>IF(ISNA(BZ177),NA(),BY111)</f>
        <v>0</v>
      </c>
      <c r="BZ177">
        <f>IF(OR(BZ111="",AND(BZ111=BZ110,BZ111=BZ112)),NA(), BZ111)</f>
        <v>0</v>
      </c>
      <c r="CA177">
        <f>IF(ISNA(CB177),NA(),CA111)</f>
        <v>0</v>
      </c>
      <c r="CB177">
        <f>IF(OR(CB111="",AND(CB111=CB110,CB111=CB112)),NA(), CB111)</f>
        <v>0</v>
      </c>
      <c r="CC177">
        <f>IF(ISNA(CD177),NA(),CC111)</f>
        <v>0</v>
      </c>
      <c r="CD177">
        <f>IF(OR(CD111="",AND(CD111=CD110,CD111=CD112)),NA(), CD111)</f>
        <v>0</v>
      </c>
      <c r="CE177">
        <f>IF(ISNA(CF177),NA(),CE111)</f>
        <v>0</v>
      </c>
      <c r="CF177">
        <f>IF(OR(CF111="",AND(CF111=CF110,CF111=CF112)),NA(), CF111)</f>
        <v>0</v>
      </c>
      <c r="CG177">
        <f>IF(ISNA(CH177),NA(),CG111)</f>
        <v>0</v>
      </c>
      <c r="CH177">
        <f>IF(OR(CH111="",AND(CH111=CH110,CH111=CH112)),NA(), CH111)</f>
        <v>0</v>
      </c>
      <c r="CI177">
        <f>IF(ISNA(CJ177),NA(),CI111)</f>
        <v>0</v>
      </c>
      <c r="CJ177">
        <f>IF(OR(CJ111="",AND(CJ111=CJ110,CJ111=CJ112)),NA(), CJ111)</f>
        <v>0</v>
      </c>
      <c r="CK177">
        <f>IF(ISNA(CL177),NA(),CK111)</f>
        <v>0</v>
      </c>
      <c r="CL177">
        <f>IF(OR(CL111="",AND(CL111=CL110,CL111=CL112)),NA(), CL111)</f>
        <v>0</v>
      </c>
      <c r="CM177">
        <f>IF(ISNA(CN177),NA(),CM111)</f>
        <v>0</v>
      </c>
      <c r="CN177">
        <f>IF(OR(CN111="",AND(CN111=CN110,CN111=CN112)),NA(), CN111)</f>
        <v>0</v>
      </c>
      <c r="CO177">
        <f>IF(ISNA(CP177),NA(),CO111)</f>
        <v>0</v>
      </c>
      <c r="CP177">
        <f>IF(OR(CP111="",AND(CP111=CP110,CP111=CP112)),NA(), CP111)</f>
        <v>0</v>
      </c>
      <c r="CQ177">
        <f>IF(ISNA(CR177),NA(),CQ111)</f>
        <v>0</v>
      </c>
      <c r="CR177">
        <f>IF(OR(CR111="",AND(CR111=CR110,CR111=CR112)),NA(), CR111)</f>
        <v>0</v>
      </c>
      <c r="CS177">
        <f>IF(ISNA(CT177),NA(),CS111)</f>
        <v>0</v>
      </c>
      <c r="CT177">
        <f>IF(OR(CT111="",AND(CT111=CT110,CT111=CT112)),NA(), CT111)</f>
        <v>0</v>
      </c>
      <c r="CU177">
        <f>IF(ISNA(CV177),NA(),CU111)</f>
        <v>0</v>
      </c>
      <c r="CV177">
        <f>IF(OR(CV111="",AND(CV111=CV110,CV111=CV112)),NA(), CV111)</f>
        <v>0</v>
      </c>
      <c r="CW177">
        <f>IF(ISNA(CX177),NA(),CW111)</f>
        <v>0</v>
      </c>
      <c r="CX177">
        <f>IF(OR(CX111="",AND(CX111=CX110,CX111=CX112)),NA(), CX111)</f>
        <v>0</v>
      </c>
      <c r="CY177">
        <f>IF(ISNA(CZ177),NA(),CY111)</f>
        <v>0</v>
      </c>
      <c r="CZ177">
        <f>IF(OR(CZ111="",AND(CZ111=CZ110,CZ111=CZ112)),NA(), CZ111)</f>
        <v>0</v>
      </c>
      <c r="DA177">
        <f>IF(ISNA(DB177),NA(),DA111)</f>
        <v>0</v>
      </c>
      <c r="DB177">
        <f>IF(OR(DB111="",AND(DB111=DB110,DB111=DB112)),NA(), DB111)</f>
        <v>0</v>
      </c>
      <c r="DC177">
        <f>IF(ISNA(DD177),NA(),DC111)</f>
        <v>0</v>
      </c>
      <c r="DD177">
        <f>IF(OR(DD111="",AND(DD111=DD110,DD111=DD112)),NA(), DD111)</f>
        <v>0</v>
      </c>
      <c r="DE177">
        <f>IF(ISNA(DF177),NA(),DE111)</f>
        <v>0</v>
      </c>
      <c r="DF177">
        <f>IF(OR(DF111="",AND(DF111=DF110,DF111=DF112)),NA(), DF111)</f>
        <v>0</v>
      </c>
      <c r="DG177">
        <f>IF(ISNA(DH177),NA(),DG111)</f>
        <v>0</v>
      </c>
      <c r="DH177">
        <f>IF(OR(DH111="",AND(DH111=DH110,DH111=DH112)),NA(), DH111)</f>
        <v>0</v>
      </c>
      <c r="DI177">
        <f>IF(ISNA(DJ177),NA(),DI111)</f>
        <v>0</v>
      </c>
      <c r="DJ177">
        <f>IF(OR(DJ111="",AND(DJ111=DJ110,DJ111=DJ112)),NA(), DJ111)</f>
        <v>0</v>
      </c>
      <c r="DK177">
        <f>IF(ISNA(DL177),NA(),DK111)</f>
        <v>0</v>
      </c>
      <c r="DL177">
        <f>IF(OR(DL111="",AND(DL111=DL110,DL111=DL112)),NA(), DL111)</f>
        <v>0</v>
      </c>
      <c r="DM177">
        <f>IF(ISNA(DN177),NA(),DM111)</f>
        <v>0</v>
      </c>
      <c r="DN177">
        <f>IF(OR(DN111="",AND(DN111=DN110,DN111=DN112)),NA(), DN111)</f>
        <v>0</v>
      </c>
      <c r="DO177">
        <f>IF(ISNA(DP177),NA(),DO111)</f>
        <v>0</v>
      </c>
      <c r="DP177">
        <f>IF(OR(DP111="",AND(DP111=DP110,DP111=DP112)),NA(), DP111)</f>
        <v>0</v>
      </c>
      <c r="DQ177">
        <f>IF(ISNA(DR177),NA(),DQ111)</f>
        <v>0</v>
      </c>
      <c r="DR177">
        <f>IF(OR(DR111="",AND(DR111=DR110,DR111=DR112)),NA(), DR111)</f>
        <v>0</v>
      </c>
      <c r="DS177">
        <f>IF(ISNA(DT177),NA(),DS111)</f>
        <v>0</v>
      </c>
      <c r="DT177">
        <f>IF(OR(DT111="",AND(DT111=DT110,DT111=DT112)),NA(), DT111)</f>
        <v>0</v>
      </c>
      <c r="DU177">
        <f>IF(ISNA(DV177),NA(),DU111)</f>
        <v>0</v>
      </c>
      <c r="DV177">
        <f>IF(OR(DV111="",AND(DV111=DV110,DV111=DV112)),NA(), DV111)</f>
        <v>0</v>
      </c>
      <c r="DW177">
        <f>IF(ISNA(DX177),NA(),DW111)</f>
        <v>0</v>
      </c>
      <c r="DX177">
        <f>IF(OR(DX111="",AND(DX111=DX110,DX111=DX112)),NA(), DX111)</f>
        <v>0</v>
      </c>
      <c r="DY177">
        <f>IF(ISNA(DZ177),NA(),DY111)</f>
        <v>0</v>
      </c>
      <c r="DZ177">
        <f>IF(OR(DZ111="",AND(DZ111=DZ110,DZ111=DZ112)),NA(), DZ111)</f>
        <v>0</v>
      </c>
      <c r="EA177">
        <f>IF(ISNA(EB177),NA(),EA111)</f>
        <v>0</v>
      </c>
      <c r="EB177">
        <f>IF(OR(EB111="",AND(EB111=EB110,EB111=EB112)),NA(), EB111)</f>
        <v>0</v>
      </c>
      <c r="EC177">
        <f>IF(ISNA(ED177),NA(),EC111)</f>
        <v>0</v>
      </c>
      <c r="ED177">
        <f>IF(OR(ED111="",AND(ED111=ED110,ED111=ED112)),NA(), ED111)</f>
        <v>0</v>
      </c>
    </row>
    <row r="178" spans="5:134">
      <c r="E178">
        <f>IF(ISNA(F178),NA(),E112)</f>
        <v>0</v>
      </c>
      <c r="F178">
        <f>IF(OR(F112="",AND(F112=F111,F112=F113)),NA(), F112)</f>
        <v>0</v>
      </c>
      <c r="G178">
        <f>IF(ISNA(H178),NA(),G112)</f>
        <v>0</v>
      </c>
      <c r="H178">
        <f>IF(OR(H112="",AND(H112=H111,H112=H113)),NA(), H112)</f>
        <v>0</v>
      </c>
      <c r="I178">
        <f>IF(ISNA(J178),NA(),I112)</f>
        <v>0</v>
      </c>
      <c r="J178">
        <f>IF(OR(J112="",AND(J112=J111,J112=J113)),NA(), J112)</f>
        <v>0</v>
      </c>
      <c r="K178">
        <f>IF(ISNA(L178),NA(),K112)</f>
        <v>0</v>
      </c>
      <c r="L178">
        <f>IF(OR(L112="",AND(L112=L111,L112=L113)),NA(), L112)</f>
        <v>0</v>
      </c>
      <c r="M178">
        <f>IF(ISNA(N178),NA(),M112)</f>
        <v>0</v>
      </c>
      <c r="N178">
        <f>IF(OR(N112="",AND(N112=N111,N112=N113)),NA(), N112)</f>
        <v>0</v>
      </c>
      <c r="O178">
        <f>IF(ISNA(P178),NA(),O112)</f>
        <v>0</v>
      </c>
      <c r="P178">
        <f>IF(OR(P112="",AND(P112=P111,P112=P113)),NA(), P112)</f>
        <v>0</v>
      </c>
      <c r="Q178">
        <f>IF(ISNA(R178),NA(),Q112)</f>
        <v>0</v>
      </c>
      <c r="R178">
        <f>IF(OR(R112="",AND(R112=R111,R112=R113)),NA(), R112)</f>
        <v>0</v>
      </c>
      <c r="S178">
        <f>IF(ISNA(T178),NA(),S112)</f>
        <v>0</v>
      </c>
      <c r="T178">
        <f>IF(OR(T112="",AND(T112=T111,T112=T113)),NA(), T112)</f>
        <v>0</v>
      </c>
      <c r="U178">
        <f>IF(ISNA(V178),NA(),U112)</f>
        <v>0</v>
      </c>
      <c r="V178">
        <f>IF(OR(V112="",AND(V112=V111,V112=V113)),NA(), V112)</f>
        <v>0</v>
      </c>
      <c r="W178">
        <f>IF(ISNA(X178),NA(),W112)</f>
        <v>0</v>
      </c>
      <c r="X178">
        <f>IF(OR(X112="",AND(X112=X111,X112=X113)),NA(), X112)</f>
        <v>0</v>
      </c>
      <c r="Y178">
        <f>IF(ISNA(Z178),NA(),Y112)</f>
        <v>0</v>
      </c>
      <c r="Z178">
        <f>IF(OR(Z112="",AND(Z112=Z111,Z112=Z113)),NA(), Z112)</f>
        <v>0</v>
      </c>
      <c r="AA178">
        <f>IF(ISNA(AB178),NA(),AA112)</f>
        <v>0</v>
      </c>
      <c r="AB178">
        <f>IF(OR(AB112="",AND(AB112=AB111,AB112=AB113)),NA(), AB112)</f>
        <v>0</v>
      </c>
      <c r="AC178">
        <f>IF(ISNA(AD178),NA(),AC112)</f>
        <v>0</v>
      </c>
      <c r="AD178">
        <f>IF(OR(AD112="",AND(AD112=AD111,AD112=AD113)),NA(), AD112)</f>
        <v>0</v>
      </c>
      <c r="AE178">
        <f>IF(ISNA(AF178),NA(),AE112)</f>
        <v>0</v>
      </c>
      <c r="AF178">
        <f>IF(OR(AF112="",AND(AF112=AF111,AF112=AF113)),NA(), AF112)</f>
        <v>0</v>
      </c>
      <c r="AG178">
        <f>IF(ISNA(AH178),NA(),AG112)</f>
        <v>0</v>
      </c>
      <c r="AH178">
        <f>IF(OR(AH112="",AND(AH112=AH111,AH112=AH113)),NA(), AH112)</f>
        <v>0</v>
      </c>
      <c r="AI178">
        <f>IF(ISNA(AJ178),NA(),AI112)</f>
        <v>0</v>
      </c>
      <c r="AJ178">
        <f>IF(OR(AJ112="",AND(AJ112=AJ111,AJ112=AJ113)),NA(), AJ112)</f>
        <v>0</v>
      </c>
      <c r="AK178">
        <f>IF(ISNA(AL178),NA(),AK112)</f>
        <v>0</v>
      </c>
      <c r="AL178">
        <f>IF(OR(AL112="",AND(AL112=AL111,AL112=AL113)),NA(), AL112)</f>
        <v>0</v>
      </c>
      <c r="AM178">
        <f>IF(ISNA(AN178),NA(),AM112)</f>
        <v>0</v>
      </c>
      <c r="AN178">
        <f>IF(OR(AN112="",AND(AN112=AN111,AN112=AN113)),NA(), AN112)</f>
        <v>0</v>
      </c>
      <c r="AO178">
        <f>IF(ISNA(AP178),NA(),AO112)</f>
        <v>0</v>
      </c>
      <c r="AP178">
        <f>IF(OR(AP112="",AND(AP112=AP111,AP112=AP113)),NA(), AP112)</f>
        <v>0</v>
      </c>
      <c r="AQ178">
        <f>IF(ISNA(AR178),NA(),AQ112)</f>
        <v>0</v>
      </c>
      <c r="AR178">
        <f>IF(OR(AR112="",AND(AR112=AR111,AR112=AR113)),NA(), AR112)</f>
        <v>0</v>
      </c>
      <c r="AS178">
        <f>IF(ISNA(AT178),NA(),AS112)</f>
        <v>0</v>
      </c>
      <c r="AT178">
        <f>IF(OR(AT112="",AND(AT112=AT111,AT112=AT113)),NA(), AT112)</f>
        <v>0</v>
      </c>
      <c r="AU178">
        <f>IF(ISNA(AV178),NA(),AU112)</f>
        <v>0</v>
      </c>
      <c r="AV178">
        <f>IF(OR(AV112="",AND(AV112=AV111,AV112=AV113)),NA(), AV112)</f>
        <v>0</v>
      </c>
      <c r="AW178">
        <f>IF(ISNA(AX178),NA(),AW112)</f>
        <v>0</v>
      </c>
      <c r="AX178">
        <f>IF(OR(AX112="",AND(AX112=AX111,AX112=AX113)),NA(), AX112)</f>
        <v>0</v>
      </c>
      <c r="AY178">
        <f>IF(ISNA(AZ178),NA(),AY112)</f>
        <v>0</v>
      </c>
      <c r="AZ178">
        <f>IF(OR(AZ112="",AND(AZ112=AZ111,AZ112=AZ113)),NA(), AZ112)</f>
        <v>0</v>
      </c>
      <c r="BA178">
        <f>IF(ISNA(BB178),NA(),BA112)</f>
        <v>0</v>
      </c>
      <c r="BB178">
        <f>IF(OR(BB112="",AND(BB112=BB111,BB112=BB113)),NA(), BB112)</f>
        <v>0</v>
      </c>
      <c r="BC178">
        <f>IF(ISNA(BD178),NA(),BC112)</f>
        <v>0</v>
      </c>
      <c r="BD178">
        <f>IF(OR(BD112="",AND(BD112=BD111,BD112=BD113)),NA(), BD112)</f>
        <v>0</v>
      </c>
      <c r="BE178">
        <f>IF(ISNA(BF178),NA(),BE112)</f>
        <v>0</v>
      </c>
      <c r="BF178">
        <f>IF(OR(BF112="",AND(BF112=BF111,BF112=BF113)),NA(), BF112)</f>
        <v>0</v>
      </c>
      <c r="BG178">
        <f>IF(ISNA(BH178),NA(),BG112)</f>
        <v>0</v>
      </c>
      <c r="BH178">
        <f>IF(OR(BH112="",AND(BH112=BH111,BH112=BH113)),NA(), BH112)</f>
        <v>0</v>
      </c>
      <c r="BI178">
        <f>IF(ISNA(BJ178),NA(),BI112)</f>
        <v>0</v>
      </c>
      <c r="BJ178">
        <f>IF(OR(BJ112="",AND(BJ112=BJ111,BJ112=BJ113)),NA(), BJ112)</f>
        <v>0</v>
      </c>
      <c r="BK178">
        <f>IF(ISNA(BL178),NA(),BK112)</f>
        <v>0</v>
      </c>
      <c r="BL178">
        <f>IF(OR(BL112="",AND(BL112=BL111,BL112=BL113)),NA(), BL112)</f>
        <v>0</v>
      </c>
      <c r="BM178">
        <f>IF(ISNA(BN178),NA(),BM112)</f>
        <v>0</v>
      </c>
      <c r="BN178">
        <f>IF(OR(BN112="",AND(BN112=BN111,BN112=BN113)),NA(), BN112)</f>
        <v>0</v>
      </c>
      <c r="BO178">
        <f>IF(ISNA(BP178),NA(),BO112)</f>
        <v>0</v>
      </c>
      <c r="BP178">
        <f>IF(OR(BP112="",AND(BP112=BP111,BP112=BP113)),NA(), BP112)</f>
        <v>0</v>
      </c>
      <c r="BS178">
        <f>IF(ISNA(BT178),NA(),BS112)</f>
        <v>0</v>
      </c>
      <c r="BT178">
        <f>IF(OR(BT112="",AND(BT112=BT111,BT112=BT113)),NA(), BT112)</f>
        <v>0</v>
      </c>
      <c r="BU178">
        <f>IF(ISNA(BV178),NA(),BU112)</f>
        <v>0</v>
      </c>
      <c r="BV178">
        <f>IF(OR(BV112="",AND(BV112=BV111,BV112=BV113)),NA(), BV112)</f>
        <v>0</v>
      </c>
      <c r="BW178">
        <f>IF(ISNA(BX178),NA(),BW112)</f>
        <v>0</v>
      </c>
      <c r="BX178">
        <f>IF(OR(BX112="",AND(BX112=BX111,BX112=BX113)),NA(), BX112)</f>
        <v>0</v>
      </c>
      <c r="BY178">
        <f>IF(ISNA(BZ178),NA(),BY112)</f>
        <v>0</v>
      </c>
      <c r="BZ178">
        <f>IF(OR(BZ112="",AND(BZ112=BZ111,BZ112=BZ113)),NA(), BZ112)</f>
        <v>0</v>
      </c>
      <c r="CA178">
        <f>IF(ISNA(CB178),NA(),CA112)</f>
        <v>0</v>
      </c>
      <c r="CB178">
        <f>IF(OR(CB112="",AND(CB112=CB111,CB112=CB113)),NA(), CB112)</f>
        <v>0</v>
      </c>
      <c r="CC178">
        <f>IF(ISNA(CD178),NA(),CC112)</f>
        <v>0</v>
      </c>
      <c r="CD178">
        <f>IF(OR(CD112="",AND(CD112=CD111,CD112=CD113)),NA(), CD112)</f>
        <v>0</v>
      </c>
      <c r="CE178">
        <f>IF(ISNA(CF178),NA(),CE112)</f>
        <v>0</v>
      </c>
      <c r="CF178">
        <f>IF(OR(CF112="",AND(CF112=CF111,CF112=CF113)),NA(), CF112)</f>
        <v>0</v>
      </c>
      <c r="CG178">
        <f>IF(ISNA(CH178),NA(),CG112)</f>
        <v>0</v>
      </c>
      <c r="CH178">
        <f>IF(OR(CH112="",AND(CH112=CH111,CH112=CH113)),NA(), CH112)</f>
        <v>0</v>
      </c>
      <c r="CI178">
        <f>IF(ISNA(CJ178),NA(),CI112)</f>
        <v>0</v>
      </c>
      <c r="CJ178">
        <f>IF(OR(CJ112="",AND(CJ112=CJ111,CJ112=CJ113)),NA(), CJ112)</f>
        <v>0</v>
      </c>
      <c r="CK178">
        <f>IF(ISNA(CL178),NA(),CK112)</f>
        <v>0</v>
      </c>
      <c r="CL178">
        <f>IF(OR(CL112="",AND(CL112=CL111,CL112=CL113)),NA(), CL112)</f>
        <v>0</v>
      </c>
      <c r="CM178">
        <f>IF(ISNA(CN178),NA(),CM112)</f>
        <v>0</v>
      </c>
      <c r="CN178">
        <f>IF(OR(CN112="",AND(CN112=CN111,CN112=CN113)),NA(), CN112)</f>
        <v>0</v>
      </c>
      <c r="CO178">
        <f>IF(ISNA(CP178),NA(),CO112)</f>
        <v>0</v>
      </c>
      <c r="CP178">
        <f>IF(OR(CP112="",AND(CP112=CP111,CP112=CP113)),NA(), CP112)</f>
        <v>0</v>
      </c>
      <c r="CQ178">
        <f>IF(ISNA(CR178),NA(),CQ112)</f>
        <v>0</v>
      </c>
      <c r="CR178">
        <f>IF(OR(CR112="",AND(CR112=CR111,CR112=CR113)),NA(), CR112)</f>
        <v>0</v>
      </c>
      <c r="CS178">
        <f>IF(ISNA(CT178),NA(),CS112)</f>
        <v>0</v>
      </c>
      <c r="CT178">
        <f>IF(OR(CT112="",AND(CT112=CT111,CT112=CT113)),NA(), CT112)</f>
        <v>0</v>
      </c>
      <c r="CU178">
        <f>IF(ISNA(CV178),NA(),CU112)</f>
        <v>0</v>
      </c>
      <c r="CV178">
        <f>IF(OR(CV112="",AND(CV112=CV111,CV112=CV113)),NA(), CV112)</f>
        <v>0</v>
      </c>
      <c r="CW178">
        <f>IF(ISNA(CX178),NA(),CW112)</f>
        <v>0</v>
      </c>
      <c r="CX178">
        <f>IF(OR(CX112="",AND(CX112=CX111,CX112=CX113)),NA(), CX112)</f>
        <v>0</v>
      </c>
      <c r="CY178">
        <f>IF(ISNA(CZ178),NA(),CY112)</f>
        <v>0</v>
      </c>
      <c r="CZ178">
        <f>IF(OR(CZ112="",AND(CZ112=CZ111,CZ112=CZ113)),NA(), CZ112)</f>
        <v>0</v>
      </c>
      <c r="DA178">
        <f>IF(ISNA(DB178),NA(),DA112)</f>
        <v>0</v>
      </c>
      <c r="DB178">
        <f>IF(OR(DB112="",AND(DB112=DB111,DB112=DB113)),NA(), DB112)</f>
        <v>0</v>
      </c>
      <c r="DC178">
        <f>IF(ISNA(DD178),NA(),DC112)</f>
        <v>0</v>
      </c>
      <c r="DD178">
        <f>IF(OR(DD112="",AND(DD112=DD111,DD112=DD113)),NA(), DD112)</f>
        <v>0</v>
      </c>
      <c r="DE178">
        <f>IF(ISNA(DF178),NA(),DE112)</f>
        <v>0</v>
      </c>
      <c r="DF178">
        <f>IF(OR(DF112="",AND(DF112=DF111,DF112=DF113)),NA(), DF112)</f>
        <v>0</v>
      </c>
      <c r="DG178">
        <f>IF(ISNA(DH178),NA(),DG112)</f>
        <v>0</v>
      </c>
      <c r="DH178">
        <f>IF(OR(DH112="",AND(DH112=DH111,DH112=DH113)),NA(), DH112)</f>
        <v>0</v>
      </c>
      <c r="DI178">
        <f>IF(ISNA(DJ178),NA(),DI112)</f>
        <v>0</v>
      </c>
      <c r="DJ178">
        <f>IF(OR(DJ112="",AND(DJ112=DJ111,DJ112=DJ113)),NA(), DJ112)</f>
        <v>0</v>
      </c>
      <c r="DK178">
        <f>IF(ISNA(DL178),NA(),DK112)</f>
        <v>0</v>
      </c>
      <c r="DL178">
        <f>IF(OR(DL112="",AND(DL112=DL111,DL112=DL113)),NA(), DL112)</f>
        <v>0</v>
      </c>
      <c r="DM178">
        <f>IF(ISNA(DN178),NA(),DM112)</f>
        <v>0</v>
      </c>
      <c r="DN178">
        <f>IF(OR(DN112="",AND(DN112=DN111,DN112=DN113)),NA(), DN112)</f>
        <v>0</v>
      </c>
      <c r="DO178">
        <f>IF(ISNA(DP178),NA(),DO112)</f>
        <v>0</v>
      </c>
      <c r="DP178">
        <f>IF(OR(DP112="",AND(DP112=DP111,DP112=DP113)),NA(), DP112)</f>
        <v>0</v>
      </c>
      <c r="DQ178">
        <f>IF(ISNA(DR178),NA(),DQ112)</f>
        <v>0</v>
      </c>
      <c r="DR178">
        <f>IF(OR(DR112="",AND(DR112=DR111,DR112=DR113)),NA(), DR112)</f>
        <v>0</v>
      </c>
      <c r="DS178">
        <f>IF(ISNA(DT178),NA(),DS112)</f>
        <v>0</v>
      </c>
      <c r="DT178">
        <f>IF(OR(DT112="",AND(DT112=DT111,DT112=DT113)),NA(), DT112)</f>
        <v>0</v>
      </c>
      <c r="DU178">
        <f>IF(ISNA(DV178),NA(),DU112)</f>
        <v>0</v>
      </c>
      <c r="DV178">
        <f>IF(OR(DV112="",AND(DV112=DV111,DV112=DV113)),NA(), DV112)</f>
        <v>0</v>
      </c>
      <c r="DW178">
        <f>IF(ISNA(DX178),NA(),DW112)</f>
        <v>0</v>
      </c>
      <c r="DX178">
        <f>IF(OR(DX112="",AND(DX112=DX111,DX112=DX113)),NA(), DX112)</f>
        <v>0</v>
      </c>
      <c r="DY178">
        <f>IF(ISNA(DZ178),NA(),DY112)</f>
        <v>0</v>
      </c>
      <c r="DZ178">
        <f>IF(OR(DZ112="",AND(DZ112=DZ111,DZ112=DZ113)),NA(), DZ112)</f>
        <v>0</v>
      </c>
      <c r="EA178">
        <f>IF(ISNA(EB178),NA(),EA112)</f>
        <v>0</v>
      </c>
      <c r="EB178">
        <f>IF(OR(EB112="",AND(EB112=EB111,EB112=EB113)),NA(), EB112)</f>
        <v>0</v>
      </c>
      <c r="EC178">
        <f>IF(ISNA(ED178),NA(),EC112)</f>
        <v>0</v>
      </c>
      <c r="ED178">
        <f>IF(OR(ED112="",AND(ED112=ED111,ED112=ED113)),NA(), ED112)</f>
        <v>0</v>
      </c>
    </row>
    <row r="179" spans="5:134">
      <c r="E179">
        <f>IF(ISNA(F179),NA(),E113)</f>
        <v>0</v>
      </c>
      <c r="F179">
        <f>IF(OR(F113="",AND(F113=F112,F113=F114)),NA(), F113)</f>
        <v>0</v>
      </c>
      <c r="G179">
        <f>IF(ISNA(H179),NA(),G113)</f>
        <v>0</v>
      </c>
      <c r="H179">
        <f>IF(OR(H113="",AND(H113=H112,H113=H114)),NA(), H113)</f>
        <v>0</v>
      </c>
      <c r="I179">
        <f>IF(ISNA(J179),NA(),I113)</f>
        <v>0</v>
      </c>
      <c r="J179">
        <f>IF(OR(J113="",AND(J113=J112,J113=J114)),NA(), J113)</f>
        <v>0</v>
      </c>
      <c r="K179">
        <f>IF(ISNA(L179),NA(),K113)</f>
        <v>0</v>
      </c>
      <c r="L179">
        <f>IF(OR(L113="",AND(L113=L112,L113=L114)),NA(), L113)</f>
        <v>0</v>
      </c>
      <c r="M179">
        <f>IF(ISNA(N179),NA(),M113)</f>
        <v>0</v>
      </c>
      <c r="N179">
        <f>IF(OR(N113="",AND(N113=N112,N113=N114)),NA(), N113)</f>
        <v>0</v>
      </c>
      <c r="O179">
        <f>IF(ISNA(P179),NA(),O113)</f>
        <v>0</v>
      </c>
      <c r="P179">
        <f>IF(OR(P113="",AND(P113=P112,P113=P114)),NA(), P113)</f>
        <v>0</v>
      </c>
      <c r="Q179">
        <f>IF(ISNA(R179),NA(),Q113)</f>
        <v>0</v>
      </c>
      <c r="R179">
        <f>IF(OR(R113="",AND(R113=R112,R113=R114)),NA(), R113)</f>
        <v>0</v>
      </c>
      <c r="S179">
        <f>IF(ISNA(T179),NA(),S113)</f>
        <v>0</v>
      </c>
      <c r="T179">
        <f>IF(OR(T113="",AND(T113=T112,T113=T114)),NA(), T113)</f>
        <v>0</v>
      </c>
      <c r="U179">
        <f>IF(ISNA(V179),NA(),U113)</f>
        <v>0</v>
      </c>
      <c r="V179">
        <f>IF(OR(V113="",AND(V113=V112,V113=V114)),NA(), V113)</f>
        <v>0</v>
      </c>
      <c r="W179">
        <f>IF(ISNA(X179),NA(),W113)</f>
        <v>0</v>
      </c>
      <c r="X179">
        <f>IF(OR(X113="",AND(X113=X112,X113=X114)),NA(), X113)</f>
        <v>0</v>
      </c>
      <c r="Y179">
        <f>IF(ISNA(Z179),NA(),Y113)</f>
        <v>0</v>
      </c>
      <c r="Z179">
        <f>IF(OR(Z113="",AND(Z113=Z112,Z113=Z114)),NA(), Z113)</f>
        <v>0</v>
      </c>
      <c r="AA179">
        <f>IF(ISNA(AB179),NA(),AA113)</f>
        <v>0</v>
      </c>
      <c r="AB179">
        <f>IF(OR(AB113="",AND(AB113=AB112,AB113=AB114)),NA(), AB113)</f>
        <v>0</v>
      </c>
      <c r="AC179">
        <f>IF(ISNA(AD179),NA(),AC113)</f>
        <v>0</v>
      </c>
      <c r="AD179">
        <f>IF(OR(AD113="",AND(AD113=AD112,AD113=AD114)),NA(), AD113)</f>
        <v>0</v>
      </c>
      <c r="AE179">
        <f>IF(ISNA(AF179),NA(),AE113)</f>
        <v>0</v>
      </c>
      <c r="AF179">
        <f>IF(OR(AF113="",AND(AF113=AF112,AF113=AF114)),NA(), AF113)</f>
        <v>0</v>
      </c>
      <c r="AG179">
        <f>IF(ISNA(AH179),NA(),AG113)</f>
        <v>0</v>
      </c>
      <c r="AH179">
        <f>IF(OR(AH113="",AND(AH113=AH112,AH113=AH114)),NA(), AH113)</f>
        <v>0</v>
      </c>
      <c r="AI179">
        <f>IF(ISNA(AJ179),NA(),AI113)</f>
        <v>0</v>
      </c>
      <c r="AJ179">
        <f>IF(OR(AJ113="",AND(AJ113=AJ112,AJ113=AJ114)),NA(), AJ113)</f>
        <v>0</v>
      </c>
      <c r="AK179">
        <f>IF(ISNA(AL179),NA(),AK113)</f>
        <v>0</v>
      </c>
      <c r="AL179">
        <f>IF(OR(AL113="",AND(AL113=AL112,AL113=AL114)),NA(), AL113)</f>
        <v>0</v>
      </c>
      <c r="AM179">
        <f>IF(ISNA(AN179),NA(),AM113)</f>
        <v>0</v>
      </c>
      <c r="AN179">
        <f>IF(OR(AN113="",AND(AN113=AN112,AN113=AN114)),NA(), AN113)</f>
        <v>0</v>
      </c>
      <c r="AO179">
        <f>IF(ISNA(AP179),NA(),AO113)</f>
        <v>0</v>
      </c>
      <c r="AP179">
        <f>IF(OR(AP113="",AND(AP113=AP112,AP113=AP114)),NA(), AP113)</f>
        <v>0</v>
      </c>
      <c r="AQ179">
        <f>IF(ISNA(AR179),NA(),AQ113)</f>
        <v>0</v>
      </c>
      <c r="AR179">
        <f>IF(OR(AR113="",AND(AR113=AR112,AR113=AR114)),NA(), AR113)</f>
        <v>0</v>
      </c>
      <c r="AS179">
        <f>IF(ISNA(AT179),NA(),AS113)</f>
        <v>0</v>
      </c>
      <c r="AT179">
        <f>IF(OR(AT113="",AND(AT113=AT112,AT113=AT114)),NA(), AT113)</f>
        <v>0</v>
      </c>
      <c r="AU179">
        <f>IF(ISNA(AV179),NA(),AU113)</f>
        <v>0</v>
      </c>
      <c r="AV179">
        <f>IF(OR(AV113="",AND(AV113=AV112,AV113=AV114)),NA(), AV113)</f>
        <v>0</v>
      </c>
      <c r="AW179">
        <f>IF(ISNA(AX179),NA(),AW113)</f>
        <v>0</v>
      </c>
      <c r="AX179">
        <f>IF(OR(AX113="",AND(AX113=AX112,AX113=AX114)),NA(), AX113)</f>
        <v>0</v>
      </c>
      <c r="AY179">
        <f>IF(ISNA(AZ179),NA(),AY113)</f>
        <v>0</v>
      </c>
      <c r="AZ179">
        <f>IF(OR(AZ113="",AND(AZ113=AZ112,AZ113=AZ114)),NA(), AZ113)</f>
        <v>0</v>
      </c>
      <c r="BA179">
        <f>IF(ISNA(BB179),NA(),BA113)</f>
        <v>0</v>
      </c>
      <c r="BB179">
        <f>IF(OR(BB113="",AND(BB113=BB112,BB113=BB114)),NA(), BB113)</f>
        <v>0</v>
      </c>
      <c r="BC179">
        <f>IF(ISNA(BD179),NA(),BC113)</f>
        <v>0</v>
      </c>
      <c r="BD179">
        <f>IF(OR(BD113="",AND(BD113=BD112,BD113=BD114)),NA(), BD113)</f>
        <v>0</v>
      </c>
      <c r="BE179">
        <f>IF(ISNA(BF179),NA(),BE113)</f>
        <v>0</v>
      </c>
      <c r="BF179">
        <f>IF(OR(BF113="",AND(BF113=BF112,BF113=BF114)),NA(), BF113)</f>
        <v>0</v>
      </c>
      <c r="BG179">
        <f>IF(ISNA(BH179),NA(),BG113)</f>
        <v>0</v>
      </c>
      <c r="BH179">
        <f>IF(OR(BH113="",AND(BH113=BH112,BH113=BH114)),NA(), BH113)</f>
        <v>0</v>
      </c>
      <c r="BI179">
        <f>IF(ISNA(BJ179),NA(),BI113)</f>
        <v>0</v>
      </c>
      <c r="BJ179">
        <f>IF(OR(BJ113="",AND(BJ113=BJ112,BJ113=BJ114)),NA(), BJ113)</f>
        <v>0</v>
      </c>
      <c r="BK179">
        <f>IF(ISNA(BL179),NA(),BK113)</f>
        <v>0</v>
      </c>
      <c r="BL179">
        <f>IF(OR(BL113="",AND(BL113=BL112,BL113=BL114)),NA(), BL113)</f>
        <v>0</v>
      </c>
      <c r="BM179">
        <f>IF(ISNA(BN179),NA(),BM113)</f>
        <v>0</v>
      </c>
      <c r="BN179">
        <f>IF(OR(BN113="",AND(BN113=BN112,BN113=BN114)),NA(), BN113)</f>
        <v>0</v>
      </c>
      <c r="BO179">
        <f>IF(ISNA(BP179),NA(),BO113)</f>
        <v>0</v>
      </c>
      <c r="BP179">
        <f>IF(OR(BP113="",AND(BP113=BP112,BP113=BP114)),NA(), BP113)</f>
        <v>0</v>
      </c>
      <c r="BS179">
        <f>IF(ISNA(BT179),NA(),BS113)</f>
        <v>0</v>
      </c>
      <c r="BT179">
        <f>IF(OR(BT113="",AND(BT113=BT112,BT113=BT114)),NA(), BT113)</f>
        <v>0</v>
      </c>
      <c r="BU179">
        <f>IF(ISNA(BV179),NA(),BU113)</f>
        <v>0</v>
      </c>
      <c r="BV179">
        <f>IF(OR(BV113="",AND(BV113=BV112,BV113=BV114)),NA(), BV113)</f>
        <v>0</v>
      </c>
      <c r="BW179">
        <f>IF(ISNA(BX179),NA(),BW113)</f>
        <v>0</v>
      </c>
      <c r="BX179">
        <f>IF(OR(BX113="",AND(BX113=BX112,BX113=BX114)),NA(), BX113)</f>
        <v>0</v>
      </c>
      <c r="BY179">
        <f>IF(ISNA(BZ179),NA(),BY113)</f>
        <v>0</v>
      </c>
      <c r="BZ179">
        <f>IF(OR(BZ113="",AND(BZ113=BZ112,BZ113=BZ114)),NA(), BZ113)</f>
        <v>0</v>
      </c>
      <c r="CA179">
        <f>IF(ISNA(CB179),NA(),CA113)</f>
        <v>0</v>
      </c>
      <c r="CB179">
        <f>IF(OR(CB113="",AND(CB113=CB112,CB113=CB114)),NA(), CB113)</f>
        <v>0</v>
      </c>
      <c r="CC179">
        <f>IF(ISNA(CD179),NA(),CC113)</f>
        <v>0</v>
      </c>
      <c r="CD179">
        <f>IF(OR(CD113="",AND(CD113=CD112,CD113=CD114)),NA(), CD113)</f>
        <v>0</v>
      </c>
      <c r="CE179">
        <f>IF(ISNA(CF179),NA(),CE113)</f>
        <v>0</v>
      </c>
      <c r="CF179">
        <f>IF(OR(CF113="",AND(CF113=CF112,CF113=CF114)),NA(), CF113)</f>
        <v>0</v>
      </c>
      <c r="CG179">
        <f>IF(ISNA(CH179),NA(),CG113)</f>
        <v>0</v>
      </c>
      <c r="CH179">
        <f>IF(OR(CH113="",AND(CH113=CH112,CH113=CH114)),NA(), CH113)</f>
        <v>0</v>
      </c>
      <c r="CI179">
        <f>IF(ISNA(CJ179),NA(),CI113)</f>
        <v>0</v>
      </c>
      <c r="CJ179">
        <f>IF(OR(CJ113="",AND(CJ113=CJ112,CJ113=CJ114)),NA(), CJ113)</f>
        <v>0</v>
      </c>
      <c r="CK179">
        <f>IF(ISNA(CL179),NA(),CK113)</f>
        <v>0</v>
      </c>
      <c r="CL179">
        <f>IF(OR(CL113="",AND(CL113=CL112,CL113=CL114)),NA(), CL113)</f>
        <v>0</v>
      </c>
      <c r="CM179">
        <f>IF(ISNA(CN179),NA(),CM113)</f>
        <v>0</v>
      </c>
      <c r="CN179">
        <f>IF(OR(CN113="",AND(CN113=CN112,CN113=CN114)),NA(), CN113)</f>
        <v>0</v>
      </c>
      <c r="CO179">
        <f>IF(ISNA(CP179),NA(),CO113)</f>
        <v>0</v>
      </c>
      <c r="CP179">
        <f>IF(OR(CP113="",AND(CP113=CP112,CP113=CP114)),NA(), CP113)</f>
        <v>0</v>
      </c>
      <c r="CQ179">
        <f>IF(ISNA(CR179),NA(),CQ113)</f>
        <v>0</v>
      </c>
      <c r="CR179">
        <f>IF(OR(CR113="",AND(CR113=CR112,CR113=CR114)),NA(), CR113)</f>
        <v>0</v>
      </c>
      <c r="CS179">
        <f>IF(ISNA(CT179),NA(),CS113)</f>
        <v>0</v>
      </c>
      <c r="CT179">
        <f>IF(OR(CT113="",AND(CT113=CT112,CT113=CT114)),NA(), CT113)</f>
        <v>0</v>
      </c>
      <c r="CU179">
        <f>IF(ISNA(CV179),NA(),CU113)</f>
        <v>0</v>
      </c>
      <c r="CV179">
        <f>IF(OR(CV113="",AND(CV113=CV112,CV113=CV114)),NA(), CV113)</f>
        <v>0</v>
      </c>
      <c r="CW179">
        <f>IF(ISNA(CX179),NA(),CW113)</f>
        <v>0</v>
      </c>
      <c r="CX179">
        <f>IF(OR(CX113="",AND(CX113=CX112,CX113=CX114)),NA(), CX113)</f>
        <v>0</v>
      </c>
      <c r="CY179">
        <f>IF(ISNA(CZ179),NA(),CY113)</f>
        <v>0</v>
      </c>
      <c r="CZ179">
        <f>IF(OR(CZ113="",AND(CZ113=CZ112,CZ113=CZ114)),NA(), CZ113)</f>
        <v>0</v>
      </c>
      <c r="DA179">
        <f>IF(ISNA(DB179),NA(),DA113)</f>
        <v>0</v>
      </c>
      <c r="DB179">
        <f>IF(OR(DB113="",AND(DB113=DB112,DB113=DB114)),NA(), DB113)</f>
        <v>0</v>
      </c>
      <c r="DC179">
        <f>IF(ISNA(DD179),NA(),DC113)</f>
        <v>0</v>
      </c>
      <c r="DD179">
        <f>IF(OR(DD113="",AND(DD113=DD112,DD113=DD114)),NA(), DD113)</f>
        <v>0</v>
      </c>
      <c r="DE179">
        <f>IF(ISNA(DF179),NA(),DE113)</f>
        <v>0</v>
      </c>
      <c r="DF179">
        <f>IF(OR(DF113="",AND(DF113=DF112,DF113=DF114)),NA(), DF113)</f>
        <v>0</v>
      </c>
      <c r="DG179">
        <f>IF(ISNA(DH179),NA(),DG113)</f>
        <v>0</v>
      </c>
      <c r="DH179">
        <f>IF(OR(DH113="",AND(DH113=DH112,DH113=DH114)),NA(), DH113)</f>
        <v>0</v>
      </c>
      <c r="DI179">
        <f>IF(ISNA(DJ179),NA(),DI113)</f>
        <v>0</v>
      </c>
      <c r="DJ179">
        <f>IF(OR(DJ113="",AND(DJ113=DJ112,DJ113=DJ114)),NA(), DJ113)</f>
        <v>0</v>
      </c>
      <c r="DK179">
        <f>IF(ISNA(DL179),NA(),DK113)</f>
        <v>0</v>
      </c>
      <c r="DL179">
        <f>IF(OR(DL113="",AND(DL113=DL112,DL113=DL114)),NA(), DL113)</f>
        <v>0</v>
      </c>
      <c r="DM179">
        <f>IF(ISNA(DN179),NA(),DM113)</f>
        <v>0</v>
      </c>
      <c r="DN179">
        <f>IF(OR(DN113="",AND(DN113=DN112,DN113=DN114)),NA(), DN113)</f>
        <v>0</v>
      </c>
      <c r="DO179">
        <f>IF(ISNA(DP179),NA(),DO113)</f>
        <v>0</v>
      </c>
      <c r="DP179">
        <f>IF(OR(DP113="",AND(DP113=DP112,DP113=DP114)),NA(), DP113)</f>
        <v>0</v>
      </c>
      <c r="DQ179">
        <f>IF(ISNA(DR179),NA(),DQ113)</f>
        <v>0</v>
      </c>
      <c r="DR179">
        <f>IF(OR(DR113="",AND(DR113=DR112,DR113=DR114)),NA(), DR113)</f>
        <v>0</v>
      </c>
      <c r="DS179">
        <f>IF(ISNA(DT179),NA(),DS113)</f>
        <v>0</v>
      </c>
      <c r="DT179">
        <f>IF(OR(DT113="",AND(DT113=DT112,DT113=DT114)),NA(), DT113)</f>
        <v>0</v>
      </c>
      <c r="DU179">
        <f>IF(ISNA(DV179),NA(),DU113)</f>
        <v>0</v>
      </c>
      <c r="DV179">
        <f>IF(OR(DV113="",AND(DV113=DV112,DV113=DV114)),NA(), DV113)</f>
        <v>0</v>
      </c>
      <c r="DW179">
        <f>IF(ISNA(DX179),NA(),DW113)</f>
        <v>0</v>
      </c>
      <c r="DX179">
        <f>IF(OR(DX113="",AND(DX113=DX112,DX113=DX114)),NA(), DX113)</f>
        <v>0</v>
      </c>
      <c r="DY179">
        <f>IF(ISNA(DZ179),NA(),DY113)</f>
        <v>0</v>
      </c>
      <c r="DZ179">
        <f>IF(OR(DZ113="",AND(DZ113=DZ112,DZ113=DZ114)),NA(), DZ113)</f>
        <v>0</v>
      </c>
      <c r="EA179">
        <f>IF(ISNA(EB179),NA(),EA113)</f>
        <v>0</v>
      </c>
      <c r="EB179">
        <f>IF(OR(EB113="",AND(EB113=EB112,EB113=EB114)),NA(), EB113)</f>
        <v>0</v>
      </c>
      <c r="EC179">
        <f>IF(ISNA(ED179),NA(),EC113)</f>
        <v>0</v>
      </c>
      <c r="ED179">
        <f>IF(OR(ED113="",AND(ED113=ED112,ED113=ED114)),NA(), ED113)</f>
        <v>0</v>
      </c>
    </row>
    <row r="180" spans="5:134">
      <c r="E180">
        <f>IF(ISNA(F180),NA(),E114)</f>
        <v>0</v>
      </c>
      <c r="F180">
        <f>IF(OR(F114="",AND(F114=F113,F114=F115)),NA(), F114)</f>
        <v>0</v>
      </c>
      <c r="G180">
        <f>IF(ISNA(H180),NA(),G114)</f>
        <v>0</v>
      </c>
      <c r="H180">
        <f>IF(OR(H114="",AND(H114=H113,H114=H115)),NA(), H114)</f>
        <v>0</v>
      </c>
      <c r="I180">
        <f>IF(ISNA(J180),NA(),I114)</f>
        <v>0</v>
      </c>
      <c r="J180">
        <f>IF(OR(J114="",AND(J114=J113,J114=J115)),NA(), J114)</f>
        <v>0</v>
      </c>
      <c r="K180">
        <f>IF(ISNA(L180),NA(),K114)</f>
        <v>0</v>
      </c>
      <c r="L180">
        <f>IF(OR(L114="",AND(L114=L113,L114=L115)),NA(), L114)</f>
        <v>0</v>
      </c>
      <c r="M180">
        <f>IF(ISNA(N180),NA(),M114)</f>
        <v>0</v>
      </c>
      <c r="N180">
        <f>IF(OR(N114="",AND(N114=N113,N114=N115)),NA(), N114)</f>
        <v>0</v>
      </c>
      <c r="O180">
        <f>IF(ISNA(P180),NA(),O114)</f>
        <v>0</v>
      </c>
      <c r="P180">
        <f>IF(OR(P114="",AND(P114=P113,P114=P115)),NA(), P114)</f>
        <v>0</v>
      </c>
      <c r="Q180">
        <f>IF(ISNA(R180),NA(),Q114)</f>
        <v>0</v>
      </c>
      <c r="R180">
        <f>IF(OR(R114="",AND(R114=R113,R114=R115)),NA(), R114)</f>
        <v>0</v>
      </c>
      <c r="S180">
        <f>IF(ISNA(T180),NA(),S114)</f>
        <v>0</v>
      </c>
      <c r="T180">
        <f>IF(OR(T114="",AND(T114=T113,T114=T115)),NA(), T114)</f>
        <v>0</v>
      </c>
      <c r="U180">
        <f>IF(ISNA(V180),NA(),U114)</f>
        <v>0</v>
      </c>
      <c r="V180">
        <f>IF(OR(V114="",AND(V114=V113,V114=V115)),NA(), V114)</f>
        <v>0</v>
      </c>
      <c r="W180">
        <f>IF(ISNA(X180),NA(),W114)</f>
        <v>0</v>
      </c>
      <c r="X180">
        <f>IF(OR(X114="",AND(X114=X113,X114=X115)),NA(), X114)</f>
        <v>0</v>
      </c>
      <c r="Y180">
        <f>IF(ISNA(Z180),NA(),Y114)</f>
        <v>0</v>
      </c>
      <c r="Z180">
        <f>IF(OR(Z114="",AND(Z114=Z113,Z114=Z115)),NA(), Z114)</f>
        <v>0</v>
      </c>
      <c r="AA180">
        <f>IF(ISNA(AB180),NA(),AA114)</f>
        <v>0</v>
      </c>
      <c r="AB180">
        <f>IF(OR(AB114="",AND(AB114=AB113,AB114=AB115)),NA(), AB114)</f>
        <v>0</v>
      </c>
      <c r="AC180">
        <f>IF(ISNA(AD180),NA(),AC114)</f>
        <v>0</v>
      </c>
      <c r="AD180">
        <f>IF(OR(AD114="",AND(AD114=AD113,AD114=AD115)),NA(), AD114)</f>
        <v>0</v>
      </c>
      <c r="AE180">
        <f>IF(ISNA(AF180),NA(),AE114)</f>
        <v>0</v>
      </c>
      <c r="AF180">
        <f>IF(OR(AF114="",AND(AF114=AF113,AF114=AF115)),NA(), AF114)</f>
        <v>0</v>
      </c>
      <c r="AG180">
        <f>IF(ISNA(AH180),NA(),AG114)</f>
        <v>0</v>
      </c>
      <c r="AH180">
        <f>IF(OR(AH114="",AND(AH114=AH113,AH114=AH115)),NA(), AH114)</f>
        <v>0</v>
      </c>
      <c r="AI180">
        <f>IF(ISNA(AJ180),NA(),AI114)</f>
        <v>0</v>
      </c>
      <c r="AJ180">
        <f>IF(OR(AJ114="",AND(AJ114=AJ113,AJ114=AJ115)),NA(), AJ114)</f>
        <v>0</v>
      </c>
      <c r="AK180">
        <f>IF(ISNA(AL180),NA(),AK114)</f>
        <v>0</v>
      </c>
      <c r="AL180">
        <f>IF(OR(AL114="",AND(AL114=AL113,AL114=AL115)),NA(), AL114)</f>
        <v>0</v>
      </c>
      <c r="AM180">
        <f>IF(ISNA(AN180),NA(),AM114)</f>
        <v>0</v>
      </c>
      <c r="AN180">
        <f>IF(OR(AN114="",AND(AN114=AN113,AN114=AN115)),NA(), AN114)</f>
        <v>0</v>
      </c>
      <c r="AO180">
        <f>IF(ISNA(AP180),NA(),AO114)</f>
        <v>0</v>
      </c>
      <c r="AP180">
        <f>IF(OR(AP114="",AND(AP114=AP113,AP114=AP115)),NA(), AP114)</f>
        <v>0</v>
      </c>
      <c r="AQ180">
        <f>IF(ISNA(AR180),NA(),AQ114)</f>
        <v>0</v>
      </c>
      <c r="AR180">
        <f>IF(OR(AR114="",AND(AR114=AR113,AR114=AR115)),NA(), AR114)</f>
        <v>0</v>
      </c>
      <c r="AS180">
        <f>IF(ISNA(AT180),NA(),AS114)</f>
        <v>0</v>
      </c>
      <c r="AT180">
        <f>IF(OR(AT114="",AND(AT114=AT113,AT114=AT115)),NA(), AT114)</f>
        <v>0</v>
      </c>
      <c r="AU180">
        <f>IF(ISNA(AV180),NA(),AU114)</f>
        <v>0</v>
      </c>
      <c r="AV180">
        <f>IF(OR(AV114="",AND(AV114=AV113,AV114=AV115)),NA(), AV114)</f>
        <v>0</v>
      </c>
      <c r="AW180">
        <f>IF(ISNA(AX180),NA(),AW114)</f>
        <v>0</v>
      </c>
      <c r="AX180">
        <f>IF(OR(AX114="",AND(AX114=AX113,AX114=AX115)),NA(), AX114)</f>
        <v>0</v>
      </c>
      <c r="AY180">
        <f>IF(ISNA(AZ180),NA(),AY114)</f>
        <v>0</v>
      </c>
      <c r="AZ180">
        <f>IF(OR(AZ114="",AND(AZ114=AZ113,AZ114=AZ115)),NA(), AZ114)</f>
        <v>0</v>
      </c>
      <c r="BA180">
        <f>IF(ISNA(BB180),NA(),BA114)</f>
        <v>0</v>
      </c>
      <c r="BB180">
        <f>IF(OR(BB114="",AND(BB114=BB113,BB114=BB115)),NA(), BB114)</f>
        <v>0</v>
      </c>
      <c r="BC180">
        <f>IF(ISNA(BD180),NA(),BC114)</f>
        <v>0</v>
      </c>
      <c r="BD180">
        <f>IF(OR(BD114="",AND(BD114=BD113,BD114=BD115)),NA(), BD114)</f>
        <v>0</v>
      </c>
      <c r="BE180">
        <f>IF(ISNA(BF180),NA(),BE114)</f>
        <v>0</v>
      </c>
      <c r="BF180">
        <f>IF(OR(BF114="",AND(BF114=BF113,BF114=BF115)),NA(), BF114)</f>
        <v>0</v>
      </c>
      <c r="BG180">
        <f>IF(ISNA(BH180),NA(),BG114)</f>
        <v>0</v>
      </c>
      <c r="BH180">
        <f>IF(OR(BH114="",AND(BH114=BH113,BH114=BH115)),NA(), BH114)</f>
        <v>0</v>
      </c>
      <c r="BI180">
        <f>IF(ISNA(BJ180),NA(),BI114)</f>
        <v>0</v>
      </c>
      <c r="BJ180">
        <f>IF(OR(BJ114="",AND(BJ114=BJ113,BJ114=BJ115)),NA(), BJ114)</f>
        <v>0</v>
      </c>
      <c r="BK180">
        <f>IF(ISNA(BL180),NA(),BK114)</f>
        <v>0</v>
      </c>
      <c r="BL180">
        <f>IF(OR(BL114="",AND(BL114=BL113,BL114=BL115)),NA(), BL114)</f>
        <v>0</v>
      </c>
      <c r="BM180">
        <f>IF(ISNA(BN180),NA(),BM114)</f>
        <v>0</v>
      </c>
      <c r="BN180">
        <f>IF(OR(BN114="",AND(BN114=BN113,BN114=BN115)),NA(), BN114)</f>
        <v>0</v>
      </c>
      <c r="BO180">
        <f>IF(ISNA(BP180),NA(),BO114)</f>
        <v>0</v>
      </c>
      <c r="BP180">
        <f>IF(OR(BP114="",AND(BP114=BP113,BP114=BP115)),NA(), BP114)</f>
        <v>0</v>
      </c>
      <c r="BS180">
        <f>IF(ISNA(BT180),NA(),BS114)</f>
        <v>0</v>
      </c>
      <c r="BT180">
        <f>IF(OR(BT114="",AND(BT114=BT113,BT114=BT115)),NA(), BT114)</f>
        <v>0</v>
      </c>
      <c r="BU180">
        <f>IF(ISNA(BV180),NA(),BU114)</f>
        <v>0</v>
      </c>
      <c r="BV180">
        <f>IF(OR(BV114="",AND(BV114=BV113,BV114=BV115)),NA(), BV114)</f>
        <v>0</v>
      </c>
      <c r="BW180">
        <f>IF(ISNA(BX180),NA(),BW114)</f>
        <v>0</v>
      </c>
      <c r="BX180">
        <f>IF(OR(BX114="",AND(BX114=BX113,BX114=BX115)),NA(), BX114)</f>
        <v>0</v>
      </c>
      <c r="BY180">
        <f>IF(ISNA(BZ180),NA(),BY114)</f>
        <v>0</v>
      </c>
      <c r="BZ180">
        <f>IF(OR(BZ114="",AND(BZ114=BZ113,BZ114=BZ115)),NA(), BZ114)</f>
        <v>0</v>
      </c>
      <c r="CA180">
        <f>IF(ISNA(CB180),NA(),CA114)</f>
        <v>0</v>
      </c>
      <c r="CB180">
        <f>IF(OR(CB114="",AND(CB114=CB113,CB114=CB115)),NA(), CB114)</f>
        <v>0</v>
      </c>
      <c r="CC180">
        <f>IF(ISNA(CD180),NA(),CC114)</f>
        <v>0</v>
      </c>
      <c r="CD180">
        <f>IF(OR(CD114="",AND(CD114=CD113,CD114=CD115)),NA(), CD114)</f>
        <v>0</v>
      </c>
      <c r="CE180">
        <f>IF(ISNA(CF180),NA(),CE114)</f>
        <v>0</v>
      </c>
      <c r="CF180">
        <f>IF(OR(CF114="",AND(CF114=CF113,CF114=CF115)),NA(), CF114)</f>
        <v>0</v>
      </c>
      <c r="CG180">
        <f>IF(ISNA(CH180),NA(),CG114)</f>
        <v>0</v>
      </c>
      <c r="CH180">
        <f>IF(OR(CH114="",AND(CH114=CH113,CH114=CH115)),NA(), CH114)</f>
        <v>0</v>
      </c>
      <c r="CI180">
        <f>IF(ISNA(CJ180),NA(),CI114)</f>
        <v>0</v>
      </c>
      <c r="CJ180">
        <f>IF(OR(CJ114="",AND(CJ114=CJ113,CJ114=CJ115)),NA(), CJ114)</f>
        <v>0</v>
      </c>
      <c r="CK180">
        <f>IF(ISNA(CL180),NA(),CK114)</f>
        <v>0</v>
      </c>
      <c r="CL180">
        <f>IF(OR(CL114="",AND(CL114=CL113,CL114=CL115)),NA(), CL114)</f>
        <v>0</v>
      </c>
      <c r="CM180">
        <f>IF(ISNA(CN180),NA(),CM114)</f>
        <v>0</v>
      </c>
      <c r="CN180">
        <f>IF(OR(CN114="",AND(CN114=CN113,CN114=CN115)),NA(), CN114)</f>
        <v>0</v>
      </c>
      <c r="CO180">
        <f>IF(ISNA(CP180),NA(),CO114)</f>
        <v>0</v>
      </c>
      <c r="CP180">
        <f>IF(OR(CP114="",AND(CP114=CP113,CP114=CP115)),NA(), CP114)</f>
        <v>0</v>
      </c>
      <c r="CQ180">
        <f>IF(ISNA(CR180),NA(),CQ114)</f>
        <v>0</v>
      </c>
      <c r="CR180">
        <f>IF(OR(CR114="",AND(CR114=CR113,CR114=CR115)),NA(), CR114)</f>
        <v>0</v>
      </c>
      <c r="CS180">
        <f>IF(ISNA(CT180),NA(),CS114)</f>
        <v>0</v>
      </c>
      <c r="CT180">
        <f>IF(OR(CT114="",AND(CT114=CT113,CT114=CT115)),NA(), CT114)</f>
        <v>0</v>
      </c>
      <c r="CU180">
        <f>IF(ISNA(CV180),NA(),CU114)</f>
        <v>0</v>
      </c>
      <c r="CV180">
        <f>IF(OR(CV114="",AND(CV114=CV113,CV114=CV115)),NA(), CV114)</f>
        <v>0</v>
      </c>
      <c r="CW180">
        <f>IF(ISNA(CX180),NA(),CW114)</f>
        <v>0</v>
      </c>
      <c r="CX180">
        <f>IF(OR(CX114="",AND(CX114=CX113,CX114=CX115)),NA(), CX114)</f>
        <v>0</v>
      </c>
      <c r="CY180">
        <f>IF(ISNA(CZ180),NA(),CY114)</f>
        <v>0</v>
      </c>
      <c r="CZ180">
        <f>IF(OR(CZ114="",AND(CZ114=CZ113,CZ114=CZ115)),NA(), CZ114)</f>
        <v>0</v>
      </c>
      <c r="DA180">
        <f>IF(ISNA(DB180),NA(),DA114)</f>
        <v>0</v>
      </c>
      <c r="DB180">
        <f>IF(OR(DB114="",AND(DB114=DB113,DB114=DB115)),NA(), DB114)</f>
        <v>0</v>
      </c>
      <c r="DC180">
        <f>IF(ISNA(DD180),NA(),DC114)</f>
        <v>0</v>
      </c>
      <c r="DD180">
        <f>IF(OR(DD114="",AND(DD114=DD113,DD114=DD115)),NA(), DD114)</f>
        <v>0</v>
      </c>
      <c r="DE180">
        <f>IF(ISNA(DF180),NA(),DE114)</f>
        <v>0</v>
      </c>
      <c r="DF180">
        <f>IF(OR(DF114="",AND(DF114=DF113,DF114=DF115)),NA(), DF114)</f>
        <v>0</v>
      </c>
      <c r="DG180">
        <f>IF(ISNA(DH180),NA(),DG114)</f>
        <v>0</v>
      </c>
      <c r="DH180">
        <f>IF(OR(DH114="",AND(DH114=DH113,DH114=DH115)),NA(), DH114)</f>
        <v>0</v>
      </c>
      <c r="DI180">
        <f>IF(ISNA(DJ180),NA(),DI114)</f>
        <v>0</v>
      </c>
      <c r="DJ180">
        <f>IF(OR(DJ114="",AND(DJ114=DJ113,DJ114=DJ115)),NA(), DJ114)</f>
        <v>0</v>
      </c>
      <c r="DK180">
        <f>IF(ISNA(DL180),NA(),DK114)</f>
        <v>0</v>
      </c>
      <c r="DL180">
        <f>IF(OR(DL114="",AND(DL114=DL113,DL114=DL115)),NA(), DL114)</f>
        <v>0</v>
      </c>
      <c r="DM180">
        <f>IF(ISNA(DN180),NA(),DM114)</f>
        <v>0</v>
      </c>
      <c r="DN180">
        <f>IF(OR(DN114="",AND(DN114=DN113,DN114=DN115)),NA(), DN114)</f>
        <v>0</v>
      </c>
      <c r="DO180">
        <f>IF(ISNA(DP180),NA(),DO114)</f>
        <v>0</v>
      </c>
      <c r="DP180">
        <f>IF(OR(DP114="",AND(DP114=DP113,DP114=DP115)),NA(), DP114)</f>
        <v>0</v>
      </c>
      <c r="DQ180">
        <f>IF(ISNA(DR180),NA(),DQ114)</f>
        <v>0</v>
      </c>
      <c r="DR180">
        <f>IF(OR(DR114="",AND(DR114=DR113,DR114=DR115)),NA(), DR114)</f>
        <v>0</v>
      </c>
      <c r="DS180">
        <f>IF(ISNA(DT180),NA(),DS114)</f>
        <v>0</v>
      </c>
      <c r="DT180">
        <f>IF(OR(DT114="",AND(DT114=DT113,DT114=DT115)),NA(), DT114)</f>
        <v>0</v>
      </c>
      <c r="DU180">
        <f>IF(ISNA(DV180),NA(),DU114)</f>
        <v>0</v>
      </c>
      <c r="DV180">
        <f>IF(OR(DV114="",AND(DV114=DV113,DV114=DV115)),NA(), DV114)</f>
        <v>0</v>
      </c>
      <c r="DW180">
        <f>IF(ISNA(DX180),NA(),DW114)</f>
        <v>0</v>
      </c>
      <c r="DX180">
        <f>IF(OR(DX114="",AND(DX114=DX113,DX114=DX115)),NA(), DX114)</f>
        <v>0</v>
      </c>
      <c r="DY180">
        <f>IF(ISNA(DZ180),NA(),DY114)</f>
        <v>0</v>
      </c>
      <c r="DZ180">
        <f>IF(OR(DZ114="",AND(DZ114=DZ113,DZ114=DZ115)),NA(), DZ114)</f>
        <v>0</v>
      </c>
      <c r="EA180">
        <f>IF(ISNA(EB180),NA(),EA114)</f>
        <v>0</v>
      </c>
      <c r="EB180">
        <f>IF(OR(EB114="",AND(EB114=EB113,EB114=EB115)),NA(), EB114)</f>
        <v>0</v>
      </c>
      <c r="EC180">
        <f>IF(ISNA(ED180),NA(),EC114)</f>
        <v>0</v>
      </c>
      <c r="ED180">
        <f>IF(OR(ED114="",AND(ED114=ED113,ED114=ED115)),NA(), ED114)</f>
        <v>0</v>
      </c>
    </row>
    <row r="181" spans="5:134">
      <c r="E181">
        <f>IF(ISNA(F181),NA(),E115)</f>
        <v>0</v>
      </c>
      <c r="F181">
        <f>IF(OR(F115="",AND(F115=F114,F115=F116)),NA(), F115)</f>
        <v>0</v>
      </c>
      <c r="G181">
        <f>IF(ISNA(H181),NA(),G115)</f>
        <v>0</v>
      </c>
      <c r="H181">
        <f>IF(OR(H115="",AND(H115=H114,H115=H116)),NA(), H115)</f>
        <v>0</v>
      </c>
      <c r="I181">
        <f>IF(ISNA(J181),NA(),I115)</f>
        <v>0</v>
      </c>
      <c r="J181">
        <f>IF(OR(J115="",AND(J115=J114,J115=J116)),NA(), J115)</f>
        <v>0</v>
      </c>
      <c r="K181">
        <f>IF(ISNA(L181),NA(),K115)</f>
        <v>0</v>
      </c>
      <c r="L181">
        <f>IF(OR(L115="",AND(L115=L114,L115=L116)),NA(), L115)</f>
        <v>0</v>
      </c>
      <c r="M181">
        <f>IF(ISNA(N181),NA(),M115)</f>
        <v>0</v>
      </c>
      <c r="N181">
        <f>IF(OR(N115="",AND(N115=N114,N115=N116)),NA(), N115)</f>
        <v>0</v>
      </c>
      <c r="O181">
        <f>IF(ISNA(P181),NA(),O115)</f>
        <v>0</v>
      </c>
      <c r="P181">
        <f>IF(OR(P115="",AND(P115=P114,P115=P116)),NA(), P115)</f>
        <v>0</v>
      </c>
      <c r="Q181">
        <f>IF(ISNA(R181),NA(),Q115)</f>
        <v>0</v>
      </c>
      <c r="R181">
        <f>IF(OR(R115="",AND(R115=R114,R115=R116)),NA(), R115)</f>
        <v>0</v>
      </c>
      <c r="S181">
        <f>IF(ISNA(T181),NA(),S115)</f>
        <v>0</v>
      </c>
      <c r="T181">
        <f>IF(OR(T115="",AND(T115=T114,T115=T116)),NA(), T115)</f>
        <v>0</v>
      </c>
      <c r="U181">
        <f>IF(ISNA(V181),NA(),U115)</f>
        <v>0</v>
      </c>
      <c r="V181">
        <f>IF(OR(V115="",AND(V115=V114,V115=V116)),NA(), V115)</f>
        <v>0</v>
      </c>
      <c r="W181">
        <f>IF(ISNA(X181),NA(),W115)</f>
        <v>0</v>
      </c>
      <c r="X181">
        <f>IF(OR(X115="",AND(X115=X114,X115=X116)),NA(), X115)</f>
        <v>0</v>
      </c>
      <c r="Y181">
        <f>IF(ISNA(Z181),NA(),Y115)</f>
        <v>0</v>
      </c>
      <c r="Z181">
        <f>IF(OR(Z115="",AND(Z115=Z114,Z115=Z116)),NA(), Z115)</f>
        <v>0</v>
      </c>
      <c r="AA181">
        <f>IF(ISNA(AB181),NA(),AA115)</f>
        <v>0</v>
      </c>
      <c r="AB181">
        <f>IF(OR(AB115="",AND(AB115=AB114,AB115=AB116)),NA(), AB115)</f>
        <v>0</v>
      </c>
      <c r="AC181">
        <f>IF(ISNA(AD181),NA(),AC115)</f>
        <v>0</v>
      </c>
      <c r="AD181">
        <f>IF(OR(AD115="",AND(AD115=AD114,AD115=AD116)),NA(), AD115)</f>
        <v>0</v>
      </c>
      <c r="AE181">
        <f>IF(ISNA(AF181),NA(),AE115)</f>
        <v>0</v>
      </c>
      <c r="AF181">
        <f>IF(OR(AF115="",AND(AF115=AF114,AF115=AF116)),NA(), AF115)</f>
        <v>0</v>
      </c>
      <c r="AG181">
        <f>IF(ISNA(AH181),NA(),AG115)</f>
        <v>0</v>
      </c>
      <c r="AH181">
        <f>IF(OR(AH115="",AND(AH115=AH114,AH115=AH116)),NA(), AH115)</f>
        <v>0</v>
      </c>
      <c r="AI181">
        <f>IF(ISNA(AJ181),NA(),AI115)</f>
        <v>0</v>
      </c>
      <c r="AJ181">
        <f>IF(OR(AJ115="",AND(AJ115=AJ114,AJ115=AJ116)),NA(), AJ115)</f>
        <v>0</v>
      </c>
      <c r="AK181">
        <f>IF(ISNA(AL181),NA(),AK115)</f>
        <v>0</v>
      </c>
      <c r="AL181">
        <f>IF(OR(AL115="",AND(AL115=AL114,AL115=AL116)),NA(), AL115)</f>
        <v>0</v>
      </c>
      <c r="AM181">
        <f>IF(ISNA(AN181),NA(),AM115)</f>
        <v>0</v>
      </c>
      <c r="AN181">
        <f>IF(OR(AN115="",AND(AN115=AN114,AN115=AN116)),NA(), AN115)</f>
        <v>0</v>
      </c>
      <c r="AO181">
        <f>IF(ISNA(AP181),NA(),AO115)</f>
        <v>0</v>
      </c>
      <c r="AP181">
        <f>IF(OR(AP115="",AND(AP115=AP114,AP115=AP116)),NA(), AP115)</f>
        <v>0</v>
      </c>
      <c r="AQ181">
        <f>IF(ISNA(AR181),NA(),AQ115)</f>
        <v>0</v>
      </c>
      <c r="AR181">
        <f>IF(OR(AR115="",AND(AR115=AR114,AR115=AR116)),NA(), AR115)</f>
        <v>0</v>
      </c>
      <c r="AS181">
        <f>IF(ISNA(AT181),NA(),AS115)</f>
        <v>0</v>
      </c>
      <c r="AT181">
        <f>IF(OR(AT115="",AND(AT115=AT114,AT115=AT116)),NA(), AT115)</f>
        <v>0</v>
      </c>
      <c r="AU181">
        <f>IF(ISNA(AV181),NA(),AU115)</f>
        <v>0</v>
      </c>
      <c r="AV181">
        <f>IF(OR(AV115="",AND(AV115=AV114,AV115=AV116)),NA(), AV115)</f>
        <v>0</v>
      </c>
      <c r="AW181">
        <f>IF(ISNA(AX181),NA(),AW115)</f>
        <v>0</v>
      </c>
      <c r="AX181">
        <f>IF(OR(AX115="",AND(AX115=AX114,AX115=AX116)),NA(), AX115)</f>
        <v>0</v>
      </c>
      <c r="AY181">
        <f>IF(ISNA(AZ181),NA(),AY115)</f>
        <v>0</v>
      </c>
      <c r="AZ181">
        <f>IF(OR(AZ115="",AND(AZ115=AZ114,AZ115=AZ116)),NA(), AZ115)</f>
        <v>0</v>
      </c>
      <c r="BA181">
        <f>IF(ISNA(BB181),NA(),BA115)</f>
        <v>0</v>
      </c>
      <c r="BB181">
        <f>IF(OR(BB115="",AND(BB115=BB114,BB115=BB116)),NA(), BB115)</f>
        <v>0</v>
      </c>
      <c r="BC181">
        <f>IF(ISNA(BD181),NA(),BC115)</f>
        <v>0</v>
      </c>
      <c r="BD181">
        <f>IF(OR(BD115="",AND(BD115=BD114,BD115=BD116)),NA(), BD115)</f>
        <v>0</v>
      </c>
      <c r="BE181">
        <f>IF(ISNA(BF181),NA(),BE115)</f>
        <v>0</v>
      </c>
      <c r="BF181">
        <f>IF(OR(BF115="",AND(BF115=BF114,BF115=BF116)),NA(), BF115)</f>
        <v>0</v>
      </c>
      <c r="BG181">
        <f>IF(ISNA(BH181),NA(),BG115)</f>
        <v>0</v>
      </c>
      <c r="BH181">
        <f>IF(OR(BH115="",AND(BH115=BH114,BH115=BH116)),NA(), BH115)</f>
        <v>0</v>
      </c>
      <c r="BI181">
        <f>IF(ISNA(BJ181),NA(),BI115)</f>
        <v>0</v>
      </c>
      <c r="BJ181">
        <f>IF(OR(BJ115="",AND(BJ115=BJ114,BJ115=BJ116)),NA(), BJ115)</f>
        <v>0</v>
      </c>
      <c r="BK181">
        <f>IF(ISNA(BL181),NA(),BK115)</f>
        <v>0</v>
      </c>
      <c r="BL181">
        <f>IF(OR(BL115="",AND(BL115=BL114,BL115=BL116)),NA(), BL115)</f>
        <v>0</v>
      </c>
      <c r="BM181">
        <f>IF(ISNA(BN181),NA(),BM115)</f>
        <v>0</v>
      </c>
      <c r="BN181">
        <f>IF(OR(BN115="",AND(BN115=BN114,BN115=BN116)),NA(), BN115)</f>
        <v>0</v>
      </c>
      <c r="BO181">
        <f>IF(ISNA(BP181),NA(),BO115)</f>
        <v>0</v>
      </c>
      <c r="BP181">
        <f>IF(OR(BP115="",AND(BP115=BP114,BP115=BP116)),NA(), BP115)</f>
        <v>0</v>
      </c>
      <c r="BS181">
        <f>IF(ISNA(BT181),NA(),BS115)</f>
        <v>0</v>
      </c>
      <c r="BT181">
        <f>IF(OR(BT115="",AND(BT115=BT114,BT115=BT116)),NA(), BT115)</f>
        <v>0</v>
      </c>
      <c r="BU181">
        <f>IF(ISNA(BV181),NA(),BU115)</f>
        <v>0</v>
      </c>
      <c r="BV181">
        <f>IF(OR(BV115="",AND(BV115=BV114,BV115=BV116)),NA(), BV115)</f>
        <v>0</v>
      </c>
      <c r="BW181">
        <f>IF(ISNA(BX181),NA(),BW115)</f>
        <v>0</v>
      </c>
      <c r="BX181">
        <f>IF(OR(BX115="",AND(BX115=BX114,BX115=BX116)),NA(), BX115)</f>
        <v>0</v>
      </c>
      <c r="BY181">
        <f>IF(ISNA(BZ181),NA(),BY115)</f>
        <v>0</v>
      </c>
      <c r="BZ181">
        <f>IF(OR(BZ115="",AND(BZ115=BZ114,BZ115=BZ116)),NA(), BZ115)</f>
        <v>0</v>
      </c>
      <c r="CA181">
        <f>IF(ISNA(CB181),NA(),CA115)</f>
        <v>0</v>
      </c>
      <c r="CB181">
        <f>IF(OR(CB115="",AND(CB115=CB114,CB115=CB116)),NA(), CB115)</f>
        <v>0</v>
      </c>
      <c r="CC181">
        <f>IF(ISNA(CD181),NA(),CC115)</f>
        <v>0</v>
      </c>
      <c r="CD181">
        <f>IF(OR(CD115="",AND(CD115=CD114,CD115=CD116)),NA(), CD115)</f>
        <v>0</v>
      </c>
      <c r="CE181">
        <f>IF(ISNA(CF181),NA(),CE115)</f>
        <v>0</v>
      </c>
      <c r="CF181">
        <f>IF(OR(CF115="",AND(CF115=CF114,CF115=CF116)),NA(), CF115)</f>
        <v>0</v>
      </c>
      <c r="CG181">
        <f>IF(ISNA(CH181),NA(),CG115)</f>
        <v>0</v>
      </c>
      <c r="CH181">
        <f>IF(OR(CH115="",AND(CH115=CH114,CH115=CH116)),NA(), CH115)</f>
        <v>0</v>
      </c>
      <c r="CI181">
        <f>IF(ISNA(CJ181),NA(),CI115)</f>
        <v>0</v>
      </c>
      <c r="CJ181">
        <f>IF(OR(CJ115="",AND(CJ115=CJ114,CJ115=CJ116)),NA(), CJ115)</f>
        <v>0</v>
      </c>
      <c r="CK181">
        <f>IF(ISNA(CL181),NA(),CK115)</f>
        <v>0</v>
      </c>
      <c r="CL181">
        <f>IF(OR(CL115="",AND(CL115=CL114,CL115=CL116)),NA(), CL115)</f>
        <v>0</v>
      </c>
      <c r="CM181">
        <f>IF(ISNA(CN181),NA(),CM115)</f>
        <v>0</v>
      </c>
      <c r="CN181">
        <f>IF(OR(CN115="",AND(CN115=CN114,CN115=CN116)),NA(), CN115)</f>
        <v>0</v>
      </c>
      <c r="CO181">
        <f>IF(ISNA(CP181),NA(),CO115)</f>
        <v>0</v>
      </c>
      <c r="CP181">
        <f>IF(OR(CP115="",AND(CP115=CP114,CP115=CP116)),NA(), CP115)</f>
        <v>0</v>
      </c>
      <c r="CQ181">
        <f>IF(ISNA(CR181),NA(),CQ115)</f>
        <v>0</v>
      </c>
      <c r="CR181">
        <f>IF(OR(CR115="",AND(CR115=CR114,CR115=CR116)),NA(), CR115)</f>
        <v>0</v>
      </c>
      <c r="CS181">
        <f>IF(ISNA(CT181),NA(),CS115)</f>
        <v>0</v>
      </c>
      <c r="CT181">
        <f>IF(OR(CT115="",AND(CT115=CT114,CT115=CT116)),NA(), CT115)</f>
        <v>0</v>
      </c>
      <c r="CU181">
        <f>IF(ISNA(CV181),NA(),CU115)</f>
        <v>0</v>
      </c>
      <c r="CV181">
        <f>IF(OR(CV115="",AND(CV115=CV114,CV115=CV116)),NA(), CV115)</f>
        <v>0</v>
      </c>
      <c r="CW181">
        <f>IF(ISNA(CX181),NA(),CW115)</f>
        <v>0</v>
      </c>
      <c r="CX181">
        <f>IF(OR(CX115="",AND(CX115=CX114,CX115=CX116)),NA(), CX115)</f>
        <v>0</v>
      </c>
      <c r="CY181">
        <f>IF(ISNA(CZ181),NA(),CY115)</f>
        <v>0</v>
      </c>
      <c r="CZ181">
        <f>IF(OR(CZ115="",AND(CZ115=CZ114,CZ115=CZ116)),NA(), CZ115)</f>
        <v>0</v>
      </c>
      <c r="DA181">
        <f>IF(ISNA(DB181),NA(),DA115)</f>
        <v>0</v>
      </c>
      <c r="DB181">
        <f>IF(OR(DB115="",AND(DB115=DB114,DB115=DB116)),NA(), DB115)</f>
        <v>0</v>
      </c>
      <c r="DC181">
        <f>IF(ISNA(DD181),NA(),DC115)</f>
        <v>0</v>
      </c>
      <c r="DD181">
        <f>IF(OR(DD115="",AND(DD115=DD114,DD115=DD116)),NA(), DD115)</f>
        <v>0</v>
      </c>
      <c r="DE181">
        <f>IF(ISNA(DF181),NA(),DE115)</f>
        <v>0</v>
      </c>
      <c r="DF181">
        <f>IF(OR(DF115="",AND(DF115=DF114,DF115=DF116)),NA(), DF115)</f>
        <v>0</v>
      </c>
      <c r="DG181">
        <f>IF(ISNA(DH181),NA(),DG115)</f>
        <v>0</v>
      </c>
      <c r="DH181">
        <f>IF(OR(DH115="",AND(DH115=DH114,DH115=DH116)),NA(), DH115)</f>
        <v>0</v>
      </c>
      <c r="DI181">
        <f>IF(ISNA(DJ181),NA(),DI115)</f>
        <v>0</v>
      </c>
      <c r="DJ181">
        <f>IF(OR(DJ115="",AND(DJ115=DJ114,DJ115=DJ116)),NA(), DJ115)</f>
        <v>0</v>
      </c>
      <c r="DK181">
        <f>IF(ISNA(DL181),NA(),DK115)</f>
        <v>0</v>
      </c>
      <c r="DL181">
        <f>IF(OR(DL115="",AND(DL115=DL114,DL115=DL116)),NA(), DL115)</f>
        <v>0</v>
      </c>
      <c r="DM181">
        <f>IF(ISNA(DN181),NA(),DM115)</f>
        <v>0</v>
      </c>
      <c r="DN181">
        <f>IF(OR(DN115="",AND(DN115=DN114,DN115=DN116)),NA(), DN115)</f>
        <v>0</v>
      </c>
      <c r="DO181">
        <f>IF(ISNA(DP181),NA(),DO115)</f>
        <v>0</v>
      </c>
      <c r="DP181">
        <f>IF(OR(DP115="",AND(DP115=DP114,DP115=DP116)),NA(), DP115)</f>
        <v>0</v>
      </c>
      <c r="DQ181">
        <f>IF(ISNA(DR181),NA(),DQ115)</f>
        <v>0</v>
      </c>
      <c r="DR181">
        <f>IF(OR(DR115="",AND(DR115=DR114,DR115=DR116)),NA(), DR115)</f>
        <v>0</v>
      </c>
      <c r="DS181">
        <f>IF(ISNA(DT181),NA(),DS115)</f>
        <v>0</v>
      </c>
      <c r="DT181">
        <f>IF(OR(DT115="",AND(DT115=DT114,DT115=DT116)),NA(), DT115)</f>
        <v>0</v>
      </c>
      <c r="DU181">
        <f>IF(ISNA(DV181),NA(),DU115)</f>
        <v>0</v>
      </c>
      <c r="DV181">
        <f>IF(OR(DV115="",AND(DV115=DV114,DV115=DV116)),NA(), DV115)</f>
        <v>0</v>
      </c>
      <c r="DW181">
        <f>IF(ISNA(DX181),NA(),DW115)</f>
        <v>0</v>
      </c>
      <c r="DX181">
        <f>IF(OR(DX115="",AND(DX115=DX114,DX115=DX116)),NA(), DX115)</f>
        <v>0</v>
      </c>
      <c r="DY181">
        <f>IF(ISNA(DZ181),NA(),DY115)</f>
        <v>0</v>
      </c>
      <c r="DZ181">
        <f>IF(OR(DZ115="",AND(DZ115=DZ114,DZ115=DZ116)),NA(), DZ115)</f>
        <v>0</v>
      </c>
      <c r="EA181">
        <f>IF(ISNA(EB181),NA(),EA115)</f>
        <v>0</v>
      </c>
      <c r="EB181">
        <f>IF(OR(EB115="",AND(EB115=EB114,EB115=EB116)),NA(), EB115)</f>
        <v>0</v>
      </c>
      <c r="EC181">
        <f>IF(ISNA(ED181),NA(),EC115)</f>
        <v>0</v>
      </c>
      <c r="ED181">
        <f>IF(OR(ED115="",AND(ED115=ED114,ED115=ED116)),NA(), ED115)</f>
        <v>0</v>
      </c>
    </row>
    <row r="182" spans="5:134">
      <c r="E182">
        <f>IF(ISNA(F182),NA(),E116)</f>
        <v>0</v>
      </c>
      <c r="F182">
        <f>IF(OR(F116="",AND(F116=F115,F116=F117)),NA(), F116)</f>
        <v>0</v>
      </c>
      <c r="G182">
        <f>IF(ISNA(H182),NA(),G116)</f>
        <v>0</v>
      </c>
      <c r="H182">
        <f>IF(OR(H116="",AND(H116=H115,H116=H117)),NA(), H116)</f>
        <v>0</v>
      </c>
      <c r="I182">
        <f>IF(ISNA(J182),NA(),I116)</f>
        <v>0</v>
      </c>
      <c r="J182">
        <f>IF(OR(J116="",AND(J116=J115,J116=J117)),NA(), J116)</f>
        <v>0</v>
      </c>
      <c r="K182">
        <f>IF(ISNA(L182),NA(),K116)</f>
        <v>0</v>
      </c>
      <c r="L182">
        <f>IF(OR(L116="",AND(L116=L115,L116=L117)),NA(), L116)</f>
        <v>0</v>
      </c>
      <c r="M182">
        <f>IF(ISNA(N182),NA(),M116)</f>
        <v>0</v>
      </c>
      <c r="N182">
        <f>IF(OR(N116="",AND(N116=N115,N116=N117)),NA(), N116)</f>
        <v>0</v>
      </c>
      <c r="O182">
        <f>IF(ISNA(P182),NA(),O116)</f>
        <v>0</v>
      </c>
      <c r="P182">
        <f>IF(OR(P116="",AND(P116=P115,P116=P117)),NA(), P116)</f>
        <v>0</v>
      </c>
      <c r="Q182">
        <f>IF(ISNA(R182),NA(),Q116)</f>
        <v>0</v>
      </c>
      <c r="R182">
        <f>IF(OR(R116="",AND(R116=R115,R116=R117)),NA(), R116)</f>
        <v>0</v>
      </c>
      <c r="S182">
        <f>IF(ISNA(T182),NA(),S116)</f>
        <v>0</v>
      </c>
      <c r="T182">
        <f>IF(OR(T116="",AND(T116=T115,T116=T117)),NA(), T116)</f>
        <v>0</v>
      </c>
      <c r="U182">
        <f>IF(ISNA(V182),NA(),U116)</f>
        <v>0</v>
      </c>
      <c r="V182">
        <f>IF(OR(V116="",AND(V116=V115,V116=V117)),NA(), V116)</f>
        <v>0</v>
      </c>
      <c r="W182">
        <f>IF(ISNA(X182),NA(),W116)</f>
        <v>0</v>
      </c>
      <c r="X182">
        <f>IF(OR(X116="",AND(X116=X115,X116=X117)),NA(), X116)</f>
        <v>0</v>
      </c>
      <c r="Y182">
        <f>IF(ISNA(Z182),NA(),Y116)</f>
        <v>0</v>
      </c>
      <c r="Z182">
        <f>IF(OR(Z116="",AND(Z116=Z115,Z116=Z117)),NA(), Z116)</f>
        <v>0</v>
      </c>
      <c r="AA182">
        <f>IF(ISNA(AB182),NA(),AA116)</f>
        <v>0</v>
      </c>
      <c r="AB182">
        <f>IF(OR(AB116="",AND(AB116=AB115,AB116=AB117)),NA(), AB116)</f>
        <v>0</v>
      </c>
      <c r="AC182">
        <f>IF(ISNA(AD182),NA(),AC116)</f>
        <v>0</v>
      </c>
      <c r="AD182">
        <f>IF(OR(AD116="",AND(AD116=AD115,AD116=AD117)),NA(), AD116)</f>
        <v>0</v>
      </c>
      <c r="AE182">
        <f>IF(ISNA(AF182),NA(),AE116)</f>
        <v>0</v>
      </c>
      <c r="AF182">
        <f>IF(OR(AF116="",AND(AF116=AF115,AF116=AF117)),NA(), AF116)</f>
        <v>0</v>
      </c>
      <c r="AG182">
        <f>IF(ISNA(AH182),NA(),AG116)</f>
        <v>0</v>
      </c>
      <c r="AH182">
        <f>IF(OR(AH116="",AND(AH116=AH115,AH116=AH117)),NA(), AH116)</f>
        <v>0</v>
      </c>
      <c r="AI182">
        <f>IF(ISNA(AJ182),NA(),AI116)</f>
        <v>0</v>
      </c>
      <c r="AJ182">
        <f>IF(OR(AJ116="",AND(AJ116=AJ115,AJ116=AJ117)),NA(), AJ116)</f>
        <v>0</v>
      </c>
      <c r="AK182">
        <f>IF(ISNA(AL182),NA(),AK116)</f>
        <v>0</v>
      </c>
      <c r="AL182">
        <f>IF(OR(AL116="",AND(AL116=AL115,AL116=AL117)),NA(), AL116)</f>
        <v>0</v>
      </c>
      <c r="AM182">
        <f>IF(ISNA(AN182),NA(),AM116)</f>
        <v>0</v>
      </c>
      <c r="AN182">
        <f>IF(OR(AN116="",AND(AN116=AN115,AN116=AN117)),NA(), AN116)</f>
        <v>0</v>
      </c>
      <c r="AO182">
        <f>IF(ISNA(AP182),NA(),AO116)</f>
        <v>0</v>
      </c>
      <c r="AP182">
        <f>IF(OR(AP116="",AND(AP116=AP115,AP116=AP117)),NA(), AP116)</f>
        <v>0</v>
      </c>
      <c r="AQ182">
        <f>IF(ISNA(AR182),NA(),AQ116)</f>
        <v>0</v>
      </c>
      <c r="AR182">
        <f>IF(OR(AR116="",AND(AR116=AR115,AR116=AR117)),NA(), AR116)</f>
        <v>0</v>
      </c>
      <c r="AS182">
        <f>IF(ISNA(AT182),NA(),AS116)</f>
        <v>0</v>
      </c>
      <c r="AT182">
        <f>IF(OR(AT116="",AND(AT116=AT115,AT116=AT117)),NA(), AT116)</f>
        <v>0</v>
      </c>
      <c r="AU182">
        <f>IF(ISNA(AV182),NA(),AU116)</f>
        <v>0</v>
      </c>
      <c r="AV182">
        <f>IF(OR(AV116="",AND(AV116=AV115,AV116=AV117)),NA(), AV116)</f>
        <v>0</v>
      </c>
      <c r="AW182">
        <f>IF(ISNA(AX182),NA(),AW116)</f>
        <v>0</v>
      </c>
      <c r="AX182">
        <f>IF(OR(AX116="",AND(AX116=AX115,AX116=AX117)),NA(), AX116)</f>
        <v>0</v>
      </c>
      <c r="AY182">
        <f>IF(ISNA(AZ182),NA(),AY116)</f>
        <v>0</v>
      </c>
      <c r="AZ182">
        <f>IF(OR(AZ116="",AND(AZ116=AZ115,AZ116=AZ117)),NA(), AZ116)</f>
        <v>0</v>
      </c>
      <c r="BA182">
        <f>IF(ISNA(BB182),NA(),BA116)</f>
        <v>0</v>
      </c>
      <c r="BB182">
        <f>IF(OR(BB116="",AND(BB116=BB115,BB116=BB117)),NA(), BB116)</f>
        <v>0</v>
      </c>
      <c r="BC182">
        <f>IF(ISNA(BD182),NA(),BC116)</f>
        <v>0</v>
      </c>
      <c r="BD182">
        <f>IF(OR(BD116="",AND(BD116=BD115,BD116=BD117)),NA(), BD116)</f>
        <v>0</v>
      </c>
      <c r="BE182">
        <f>IF(ISNA(BF182),NA(),BE116)</f>
        <v>0</v>
      </c>
      <c r="BF182">
        <f>IF(OR(BF116="",AND(BF116=BF115,BF116=BF117)),NA(), BF116)</f>
        <v>0</v>
      </c>
      <c r="BG182">
        <f>IF(ISNA(BH182),NA(),BG116)</f>
        <v>0</v>
      </c>
      <c r="BH182">
        <f>IF(OR(BH116="",AND(BH116=BH115,BH116=BH117)),NA(), BH116)</f>
        <v>0</v>
      </c>
      <c r="BI182">
        <f>IF(ISNA(BJ182),NA(),BI116)</f>
        <v>0</v>
      </c>
      <c r="BJ182">
        <f>IF(OR(BJ116="",AND(BJ116=BJ115,BJ116=BJ117)),NA(), BJ116)</f>
        <v>0</v>
      </c>
      <c r="BK182">
        <f>IF(ISNA(BL182),NA(),BK116)</f>
        <v>0</v>
      </c>
      <c r="BL182">
        <f>IF(OR(BL116="",AND(BL116=BL115,BL116=BL117)),NA(), BL116)</f>
        <v>0</v>
      </c>
      <c r="BM182">
        <f>IF(ISNA(BN182),NA(),BM116)</f>
        <v>0</v>
      </c>
      <c r="BN182">
        <f>IF(OR(BN116="",AND(BN116=BN115,BN116=BN117)),NA(), BN116)</f>
        <v>0</v>
      </c>
      <c r="BO182">
        <f>IF(ISNA(BP182),NA(),BO116)</f>
        <v>0</v>
      </c>
      <c r="BP182">
        <f>IF(OR(BP116="",AND(BP116=BP115,BP116=BP117)),NA(), BP116)</f>
        <v>0</v>
      </c>
      <c r="BS182">
        <f>IF(ISNA(BT182),NA(),BS116)</f>
        <v>0</v>
      </c>
      <c r="BT182">
        <f>IF(OR(BT116="",AND(BT116=BT115,BT116=BT117)),NA(), BT116)</f>
        <v>0</v>
      </c>
      <c r="BU182">
        <f>IF(ISNA(BV182),NA(),BU116)</f>
        <v>0</v>
      </c>
      <c r="BV182">
        <f>IF(OR(BV116="",AND(BV116=BV115,BV116=BV117)),NA(), BV116)</f>
        <v>0</v>
      </c>
      <c r="BW182">
        <f>IF(ISNA(BX182),NA(),BW116)</f>
        <v>0</v>
      </c>
      <c r="BX182">
        <f>IF(OR(BX116="",AND(BX116=BX115,BX116=BX117)),NA(), BX116)</f>
        <v>0</v>
      </c>
      <c r="BY182">
        <f>IF(ISNA(BZ182),NA(),BY116)</f>
        <v>0</v>
      </c>
      <c r="BZ182">
        <f>IF(OR(BZ116="",AND(BZ116=BZ115,BZ116=BZ117)),NA(), BZ116)</f>
        <v>0</v>
      </c>
      <c r="CA182">
        <f>IF(ISNA(CB182),NA(),CA116)</f>
        <v>0</v>
      </c>
      <c r="CB182">
        <f>IF(OR(CB116="",AND(CB116=CB115,CB116=CB117)),NA(), CB116)</f>
        <v>0</v>
      </c>
      <c r="CC182">
        <f>IF(ISNA(CD182),NA(),CC116)</f>
        <v>0</v>
      </c>
      <c r="CD182">
        <f>IF(OR(CD116="",AND(CD116=CD115,CD116=CD117)),NA(), CD116)</f>
        <v>0</v>
      </c>
      <c r="CE182">
        <f>IF(ISNA(CF182),NA(),CE116)</f>
        <v>0</v>
      </c>
      <c r="CF182">
        <f>IF(OR(CF116="",AND(CF116=CF115,CF116=CF117)),NA(), CF116)</f>
        <v>0</v>
      </c>
      <c r="CG182">
        <f>IF(ISNA(CH182),NA(),CG116)</f>
        <v>0</v>
      </c>
      <c r="CH182">
        <f>IF(OR(CH116="",AND(CH116=CH115,CH116=CH117)),NA(), CH116)</f>
        <v>0</v>
      </c>
      <c r="CI182">
        <f>IF(ISNA(CJ182),NA(),CI116)</f>
        <v>0</v>
      </c>
      <c r="CJ182">
        <f>IF(OR(CJ116="",AND(CJ116=CJ115,CJ116=CJ117)),NA(), CJ116)</f>
        <v>0</v>
      </c>
      <c r="CK182">
        <f>IF(ISNA(CL182),NA(),CK116)</f>
        <v>0</v>
      </c>
      <c r="CL182">
        <f>IF(OR(CL116="",AND(CL116=CL115,CL116=CL117)),NA(), CL116)</f>
        <v>0</v>
      </c>
      <c r="CM182">
        <f>IF(ISNA(CN182),NA(),CM116)</f>
        <v>0</v>
      </c>
      <c r="CN182">
        <f>IF(OR(CN116="",AND(CN116=CN115,CN116=CN117)),NA(), CN116)</f>
        <v>0</v>
      </c>
      <c r="CO182">
        <f>IF(ISNA(CP182),NA(),CO116)</f>
        <v>0</v>
      </c>
      <c r="CP182">
        <f>IF(OR(CP116="",AND(CP116=CP115,CP116=CP117)),NA(), CP116)</f>
        <v>0</v>
      </c>
      <c r="CQ182">
        <f>IF(ISNA(CR182),NA(),CQ116)</f>
        <v>0</v>
      </c>
      <c r="CR182">
        <f>IF(OR(CR116="",AND(CR116=CR115,CR116=CR117)),NA(), CR116)</f>
        <v>0</v>
      </c>
      <c r="CS182">
        <f>IF(ISNA(CT182),NA(),CS116)</f>
        <v>0</v>
      </c>
      <c r="CT182">
        <f>IF(OR(CT116="",AND(CT116=CT115,CT116=CT117)),NA(), CT116)</f>
        <v>0</v>
      </c>
      <c r="CU182">
        <f>IF(ISNA(CV182),NA(),CU116)</f>
        <v>0</v>
      </c>
      <c r="CV182">
        <f>IF(OR(CV116="",AND(CV116=CV115,CV116=CV117)),NA(), CV116)</f>
        <v>0</v>
      </c>
      <c r="CW182">
        <f>IF(ISNA(CX182),NA(),CW116)</f>
        <v>0</v>
      </c>
      <c r="CX182">
        <f>IF(OR(CX116="",AND(CX116=CX115,CX116=CX117)),NA(), CX116)</f>
        <v>0</v>
      </c>
      <c r="CY182">
        <f>IF(ISNA(CZ182),NA(),CY116)</f>
        <v>0</v>
      </c>
      <c r="CZ182">
        <f>IF(OR(CZ116="",AND(CZ116=CZ115,CZ116=CZ117)),NA(), CZ116)</f>
        <v>0</v>
      </c>
      <c r="DA182">
        <f>IF(ISNA(DB182),NA(),DA116)</f>
        <v>0</v>
      </c>
      <c r="DB182">
        <f>IF(OR(DB116="",AND(DB116=DB115,DB116=DB117)),NA(), DB116)</f>
        <v>0</v>
      </c>
      <c r="DC182">
        <f>IF(ISNA(DD182),NA(),DC116)</f>
        <v>0</v>
      </c>
      <c r="DD182">
        <f>IF(OR(DD116="",AND(DD116=DD115,DD116=DD117)),NA(), DD116)</f>
        <v>0</v>
      </c>
      <c r="DE182">
        <f>IF(ISNA(DF182),NA(),DE116)</f>
        <v>0</v>
      </c>
      <c r="DF182">
        <f>IF(OR(DF116="",AND(DF116=DF115,DF116=DF117)),NA(), DF116)</f>
        <v>0</v>
      </c>
      <c r="DG182">
        <f>IF(ISNA(DH182),NA(),DG116)</f>
        <v>0</v>
      </c>
      <c r="DH182">
        <f>IF(OR(DH116="",AND(DH116=DH115,DH116=DH117)),NA(), DH116)</f>
        <v>0</v>
      </c>
      <c r="DI182">
        <f>IF(ISNA(DJ182),NA(),DI116)</f>
        <v>0</v>
      </c>
      <c r="DJ182">
        <f>IF(OR(DJ116="",AND(DJ116=DJ115,DJ116=DJ117)),NA(), DJ116)</f>
        <v>0</v>
      </c>
      <c r="DK182">
        <f>IF(ISNA(DL182),NA(),DK116)</f>
        <v>0</v>
      </c>
      <c r="DL182">
        <f>IF(OR(DL116="",AND(DL116=DL115,DL116=DL117)),NA(), DL116)</f>
        <v>0</v>
      </c>
      <c r="DM182">
        <f>IF(ISNA(DN182),NA(),DM116)</f>
        <v>0</v>
      </c>
      <c r="DN182">
        <f>IF(OR(DN116="",AND(DN116=DN115,DN116=DN117)),NA(), DN116)</f>
        <v>0</v>
      </c>
      <c r="DO182">
        <f>IF(ISNA(DP182),NA(),DO116)</f>
        <v>0</v>
      </c>
      <c r="DP182">
        <f>IF(OR(DP116="",AND(DP116=DP115,DP116=DP117)),NA(), DP116)</f>
        <v>0</v>
      </c>
      <c r="DQ182">
        <f>IF(ISNA(DR182),NA(),DQ116)</f>
        <v>0</v>
      </c>
      <c r="DR182">
        <f>IF(OR(DR116="",AND(DR116=DR115,DR116=DR117)),NA(), DR116)</f>
        <v>0</v>
      </c>
      <c r="DS182">
        <f>IF(ISNA(DT182),NA(),DS116)</f>
        <v>0</v>
      </c>
      <c r="DT182">
        <f>IF(OR(DT116="",AND(DT116=DT115,DT116=DT117)),NA(), DT116)</f>
        <v>0</v>
      </c>
      <c r="DU182">
        <f>IF(ISNA(DV182),NA(),DU116)</f>
        <v>0</v>
      </c>
      <c r="DV182">
        <f>IF(OR(DV116="",AND(DV116=DV115,DV116=DV117)),NA(), DV116)</f>
        <v>0</v>
      </c>
      <c r="DW182">
        <f>IF(ISNA(DX182),NA(),DW116)</f>
        <v>0</v>
      </c>
      <c r="DX182">
        <f>IF(OR(DX116="",AND(DX116=DX115,DX116=DX117)),NA(), DX116)</f>
        <v>0</v>
      </c>
      <c r="DY182">
        <f>IF(ISNA(DZ182),NA(),DY116)</f>
        <v>0</v>
      </c>
      <c r="DZ182">
        <f>IF(OR(DZ116="",AND(DZ116=DZ115,DZ116=DZ117)),NA(), DZ116)</f>
        <v>0</v>
      </c>
      <c r="EA182">
        <f>IF(ISNA(EB182),NA(),EA116)</f>
        <v>0</v>
      </c>
      <c r="EB182">
        <f>IF(OR(EB116="",AND(EB116=EB115,EB116=EB117)),NA(), EB116)</f>
        <v>0</v>
      </c>
      <c r="EC182">
        <f>IF(ISNA(ED182),NA(),EC116)</f>
        <v>0</v>
      </c>
      <c r="ED182">
        <f>IF(OR(ED116="",AND(ED116=ED115,ED116=ED117)),NA(), ED116)</f>
        <v>0</v>
      </c>
    </row>
    <row r="183" spans="5:134">
      <c r="E183">
        <f>IF(ISNA(F183),NA(),E117)</f>
        <v>0</v>
      </c>
      <c r="F183">
        <f>IF(OR(F117="",AND(F117=F116,F117=F118)),NA(), F117)</f>
        <v>0</v>
      </c>
      <c r="G183">
        <f>IF(ISNA(H183),NA(),G117)</f>
        <v>0</v>
      </c>
      <c r="H183">
        <f>IF(OR(H117="",AND(H117=H116,H117=H118)),NA(), H117)</f>
        <v>0</v>
      </c>
      <c r="I183">
        <f>IF(ISNA(J183),NA(),I117)</f>
        <v>0</v>
      </c>
      <c r="J183">
        <f>IF(OR(J117="",AND(J117=J116,J117=J118)),NA(), J117)</f>
        <v>0</v>
      </c>
      <c r="K183">
        <f>IF(ISNA(L183),NA(),K117)</f>
        <v>0</v>
      </c>
      <c r="L183">
        <f>IF(OR(L117="",AND(L117=L116,L117=L118)),NA(), L117)</f>
        <v>0</v>
      </c>
      <c r="M183">
        <f>IF(ISNA(N183),NA(),M117)</f>
        <v>0</v>
      </c>
      <c r="N183">
        <f>IF(OR(N117="",AND(N117=N116,N117=N118)),NA(), N117)</f>
        <v>0</v>
      </c>
      <c r="O183">
        <f>IF(ISNA(P183),NA(),O117)</f>
        <v>0</v>
      </c>
      <c r="P183">
        <f>IF(OR(P117="",AND(P117=P116,P117=P118)),NA(), P117)</f>
        <v>0</v>
      </c>
      <c r="Q183">
        <f>IF(ISNA(R183),NA(),Q117)</f>
        <v>0</v>
      </c>
      <c r="R183">
        <f>IF(OR(R117="",AND(R117=R116,R117=R118)),NA(), R117)</f>
        <v>0</v>
      </c>
      <c r="S183">
        <f>IF(ISNA(T183),NA(),S117)</f>
        <v>0</v>
      </c>
      <c r="T183">
        <f>IF(OR(T117="",AND(T117=T116,T117=T118)),NA(), T117)</f>
        <v>0</v>
      </c>
      <c r="U183">
        <f>IF(ISNA(V183),NA(),U117)</f>
        <v>0</v>
      </c>
      <c r="V183">
        <f>IF(OR(V117="",AND(V117=V116,V117=V118)),NA(), V117)</f>
        <v>0</v>
      </c>
      <c r="W183">
        <f>IF(ISNA(X183),NA(),W117)</f>
        <v>0</v>
      </c>
      <c r="X183">
        <f>IF(OR(X117="",AND(X117=X116,X117=X118)),NA(), X117)</f>
        <v>0</v>
      </c>
      <c r="Y183">
        <f>IF(ISNA(Z183),NA(),Y117)</f>
        <v>0</v>
      </c>
      <c r="Z183">
        <f>IF(OR(Z117="",AND(Z117=Z116,Z117=Z118)),NA(), Z117)</f>
        <v>0</v>
      </c>
      <c r="AA183">
        <f>IF(ISNA(AB183),NA(),AA117)</f>
        <v>0</v>
      </c>
      <c r="AB183">
        <f>IF(OR(AB117="",AND(AB117=AB116,AB117=AB118)),NA(), AB117)</f>
        <v>0</v>
      </c>
      <c r="AC183">
        <f>IF(ISNA(AD183),NA(),AC117)</f>
        <v>0</v>
      </c>
      <c r="AD183">
        <f>IF(OR(AD117="",AND(AD117=AD116,AD117=AD118)),NA(), AD117)</f>
        <v>0</v>
      </c>
      <c r="AE183">
        <f>IF(ISNA(AF183),NA(),AE117)</f>
        <v>0</v>
      </c>
      <c r="AF183">
        <f>IF(OR(AF117="",AND(AF117=AF116,AF117=AF118)),NA(), AF117)</f>
        <v>0</v>
      </c>
      <c r="AG183">
        <f>IF(ISNA(AH183),NA(),AG117)</f>
        <v>0</v>
      </c>
      <c r="AH183">
        <f>IF(OR(AH117="",AND(AH117=AH116,AH117=AH118)),NA(), AH117)</f>
        <v>0</v>
      </c>
      <c r="AI183">
        <f>IF(ISNA(AJ183),NA(),AI117)</f>
        <v>0</v>
      </c>
      <c r="AJ183">
        <f>IF(OR(AJ117="",AND(AJ117=AJ116,AJ117=AJ118)),NA(), AJ117)</f>
        <v>0</v>
      </c>
      <c r="AK183">
        <f>IF(ISNA(AL183),NA(),AK117)</f>
        <v>0</v>
      </c>
      <c r="AL183">
        <f>IF(OR(AL117="",AND(AL117=AL116,AL117=AL118)),NA(), AL117)</f>
        <v>0</v>
      </c>
      <c r="AM183">
        <f>IF(ISNA(AN183),NA(),AM117)</f>
        <v>0</v>
      </c>
      <c r="AN183">
        <f>IF(OR(AN117="",AND(AN117=AN116,AN117=AN118)),NA(), AN117)</f>
        <v>0</v>
      </c>
      <c r="AO183">
        <f>IF(ISNA(AP183),NA(),AO117)</f>
        <v>0</v>
      </c>
      <c r="AP183">
        <f>IF(OR(AP117="",AND(AP117=AP116,AP117=AP118)),NA(), AP117)</f>
        <v>0</v>
      </c>
      <c r="AQ183">
        <f>IF(ISNA(AR183),NA(),AQ117)</f>
        <v>0</v>
      </c>
      <c r="AR183">
        <f>IF(OR(AR117="",AND(AR117=AR116,AR117=AR118)),NA(), AR117)</f>
        <v>0</v>
      </c>
      <c r="AS183">
        <f>IF(ISNA(AT183),NA(),AS117)</f>
        <v>0</v>
      </c>
      <c r="AT183">
        <f>IF(OR(AT117="",AND(AT117=AT116,AT117=AT118)),NA(), AT117)</f>
        <v>0</v>
      </c>
      <c r="AU183">
        <f>IF(ISNA(AV183),NA(),AU117)</f>
        <v>0</v>
      </c>
      <c r="AV183">
        <f>IF(OR(AV117="",AND(AV117=AV116,AV117=AV118)),NA(), AV117)</f>
        <v>0</v>
      </c>
      <c r="AW183">
        <f>IF(ISNA(AX183),NA(),AW117)</f>
        <v>0</v>
      </c>
      <c r="AX183">
        <f>IF(OR(AX117="",AND(AX117=AX116,AX117=AX118)),NA(), AX117)</f>
        <v>0</v>
      </c>
      <c r="AY183">
        <f>IF(ISNA(AZ183),NA(),AY117)</f>
        <v>0</v>
      </c>
      <c r="AZ183">
        <f>IF(OR(AZ117="",AND(AZ117=AZ116,AZ117=AZ118)),NA(), AZ117)</f>
        <v>0</v>
      </c>
      <c r="BA183">
        <f>IF(ISNA(BB183),NA(),BA117)</f>
        <v>0</v>
      </c>
      <c r="BB183">
        <f>IF(OR(BB117="",AND(BB117=BB116,BB117=BB118)),NA(), BB117)</f>
        <v>0</v>
      </c>
      <c r="BC183">
        <f>IF(ISNA(BD183),NA(),BC117)</f>
        <v>0</v>
      </c>
      <c r="BD183">
        <f>IF(OR(BD117="",AND(BD117=BD116,BD117=BD118)),NA(), BD117)</f>
        <v>0</v>
      </c>
      <c r="BE183">
        <f>IF(ISNA(BF183),NA(),BE117)</f>
        <v>0</v>
      </c>
      <c r="BF183">
        <f>IF(OR(BF117="",AND(BF117=BF116,BF117=BF118)),NA(), BF117)</f>
        <v>0</v>
      </c>
      <c r="BG183">
        <f>IF(ISNA(BH183),NA(),BG117)</f>
        <v>0</v>
      </c>
      <c r="BH183">
        <f>IF(OR(BH117="",AND(BH117=BH116,BH117=BH118)),NA(), BH117)</f>
        <v>0</v>
      </c>
      <c r="BI183">
        <f>IF(ISNA(BJ183),NA(),BI117)</f>
        <v>0</v>
      </c>
      <c r="BJ183">
        <f>IF(OR(BJ117="",AND(BJ117=BJ116,BJ117=BJ118)),NA(), BJ117)</f>
        <v>0</v>
      </c>
      <c r="BK183">
        <f>IF(ISNA(BL183),NA(),BK117)</f>
        <v>0</v>
      </c>
      <c r="BL183">
        <f>IF(OR(BL117="",AND(BL117=BL116,BL117=BL118)),NA(), BL117)</f>
        <v>0</v>
      </c>
      <c r="BM183">
        <f>IF(ISNA(BN183),NA(),BM117)</f>
        <v>0</v>
      </c>
      <c r="BN183">
        <f>IF(OR(BN117="",AND(BN117=BN116,BN117=BN118)),NA(), BN117)</f>
        <v>0</v>
      </c>
      <c r="BO183">
        <f>IF(ISNA(BP183),NA(),BO117)</f>
        <v>0</v>
      </c>
      <c r="BP183">
        <f>IF(OR(BP117="",AND(BP117=BP116,BP117=BP118)),NA(), BP117)</f>
        <v>0</v>
      </c>
      <c r="BS183">
        <f>IF(ISNA(BT183),NA(),BS117)</f>
        <v>0</v>
      </c>
      <c r="BT183">
        <f>IF(OR(BT117="",AND(BT117=BT116,BT117=BT118)),NA(), BT117)</f>
        <v>0</v>
      </c>
      <c r="BU183">
        <f>IF(ISNA(BV183),NA(),BU117)</f>
        <v>0</v>
      </c>
      <c r="BV183">
        <f>IF(OR(BV117="",AND(BV117=BV116,BV117=BV118)),NA(), BV117)</f>
        <v>0</v>
      </c>
      <c r="BW183">
        <f>IF(ISNA(BX183),NA(),BW117)</f>
        <v>0</v>
      </c>
      <c r="BX183">
        <f>IF(OR(BX117="",AND(BX117=BX116,BX117=BX118)),NA(), BX117)</f>
        <v>0</v>
      </c>
      <c r="BY183">
        <f>IF(ISNA(BZ183),NA(),BY117)</f>
        <v>0</v>
      </c>
      <c r="BZ183">
        <f>IF(OR(BZ117="",AND(BZ117=BZ116,BZ117=BZ118)),NA(), BZ117)</f>
        <v>0</v>
      </c>
      <c r="CA183">
        <f>IF(ISNA(CB183),NA(),CA117)</f>
        <v>0</v>
      </c>
      <c r="CB183">
        <f>IF(OR(CB117="",AND(CB117=CB116,CB117=CB118)),NA(), CB117)</f>
        <v>0</v>
      </c>
      <c r="CC183">
        <f>IF(ISNA(CD183),NA(),CC117)</f>
        <v>0</v>
      </c>
      <c r="CD183">
        <f>IF(OR(CD117="",AND(CD117=CD116,CD117=CD118)),NA(), CD117)</f>
        <v>0</v>
      </c>
      <c r="CE183">
        <f>IF(ISNA(CF183),NA(),CE117)</f>
        <v>0</v>
      </c>
      <c r="CF183">
        <f>IF(OR(CF117="",AND(CF117=CF116,CF117=CF118)),NA(), CF117)</f>
        <v>0</v>
      </c>
      <c r="CG183">
        <f>IF(ISNA(CH183),NA(),CG117)</f>
        <v>0</v>
      </c>
      <c r="CH183">
        <f>IF(OR(CH117="",AND(CH117=CH116,CH117=CH118)),NA(), CH117)</f>
        <v>0</v>
      </c>
      <c r="CI183">
        <f>IF(ISNA(CJ183),NA(),CI117)</f>
        <v>0</v>
      </c>
      <c r="CJ183">
        <f>IF(OR(CJ117="",AND(CJ117=CJ116,CJ117=CJ118)),NA(), CJ117)</f>
        <v>0</v>
      </c>
      <c r="CK183">
        <f>IF(ISNA(CL183),NA(),CK117)</f>
        <v>0</v>
      </c>
      <c r="CL183">
        <f>IF(OR(CL117="",AND(CL117=CL116,CL117=CL118)),NA(), CL117)</f>
        <v>0</v>
      </c>
      <c r="CM183">
        <f>IF(ISNA(CN183),NA(),CM117)</f>
        <v>0</v>
      </c>
      <c r="CN183">
        <f>IF(OR(CN117="",AND(CN117=CN116,CN117=CN118)),NA(), CN117)</f>
        <v>0</v>
      </c>
      <c r="CO183">
        <f>IF(ISNA(CP183),NA(),CO117)</f>
        <v>0</v>
      </c>
      <c r="CP183">
        <f>IF(OR(CP117="",AND(CP117=CP116,CP117=CP118)),NA(), CP117)</f>
        <v>0</v>
      </c>
      <c r="CQ183">
        <f>IF(ISNA(CR183),NA(),CQ117)</f>
        <v>0</v>
      </c>
      <c r="CR183">
        <f>IF(OR(CR117="",AND(CR117=CR116,CR117=CR118)),NA(), CR117)</f>
        <v>0</v>
      </c>
      <c r="CS183">
        <f>IF(ISNA(CT183),NA(),CS117)</f>
        <v>0</v>
      </c>
      <c r="CT183">
        <f>IF(OR(CT117="",AND(CT117=CT116,CT117=CT118)),NA(), CT117)</f>
        <v>0</v>
      </c>
      <c r="CU183">
        <f>IF(ISNA(CV183),NA(),CU117)</f>
        <v>0</v>
      </c>
      <c r="CV183">
        <f>IF(OR(CV117="",AND(CV117=CV116,CV117=CV118)),NA(), CV117)</f>
        <v>0</v>
      </c>
      <c r="CW183">
        <f>IF(ISNA(CX183),NA(),CW117)</f>
        <v>0</v>
      </c>
      <c r="CX183">
        <f>IF(OR(CX117="",AND(CX117=CX116,CX117=CX118)),NA(), CX117)</f>
        <v>0</v>
      </c>
      <c r="CY183">
        <f>IF(ISNA(CZ183),NA(),CY117)</f>
        <v>0</v>
      </c>
      <c r="CZ183">
        <f>IF(OR(CZ117="",AND(CZ117=CZ116,CZ117=CZ118)),NA(), CZ117)</f>
        <v>0</v>
      </c>
      <c r="DA183">
        <f>IF(ISNA(DB183),NA(),DA117)</f>
        <v>0</v>
      </c>
      <c r="DB183">
        <f>IF(OR(DB117="",AND(DB117=DB116,DB117=DB118)),NA(), DB117)</f>
        <v>0</v>
      </c>
      <c r="DC183">
        <f>IF(ISNA(DD183),NA(),DC117)</f>
        <v>0</v>
      </c>
      <c r="DD183">
        <f>IF(OR(DD117="",AND(DD117=DD116,DD117=DD118)),NA(), DD117)</f>
        <v>0</v>
      </c>
      <c r="DE183">
        <f>IF(ISNA(DF183),NA(),DE117)</f>
        <v>0</v>
      </c>
      <c r="DF183">
        <f>IF(OR(DF117="",AND(DF117=DF116,DF117=DF118)),NA(), DF117)</f>
        <v>0</v>
      </c>
      <c r="DG183">
        <f>IF(ISNA(DH183),NA(),DG117)</f>
        <v>0</v>
      </c>
      <c r="DH183">
        <f>IF(OR(DH117="",AND(DH117=DH116,DH117=DH118)),NA(), DH117)</f>
        <v>0</v>
      </c>
      <c r="DI183">
        <f>IF(ISNA(DJ183),NA(),DI117)</f>
        <v>0</v>
      </c>
      <c r="DJ183">
        <f>IF(OR(DJ117="",AND(DJ117=DJ116,DJ117=DJ118)),NA(), DJ117)</f>
        <v>0</v>
      </c>
      <c r="DK183">
        <f>IF(ISNA(DL183),NA(),DK117)</f>
        <v>0</v>
      </c>
      <c r="DL183">
        <f>IF(OR(DL117="",AND(DL117=DL116,DL117=DL118)),NA(), DL117)</f>
        <v>0</v>
      </c>
      <c r="DM183">
        <f>IF(ISNA(DN183),NA(),DM117)</f>
        <v>0</v>
      </c>
      <c r="DN183">
        <f>IF(OR(DN117="",AND(DN117=DN116,DN117=DN118)),NA(), DN117)</f>
        <v>0</v>
      </c>
      <c r="DO183">
        <f>IF(ISNA(DP183),NA(),DO117)</f>
        <v>0</v>
      </c>
      <c r="DP183">
        <f>IF(OR(DP117="",AND(DP117=DP116,DP117=DP118)),NA(), DP117)</f>
        <v>0</v>
      </c>
      <c r="DQ183">
        <f>IF(ISNA(DR183),NA(),DQ117)</f>
        <v>0</v>
      </c>
      <c r="DR183">
        <f>IF(OR(DR117="",AND(DR117=DR116,DR117=DR118)),NA(), DR117)</f>
        <v>0</v>
      </c>
      <c r="DS183">
        <f>IF(ISNA(DT183),NA(),DS117)</f>
        <v>0</v>
      </c>
      <c r="DT183">
        <f>IF(OR(DT117="",AND(DT117=DT116,DT117=DT118)),NA(), DT117)</f>
        <v>0</v>
      </c>
      <c r="DU183">
        <f>IF(ISNA(DV183),NA(),DU117)</f>
        <v>0</v>
      </c>
      <c r="DV183">
        <f>IF(OR(DV117="",AND(DV117=DV116,DV117=DV118)),NA(), DV117)</f>
        <v>0</v>
      </c>
      <c r="DW183">
        <f>IF(ISNA(DX183),NA(),DW117)</f>
        <v>0</v>
      </c>
      <c r="DX183">
        <f>IF(OR(DX117="",AND(DX117=DX116,DX117=DX118)),NA(), DX117)</f>
        <v>0</v>
      </c>
      <c r="DY183">
        <f>IF(ISNA(DZ183),NA(),DY117)</f>
        <v>0</v>
      </c>
      <c r="DZ183">
        <f>IF(OR(DZ117="",AND(DZ117=DZ116,DZ117=DZ118)),NA(), DZ117)</f>
        <v>0</v>
      </c>
      <c r="EA183">
        <f>IF(ISNA(EB183),NA(),EA117)</f>
        <v>0</v>
      </c>
      <c r="EB183">
        <f>IF(OR(EB117="",AND(EB117=EB116,EB117=EB118)),NA(), EB117)</f>
        <v>0</v>
      </c>
      <c r="EC183">
        <f>IF(ISNA(ED183),NA(),EC117)</f>
        <v>0</v>
      </c>
      <c r="ED183">
        <f>IF(OR(ED117="",AND(ED117=ED116,ED117=ED118)),NA(), ED117)</f>
        <v>0</v>
      </c>
    </row>
    <row r="184" spans="5:134">
      <c r="E184">
        <f>IF(ISNA(F184),NA(),E118)</f>
        <v>0</v>
      </c>
      <c r="F184">
        <f>IF(OR(F118="",AND(F118=F117,F118=F119)),NA(), F118)</f>
        <v>0</v>
      </c>
      <c r="G184">
        <f>IF(ISNA(H184),NA(),G118)</f>
        <v>0</v>
      </c>
      <c r="H184">
        <f>IF(OR(H118="",AND(H118=H117,H118=H119)),NA(), H118)</f>
        <v>0</v>
      </c>
      <c r="I184">
        <f>IF(ISNA(J184),NA(),I118)</f>
        <v>0</v>
      </c>
      <c r="J184">
        <f>IF(OR(J118="",AND(J118=J117,J118=J119)),NA(), J118)</f>
        <v>0</v>
      </c>
      <c r="K184">
        <f>IF(ISNA(L184),NA(),K118)</f>
        <v>0</v>
      </c>
      <c r="L184">
        <f>IF(OR(L118="",AND(L118=L117,L118=L119)),NA(), L118)</f>
        <v>0</v>
      </c>
      <c r="M184">
        <f>IF(ISNA(N184),NA(),M118)</f>
        <v>0</v>
      </c>
      <c r="N184">
        <f>IF(OR(N118="",AND(N118=N117,N118=N119)),NA(), N118)</f>
        <v>0</v>
      </c>
      <c r="O184">
        <f>IF(ISNA(P184),NA(),O118)</f>
        <v>0</v>
      </c>
      <c r="P184">
        <f>IF(OR(P118="",AND(P118=P117,P118=P119)),NA(), P118)</f>
        <v>0</v>
      </c>
      <c r="Q184">
        <f>IF(ISNA(R184),NA(),Q118)</f>
        <v>0</v>
      </c>
      <c r="R184">
        <f>IF(OR(R118="",AND(R118=R117,R118=R119)),NA(), R118)</f>
        <v>0</v>
      </c>
      <c r="S184">
        <f>IF(ISNA(T184),NA(),S118)</f>
        <v>0</v>
      </c>
      <c r="T184">
        <f>IF(OR(T118="",AND(T118=T117,T118=T119)),NA(), T118)</f>
        <v>0</v>
      </c>
      <c r="U184">
        <f>IF(ISNA(V184),NA(),U118)</f>
        <v>0</v>
      </c>
      <c r="V184">
        <f>IF(OR(V118="",AND(V118=V117,V118=V119)),NA(), V118)</f>
        <v>0</v>
      </c>
      <c r="W184">
        <f>IF(ISNA(X184),NA(),W118)</f>
        <v>0</v>
      </c>
      <c r="X184">
        <f>IF(OR(X118="",AND(X118=X117,X118=X119)),NA(), X118)</f>
        <v>0</v>
      </c>
      <c r="Y184">
        <f>IF(ISNA(Z184),NA(),Y118)</f>
        <v>0</v>
      </c>
      <c r="Z184">
        <f>IF(OR(Z118="",AND(Z118=Z117,Z118=Z119)),NA(), Z118)</f>
        <v>0</v>
      </c>
      <c r="AA184">
        <f>IF(ISNA(AB184),NA(),AA118)</f>
        <v>0</v>
      </c>
      <c r="AB184">
        <f>IF(OR(AB118="",AND(AB118=AB117,AB118=AB119)),NA(), AB118)</f>
        <v>0</v>
      </c>
      <c r="AC184">
        <f>IF(ISNA(AD184),NA(),AC118)</f>
        <v>0</v>
      </c>
      <c r="AD184">
        <f>IF(OR(AD118="",AND(AD118=AD117,AD118=AD119)),NA(), AD118)</f>
        <v>0</v>
      </c>
      <c r="AE184">
        <f>IF(ISNA(AF184),NA(),AE118)</f>
        <v>0</v>
      </c>
      <c r="AF184">
        <f>IF(OR(AF118="",AND(AF118=AF117,AF118=AF119)),NA(), AF118)</f>
        <v>0</v>
      </c>
      <c r="AG184">
        <f>IF(ISNA(AH184),NA(),AG118)</f>
        <v>0</v>
      </c>
      <c r="AH184">
        <f>IF(OR(AH118="",AND(AH118=AH117,AH118=AH119)),NA(), AH118)</f>
        <v>0</v>
      </c>
      <c r="AI184">
        <f>IF(ISNA(AJ184),NA(),AI118)</f>
        <v>0</v>
      </c>
      <c r="AJ184">
        <f>IF(OR(AJ118="",AND(AJ118=AJ117,AJ118=AJ119)),NA(), AJ118)</f>
        <v>0</v>
      </c>
      <c r="AK184">
        <f>IF(ISNA(AL184),NA(),AK118)</f>
        <v>0</v>
      </c>
      <c r="AL184">
        <f>IF(OR(AL118="",AND(AL118=AL117,AL118=AL119)),NA(), AL118)</f>
        <v>0</v>
      </c>
      <c r="AM184">
        <f>IF(ISNA(AN184),NA(),AM118)</f>
        <v>0</v>
      </c>
      <c r="AN184">
        <f>IF(OR(AN118="",AND(AN118=AN117,AN118=AN119)),NA(), AN118)</f>
        <v>0</v>
      </c>
      <c r="AO184">
        <f>IF(ISNA(AP184),NA(),AO118)</f>
        <v>0</v>
      </c>
      <c r="AP184">
        <f>IF(OR(AP118="",AND(AP118=AP117,AP118=AP119)),NA(), AP118)</f>
        <v>0</v>
      </c>
      <c r="AQ184">
        <f>IF(ISNA(AR184),NA(),AQ118)</f>
        <v>0</v>
      </c>
      <c r="AR184">
        <f>IF(OR(AR118="",AND(AR118=AR117,AR118=AR119)),NA(), AR118)</f>
        <v>0</v>
      </c>
      <c r="AS184">
        <f>IF(ISNA(AT184),NA(),AS118)</f>
        <v>0</v>
      </c>
      <c r="AT184">
        <f>IF(OR(AT118="",AND(AT118=AT117,AT118=AT119)),NA(), AT118)</f>
        <v>0</v>
      </c>
      <c r="AU184">
        <f>IF(ISNA(AV184),NA(),AU118)</f>
        <v>0</v>
      </c>
      <c r="AV184">
        <f>IF(OR(AV118="",AND(AV118=AV117,AV118=AV119)),NA(), AV118)</f>
        <v>0</v>
      </c>
      <c r="AW184">
        <f>IF(ISNA(AX184),NA(),AW118)</f>
        <v>0</v>
      </c>
      <c r="AX184">
        <f>IF(OR(AX118="",AND(AX118=AX117,AX118=AX119)),NA(), AX118)</f>
        <v>0</v>
      </c>
      <c r="AY184">
        <f>IF(ISNA(AZ184),NA(),AY118)</f>
        <v>0</v>
      </c>
      <c r="AZ184">
        <f>IF(OR(AZ118="",AND(AZ118=AZ117,AZ118=AZ119)),NA(), AZ118)</f>
        <v>0</v>
      </c>
      <c r="BA184">
        <f>IF(ISNA(BB184),NA(),BA118)</f>
        <v>0</v>
      </c>
      <c r="BB184">
        <f>IF(OR(BB118="",AND(BB118=BB117,BB118=BB119)),NA(), BB118)</f>
        <v>0</v>
      </c>
      <c r="BC184">
        <f>IF(ISNA(BD184),NA(),BC118)</f>
        <v>0</v>
      </c>
      <c r="BD184">
        <f>IF(OR(BD118="",AND(BD118=BD117,BD118=BD119)),NA(), BD118)</f>
        <v>0</v>
      </c>
      <c r="BE184">
        <f>IF(ISNA(BF184),NA(),BE118)</f>
        <v>0</v>
      </c>
      <c r="BF184">
        <f>IF(OR(BF118="",AND(BF118=BF117,BF118=BF119)),NA(), BF118)</f>
        <v>0</v>
      </c>
      <c r="BG184">
        <f>IF(ISNA(BH184),NA(),BG118)</f>
        <v>0</v>
      </c>
      <c r="BH184">
        <f>IF(OR(BH118="",AND(BH118=BH117,BH118=BH119)),NA(), BH118)</f>
        <v>0</v>
      </c>
      <c r="BI184">
        <f>IF(ISNA(BJ184),NA(),BI118)</f>
        <v>0</v>
      </c>
      <c r="BJ184">
        <f>IF(OR(BJ118="",AND(BJ118=BJ117,BJ118=BJ119)),NA(), BJ118)</f>
        <v>0</v>
      </c>
      <c r="BK184">
        <f>IF(ISNA(BL184),NA(),BK118)</f>
        <v>0</v>
      </c>
      <c r="BL184">
        <f>IF(OR(BL118="",AND(BL118=BL117,BL118=BL119)),NA(), BL118)</f>
        <v>0</v>
      </c>
      <c r="BM184">
        <f>IF(ISNA(BN184),NA(),BM118)</f>
        <v>0</v>
      </c>
      <c r="BN184">
        <f>IF(OR(BN118="",AND(BN118=BN117,BN118=BN119)),NA(), BN118)</f>
        <v>0</v>
      </c>
      <c r="BO184">
        <f>IF(ISNA(BP184),NA(),BO118)</f>
        <v>0</v>
      </c>
      <c r="BP184">
        <f>IF(OR(BP118="",AND(BP118=BP117,BP118=BP119)),NA(), BP118)</f>
        <v>0</v>
      </c>
      <c r="BS184">
        <f>IF(ISNA(BT184),NA(),BS118)</f>
        <v>0</v>
      </c>
      <c r="BT184">
        <f>IF(OR(BT118="",AND(BT118=BT117,BT118=BT119)),NA(), BT118)</f>
        <v>0</v>
      </c>
      <c r="BU184">
        <f>IF(ISNA(BV184),NA(),BU118)</f>
        <v>0</v>
      </c>
      <c r="BV184">
        <f>IF(OR(BV118="",AND(BV118=BV117,BV118=BV119)),NA(), BV118)</f>
        <v>0</v>
      </c>
      <c r="BW184">
        <f>IF(ISNA(BX184),NA(),BW118)</f>
        <v>0</v>
      </c>
      <c r="BX184">
        <f>IF(OR(BX118="",AND(BX118=BX117,BX118=BX119)),NA(), BX118)</f>
        <v>0</v>
      </c>
      <c r="BY184">
        <f>IF(ISNA(BZ184),NA(),BY118)</f>
        <v>0</v>
      </c>
      <c r="BZ184">
        <f>IF(OR(BZ118="",AND(BZ118=BZ117,BZ118=BZ119)),NA(), BZ118)</f>
        <v>0</v>
      </c>
      <c r="CA184">
        <f>IF(ISNA(CB184),NA(),CA118)</f>
        <v>0</v>
      </c>
      <c r="CB184">
        <f>IF(OR(CB118="",AND(CB118=CB117,CB118=CB119)),NA(), CB118)</f>
        <v>0</v>
      </c>
      <c r="CC184">
        <f>IF(ISNA(CD184),NA(),CC118)</f>
        <v>0</v>
      </c>
      <c r="CD184">
        <f>IF(OR(CD118="",AND(CD118=CD117,CD118=CD119)),NA(), CD118)</f>
        <v>0</v>
      </c>
      <c r="CE184">
        <f>IF(ISNA(CF184),NA(),CE118)</f>
        <v>0</v>
      </c>
      <c r="CF184">
        <f>IF(OR(CF118="",AND(CF118=CF117,CF118=CF119)),NA(), CF118)</f>
        <v>0</v>
      </c>
      <c r="CG184">
        <f>IF(ISNA(CH184),NA(),CG118)</f>
        <v>0</v>
      </c>
      <c r="CH184">
        <f>IF(OR(CH118="",AND(CH118=CH117,CH118=CH119)),NA(), CH118)</f>
        <v>0</v>
      </c>
      <c r="CI184">
        <f>IF(ISNA(CJ184),NA(),CI118)</f>
        <v>0</v>
      </c>
      <c r="CJ184">
        <f>IF(OR(CJ118="",AND(CJ118=CJ117,CJ118=CJ119)),NA(), CJ118)</f>
        <v>0</v>
      </c>
      <c r="CK184">
        <f>IF(ISNA(CL184),NA(),CK118)</f>
        <v>0</v>
      </c>
      <c r="CL184">
        <f>IF(OR(CL118="",AND(CL118=CL117,CL118=CL119)),NA(), CL118)</f>
        <v>0</v>
      </c>
      <c r="CM184">
        <f>IF(ISNA(CN184),NA(),CM118)</f>
        <v>0</v>
      </c>
      <c r="CN184">
        <f>IF(OR(CN118="",AND(CN118=CN117,CN118=CN119)),NA(), CN118)</f>
        <v>0</v>
      </c>
      <c r="CO184">
        <f>IF(ISNA(CP184),NA(),CO118)</f>
        <v>0</v>
      </c>
      <c r="CP184">
        <f>IF(OR(CP118="",AND(CP118=CP117,CP118=CP119)),NA(), CP118)</f>
        <v>0</v>
      </c>
      <c r="CQ184">
        <f>IF(ISNA(CR184),NA(),CQ118)</f>
        <v>0</v>
      </c>
      <c r="CR184">
        <f>IF(OR(CR118="",AND(CR118=CR117,CR118=CR119)),NA(), CR118)</f>
        <v>0</v>
      </c>
      <c r="CS184">
        <f>IF(ISNA(CT184),NA(),CS118)</f>
        <v>0</v>
      </c>
      <c r="CT184">
        <f>IF(OR(CT118="",AND(CT118=CT117,CT118=CT119)),NA(), CT118)</f>
        <v>0</v>
      </c>
      <c r="CU184">
        <f>IF(ISNA(CV184),NA(),CU118)</f>
        <v>0</v>
      </c>
      <c r="CV184">
        <f>IF(OR(CV118="",AND(CV118=CV117,CV118=CV119)),NA(), CV118)</f>
        <v>0</v>
      </c>
      <c r="CW184">
        <f>IF(ISNA(CX184),NA(),CW118)</f>
        <v>0</v>
      </c>
      <c r="CX184">
        <f>IF(OR(CX118="",AND(CX118=CX117,CX118=CX119)),NA(), CX118)</f>
        <v>0</v>
      </c>
      <c r="CY184">
        <f>IF(ISNA(CZ184),NA(),CY118)</f>
        <v>0</v>
      </c>
      <c r="CZ184">
        <f>IF(OR(CZ118="",AND(CZ118=CZ117,CZ118=CZ119)),NA(), CZ118)</f>
        <v>0</v>
      </c>
      <c r="DA184">
        <f>IF(ISNA(DB184),NA(),DA118)</f>
        <v>0</v>
      </c>
      <c r="DB184">
        <f>IF(OR(DB118="",AND(DB118=DB117,DB118=DB119)),NA(), DB118)</f>
        <v>0</v>
      </c>
      <c r="DC184">
        <f>IF(ISNA(DD184),NA(),DC118)</f>
        <v>0</v>
      </c>
      <c r="DD184">
        <f>IF(OR(DD118="",AND(DD118=DD117,DD118=DD119)),NA(), DD118)</f>
        <v>0</v>
      </c>
      <c r="DE184">
        <f>IF(ISNA(DF184),NA(),DE118)</f>
        <v>0</v>
      </c>
      <c r="DF184">
        <f>IF(OR(DF118="",AND(DF118=DF117,DF118=DF119)),NA(), DF118)</f>
        <v>0</v>
      </c>
      <c r="DG184">
        <f>IF(ISNA(DH184),NA(),DG118)</f>
        <v>0</v>
      </c>
      <c r="DH184">
        <f>IF(OR(DH118="",AND(DH118=DH117,DH118=DH119)),NA(), DH118)</f>
        <v>0</v>
      </c>
      <c r="DI184">
        <f>IF(ISNA(DJ184),NA(),DI118)</f>
        <v>0</v>
      </c>
      <c r="DJ184">
        <f>IF(OR(DJ118="",AND(DJ118=DJ117,DJ118=DJ119)),NA(), DJ118)</f>
        <v>0</v>
      </c>
      <c r="DK184">
        <f>IF(ISNA(DL184),NA(),DK118)</f>
        <v>0</v>
      </c>
      <c r="DL184">
        <f>IF(OR(DL118="",AND(DL118=DL117,DL118=DL119)),NA(), DL118)</f>
        <v>0</v>
      </c>
      <c r="DM184">
        <f>IF(ISNA(DN184),NA(),DM118)</f>
        <v>0</v>
      </c>
      <c r="DN184">
        <f>IF(OR(DN118="",AND(DN118=DN117,DN118=DN119)),NA(), DN118)</f>
        <v>0</v>
      </c>
      <c r="DO184">
        <f>IF(ISNA(DP184),NA(),DO118)</f>
        <v>0</v>
      </c>
      <c r="DP184">
        <f>IF(OR(DP118="",AND(DP118=DP117,DP118=DP119)),NA(), DP118)</f>
        <v>0</v>
      </c>
      <c r="DQ184">
        <f>IF(ISNA(DR184),NA(),DQ118)</f>
        <v>0</v>
      </c>
      <c r="DR184">
        <f>IF(OR(DR118="",AND(DR118=DR117,DR118=DR119)),NA(), DR118)</f>
        <v>0</v>
      </c>
      <c r="DS184">
        <f>IF(ISNA(DT184),NA(),DS118)</f>
        <v>0</v>
      </c>
      <c r="DT184">
        <f>IF(OR(DT118="",AND(DT118=DT117,DT118=DT119)),NA(), DT118)</f>
        <v>0</v>
      </c>
      <c r="DU184">
        <f>IF(ISNA(DV184),NA(),DU118)</f>
        <v>0</v>
      </c>
      <c r="DV184">
        <f>IF(OR(DV118="",AND(DV118=DV117,DV118=DV119)),NA(), DV118)</f>
        <v>0</v>
      </c>
      <c r="DW184">
        <f>IF(ISNA(DX184),NA(),DW118)</f>
        <v>0</v>
      </c>
      <c r="DX184">
        <f>IF(OR(DX118="",AND(DX118=DX117,DX118=DX119)),NA(), DX118)</f>
        <v>0</v>
      </c>
      <c r="DY184">
        <f>IF(ISNA(DZ184),NA(),DY118)</f>
        <v>0</v>
      </c>
      <c r="DZ184">
        <f>IF(OR(DZ118="",AND(DZ118=DZ117,DZ118=DZ119)),NA(), DZ118)</f>
        <v>0</v>
      </c>
      <c r="EA184">
        <f>IF(ISNA(EB184),NA(),EA118)</f>
        <v>0</v>
      </c>
      <c r="EB184">
        <f>IF(OR(EB118="",AND(EB118=EB117,EB118=EB119)),NA(), EB118)</f>
        <v>0</v>
      </c>
      <c r="EC184">
        <f>IF(ISNA(ED184),NA(),EC118)</f>
        <v>0</v>
      </c>
      <c r="ED184">
        <f>IF(OR(ED118="",AND(ED118=ED117,ED118=ED119)),NA(), ED118)</f>
        <v>0</v>
      </c>
    </row>
    <row r="185" spans="5:134">
      <c r="E185">
        <f>IF(ISNA(F185),NA(),E119)</f>
        <v>0</v>
      </c>
      <c r="F185">
        <f>IF(OR(F119="",AND(F119=F118,F119=F120)),NA(), F119)</f>
        <v>0</v>
      </c>
      <c r="G185">
        <f>IF(ISNA(H185),NA(),G119)</f>
        <v>0</v>
      </c>
      <c r="H185">
        <f>IF(OR(H119="",AND(H119=H118,H119=H120)),NA(), H119)</f>
        <v>0</v>
      </c>
      <c r="I185">
        <f>IF(ISNA(J185),NA(),I119)</f>
        <v>0</v>
      </c>
      <c r="J185">
        <f>IF(OR(J119="",AND(J119=J118,J119=J120)),NA(), J119)</f>
        <v>0</v>
      </c>
      <c r="K185">
        <f>IF(ISNA(L185),NA(),K119)</f>
        <v>0</v>
      </c>
      <c r="L185">
        <f>IF(OR(L119="",AND(L119=L118,L119=L120)),NA(), L119)</f>
        <v>0</v>
      </c>
      <c r="M185">
        <f>IF(ISNA(N185),NA(),M119)</f>
        <v>0</v>
      </c>
      <c r="N185">
        <f>IF(OR(N119="",AND(N119=N118,N119=N120)),NA(), N119)</f>
        <v>0</v>
      </c>
      <c r="O185">
        <f>IF(ISNA(P185),NA(),O119)</f>
        <v>0</v>
      </c>
      <c r="P185">
        <f>IF(OR(P119="",AND(P119=P118,P119=P120)),NA(), P119)</f>
        <v>0</v>
      </c>
      <c r="Q185">
        <f>IF(ISNA(R185),NA(),Q119)</f>
        <v>0</v>
      </c>
      <c r="R185">
        <f>IF(OR(R119="",AND(R119=R118,R119=R120)),NA(), R119)</f>
        <v>0</v>
      </c>
      <c r="S185">
        <f>IF(ISNA(T185),NA(),S119)</f>
        <v>0</v>
      </c>
      <c r="T185">
        <f>IF(OR(T119="",AND(T119=T118,T119=T120)),NA(), T119)</f>
        <v>0</v>
      </c>
      <c r="U185">
        <f>IF(ISNA(V185),NA(),U119)</f>
        <v>0</v>
      </c>
      <c r="V185">
        <f>IF(OR(V119="",AND(V119=V118,V119=V120)),NA(), V119)</f>
        <v>0</v>
      </c>
      <c r="W185">
        <f>IF(ISNA(X185),NA(),W119)</f>
        <v>0</v>
      </c>
      <c r="X185">
        <f>IF(OR(X119="",AND(X119=X118,X119=X120)),NA(), X119)</f>
        <v>0</v>
      </c>
      <c r="Y185">
        <f>IF(ISNA(Z185),NA(),Y119)</f>
        <v>0</v>
      </c>
      <c r="Z185">
        <f>IF(OR(Z119="",AND(Z119=Z118,Z119=Z120)),NA(), Z119)</f>
        <v>0</v>
      </c>
      <c r="AA185">
        <f>IF(ISNA(AB185),NA(),AA119)</f>
        <v>0</v>
      </c>
      <c r="AB185">
        <f>IF(OR(AB119="",AND(AB119=AB118,AB119=AB120)),NA(), AB119)</f>
        <v>0</v>
      </c>
      <c r="AC185">
        <f>IF(ISNA(AD185),NA(),AC119)</f>
        <v>0</v>
      </c>
      <c r="AD185">
        <f>IF(OR(AD119="",AND(AD119=AD118,AD119=AD120)),NA(), AD119)</f>
        <v>0</v>
      </c>
      <c r="AE185">
        <f>IF(ISNA(AF185),NA(),AE119)</f>
        <v>0</v>
      </c>
      <c r="AF185">
        <f>IF(OR(AF119="",AND(AF119=AF118,AF119=AF120)),NA(), AF119)</f>
        <v>0</v>
      </c>
      <c r="AG185">
        <f>IF(ISNA(AH185),NA(),AG119)</f>
        <v>0</v>
      </c>
      <c r="AH185">
        <f>IF(OR(AH119="",AND(AH119=AH118,AH119=AH120)),NA(), AH119)</f>
        <v>0</v>
      </c>
      <c r="AI185">
        <f>IF(ISNA(AJ185),NA(),AI119)</f>
        <v>0</v>
      </c>
      <c r="AJ185">
        <f>IF(OR(AJ119="",AND(AJ119=AJ118,AJ119=AJ120)),NA(), AJ119)</f>
        <v>0</v>
      </c>
      <c r="AK185">
        <f>IF(ISNA(AL185),NA(),AK119)</f>
        <v>0</v>
      </c>
      <c r="AL185">
        <f>IF(OR(AL119="",AND(AL119=AL118,AL119=AL120)),NA(), AL119)</f>
        <v>0</v>
      </c>
      <c r="AM185">
        <f>IF(ISNA(AN185),NA(),AM119)</f>
        <v>0</v>
      </c>
      <c r="AN185">
        <f>IF(OR(AN119="",AND(AN119=AN118,AN119=AN120)),NA(), AN119)</f>
        <v>0</v>
      </c>
      <c r="AO185">
        <f>IF(ISNA(AP185),NA(),AO119)</f>
        <v>0</v>
      </c>
      <c r="AP185">
        <f>IF(OR(AP119="",AND(AP119=AP118,AP119=AP120)),NA(), AP119)</f>
        <v>0</v>
      </c>
      <c r="AQ185">
        <f>IF(ISNA(AR185),NA(),AQ119)</f>
        <v>0</v>
      </c>
      <c r="AR185">
        <f>IF(OR(AR119="",AND(AR119=AR118,AR119=AR120)),NA(), AR119)</f>
        <v>0</v>
      </c>
      <c r="AS185">
        <f>IF(ISNA(AT185),NA(),AS119)</f>
        <v>0</v>
      </c>
      <c r="AT185">
        <f>IF(OR(AT119="",AND(AT119=AT118,AT119=AT120)),NA(), AT119)</f>
        <v>0</v>
      </c>
      <c r="AU185">
        <f>IF(ISNA(AV185),NA(),AU119)</f>
        <v>0</v>
      </c>
      <c r="AV185">
        <f>IF(OR(AV119="",AND(AV119=AV118,AV119=AV120)),NA(), AV119)</f>
        <v>0</v>
      </c>
      <c r="AW185">
        <f>IF(ISNA(AX185),NA(),AW119)</f>
        <v>0</v>
      </c>
      <c r="AX185">
        <f>IF(OR(AX119="",AND(AX119=AX118,AX119=AX120)),NA(), AX119)</f>
        <v>0</v>
      </c>
      <c r="AY185">
        <f>IF(ISNA(AZ185),NA(),AY119)</f>
        <v>0</v>
      </c>
      <c r="AZ185">
        <f>IF(OR(AZ119="",AND(AZ119=AZ118,AZ119=AZ120)),NA(), AZ119)</f>
        <v>0</v>
      </c>
      <c r="BA185">
        <f>IF(ISNA(BB185),NA(),BA119)</f>
        <v>0</v>
      </c>
      <c r="BB185">
        <f>IF(OR(BB119="",AND(BB119=BB118,BB119=BB120)),NA(), BB119)</f>
        <v>0</v>
      </c>
      <c r="BC185">
        <f>IF(ISNA(BD185),NA(),BC119)</f>
        <v>0</v>
      </c>
      <c r="BD185">
        <f>IF(OR(BD119="",AND(BD119=BD118,BD119=BD120)),NA(), BD119)</f>
        <v>0</v>
      </c>
      <c r="BE185">
        <f>IF(ISNA(BF185),NA(),BE119)</f>
        <v>0</v>
      </c>
      <c r="BF185">
        <f>IF(OR(BF119="",AND(BF119=BF118,BF119=BF120)),NA(), BF119)</f>
        <v>0</v>
      </c>
      <c r="BG185">
        <f>IF(ISNA(BH185),NA(),BG119)</f>
        <v>0</v>
      </c>
      <c r="BH185">
        <f>IF(OR(BH119="",AND(BH119=BH118,BH119=BH120)),NA(), BH119)</f>
        <v>0</v>
      </c>
      <c r="BI185">
        <f>IF(ISNA(BJ185),NA(),BI119)</f>
        <v>0</v>
      </c>
      <c r="BJ185">
        <f>IF(OR(BJ119="",AND(BJ119=BJ118,BJ119=BJ120)),NA(), BJ119)</f>
        <v>0</v>
      </c>
      <c r="BK185">
        <f>IF(ISNA(BL185),NA(),BK119)</f>
        <v>0</v>
      </c>
      <c r="BL185">
        <f>IF(OR(BL119="",AND(BL119=BL118,BL119=BL120)),NA(), BL119)</f>
        <v>0</v>
      </c>
      <c r="BM185">
        <f>IF(ISNA(BN185),NA(),BM119)</f>
        <v>0</v>
      </c>
      <c r="BN185">
        <f>IF(OR(BN119="",AND(BN119=BN118,BN119=BN120)),NA(), BN119)</f>
        <v>0</v>
      </c>
      <c r="BO185">
        <f>IF(ISNA(BP185),NA(),BO119)</f>
        <v>0</v>
      </c>
      <c r="BP185">
        <f>IF(OR(BP119="",AND(BP119=BP118,BP119=BP120)),NA(), BP119)</f>
        <v>0</v>
      </c>
      <c r="BS185">
        <f>IF(ISNA(BT185),NA(),BS119)</f>
        <v>0</v>
      </c>
      <c r="BT185">
        <f>IF(OR(BT119="",AND(BT119=BT118,BT119=BT120)),NA(), BT119)</f>
        <v>0</v>
      </c>
      <c r="BU185">
        <f>IF(ISNA(BV185),NA(),BU119)</f>
        <v>0</v>
      </c>
      <c r="BV185">
        <f>IF(OR(BV119="",AND(BV119=BV118,BV119=BV120)),NA(), BV119)</f>
        <v>0</v>
      </c>
      <c r="BW185">
        <f>IF(ISNA(BX185),NA(),BW119)</f>
        <v>0</v>
      </c>
      <c r="BX185">
        <f>IF(OR(BX119="",AND(BX119=BX118,BX119=BX120)),NA(), BX119)</f>
        <v>0</v>
      </c>
      <c r="BY185">
        <f>IF(ISNA(BZ185),NA(),BY119)</f>
        <v>0</v>
      </c>
      <c r="BZ185">
        <f>IF(OR(BZ119="",AND(BZ119=BZ118,BZ119=BZ120)),NA(), BZ119)</f>
        <v>0</v>
      </c>
      <c r="CA185">
        <f>IF(ISNA(CB185),NA(),CA119)</f>
        <v>0</v>
      </c>
      <c r="CB185">
        <f>IF(OR(CB119="",AND(CB119=CB118,CB119=CB120)),NA(), CB119)</f>
        <v>0</v>
      </c>
      <c r="CC185">
        <f>IF(ISNA(CD185),NA(),CC119)</f>
        <v>0</v>
      </c>
      <c r="CD185">
        <f>IF(OR(CD119="",AND(CD119=CD118,CD119=CD120)),NA(), CD119)</f>
        <v>0</v>
      </c>
      <c r="CE185">
        <f>IF(ISNA(CF185),NA(),CE119)</f>
        <v>0</v>
      </c>
      <c r="CF185">
        <f>IF(OR(CF119="",AND(CF119=CF118,CF119=CF120)),NA(), CF119)</f>
        <v>0</v>
      </c>
      <c r="CG185">
        <f>IF(ISNA(CH185),NA(),CG119)</f>
        <v>0</v>
      </c>
      <c r="CH185">
        <f>IF(OR(CH119="",AND(CH119=CH118,CH119=CH120)),NA(), CH119)</f>
        <v>0</v>
      </c>
      <c r="CI185">
        <f>IF(ISNA(CJ185),NA(),CI119)</f>
        <v>0</v>
      </c>
      <c r="CJ185">
        <f>IF(OR(CJ119="",AND(CJ119=CJ118,CJ119=CJ120)),NA(), CJ119)</f>
        <v>0</v>
      </c>
      <c r="CK185">
        <f>IF(ISNA(CL185),NA(),CK119)</f>
        <v>0</v>
      </c>
      <c r="CL185">
        <f>IF(OR(CL119="",AND(CL119=CL118,CL119=CL120)),NA(), CL119)</f>
        <v>0</v>
      </c>
      <c r="CM185">
        <f>IF(ISNA(CN185),NA(),CM119)</f>
        <v>0</v>
      </c>
      <c r="CN185">
        <f>IF(OR(CN119="",AND(CN119=CN118,CN119=CN120)),NA(), CN119)</f>
        <v>0</v>
      </c>
      <c r="CO185">
        <f>IF(ISNA(CP185),NA(),CO119)</f>
        <v>0</v>
      </c>
      <c r="CP185">
        <f>IF(OR(CP119="",AND(CP119=CP118,CP119=CP120)),NA(), CP119)</f>
        <v>0</v>
      </c>
      <c r="CQ185">
        <f>IF(ISNA(CR185),NA(),CQ119)</f>
        <v>0</v>
      </c>
      <c r="CR185">
        <f>IF(OR(CR119="",AND(CR119=CR118,CR119=CR120)),NA(), CR119)</f>
        <v>0</v>
      </c>
      <c r="CS185">
        <f>IF(ISNA(CT185),NA(),CS119)</f>
        <v>0</v>
      </c>
      <c r="CT185">
        <f>IF(OR(CT119="",AND(CT119=CT118,CT119=CT120)),NA(), CT119)</f>
        <v>0</v>
      </c>
      <c r="CU185">
        <f>IF(ISNA(CV185),NA(),CU119)</f>
        <v>0</v>
      </c>
      <c r="CV185">
        <f>IF(OR(CV119="",AND(CV119=CV118,CV119=CV120)),NA(), CV119)</f>
        <v>0</v>
      </c>
      <c r="CW185">
        <f>IF(ISNA(CX185),NA(),CW119)</f>
        <v>0</v>
      </c>
      <c r="CX185">
        <f>IF(OR(CX119="",AND(CX119=CX118,CX119=CX120)),NA(), CX119)</f>
        <v>0</v>
      </c>
      <c r="CY185">
        <f>IF(ISNA(CZ185),NA(),CY119)</f>
        <v>0</v>
      </c>
      <c r="CZ185">
        <f>IF(OR(CZ119="",AND(CZ119=CZ118,CZ119=CZ120)),NA(), CZ119)</f>
        <v>0</v>
      </c>
      <c r="DA185">
        <f>IF(ISNA(DB185),NA(),DA119)</f>
        <v>0</v>
      </c>
      <c r="DB185">
        <f>IF(OR(DB119="",AND(DB119=DB118,DB119=DB120)),NA(), DB119)</f>
        <v>0</v>
      </c>
      <c r="DC185">
        <f>IF(ISNA(DD185),NA(),DC119)</f>
        <v>0</v>
      </c>
      <c r="DD185">
        <f>IF(OR(DD119="",AND(DD119=DD118,DD119=DD120)),NA(), DD119)</f>
        <v>0</v>
      </c>
      <c r="DE185">
        <f>IF(ISNA(DF185),NA(),DE119)</f>
        <v>0</v>
      </c>
      <c r="DF185">
        <f>IF(OR(DF119="",AND(DF119=DF118,DF119=DF120)),NA(), DF119)</f>
        <v>0</v>
      </c>
      <c r="DG185">
        <f>IF(ISNA(DH185),NA(),DG119)</f>
        <v>0</v>
      </c>
      <c r="DH185">
        <f>IF(OR(DH119="",AND(DH119=DH118,DH119=DH120)),NA(), DH119)</f>
        <v>0</v>
      </c>
      <c r="DI185">
        <f>IF(ISNA(DJ185),NA(),DI119)</f>
        <v>0</v>
      </c>
      <c r="DJ185">
        <f>IF(OR(DJ119="",AND(DJ119=DJ118,DJ119=DJ120)),NA(), DJ119)</f>
        <v>0</v>
      </c>
      <c r="DK185">
        <f>IF(ISNA(DL185),NA(),DK119)</f>
        <v>0</v>
      </c>
      <c r="DL185">
        <f>IF(OR(DL119="",AND(DL119=DL118,DL119=DL120)),NA(), DL119)</f>
        <v>0</v>
      </c>
      <c r="DM185">
        <f>IF(ISNA(DN185),NA(),DM119)</f>
        <v>0</v>
      </c>
      <c r="DN185">
        <f>IF(OR(DN119="",AND(DN119=DN118,DN119=DN120)),NA(), DN119)</f>
        <v>0</v>
      </c>
      <c r="DO185">
        <f>IF(ISNA(DP185),NA(),DO119)</f>
        <v>0</v>
      </c>
      <c r="DP185">
        <f>IF(OR(DP119="",AND(DP119=DP118,DP119=DP120)),NA(), DP119)</f>
        <v>0</v>
      </c>
      <c r="DQ185">
        <f>IF(ISNA(DR185),NA(),DQ119)</f>
        <v>0</v>
      </c>
      <c r="DR185">
        <f>IF(OR(DR119="",AND(DR119=DR118,DR119=DR120)),NA(), DR119)</f>
        <v>0</v>
      </c>
      <c r="DS185">
        <f>IF(ISNA(DT185),NA(),DS119)</f>
        <v>0</v>
      </c>
      <c r="DT185">
        <f>IF(OR(DT119="",AND(DT119=DT118,DT119=DT120)),NA(), DT119)</f>
        <v>0</v>
      </c>
      <c r="DU185">
        <f>IF(ISNA(DV185),NA(),DU119)</f>
        <v>0</v>
      </c>
      <c r="DV185">
        <f>IF(OR(DV119="",AND(DV119=DV118,DV119=DV120)),NA(), DV119)</f>
        <v>0</v>
      </c>
      <c r="DW185">
        <f>IF(ISNA(DX185),NA(),DW119)</f>
        <v>0</v>
      </c>
      <c r="DX185">
        <f>IF(OR(DX119="",AND(DX119=DX118,DX119=DX120)),NA(), DX119)</f>
        <v>0</v>
      </c>
      <c r="DY185">
        <f>IF(ISNA(DZ185),NA(),DY119)</f>
        <v>0</v>
      </c>
      <c r="DZ185">
        <f>IF(OR(DZ119="",AND(DZ119=DZ118,DZ119=DZ120)),NA(), DZ119)</f>
        <v>0</v>
      </c>
      <c r="EA185">
        <f>IF(ISNA(EB185),NA(),EA119)</f>
        <v>0</v>
      </c>
      <c r="EB185">
        <f>IF(OR(EB119="",AND(EB119=EB118,EB119=EB120)),NA(), EB119)</f>
        <v>0</v>
      </c>
      <c r="EC185">
        <f>IF(ISNA(ED185),NA(),EC119)</f>
        <v>0</v>
      </c>
      <c r="ED185">
        <f>IF(OR(ED119="",AND(ED119=ED118,ED119=ED120)),NA(), ED119)</f>
        <v>0</v>
      </c>
    </row>
    <row r="186" spans="5:134">
      <c r="E186">
        <f>IF(ISNA(F186),NA(),E120)</f>
        <v>0</v>
      </c>
      <c r="F186">
        <f>IF(OR(F120="",AND(F120=F119,F120=F121)),NA(), F120)</f>
        <v>0</v>
      </c>
      <c r="G186">
        <f>IF(ISNA(H186),NA(),G120)</f>
        <v>0</v>
      </c>
      <c r="H186">
        <f>IF(OR(H120="",AND(H120=H119,H120=H121)),NA(), H120)</f>
        <v>0</v>
      </c>
      <c r="I186">
        <f>IF(ISNA(J186),NA(),I120)</f>
        <v>0</v>
      </c>
      <c r="J186">
        <f>IF(OR(J120="",AND(J120=J119,J120=J121)),NA(), J120)</f>
        <v>0</v>
      </c>
      <c r="K186">
        <f>IF(ISNA(L186),NA(),K120)</f>
        <v>0</v>
      </c>
      <c r="L186">
        <f>IF(OR(L120="",AND(L120=L119,L120=L121)),NA(), L120)</f>
        <v>0</v>
      </c>
      <c r="M186">
        <f>IF(ISNA(N186),NA(),M120)</f>
        <v>0</v>
      </c>
      <c r="N186">
        <f>IF(OR(N120="",AND(N120=N119,N120=N121)),NA(), N120)</f>
        <v>0</v>
      </c>
      <c r="O186">
        <f>IF(ISNA(P186),NA(),O120)</f>
        <v>0</v>
      </c>
      <c r="P186">
        <f>IF(OR(P120="",AND(P120=P119,P120=P121)),NA(), P120)</f>
        <v>0</v>
      </c>
      <c r="Q186">
        <f>IF(ISNA(R186),NA(),Q120)</f>
        <v>0</v>
      </c>
      <c r="R186">
        <f>IF(OR(R120="",AND(R120=R119,R120=R121)),NA(), R120)</f>
        <v>0</v>
      </c>
      <c r="S186">
        <f>IF(ISNA(T186),NA(),S120)</f>
        <v>0</v>
      </c>
      <c r="T186">
        <f>IF(OR(T120="",AND(T120=T119,T120=T121)),NA(), T120)</f>
        <v>0</v>
      </c>
      <c r="U186">
        <f>IF(ISNA(V186),NA(),U120)</f>
        <v>0</v>
      </c>
      <c r="V186">
        <f>IF(OR(V120="",AND(V120=V119,V120=V121)),NA(), V120)</f>
        <v>0</v>
      </c>
      <c r="W186">
        <f>IF(ISNA(X186),NA(),W120)</f>
        <v>0</v>
      </c>
      <c r="X186">
        <f>IF(OR(X120="",AND(X120=X119,X120=X121)),NA(), X120)</f>
        <v>0</v>
      </c>
      <c r="Y186">
        <f>IF(ISNA(Z186),NA(),Y120)</f>
        <v>0</v>
      </c>
      <c r="Z186">
        <f>IF(OR(Z120="",AND(Z120=Z119,Z120=Z121)),NA(), Z120)</f>
        <v>0</v>
      </c>
      <c r="AA186">
        <f>IF(ISNA(AB186),NA(),AA120)</f>
        <v>0</v>
      </c>
      <c r="AB186">
        <f>IF(OR(AB120="",AND(AB120=AB119,AB120=AB121)),NA(), AB120)</f>
        <v>0</v>
      </c>
      <c r="AC186">
        <f>IF(ISNA(AD186),NA(),AC120)</f>
        <v>0</v>
      </c>
      <c r="AD186">
        <f>IF(OR(AD120="",AND(AD120=AD119,AD120=AD121)),NA(), AD120)</f>
        <v>0</v>
      </c>
      <c r="AE186">
        <f>IF(ISNA(AF186),NA(),AE120)</f>
        <v>0</v>
      </c>
      <c r="AF186">
        <f>IF(OR(AF120="",AND(AF120=AF119,AF120=AF121)),NA(), AF120)</f>
        <v>0</v>
      </c>
      <c r="AG186">
        <f>IF(ISNA(AH186),NA(),AG120)</f>
        <v>0</v>
      </c>
      <c r="AH186">
        <f>IF(OR(AH120="",AND(AH120=AH119,AH120=AH121)),NA(), AH120)</f>
        <v>0</v>
      </c>
      <c r="AI186">
        <f>IF(ISNA(AJ186),NA(),AI120)</f>
        <v>0</v>
      </c>
      <c r="AJ186">
        <f>IF(OR(AJ120="",AND(AJ120=AJ119,AJ120=AJ121)),NA(), AJ120)</f>
        <v>0</v>
      </c>
      <c r="AK186">
        <f>IF(ISNA(AL186),NA(),AK120)</f>
        <v>0</v>
      </c>
      <c r="AL186">
        <f>IF(OR(AL120="",AND(AL120=AL119,AL120=AL121)),NA(), AL120)</f>
        <v>0</v>
      </c>
      <c r="AM186">
        <f>IF(ISNA(AN186),NA(),AM120)</f>
        <v>0</v>
      </c>
      <c r="AN186">
        <f>IF(OR(AN120="",AND(AN120=AN119,AN120=AN121)),NA(), AN120)</f>
        <v>0</v>
      </c>
      <c r="AO186">
        <f>IF(ISNA(AP186),NA(),AO120)</f>
        <v>0</v>
      </c>
      <c r="AP186">
        <f>IF(OR(AP120="",AND(AP120=AP119,AP120=AP121)),NA(), AP120)</f>
        <v>0</v>
      </c>
      <c r="AQ186">
        <f>IF(ISNA(AR186),NA(),AQ120)</f>
        <v>0</v>
      </c>
      <c r="AR186">
        <f>IF(OR(AR120="",AND(AR120=AR119,AR120=AR121)),NA(), AR120)</f>
        <v>0</v>
      </c>
      <c r="AS186">
        <f>IF(ISNA(AT186),NA(),AS120)</f>
        <v>0</v>
      </c>
      <c r="AT186">
        <f>IF(OR(AT120="",AND(AT120=AT119,AT120=AT121)),NA(), AT120)</f>
        <v>0</v>
      </c>
      <c r="AU186">
        <f>IF(ISNA(AV186),NA(),AU120)</f>
        <v>0</v>
      </c>
      <c r="AV186">
        <f>IF(OR(AV120="",AND(AV120=AV119,AV120=AV121)),NA(), AV120)</f>
        <v>0</v>
      </c>
      <c r="AW186">
        <f>IF(ISNA(AX186),NA(),AW120)</f>
        <v>0</v>
      </c>
      <c r="AX186">
        <f>IF(OR(AX120="",AND(AX120=AX119,AX120=AX121)),NA(), AX120)</f>
        <v>0</v>
      </c>
      <c r="AY186">
        <f>IF(ISNA(AZ186),NA(),AY120)</f>
        <v>0</v>
      </c>
      <c r="AZ186">
        <f>IF(OR(AZ120="",AND(AZ120=AZ119,AZ120=AZ121)),NA(), AZ120)</f>
        <v>0</v>
      </c>
      <c r="BA186">
        <f>IF(ISNA(BB186),NA(),BA120)</f>
        <v>0</v>
      </c>
      <c r="BB186">
        <f>IF(OR(BB120="",AND(BB120=BB119,BB120=BB121)),NA(), BB120)</f>
        <v>0</v>
      </c>
      <c r="BC186">
        <f>IF(ISNA(BD186),NA(),BC120)</f>
        <v>0</v>
      </c>
      <c r="BD186">
        <f>IF(OR(BD120="",AND(BD120=BD119,BD120=BD121)),NA(), BD120)</f>
        <v>0</v>
      </c>
      <c r="BE186">
        <f>IF(ISNA(BF186),NA(),BE120)</f>
        <v>0</v>
      </c>
      <c r="BF186">
        <f>IF(OR(BF120="",AND(BF120=BF119,BF120=BF121)),NA(), BF120)</f>
        <v>0</v>
      </c>
      <c r="BG186">
        <f>IF(ISNA(BH186),NA(),BG120)</f>
        <v>0</v>
      </c>
      <c r="BH186">
        <f>IF(OR(BH120="",AND(BH120=BH119,BH120=BH121)),NA(), BH120)</f>
        <v>0</v>
      </c>
      <c r="BI186">
        <f>IF(ISNA(BJ186),NA(),BI120)</f>
        <v>0</v>
      </c>
      <c r="BJ186">
        <f>IF(OR(BJ120="",AND(BJ120=BJ119,BJ120=BJ121)),NA(), BJ120)</f>
        <v>0</v>
      </c>
      <c r="BK186">
        <f>IF(ISNA(BL186),NA(),BK120)</f>
        <v>0</v>
      </c>
      <c r="BL186">
        <f>IF(OR(BL120="",AND(BL120=BL119,BL120=BL121)),NA(), BL120)</f>
        <v>0</v>
      </c>
      <c r="BM186">
        <f>IF(ISNA(BN186),NA(),BM120)</f>
        <v>0</v>
      </c>
      <c r="BN186">
        <f>IF(OR(BN120="",AND(BN120=BN119,BN120=BN121)),NA(), BN120)</f>
        <v>0</v>
      </c>
      <c r="BO186">
        <f>IF(ISNA(BP186),NA(),BO120)</f>
        <v>0</v>
      </c>
      <c r="BP186">
        <f>IF(OR(BP120="",AND(BP120=BP119,BP120=BP121)),NA(), BP120)</f>
        <v>0</v>
      </c>
      <c r="BS186">
        <f>IF(ISNA(BT186),NA(),BS120)</f>
        <v>0</v>
      </c>
      <c r="BT186">
        <f>IF(OR(BT120="",AND(BT120=BT119,BT120=BT121)),NA(), BT120)</f>
        <v>0</v>
      </c>
      <c r="BU186">
        <f>IF(ISNA(BV186),NA(),BU120)</f>
        <v>0</v>
      </c>
      <c r="BV186">
        <f>IF(OR(BV120="",AND(BV120=BV119,BV120=BV121)),NA(), BV120)</f>
        <v>0</v>
      </c>
      <c r="BW186">
        <f>IF(ISNA(BX186),NA(),BW120)</f>
        <v>0</v>
      </c>
      <c r="BX186">
        <f>IF(OR(BX120="",AND(BX120=BX119,BX120=BX121)),NA(), BX120)</f>
        <v>0</v>
      </c>
      <c r="BY186">
        <f>IF(ISNA(BZ186),NA(),BY120)</f>
        <v>0</v>
      </c>
      <c r="BZ186">
        <f>IF(OR(BZ120="",AND(BZ120=BZ119,BZ120=BZ121)),NA(), BZ120)</f>
        <v>0</v>
      </c>
      <c r="CA186">
        <f>IF(ISNA(CB186),NA(),CA120)</f>
        <v>0</v>
      </c>
      <c r="CB186">
        <f>IF(OR(CB120="",AND(CB120=CB119,CB120=CB121)),NA(), CB120)</f>
        <v>0</v>
      </c>
      <c r="CC186">
        <f>IF(ISNA(CD186),NA(),CC120)</f>
        <v>0</v>
      </c>
      <c r="CD186">
        <f>IF(OR(CD120="",AND(CD120=CD119,CD120=CD121)),NA(), CD120)</f>
        <v>0</v>
      </c>
      <c r="CE186">
        <f>IF(ISNA(CF186),NA(),CE120)</f>
        <v>0</v>
      </c>
      <c r="CF186">
        <f>IF(OR(CF120="",AND(CF120=CF119,CF120=CF121)),NA(), CF120)</f>
        <v>0</v>
      </c>
      <c r="CG186">
        <f>IF(ISNA(CH186),NA(),CG120)</f>
        <v>0</v>
      </c>
      <c r="CH186">
        <f>IF(OR(CH120="",AND(CH120=CH119,CH120=CH121)),NA(), CH120)</f>
        <v>0</v>
      </c>
      <c r="CI186">
        <f>IF(ISNA(CJ186),NA(),CI120)</f>
        <v>0</v>
      </c>
      <c r="CJ186">
        <f>IF(OR(CJ120="",AND(CJ120=CJ119,CJ120=CJ121)),NA(), CJ120)</f>
        <v>0</v>
      </c>
      <c r="CK186">
        <f>IF(ISNA(CL186),NA(),CK120)</f>
        <v>0</v>
      </c>
      <c r="CL186">
        <f>IF(OR(CL120="",AND(CL120=CL119,CL120=CL121)),NA(), CL120)</f>
        <v>0</v>
      </c>
      <c r="CM186">
        <f>IF(ISNA(CN186),NA(),CM120)</f>
        <v>0</v>
      </c>
      <c r="CN186">
        <f>IF(OR(CN120="",AND(CN120=CN119,CN120=CN121)),NA(), CN120)</f>
        <v>0</v>
      </c>
      <c r="CO186">
        <f>IF(ISNA(CP186),NA(),CO120)</f>
        <v>0</v>
      </c>
      <c r="CP186">
        <f>IF(OR(CP120="",AND(CP120=CP119,CP120=CP121)),NA(), CP120)</f>
        <v>0</v>
      </c>
      <c r="CQ186">
        <f>IF(ISNA(CR186),NA(),CQ120)</f>
        <v>0</v>
      </c>
      <c r="CR186">
        <f>IF(OR(CR120="",AND(CR120=CR119,CR120=CR121)),NA(), CR120)</f>
        <v>0</v>
      </c>
      <c r="CS186">
        <f>IF(ISNA(CT186),NA(),CS120)</f>
        <v>0</v>
      </c>
      <c r="CT186">
        <f>IF(OR(CT120="",AND(CT120=CT119,CT120=CT121)),NA(), CT120)</f>
        <v>0</v>
      </c>
      <c r="CU186">
        <f>IF(ISNA(CV186),NA(),CU120)</f>
        <v>0</v>
      </c>
      <c r="CV186">
        <f>IF(OR(CV120="",AND(CV120=CV119,CV120=CV121)),NA(), CV120)</f>
        <v>0</v>
      </c>
      <c r="CW186">
        <f>IF(ISNA(CX186),NA(),CW120)</f>
        <v>0</v>
      </c>
      <c r="CX186">
        <f>IF(OR(CX120="",AND(CX120=CX119,CX120=CX121)),NA(), CX120)</f>
        <v>0</v>
      </c>
      <c r="CY186">
        <f>IF(ISNA(CZ186),NA(),CY120)</f>
        <v>0</v>
      </c>
      <c r="CZ186">
        <f>IF(OR(CZ120="",AND(CZ120=CZ119,CZ120=CZ121)),NA(), CZ120)</f>
        <v>0</v>
      </c>
      <c r="DA186">
        <f>IF(ISNA(DB186),NA(),DA120)</f>
        <v>0</v>
      </c>
      <c r="DB186">
        <f>IF(OR(DB120="",AND(DB120=DB119,DB120=DB121)),NA(), DB120)</f>
        <v>0</v>
      </c>
      <c r="DC186">
        <f>IF(ISNA(DD186),NA(),DC120)</f>
        <v>0</v>
      </c>
      <c r="DD186">
        <f>IF(OR(DD120="",AND(DD120=DD119,DD120=DD121)),NA(), DD120)</f>
        <v>0</v>
      </c>
      <c r="DE186">
        <f>IF(ISNA(DF186),NA(),DE120)</f>
        <v>0</v>
      </c>
      <c r="DF186">
        <f>IF(OR(DF120="",AND(DF120=DF119,DF120=DF121)),NA(), DF120)</f>
        <v>0</v>
      </c>
      <c r="DG186">
        <f>IF(ISNA(DH186),NA(),DG120)</f>
        <v>0</v>
      </c>
      <c r="DH186">
        <f>IF(OR(DH120="",AND(DH120=DH119,DH120=DH121)),NA(), DH120)</f>
        <v>0</v>
      </c>
      <c r="DI186">
        <f>IF(ISNA(DJ186),NA(),DI120)</f>
        <v>0</v>
      </c>
      <c r="DJ186">
        <f>IF(OR(DJ120="",AND(DJ120=DJ119,DJ120=DJ121)),NA(), DJ120)</f>
        <v>0</v>
      </c>
      <c r="DK186">
        <f>IF(ISNA(DL186),NA(),DK120)</f>
        <v>0</v>
      </c>
      <c r="DL186">
        <f>IF(OR(DL120="",AND(DL120=DL119,DL120=DL121)),NA(), DL120)</f>
        <v>0</v>
      </c>
      <c r="DM186">
        <f>IF(ISNA(DN186),NA(),DM120)</f>
        <v>0</v>
      </c>
      <c r="DN186">
        <f>IF(OR(DN120="",AND(DN120=DN119,DN120=DN121)),NA(), DN120)</f>
        <v>0</v>
      </c>
      <c r="DO186">
        <f>IF(ISNA(DP186),NA(),DO120)</f>
        <v>0</v>
      </c>
      <c r="DP186">
        <f>IF(OR(DP120="",AND(DP120=DP119,DP120=DP121)),NA(), DP120)</f>
        <v>0</v>
      </c>
      <c r="DQ186">
        <f>IF(ISNA(DR186),NA(),DQ120)</f>
        <v>0</v>
      </c>
      <c r="DR186">
        <f>IF(OR(DR120="",AND(DR120=DR119,DR120=DR121)),NA(), DR120)</f>
        <v>0</v>
      </c>
      <c r="DS186">
        <f>IF(ISNA(DT186),NA(),DS120)</f>
        <v>0</v>
      </c>
      <c r="DT186">
        <f>IF(OR(DT120="",AND(DT120=DT119,DT120=DT121)),NA(), DT120)</f>
        <v>0</v>
      </c>
      <c r="DU186">
        <f>IF(ISNA(DV186),NA(),DU120)</f>
        <v>0</v>
      </c>
      <c r="DV186">
        <f>IF(OR(DV120="",AND(DV120=DV119,DV120=DV121)),NA(), DV120)</f>
        <v>0</v>
      </c>
      <c r="DW186">
        <f>IF(ISNA(DX186),NA(),DW120)</f>
        <v>0</v>
      </c>
      <c r="DX186">
        <f>IF(OR(DX120="",AND(DX120=DX119,DX120=DX121)),NA(), DX120)</f>
        <v>0</v>
      </c>
      <c r="DY186">
        <f>IF(ISNA(DZ186),NA(),DY120)</f>
        <v>0</v>
      </c>
      <c r="DZ186">
        <f>IF(OR(DZ120="",AND(DZ120=DZ119,DZ120=DZ121)),NA(), DZ120)</f>
        <v>0</v>
      </c>
      <c r="EA186">
        <f>IF(ISNA(EB186),NA(),EA120)</f>
        <v>0</v>
      </c>
      <c r="EB186">
        <f>IF(OR(EB120="",AND(EB120=EB119,EB120=EB121)),NA(), EB120)</f>
        <v>0</v>
      </c>
      <c r="EC186">
        <f>IF(ISNA(ED186),NA(),EC120)</f>
        <v>0</v>
      </c>
      <c r="ED186">
        <f>IF(OR(ED120="",AND(ED120=ED119,ED120=ED121)),NA(), ED120)</f>
        <v>0</v>
      </c>
    </row>
    <row r="187" spans="5:134">
      <c r="E187">
        <f>IF(ISNA(F187),NA(),E121)</f>
        <v>0</v>
      </c>
      <c r="F187">
        <f>IF(OR(F121="",AND(F121=F120,F121=F122)),NA(), F121)</f>
        <v>0</v>
      </c>
      <c r="G187">
        <f>IF(ISNA(H187),NA(),G121)</f>
        <v>0</v>
      </c>
      <c r="H187">
        <f>IF(OR(H121="",AND(H121=H120,H121=H122)),NA(), H121)</f>
        <v>0</v>
      </c>
      <c r="I187">
        <f>IF(ISNA(J187),NA(),I121)</f>
        <v>0</v>
      </c>
      <c r="J187">
        <f>IF(OR(J121="",AND(J121=J120,J121=J122)),NA(), J121)</f>
        <v>0</v>
      </c>
      <c r="K187">
        <f>IF(ISNA(L187),NA(),K121)</f>
        <v>0</v>
      </c>
      <c r="L187">
        <f>IF(OR(L121="",AND(L121=L120,L121=L122)),NA(), L121)</f>
        <v>0</v>
      </c>
      <c r="M187">
        <f>IF(ISNA(N187),NA(),M121)</f>
        <v>0</v>
      </c>
      <c r="N187">
        <f>IF(OR(N121="",AND(N121=N120,N121=N122)),NA(), N121)</f>
        <v>0</v>
      </c>
      <c r="O187">
        <f>IF(ISNA(P187),NA(),O121)</f>
        <v>0</v>
      </c>
      <c r="P187">
        <f>IF(OR(P121="",AND(P121=P120,P121=P122)),NA(), P121)</f>
        <v>0</v>
      </c>
      <c r="Q187">
        <f>IF(ISNA(R187),NA(),Q121)</f>
        <v>0</v>
      </c>
      <c r="R187">
        <f>IF(OR(R121="",AND(R121=R120,R121=R122)),NA(), R121)</f>
        <v>0</v>
      </c>
      <c r="S187">
        <f>IF(ISNA(T187),NA(),S121)</f>
        <v>0</v>
      </c>
      <c r="T187">
        <f>IF(OR(T121="",AND(T121=T120,T121=T122)),NA(), T121)</f>
        <v>0</v>
      </c>
      <c r="U187">
        <f>IF(ISNA(V187),NA(),U121)</f>
        <v>0</v>
      </c>
      <c r="V187">
        <f>IF(OR(V121="",AND(V121=V120,V121=V122)),NA(), V121)</f>
        <v>0</v>
      </c>
      <c r="W187">
        <f>IF(ISNA(X187),NA(),W121)</f>
        <v>0</v>
      </c>
      <c r="X187">
        <f>IF(OR(X121="",AND(X121=X120,X121=X122)),NA(), X121)</f>
        <v>0</v>
      </c>
      <c r="Y187">
        <f>IF(ISNA(Z187),NA(),Y121)</f>
        <v>0</v>
      </c>
      <c r="Z187">
        <f>IF(OR(Z121="",AND(Z121=Z120,Z121=Z122)),NA(), Z121)</f>
        <v>0</v>
      </c>
      <c r="AA187">
        <f>IF(ISNA(AB187),NA(),AA121)</f>
        <v>0</v>
      </c>
      <c r="AB187">
        <f>IF(OR(AB121="",AND(AB121=AB120,AB121=AB122)),NA(), AB121)</f>
        <v>0</v>
      </c>
      <c r="AC187">
        <f>IF(ISNA(AD187),NA(),AC121)</f>
        <v>0</v>
      </c>
      <c r="AD187">
        <f>IF(OR(AD121="",AND(AD121=AD120,AD121=AD122)),NA(), AD121)</f>
        <v>0</v>
      </c>
      <c r="AE187">
        <f>IF(ISNA(AF187),NA(),AE121)</f>
        <v>0</v>
      </c>
      <c r="AF187">
        <f>IF(OR(AF121="",AND(AF121=AF120,AF121=AF122)),NA(), AF121)</f>
        <v>0</v>
      </c>
      <c r="AG187">
        <f>IF(ISNA(AH187),NA(),AG121)</f>
        <v>0</v>
      </c>
      <c r="AH187">
        <f>IF(OR(AH121="",AND(AH121=AH120,AH121=AH122)),NA(), AH121)</f>
        <v>0</v>
      </c>
      <c r="AI187">
        <f>IF(ISNA(AJ187),NA(),AI121)</f>
        <v>0</v>
      </c>
      <c r="AJ187">
        <f>IF(OR(AJ121="",AND(AJ121=AJ120,AJ121=AJ122)),NA(), AJ121)</f>
        <v>0</v>
      </c>
      <c r="AK187">
        <f>IF(ISNA(AL187),NA(),AK121)</f>
        <v>0</v>
      </c>
      <c r="AL187">
        <f>IF(OR(AL121="",AND(AL121=AL120,AL121=AL122)),NA(), AL121)</f>
        <v>0</v>
      </c>
      <c r="AM187">
        <f>IF(ISNA(AN187),NA(),AM121)</f>
        <v>0</v>
      </c>
      <c r="AN187">
        <f>IF(OR(AN121="",AND(AN121=AN120,AN121=AN122)),NA(), AN121)</f>
        <v>0</v>
      </c>
      <c r="AO187">
        <f>IF(ISNA(AP187),NA(),AO121)</f>
        <v>0</v>
      </c>
      <c r="AP187">
        <f>IF(OR(AP121="",AND(AP121=AP120,AP121=AP122)),NA(), AP121)</f>
        <v>0</v>
      </c>
      <c r="AQ187">
        <f>IF(ISNA(AR187),NA(),AQ121)</f>
        <v>0</v>
      </c>
      <c r="AR187">
        <f>IF(OR(AR121="",AND(AR121=AR120,AR121=AR122)),NA(), AR121)</f>
        <v>0</v>
      </c>
      <c r="AS187">
        <f>IF(ISNA(AT187),NA(),AS121)</f>
        <v>0</v>
      </c>
      <c r="AT187">
        <f>IF(OR(AT121="",AND(AT121=AT120,AT121=AT122)),NA(), AT121)</f>
        <v>0</v>
      </c>
      <c r="AU187">
        <f>IF(ISNA(AV187),NA(),AU121)</f>
        <v>0</v>
      </c>
      <c r="AV187">
        <f>IF(OR(AV121="",AND(AV121=AV120,AV121=AV122)),NA(), AV121)</f>
        <v>0</v>
      </c>
      <c r="AW187">
        <f>IF(ISNA(AX187),NA(),AW121)</f>
        <v>0</v>
      </c>
      <c r="AX187">
        <f>IF(OR(AX121="",AND(AX121=AX120,AX121=AX122)),NA(), AX121)</f>
        <v>0</v>
      </c>
      <c r="AY187">
        <f>IF(ISNA(AZ187),NA(),AY121)</f>
        <v>0</v>
      </c>
      <c r="AZ187">
        <f>IF(OR(AZ121="",AND(AZ121=AZ120,AZ121=AZ122)),NA(), AZ121)</f>
        <v>0</v>
      </c>
      <c r="BA187">
        <f>IF(ISNA(BB187),NA(),BA121)</f>
        <v>0</v>
      </c>
      <c r="BB187">
        <f>IF(OR(BB121="",AND(BB121=BB120,BB121=BB122)),NA(), BB121)</f>
        <v>0</v>
      </c>
      <c r="BC187">
        <f>IF(ISNA(BD187),NA(),BC121)</f>
        <v>0</v>
      </c>
      <c r="BD187">
        <f>IF(OR(BD121="",AND(BD121=BD120,BD121=BD122)),NA(), BD121)</f>
        <v>0</v>
      </c>
      <c r="BE187">
        <f>IF(ISNA(BF187),NA(),BE121)</f>
        <v>0</v>
      </c>
      <c r="BF187">
        <f>IF(OR(BF121="",AND(BF121=BF120,BF121=BF122)),NA(), BF121)</f>
        <v>0</v>
      </c>
      <c r="BG187">
        <f>IF(ISNA(BH187),NA(),BG121)</f>
        <v>0</v>
      </c>
      <c r="BH187">
        <f>IF(OR(BH121="",AND(BH121=BH120,BH121=BH122)),NA(), BH121)</f>
        <v>0</v>
      </c>
      <c r="BI187">
        <f>IF(ISNA(BJ187),NA(),BI121)</f>
        <v>0</v>
      </c>
      <c r="BJ187">
        <f>IF(OR(BJ121="",AND(BJ121=BJ120,BJ121=BJ122)),NA(), BJ121)</f>
        <v>0</v>
      </c>
      <c r="BK187">
        <f>IF(ISNA(BL187),NA(),BK121)</f>
        <v>0</v>
      </c>
      <c r="BL187">
        <f>IF(OR(BL121="",AND(BL121=BL120,BL121=BL122)),NA(), BL121)</f>
        <v>0</v>
      </c>
      <c r="BM187">
        <f>IF(ISNA(BN187),NA(),BM121)</f>
        <v>0</v>
      </c>
      <c r="BN187">
        <f>IF(OR(BN121="",AND(BN121=BN120,BN121=BN122)),NA(), BN121)</f>
        <v>0</v>
      </c>
      <c r="BO187">
        <f>IF(ISNA(BP187),NA(),BO121)</f>
        <v>0</v>
      </c>
      <c r="BP187">
        <f>IF(OR(BP121="",AND(BP121=BP120,BP121=BP122)),NA(), BP121)</f>
        <v>0</v>
      </c>
      <c r="BS187">
        <f>IF(ISNA(BT187),NA(),BS121)</f>
        <v>0</v>
      </c>
      <c r="BT187">
        <f>IF(OR(BT121="",AND(BT121=BT120,BT121=BT122)),NA(), BT121)</f>
        <v>0</v>
      </c>
      <c r="BU187">
        <f>IF(ISNA(BV187),NA(),BU121)</f>
        <v>0</v>
      </c>
      <c r="BV187">
        <f>IF(OR(BV121="",AND(BV121=BV120,BV121=BV122)),NA(), BV121)</f>
        <v>0</v>
      </c>
      <c r="BW187">
        <f>IF(ISNA(BX187),NA(),BW121)</f>
        <v>0</v>
      </c>
      <c r="BX187">
        <f>IF(OR(BX121="",AND(BX121=BX120,BX121=BX122)),NA(), BX121)</f>
        <v>0</v>
      </c>
      <c r="BY187">
        <f>IF(ISNA(BZ187),NA(),BY121)</f>
        <v>0</v>
      </c>
      <c r="BZ187">
        <f>IF(OR(BZ121="",AND(BZ121=BZ120,BZ121=BZ122)),NA(), BZ121)</f>
        <v>0</v>
      </c>
      <c r="CA187">
        <f>IF(ISNA(CB187),NA(),CA121)</f>
        <v>0</v>
      </c>
      <c r="CB187">
        <f>IF(OR(CB121="",AND(CB121=CB120,CB121=CB122)),NA(), CB121)</f>
        <v>0</v>
      </c>
      <c r="CC187">
        <f>IF(ISNA(CD187),NA(),CC121)</f>
        <v>0</v>
      </c>
      <c r="CD187">
        <f>IF(OR(CD121="",AND(CD121=CD120,CD121=CD122)),NA(), CD121)</f>
        <v>0</v>
      </c>
      <c r="CE187">
        <f>IF(ISNA(CF187),NA(),CE121)</f>
        <v>0</v>
      </c>
      <c r="CF187">
        <f>IF(OR(CF121="",AND(CF121=CF120,CF121=CF122)),NA(), CF121)</f>
        <v>0</v>
      </c>
      <c r="CG187">
        <f>IF(ISNA(CH187),NA(),CG121)</f>
        <v>0</v>
      </c>
      <c r="CH187">
        <f>IF(OR(CH121="",AND(CH121=CH120,CH121=CH122)),NA(), CH121)</f>
        <v>0</v>
      </c>
      <c r="CI187">
        <f>IF(ISNA(CJ187),NA(),CI121)</f>
        <v>0</v>
      </c>
      <c r="CJ187">
        <f>IF(OR(CJ121="",AND(CJ121=CJ120,CJ121=CJ122)),NA(), CJ121)</f>
        <v>0</v>
      </c>
      <c r="CK187">
        <f>IF(ISNA(CL187),NA(),CK121)</f>
        <v>0</v>
      </c>
      <c r="CL187">
        <f>IF(OR(CL121="",AND(CL121=CL120,CL121=CL122)),NA(), CL121)</f>
        <v>0</v>
      </c>
      <c r="CM187">
        <f>IF(ISNA(CN187),NA(),CM121)</f>
        <v>0</v>
      </c>
      <c r="CN187">
        <f>IF(OR(CN121="",AND(CN121=CN120,CN121=CN122)),NA(), CN121)</f>
        <v>0</v>
      </c>
      <c r="CO187">
        <f>IF(ISNA(CP187),NA(),CO121)</f>
        <v>0</v>
      </c>
      <c r="CP187">
        <f>IF(OR(CP121="",AND(CP121=CP120,CP121=CP122)),NA(), CP121)</f>
        <v>0</v>
      </c>
      <c r="CQ187">
        <f>IF(ISNA(CR187),NA(),CQ121)</f>
        <v>0</v>
      </c>
      <c r="CR187">
        <f>IF(OR(CR121="",AND(CR121=CR120,CR121=CR122)),NA(), CR121)</f>
        <v>0</v>
      </c>
      <c r="CS187">
        <f>IF(ISNA(CT187),NA(),CS121)</f>
        <v>0</v>
      </c>
      <c r="CT187">
        <f>IF(OR(CT121="",AND(CT121=CT120,CT121=CT122)),NA(), CT121)</f>
        <v>0</v>
      </c>
      <c r="CU187">
        <f>IF(ISNA(CV187),NA(),CU121)</f>
        <v>0</v>
      </c>
      <c r="CV187">
        <f>IF(OR(CV121="",AND(CV121=CV120,CV121=CV122)),NA(), CV121)</f>
        <v>0</v>
      </c>
      <c r="CW187">
        <f>IF(ISNA(CX187),NA(),CW121)</f>
        <v>0</v>
      </c>
      <c r="CX187">
        <f>IF(OR(CX121="",AND(CX121=CX120,CX121=CX122)),NA(), CX121)</f>
        <v>0</v>
      </c>
      <c r="CY187">
        <f>IF(ISNA(CZ187),NA(),CY121)</f>
        <v>0</v>
      </c>
      <c r="CZ187">
        <f>IF(OR(CZ121="",AND(CZ121=CZ120,CZ121=CZ122)),NA(), CZ121)</f>
        <v>0</v>
      </c>
      <c r="DA187">
        <f>IF(ISNA(DB187),NA(),DA121)</f>
        <v>0</v>
      </c>
      <c r="DB187">
        <f>IF(OR(DB121="",AND(DB121=DB120,DB121=DB122)),NA(), DB121)</f>
        <v>0</v>
      </c>
      <c r="DC187">
        <f>IF(ISNA(DD187),NA(),DC121)</f>
        <v>0</v>
      </c>
      <c r="DD187">
        <f>IF(OR(DD121="",AND(DD121=DD120,DD121=DD122)),NA(), DD121)</f>
        <v>0</v>
      </c>
      <c r="DE187">
        <f>IF(ISNA(DF187),NA(),DE121)</f>
        <v>0</v>
      </c>
      <c r="DF187">
        <f>IF(OR(DF121="",AND(DF121=DF120,DF121=DF122)),NA(), DF121)</f>
        <v>0</v>
      </c>
      <c r="DG187">
        <f>IF(ISNA(DH187),NA(),DG121)</f>
        <v>0</v>
      </c>
      <c r="DH187">
        <f>IF(OR(DH121="",AND(DH121=DH120,DH121=DH122)),NA(), DH121)</f>
        <v>0</v>
      </c>
      <c r="DI187">
        <f>IF(ISNA(DJ187),NA(),DI121)</f>
        <v>0</v>
      </c>
      <c r="DJ187">
        <f>IF(OR(DJ121="",AND(DJ121=DJ120,DJ121=DJ122)),NA(), DJ121)</f>
        <v>0</v>
      </c>
      <c r="DK187">
        <f>IF(ISNA(DL187),NA(),DK121)</f>
        <v>0</v>
      </c>
      <c r="DL187">
        <f>IF(OR(DL121="",AND(DL121=DL120,DL121=DL122)),NA(), DL121)</f>
        <v>0</v>
      </c>
      <c r="DM187">
        <f>IF(ISNA(DN187),NA(),DM121)</f>
        <v>0</v>
      </c>
      <c r="DN187">
        <f>IF(OR(DN121="",AND(DN121=DN120,DN121=DN122)),NA(), DN121)</f>
        <v>0</v>
      </c>
      <c r="DO187">
        <f>IF(ISNA(DP187),NA(),DO121)</f>
        <v>0</v>
      </c>
      <c r="DP187">
        <f>IF(OR(DP121="",AND(DP121=DP120,DP121=DP122)),NA(), DP121)</f>
        <v>0</v>
      </c>
      <c r="DQ187">
        <f>IF(ISNA(DR187),NA(),DQ121)</f>
        <v>0</v>
      </c>
      <c r="DR187">
        <f>IF(OR(DR121="",AND(DR121=DR120,DR121=DR122)),NA(), DR121)</f>
        <v>0</v>
      </c>
      <c r="DS187">
        <f>IF(ISNA(DT187),NA(),DS121)</f>
        <v>0</v>
      </c>
      <c r="DT187">
        <f>IF(OR(DT121="",AND(DT121=DT120,DT121=DT122)),NA(), DT121)</f>
        <v>0</v>
      </c>
      <c r="DU187">
        <f>IF(ISNA(DV187),NA(),DU121)</f>
        <v>0</v>
      </c>
      <c r="DV187">
        <f>IF(OR(DV121="",AND(DV121=DV120,DV121=DV122)),NA(), DV121)</f>
        <v>0</v>
      </c>
      <c r="DW187">
        <f>IF(ISNA(DX187),NA(),DW121)</f>
        <v>0</v>
      </c>
      <c r="DX187">
        <f>IF(OR(DX121="",AND(DX121=DX120,DX121=DX122)),NA(), DX121)</f>
        <v>0</v>
      </c>
      <c r="DY187">
        <f>IF(ISNA(DZ187),NA(),DY121)</f>
        <v>0</v>
      </c>
      <c r="DZ187">
        <f>IF(OR(DZ121="",AND(DZ121=DZ120,DZ121=DZ122)),NA(), DZ121)</f>
        <v>0</v>
      </c>
      <c r="EA187">
        <f>IF(ISNA(EB187),NA(),EA121)</f>
        <v>0</v>
      </c>
      <c r="EB187">
        <f>IF(OR(EB121="",AND(EB121=EB120,EB121=EB122)),NA(), EB121)</f>
        <v>0</v>
      </c>
      <c r="EC187">
        <f>IF(ISNA(ED187),NA(),EC121)</f>
        <v>0</v>
      </c>
      <c r="ED187">
        <f>IF(OR(ED121="",AND(ED121=ED120,ED121=ED122)),NA(), ED121)</f>
        <v>0</v>
      </c>
    </row>
    <row r="188" spans="5:134">
      <c r="E188">
        <f>IF(ISNA(F188),NA(),E122)</f>
        <v>0</v>
      </c>
      <c r="F188">
        <f>IF(OR(F122="",AND(F122=F121,F122=F123)),NA(), F122)</f>
        <v>0</v>
      </c>
      <c r="G188">
        <f>IF(ISNA(H188),NA(),G122)</f>
        <v>0</v>
      </c>
      <c r="H188">
        <f>IF(OR(H122="",AND(H122=H121,H122=H123)),NA(), H122)</f>
        <v>0</v>
      </c>
      <c r="I188">
        <f>IF(ISNA(J188),NA(),I122)</f>
        <v>0</v>
      </c>
      <c r="J188">
        <f>IF(OR(J122="",AND(J122=J121,J122=J123)),NA(), J122)</f>
        <v>0</v>
      </c>
      <c r="K188">
        <f>IF(ISNA(L188),NA(),K122)</f>
        <v>0</v>
      </c>
      <c r="L188">
        <f>IF(OR(L122="",AND(L122=L121,L122=L123)),NA(), L122)</f>
        <v>0</v>
      </c>
      <c r="M188">
        <f>IF(ISNA(N188),NA(),M122)</f>
        <v>0</v>
      </c>
      <c r="N188">
        <f>IF(OR(N122="",AND(N122=N121,N122=N123)),NA(), N122)</f>
        <v>0</v>
      </c>
      <c r="O188">
        <f>IF(ISNA(P188),NA(),O122)</f>
        <v>0</v>
      </c>
      <c r="P188">
        <f>IF(OR(P122="",AND(P122=P121,P122=P123)),NA(), P122)</f>
        <v>0</v>
      </c>
      <c r="Q188">
        <f>IF(ISNA(R188),NA(),Q122)</f>
        <v>0</v>
      </c>
      <c r="R188">
        <f>IF(OR(R122="",AND(R122=R121,R122=R123)),NA(), R122)</f>
        <v>0</v>
      </c>
      <c r="S188">
        <f>IF(ISNA(T188),NA(),S122)</f>
        <v>0</v>
      </c>
      <c r="T188">
        <f>IF(OR(T122="",AND(T122=T121,T122=T123)),NA(), T122)</f>
        <v>0</v>
      </c>
      <c r="U188">
        <f>IF(ISNA(V188),NA(),U122)</f>
        <v>0</v>
      </c>
      <c r="V188">
        <f>IF(OR(V122="",AND(V122=V121,V122=V123)),NA(), V122)</f>
        <v>0</v>
      </c>
      <c r="W188">
        <f>IF(ISNA(X188),NA(),W122)</f>
        <v>0</v>
      </c>
      <c r="X188">
        <f>IF(OR(X122="",AND(X122=X121,X122=X123)),NA(), X122)</f>
        <v>0</v>
      </c>
      <c r="Y188">
        <f>IF(ISNA(Z188),NA(),Y122)</f>
        <v>0</v>
      </c>
      <c r="Z188">
        <f>IF(OR(Z122="",AND(Z122=Z121,Z122=Z123)),NA(), Z122)</f>
        <v>0</v>
      </c>
      <c r="AA188">
        <f>IF(ISNA(AB188),NA(),AA122)</f>
        <v>0</v>
      </c>
      <c r="AB188">
        <f>IF(OR(AB122="",AND(AB122=AB121,AB122=AB123)),NA(), AB122)</f>
        <v>0</v>
      </c>
      <c r="AC188">
        <f>IF(ISNA(AD188),NA(),AC122)</f>
        <v>0</v>
      </c>
      <c r="AD188">
        <f>IF(OR(AD122="",AND(AD122=AD121,AD122=AD123)),NA(), AD122)</f>
        <v>0</v>
      </c>
      <c r="AE188">
        <f>IF(ISNA(AF188),NA(),AE122)</f>
        <v>0</v>
      </c>
      <c r="AF188">
        <f>IF(OR(AF122="",AND(AF122=AF121,AF122=AF123)),NA(), AF122)</f>
        <v>0</v>
      </c>
      <c r="AG188">
        <f>IF(ISNA(AH188),NA(),AG122)</f>
        <v>0</v>
      </c>
      <c r="AH188">
        <f>IF(OR(AH122="",AND(AH122=AH121,AH122=AH123)),NA(), AH122)</f>
        <v>0</v>
      </c>
      <c r="AI188">
        <f>IF(ISNA(AJ188),NA(),AI122)</f>
        <v>0</v>
      </c>
      <c r="AJ188">
        <f>IF(OR(AJ122="",AND(AJ122=AJ121,AJ122=AJ123)),NA(), AJ122)</f>
        <v>0</v>
      </c>
      <c r="AK188">
        <f>IF(ISNA(AL188),NA(),AK122)</f>
        <v>0</v>
      </c>
      <c r="AL188">
        <f>IF(OR(AL122="",AND(AL122=AL121,AL122=AL123)),NA(), AL122)</f>
        <v>0</v>
      </c>
      <c r="AM188">
        <f>IF(ISNA(AN188),NA(),AM122)</f>
        <v>0</v>
      </c>
      <c r="AN188">
        <f>IF(OR(AN122="",AND(AN122=AN121,AN122=AN123)),NA(), AN122)</f>
        <v>0</v>
      </c>
      <c r="AO188">
        <f>IF(ISNA(AP188),NA(),AO122)</f>
        <v>0</v>
      </c>
      <c r="AP188">
        <f>IF(OR(AP122="",AND(AP122=AP121,AP122=AP123)),NA(), AP122)</f>
        <v>0</v>
      </c>
      <c r="AQ188">
        <f>IF(ISNA(AR188),NA(),AQ122)</f>
        <v>0</v>
      </c>
      <c r="AR188">
        <f>IF(OR(AR122="",AND(AR122=AR121,AR122=AR123)),NA(), AR122)</f>
        <v>0</v>
      </c>
      <c r="AS188">
        <f>IF(ISNA(AT188),NA(),AS122)</f>
        <v>0</v>
      </c>
      <c r="AT188">
        <f>IF(OR(AT122="",AND(AT122=AT121,AT122=AT123)),NA(), AT122)</f>
        <v>0</v>
      </c>
      <c r="AU188">
        <f>IF(ISNA(AV188),NA(),AU122)</f>
        <v>0</v>
      </c>
      <c r="AV188">
        <f>IF(OR(AV122="",AND(AV122=AV121,AV122=AV123)),NA(), AV122)</f>
        <v>0</v>
      </c>
      <c r="AW188">
        <f>IF(ISNA(AX188),NA(),AW122)</f>
        <v>0</v>
      </c>
      <c r="AX188">
        <f>IF(OR(AX122="",AND(AX122=AX121,AX122=AX123)),NA(), AX122)</f>
        <v>0</v>
      </c>
      <c r="AY188">
        <f>IF(ISNA(AZ188),NA(),AY122)</f>
        <v>0</v>
      </c>
      <c r="AZ188">
        <f>IF(OR(AZ122="",AND(AZ122=AZ121,AZ122=AZ123)),NA(), AZ122)</f>
        <v>0</v>
      </c>
      <c r="BA188">
        <f>IF(ISNA(BB188),NA(),BA122)</f>
        <v>0</v>
      </c>
      <c r="BB188">
        <f>IF(OR(BB122="",AND(BB122=BB121,BB122=BB123)),NA(), BB122)</f>
        <v>0</v>
      </c>
      <c r="BC188">
        <f>IF(ISNA(BD188),NA(),BC122)</f>
        <v>0</v>
      </c>
      <c r="BD188">
        <f>IF(OR(BD122="",AND(BD122=BD121,BD122=BD123)),NA(), BD122)</f>
        <v>0</v>
      </c>
      <c r="BE188">
        <f>IF(ISNA(BF188),NA(),BE122)</f>
        <v>0</v>
      </c>
      <c r="BF188">
        <f>IF(OR(BF122="",AND(BF122=BF121,BF122=BF123)),NA(), BF122)</f>
        <v>0</v>
      </c>
      <c r="BG188">
        <f>IF(ISNA(BH188),NA(),BG122)</f>
        <v>0</v>
      </c>
      <c r="BH188">
        <f>IF(OR(BH122="",AND(BH122=BH121,BH122=BH123)),NA(), BH122)</f>
        <v>0</v>
      </c>
      <c r="BI188">
        <f>IF(ISNA(BJ188),NA(),BI122)</f>
        <v>0</v>
      </c>
      <c r="BJ188">
        <f>IF(OR(BJ122="",AND(BJ122=BJ121,BJ122=BJ123)),NA(), BJ122)</f>
        <v>0</v>
      </c>
      <c r="BK188">
        <f>IF(ISNA(BL188),NA(),BK122)</f>
        <v>0</v>
      </c>
      <c r="BL188">
        <f>IF(OR(BL122="",AND(BL122=BL121,BL122=BL123)),NA(), BL122)</f>
        <v>0</v>
      </c>
      <c r="BM188">
        <f>IF(ISNA(BN188),NA(),BM122)</f>
        <v>0</v>
      </c>
      <c r="BN188">
        <f>IF(OR(BN122="",AND(BN122=BN121,BN122=BN123)),NA(), BN122)</f>
        <v>0</v>
      </c>
      <c r="BO188">
        <f>IF(ISNA(BP188),NA(),BO122)</f>
        <v>0</v>
      </c>
      <c r="BP188">
        <f>IF(OR(BP122="",AND(BP122=BP121,BP122=BP123)),NA(), BP122)</f>
        <v>0</v>
      </c>
      <c r="BS188">
        <f>IF(ISNA(BT188),NA(),BS122)</f>
        <v>0</v>
      </c>
      <c r="BT188">
        <f>IF(OR(BT122="",AND(BT122=BT121,BT122=BT123)),NA(), BT122)</f>
        <v>0</v>
      </c>
      <c r="BU188">
        <f>IF(ISNA(BV188),NA(),BU122)</f>
        <v>0</v>
      </c>
      <c r="BV188">
        <f>IF(OR(BV122="",AND(BV122=BV121,BV122=BV123)),NA(), BV122)</f>
        <v>0</v>
      </c>
      <c r="BW188">
        <f>IF(ISNA(BX188),NA(),BW122)</f>
        <v>0</v>
      </c>
      <c r="BX188">
        <f>IF(OR(BX122="",AND(BX122=BX121,BX122=BX123)),NA(), BX122)</f>
        <v>0</v>
      </c>
      <c r="BY188">
        <f>IF(ISNA(BZ188),NA(),BY122)</f>
        <v>0</v>
      </c>
      <c r="BZ188">
        <f>IF(OR(BZ122="",AND(BZ122=BZ121,BZ122=BZ123)),NA(), BZ122)</f>
        <v>0</v>
      </c>
      <c r="CA188">
        <f>IF(ISNA(CB188),NA(),CA122)</f>
        <v>0</v>
      </c>
      <c r="CB188">
        <f>IF(OR(CB122="",AND(CB122=CB121,CB122=CB123)),NA(), CB122)</f>
        <v>0</v>
      </c>
      <c r="CC188">
        <f>IF(ISNA(CD188),NA(),CC122)</f>
        <v>0</v>
      </c>
      <c r="CD188">
        <f>IF(OR(CD122="",AND(CD122=CD121,CD122=CD123)),NA(), CD122)</f>
        <v>0</v>
      </c>
      <c r="CE188">
        <f>IF(ISNA(CF188),NA(),CE122)</f>
        <v>0</v>
      </c>
      <c r="CF188">
        <f>IF(OR(CF122="",AND(CF122=CF121,CF122=CF123)),NA(), CF122)</f>
        <v>0</v>
      </c>
      <c r="CG188">
        <f>IF(ISNA(CH188),NA(),CG122)</f>
        <v>0</v>
      </c>
      <c r="CH188">
        <f>IF(OR(CH122="",AND(CH122=CH121,CH122=CH123)),NA(), CH122)</f>
        <v>0</v>
      </c>
      <c r="CI188">
        <f>IF(ISNA(CJ188),NA(),CI122)</f>
        <v>0</v>
      </c>
      <c r="CJ188">
        <f>IF(OR(CJ122="",AND(CJ122=CJ121,CJ122=CJ123)),NA(), CJ122)</f>
        <v>0</v>
      </c>
      <c r="CK188">
        <f>IF(ISNA(CL188),NA(),CK122)</f>
        <v>0</v>
      </c>
      <c r="CL188">
        <f>IF(OR(CL122="",AND(CL122=CL121,CL122=CL123)),NA(), CL122)</f>
        <v>0</v>
      </c>
      <c r="CM188">
        <f>IF(ISNA(CN188),NA(),CM122)</f>
        <v>0</v>
      </c>
      <c r="CN188">
        <f>IF(OR(CN122="",AND(CN122=CN121,CN122=CN123)),NA(), CN122)</f>
        <v>0</v>
      </c>
      <c r="CO188">
        <f>IF(ISNA(CP188),NA(),CO122)</f>
        <v>0</v>
      </c>
      <c r="CP188">
        <f>IF(OR(CP122="",AND(CP122=CP121,CP122=CP123)),NA(), CP122)</f>
        <v>0</v>
      </c>
      <c r="CQ188">
        <f>IF(ISNA(CR188),NA(),CQ122)</f>
        <v>0</v>
      </c>
      <c r="CR188">
        <f>IF(OR(CR122="",AND(CR122=CR121,CR122=CR123)),NA(), CR122)</f>
        <v>0</v>
      </c>
      <c r="CS188">
        <f>IF(ISNA(CT188),NA(),CS122)</f>
        <v>0</v>
      </c>
      <c r="CT188">
        <f>IF(OR(CT122="",AND(CT122=CT121,CT122=CT123)),NA(), CT122)</f>
        <v>0</v>
      </c>
      <c r="CU188">
        <f>IF(ISNA(CV188),NA(),CU122)</f>
        <v>0</v>
      </c>
      <c r="CV188">
        <f>IF(OR(CV122="",AND(CV122=CV121,CV122=CV123)),NA(), CV122)</f>
        <v>0</v>
      </c>
      <c r="CW188">
        <f>IF(ISNA(CX188),NA(),CW122)</f>
        <v>0</v>
      </c>
      <c r="CX188">
        <f>IF(OR(CX122="",AND(CX122=CX121,CX122=CX123)),NA(), CX122)</f>
        <v>0</v>
      </c>
      <c r="CY188">
        <f>IF(ISNA(CZ188),NA(),CY122)</f>
        <v>0</v>
      </c>
      <c r="CZ188">
        <f>IF(OR(CZ122="",AND(CZ122=CZ121,CZ122=CZ123)),NA(), CZ122)</f>
        <v>0</v>
      </c>
      <c r="DA188">
        <f>IF(ISNA(DB188),NA(),DA122)</f>
        <v>0</v>
      </c>
      <c r="DB188">
        <f>IF(OR(DB122="",AND(DB122=DB121,DB122=DB123)),NA(), DB122)</f>
        <v>0</v>
      </c>
      <c r="DC188">
        <f>IF(ISNA(DD188),NA(),DC122)</f>
        <v>0</v>
      </c>
      <c r="DD188">
        <f>IF(OR(DD122="",AND(DD122=DD121,DD122=DD123)),NA(), DD122)</f>
        <v>0</v>
      </c>
      <c r="DE188">
        <f>IF(ISNA(DF188),NA(),DE122)</f>
        <v>0</v>
      </c>
      <c r="DF188">
        <f>IF(OR(DF122="",AND(DF122=DF121,DF122=DF123)),NA(), DF122)</f>
        <v>0</v>
      </c>
      <c r="DG188">
        <f>IF(ISNA(DH188),NA(),DG122)</f>
        <v>0</v>
      </c>
      <c r="DH188">
        <f>IF(OR(DH122="",AND(DH122=DH121,DH122=DH123)),NA(), DH122)</f>
        <v>0</v>
      </c>
      <c r="DI188">
        <f>IF(ISNA(DJ188),NA(),DI122)</f>
        <v>0</v>
      </c>
      <c r="DJ188">
        <f>IF(OR(DJ122="",AND(DJ122=DJ121,DJ122=DJ123)),NA(), DJ122)</f>
        <v>0</v>
      </c>
      <c r="DK188">
        <f>IF(ISNA(DL188),NA(),DK122)</f>
        <v>0</v>
      </c>
      <c r="DL188">
        <f>IF(OR(DL122="",AND(DL122=DL121,DL122=DL123)),NA(), DL122)</f>
        <v>0</v>
      </c>
      <c r="DM188">
        <f>IF(ISNA(DN188),NA(),DM122)</f>
        <v>0</v>
      </c>
      <c r="DN188">
        <f>IF(OR(DN122="",AND(DN122=DN121,DN122=DN123)),NA(), DN122)</f>
        <v>0</v>
      </c>
      <c r="DO188">
        <f>IF(ISNA(DP188),NA(),DO122)</f>
        <v>0</v>
      </c>
      <c r="DP188">
        <f>IF(OR(DP122="",AND(DP122=DP121,DP122=DP123)),NA(), DP122)</f>
        <v>0</v>
      </c>
      <c r="DQ188">
        <f>IF(ISNA(DR188),NA(),DQ122)</f>
        <v>0</v>
      </c>
      <c r="DR188">
        <f>IF(OR(DR122="",AND(DR122=DR121,DR122=DR123)),NA(), DR122)</f>
        <v>0</v>
      </c>
      <c r="DS188">
        <f>IF(ISNA(DT188),NA(),DS122)</f>
        <v>0</v>
      </c>
      <c r="DT188">
        <f>IF(OR(DT122="",AND(DT122=DT121,DT122=DT123)),NA(), DT122)</f>
        <v>0</v>
      </c>
      <c r="DU188">
        <f>IF(ISNA(DV188),NA(),DU122)</f>
        <v>0</v>
      </c>
      <c r="DV188">
        <f>IF(OR(DV122="",AND(DV122=DV121,DV122=DV123)),NA(), DV122)</f>
        <v>0</v>
      </c>
      <c r="DW188">
        <f>IF(ISNA(DX188),NA(),DW122)</f>
        <v>0</v>
      </c>
      <c r="DX188">
        <f>IF(OR(DX122="",AND(DX122=DX121,DX122=DX123)),NA(), DX122)</f>
        <v>0</v>
      </c>
      <c r="DY188">
        <f>IF(ISNA(DZ188),NA(),DY122)</f>
        <v>0</v>
      </c>
      <c r="DZ188">
        <f>IF(OR(DZ122="",AND(DZ122=DZ121,DZ122=DZ123)),NA(), DZ122)</f>
        <v>0</v>
      </c>
      <c r="EA188">
        <f>IF(ISNA(EB188),NA(),EA122)</f>
        <v>0</v>
      </c>
      <c r="EB188">
        <f>IF(OR(EB122="",AND(EB122=EB121,EB122=EB123)),NA(), EB122)</f>
        <v>0</v>
      </c>
      <c r="EC188">
        <f>IF(ISNA(ED188),NA(),EC122)</f>
        <v>0</v>
      </c>
      <c r="ED188">
        <f>IF(OR(ED122="",AND(ED122=ED121,ED122=ED123)),NA(), ED122)</f>
        <v>0</v>
      </c>
    </row>
    <row r="189" spans="5:134">
      <c r="E189">
        <f>IF(ISNA(F189),NA(),E123)</f>
        <v>0</v>
      </c>
      <c r="F189">
        <f>IF(OR(F123="",AND(F123=F122,F123=F124)),NA(), F123)</f>
        <v>0</v>
      </c>
      <c r="G189">
        <f>IF(ISNA(H189),NA(),G123)</f>
        <v>0</v>
      </c>
      <c r="H189">
        <f>IF(OR(H123="",AND(H123=H122,H123=H124)),NA(), H123)</f>
        <v>0</v>
      </c>
      <c r="I189">
        <f>IF(ISNA(J189),NA(),I123)</f>
        <v>0</v>
      </c>
      <c r="J189">
        <f>IF(OR(J123="",AND(J123=J122,J123=J124)),NA(), J123)</f>
        <v>0</v>
      </c>
      <c r="K189">
        <f>IF(ISNA(L189),NA(),K123)</f>
        <v>0</v>
      </c>
      <c r="L189">
        <f>IF(OR(L123="",AND(L123=L122,L123=L124)),NA(), L123)</f>
        <v>0</v>
      </c>
      <c r="M189">
        <f>IF(ISNA(N189),NA(),M123)</f>
        <v>0</v>
      </c>
      <c r="N189">
        <f>IF(OR(N123="",AND(N123=N122,N123=N124)),NA(), N123)</f>
        <v>0</v>
      </c>
      <c r="O189">
        <f>IF(ISNA(P189),NA(),O123)</f>
        <v>0</v>
      </c>
      <c r="P189">
        <f>IF(OR(P123="",AND(P123=P122,P123=P124)),NA(), P123)</f>
        <v>0</v>
      </c>
      <c r="Q189">
        <f>IF(ISNA(R189),NA(),Q123)</f>
        <v>0</v>
      </c>
      <c r="R189">
        <f>IF(OR(R123="",AND(R123=R122,R123=R124)),NA(), R123)</f>
        <v>0</v>
      </c>
      <c r="S189">
        <f>IF(ISNA(T189),NA(),S123)</f>
        <v>0</v>
      </c>
      <c r="T189">
        <f>IF(OR(T123="",AND(T123=T122,T123=T124)),NA(), T123)</f>
        <v>0</v>
      </c>
      <c r="U189">
        <f>IF(ISNA(V189),NA(),U123)</f>
        <v>0</v>
      </c>
      <c r="V189">
        <f>IF(OR(V123="",AND(V123=V122,V123=V124)),NA(), V123)</f>
        <v>0</v>
      </c>
      <c r="W189">
        <f>IF(ISNA(X189),NA(),W123)</f>
        <v>0</v>
      </c>
      <c r="X189">
        <f>IF(OR(X123="",AND(X123=X122,X123=X124)),NA(), X123)</f>
        <v>0</v>
      </c>
      <c r="Y189">
        <f>IF(ISNA(Z189),NA(),Y123)</f>
        <v>0</v>
      </c>
      <c r="Z189">
        <f>IF(OR(Z123="",AND(Z123=Z122,Z123=Z124)),NA(), Z123)</f>
        <v>0</v>
      </c>
      <c r="AA189">
        <f>IF(ISNA(AB189),NA(),AA123)</f>
        <v>0</v>
      </c>
      <c r="AB189">
        <f>IF(OR(AB123="",AND(AB123=AB122,AB123=AB124)),NA(), AB123)</f>
        <v>0</v>
      </c>
      <c r="AC189">
        <f>IF(ISNA(AD189),NA(),AC123)</f>
        <v>0</v>
      </c>
      <c r="AD189">
        <f>IF(OR(AD123="",AND(AD123=AD122,AD123=AD124)),NA(), AD123)</f>
        <v>0</v>
      </c>
      <c r="AE189">
        <f>IF(ISNA(AF189),NA(),AE123)</f>
        <v>0</v>
      </c>
      <c r="AF189">
        <f>IF(OR(AF123="",AND(AF123=AF122,AF123=AF124)),NA(), AF123)</f>
        <v>0</v>
      </c>
      <c r="AG189">
        <f>IF(ISNA(AH189),NA(),AG123)</f>
        <v>0</v>
      </c>
      <c r="AH189">
        <f>IF(OR(AH123="",AND(AH123=AH122,AH123=AH124)),NA(), AH123)</f>
        <v>0</v>
      </c>
      <c r="AI189">
        <f>IF(ISNA(AJ189),NA(),AI123)</f>
        <v>0</v>
      </c>
      <c r="AJ189">
        <f>IF(OR(AJ123="",AND(AJ123=AJ122,AJ123=AJ124)),NA(), AJ123)</f>
        <v>0</v>
      </c>
      <c r="AK189">
        <f>IF(ISNA(AL189),NA(),AK123)</f>
        <v>0</v>
      </c>
      <c r="AL189">
        <f>IF(OR(AL123="",AND(AL123=AL122,AL123=AL124)),NA(), AL123)</f>
        <v>0</v>
      </c>
      <c r="AM189">
        <f>IF(ISNA(AN189),NA(),AM123)</f>
        <v>0</v>
      </c>
      <c r="AN189">
        <f>IF(OR(AN123="",AND(AN123=AN122,AN123=AN124)),NA(), AN123)</f>
        <v>0</v>
      </c>
      <c r="AO189">
        <f>IF(ISNA(AP189),NA(),AO123)</f>
        <v>0</v>
      </c>
      <c r="AP189">
        <f>IF(OR(AP123="",AND(AP123=AP122,AP123=AP124)),NA(), AP123)</f>
        <v>0</v>
      </c>
      <c r="AQ189">
        <f>IF(ISNA(AR189),NA(),AQ123)</f>
        <v>0</v>
      </c>
      <c r="AR189">
        <f>IF(OR(AR123="",AND(AR123=AR122,AR123=AR124)),NA(), AR123)</f>
        <v>0</v>
      </c>
      <c r="AS189">
        <f>IF(ISNA(AT189),NA(),AS123)</f>
        <v>0</v>
      </c>
      <c r="AT189">
        <f>IF(OR(AT123="",AND(AT123=AT122,AT123=AT124)),NA(), AT123)</f>
        <v>0</v>
      </c>
      <c r="AU189">
        <f>IF(ISNA(AV189),NA(),AU123)</f>
        <v>0</v>
      </c>
      <c r="AV189">
        <f>IF(OR(AV123="",AND(AV123=AV122,AV123=AV124)),NA(), AV123)</f>
        <v>0</v>
      </c>
      <c r="AW189">
        <f>IF(ISNA(AX189),NA(),AW123)</f>
        <v>0</v>
      </c>
      <c r="AX189">
        <f>IF(OR(AX123="",AND(AX123=AX122,AX123=AX124)),NA(), AX123)</f>
        <v>0</v>
      </c>
      <c r="AY189">
        <f>IF(ISNA(AZ189),NA(),AY123)</f>
        <v>0</v>
      </c>
      <c r="AZ189">
        <f>IF(OR(AZ123="",AND(AZ123=AZ122,AZ123=AZ124)),NA(), AZ123)</f>
        <v>0</v>
      </c>
      <c r="BA189">
        <f>IF(ISNA(BB189),NA(),BA123)</f>
        <v>0</v>
      </c>
      <c r="BB189">
        <f>IF(OR(BB123="",AND(BB123=BB122,BB123=BB124)),NA(), BB123)</f>
        <v>0</v>
      </c>
      <c r="BC189">
        <f>IF(ISNA(BD189),NA(),BC123)</f>
        <v>0</v>
      </c>
      <c r="BD189">
        <f>IF(OR(BD123="",AND(BD123=BD122,BD123=BD124)),NA(), BD123)</f>
        <v>0</v>
      </c>
      <c r="BE189">
        <f>IF(ISNA(BF189),NA(),BE123)</f>
        <v>0</v>
      </c>
      <c r="BF189">
        <f>IF(OR(BF123="",AND(BF123=BF122,BF123=BF124)),NA(), BF123)</f>
        <v>0</v>
      </c>
      <c r="BG189">
        <f>IF(ISNA(BH189),NA(),BG123)</f>
        <v>0</v>
      </c>
      <c r="BH189">
        <f>IF(OR(BH123="",AND(BH123=BH122,BH123=BH124)),NA(), BH123)</f>
        <v>0</v>
      </c>
      <c r="BI189">
        <f>IF(ISNA(BJ189),NA(),BI123)</f>
        <v>0</v>
      </c>
      <c r="BJ189">
        <f>IF(OR(BJ123="",AND(BJ123=BJ122,BJ123=BJ124)),NA(), BJ123)</f>
        <v>0</v>
      </c>
      <c r="BK189">
        <f>IF(ISNA(BL189),NA(),BK123)</f>
        <v>0</v>
      </c>
      <c r="BL189">
        <f>IF(OR(BL123="",AND(BL123=BL122,BL123=BL124)),NA(), BL123)</f>
        <v>0</v>
      </c>
      <c r="BM189">
        <f>IF(ISNA(BN189),NA(),BM123)</f>
        <v>0</v>
      </c>
      <c r="BN189">
        <f>IF(OR(BN123="",AND(BN123=BN122,BN123=BN124)),NA(), BN123)</f>
        <v>0</v>
      </c>
      <c r="BO189">
        <f>IF(ISNA(BP189),NA(),BO123)</f>
        <v>0</v>
      </c>
      <c r="BP189">
        <f>IF(OR(BP123="",AND(BP123=BP122,BP123=BP124)),NA(), BP123)</f>
        <v>0</v>
      </c>
      <c r="BS189">
        <f>IF(ISNA(BT189),NA(),BS123)</f>
        <v>0</v>
      </c>
      <c r="BT189">
        <f>IF(OR(BT123="",AND(BT123=BT122,BT123=BT124)),NA(), BT123)</f>
        <v>0</v>
      </c>
      <c r="BU189">
        <f>IF(ISNA(BV189),NA(),BU123)</f>
        <v>0</v>
      </c>
      <c r="BV189">
        <f>IF(OR(BV123="",AND(BV123=BV122,BV123=BV124)),NA(), BV123)</f>
        <v>0</v>
      </c>
      <c r="BW189">
        <f>IF(ISNA(BX189),NA(),BW123)</f>
        <v>0</v>
      </c>
      <c r="BX189">
        <f>IF(OR(BX123="",AND(BX123=BX122,BX123=BX124)),NA(), BX123)</f>
        <v>0</v>
      </c>
      <c r="BY189">
        <f>IF(ISNA(BZ189),NA(),BY123)</f>
        <v>0</v>
      </c>
      <c r="BZ189">
        <f>IF(OR(BZ123="",AND(BZ123=BZ122,BZ123=BZ124)),NA(), BZ123)</f>
        <v>0</v>
      </c>
      <c r="CA189">
        <f>IF(ISNA(CB189),NA(),CA123)</f>
        <v>0</v>
      </c>
      <c r="CB189">
        <f>IF(OR(CB123="",AND(CB123=CB122,CB123=CB124)),NA(), CB123)</f>
        <v>0</v>
      </c>
      <c r="CC189">
        <f>IF(ISNA(CD189),NA(),CC123)</f>
        <v>0</v>
      </c>
      <c r="CD189">
        <f>IF(OR(CD123="",AND(CD123=CD122,CD123=CD124)),NA(), CD123)</f>
        <v>0</v>
      </c>
      <c r="CE189">
        <f>IF(ISNA(CF189),NA(),CE123)</f>
        <v>0</v>
      </c>
      <c r="CF189">
        <f>IF(OR(CF123="",AND(CF123=CF122,CF123=CF124)),NA(), CF123)</f>
        <v>0</v>
      </c>
      <c r="CG189">
        <f>IF(ISNA(CH189),NA(),CG123)</f>
        <v>0</v>
      </c>
      <c r="CH189">
        <f>IF(OR(CH123="",AND(CH123=CH122,CH123=CH124)),NA(), CH123)</f>
        <v>0</v>
      </c>
      <c r="CI189">
        <f>IF(ISNA(CJ189),NA(),CI123)</f>
        <v>0</v>
      </c>
      <c r="CJ189">
        <f>IF(OR(CJ123="",AND(CJ123=CJ122,CJ123=CJ124)),NA(), CJ123)</f>
        <v>0</v>
      </c>
      <c r="CK189">
        <f>IF(ISNA(CL189),NA(),CK123)</f>
        <v>0</v>
      </c>
      <c r="CL189">
        <f>IF(OR(CL123="",AND(CL123=CL122,CL123=CL124)),NA(), CL123)</f>
        <v>0</v>
      </c>
      <c r="CM189">
        <f>IF(ISNA(CN189),NA(),CM123)</f>
        <v>0</v>
      </c>
      <c r="CN189">
        <f>IF(OR(CN123="",AND(CN123=CN122,CN123=CN124)),NA(), CN123)</f>
        <v>0</v>
      </c>
      <c r="CO189">
        <f>IF(ISNA(CP189),NA(),CO123)</f>
        <v>0</v>
      </c>
      <c r="CP189">
        <f>IF(OR(CP123="",AND(CP123=CP122,CP123=CP124)),NA(), CP123)</f>
        <v>0</v>
      </c>
      <c r="CQ189">
        <f>IF(ISNA(CR189),NA(),CQ123)</f>
        <v>0</v>
      </c>
      <c r="CR189">
        <f>IF(OR(CR123="",AND(CR123=CR122,CR123=CR124)),NA(), CR123)</f>
        <v>0</v>
      </c>
      <c r="CS189">
        <f>IF(ISNA(CT189),NA(),CS123)</f>
        <v>0</v>
      </c>
      <c r="CT189">
        <f>IF(OR(CT123="",AND(CT123=CT122,CT123=CT124)),NA(), CT123)</f>
        <v>0</v>
      </c>
      <c r="CU189">
        <f>IF(ISNA(CV189),NA(),CU123)</f>
        <v>0</v>
      </c>
      <c r="CV189">
        <f>IF(OR(CV123="",AND(CV123=CV122,CV123=CV124)),NA(), CV123)</f>
        <v>0</v>
      </c>
      <c r="CW189">
        <f>IF(ISNA(CX189),NA(),CW123)</f>
        <v>0</v>
      </c>
      <c r="CX189">
        <f>IF(OR(CX123="",AND(CX123=CX122,CX123=CX124)),NA(), CX123)</f>
        <v>0</v>
      </c>
      <c r="CY189">
        <f>IF(ISNA(CZ189),NA(),CY123)</f>
        <v>0</v>
      </c>
      <c r="CZ189">
        <f>IF(OR(CZ123="",AND(CZ123=CZ122,CZ123=CZ124)),NA(), CZ123)</f>
        <v>0</v>
      </c>
      <c r="DA189">
        <f>IF(ISNA(DB189),NA(),DA123)</f>
        <v>0</v>
      </c>
      <c r="DB189">
        <f>IF(OR(DB123="",AND(DB123=DB122,DB123=DB124)),NA(), DB123)</f>
        <v>0</v>
      </c>
      <c r="DC189">
        <f>IF(ISNA(DD189),NA(),DC123)</f>
        <v>0</v>
      </c>
      <c r="DD189">
        <f>IF(OR(DD123="",AND(DD123=DD122,DD123=DD124)),NA(), DD123)</f>
        <v>0</v>
      </c>
      <c r="DE189">
        <f>IF(ISNA(DF189),NA(),DE123)</f>
        <v>0</v>
      </c>
      <c r="DF189">
        <f>IF(OR(DF123="",AND(DF123=DF122,DF123=DF124)),NA(), DF123)</f>
        <v>0</v>
      </c>
      <c r="DG189">
        <f>IF(ISNA(DH189),NA(),DG123)</f>
        <v>0</v>
      </c>
      <c r="DH189">
        <f>IF(OR(DH123="",AND(DH123=DH122,DH123=DH124)),NA(), DH123)</f>
        <v>0</v>
      </c>
      <c r="DI189">
        <f>IF(ISNA(DJ189),NA(),DI123)</f>
        <v>0</v>
      </c>
      <c r="DJ189">
        <f>IF(OR(DJ123="",AND(DJ123=DJ122,DJ123=DJ124)),NA(), DJ123)</f>
        <v>0</v>
      </c>
      <c r="DK189">
        <f>IF(ISNA(DL189),NA(),DK123)</f>
        <v>0</v>
      </c>
      <c r="DL189">
        <f>IF(OR(DL123="",AND(DL123=DL122,DL123=DL124)),NA(), DL123)</f>
        <v>0</v>
      </c>
      <c r="DM189">
        <f>IF(ISNA(DN189),NA(),DM123)</f>
        <v>0</v>
      </c>
      <c r="DN189">
        <f>IF(OR(DN123="",AND(DN123=DN122,DN123=DN124)),NA(), DN123)</f>
        <v>0</v>
      </c>
      <c r="DO189">
        <f>IF(ISNA(DP189),NA(),DO123)</f>
        <v>0</v>
      </c>
      <c r="DP189">
        <f>IF(OR(DP123="",AND(DP123=DP122,DP123=DP124)),NA(), DP123)</f>
        <v>0</v>
      </c>
      <c r="DQ189">
        <f>IF(ISNA(DR189),NA(),DQ123)</f>
        <v>0</v>
      </c>
      <c r="DR189">
        <f>IF(OR(DR123="",AND(DR123=DR122,DR123=DR124)),NA(), DR123)</f>
        <v>0</v>
      </c>
      <c r="DS189">
        <f>IF(ISNA(DT189),NA(),DS123)</f>
        <v>0</v>
      </c>
      <c r="DT189">
        <f>IF(OR(DT123="",AND(DT123=DT122,DT123=DT124)),NA(), DT123)</f>
        <v>0</v>
      </c>
      <c r="DU189">
        <f>IF(ISNA(DV189),NA(),DU123)</f>
        <v>0</v>
      </c>
      <c r="DV189">
        <f>IF(OR(DV123="",AND(DV123=DV122,DV123=DV124)),NA(), DV123)</f>
        <v>0</v>
      </c>
      <c r="DW189">
        <f>IF(ISNA(DX189),NA(),DW123)</f>
        <v>0</v>
      </c>
      <c r="DX189">
        <f>IF(OR(DX123="",AND(DX123=DX122,DX123=DX124)),NA(), DX123)</f>
        <v>0</v>
      </c>
      <c r="DY189">
        <f>IF(ISNA(DZ189),NA(),DY123)</f>
        <v>0</v>
      </c>
      <c r="DZ189">
        <f>IF(OR(DZ123="",AND(DZ123=DZ122,DZ123=DZ124)),NA(), DZ123)</f>
        <v>0</v>
      </c>
      <c r="EA189">
        <f>IF(ISNA(EB189),NA(),EA123)</f>
        <v>0</v>
      </c>
      <c r="EB189">
        <f>IF(OR(EB123="",AND(EB123=EB122,EB123=EB124)),NA(), EB123)</f>
        <v>0</v>
      </c>
      <c r="EC189">
        <f>IF(ISNA(ED189),NA(),EC123)</f>
        <v>0</v>
      </c>
      <c r="ED189">
        <f>IF(OR(ED123="",AND(ED123=ED122,ED123=ED124)),NA(), ED123)</f>
        <v>0</v>
      </c>
    </row>
    <row r="190" spans="5:134">
      <c r="E190">
        <f>IF(ISNA(F190),NA(),E124)</f>
        <v>0</v>
      </c>
      <c r="F190">
        <f>IF(OR(F124="",AND(F124=F123,F124=F125)),NA(), F124)</f>
        <v>0</v>
      </c>
      <c r="G190">
        <f>IF(ISNA(H190),NA(),G124)</f>
        <v>0</v>
      </c>
      <c r="H190">
        <f>IF(OR(H124="",AND(H124=H123,H124=H125)),NA(), H124)</f>
        <v>0</v>
      </c>
      <c r="I190">
        <f>IF(ISNA(J190),NA(),I124)</f>
        <v>0</v>
      </c>
      <c r="J190">
        <f>IF(OR(J124="",AND(J124=J123,J124=J125)),NA(), J124)</f>
        <v>0</v>
      </c>
      <c r="K190">
        <f>IF(ISNA(L190),NA(),K124)</f>
        <v>0</v>
      </c>
      <c r="L190">
        <f>IF(OR(L124="",AND(L124=L123,L124=L125)),NA(), L124)</f>
        <v>0</v>
      </c>
      <c r="M190">
        <f>IF(ISNA(N190),NA(),M124)</f>
        <v>0</v>
      </c>
      <c r="N190">
        <f>IF(OR(N124="",AND(N124=N123,N124=N125)),NA(), N124)</f>
        <v>0</v>
      </c>
      <c r="O190">
        <f>IF(ISNA(P190),NA(),O124)</f>
        <v>0</v>
      </c>
      <c r="P190">
        <f>IF(OR(P124="",AND(P124=P123,P124=P125)),NA(), P124)</f>
        <v>0</v>
      </c>
      <c r="Q190">
        <f>IF(ISNA(R190),NA(),Q124)</f>
        <v>0</v>
      </c>
      <c r="R190">
        <f>IF(OR(R124="",AND(R124=R123,R124=R125)),NA(), R124)</f>
        <v>0</v>
      </c>
      <c r="S190">
        <f>IF(ISNA(T190),NA(),S124)</f>
        <v>0</v>
      </c>
      <c r="T190">
        <f>IF(OR(T124="",AND(T124=T123,T124=T125)),NA(), T124)</f>
        <v>0</v>
      </c>
      <c r="U190">
        <f>IF(ISNA(V190),NA(),U124)</f>
        <v>0</v>
      </c>
      <c r="V190">
        <f>IF(OR(V124="",AND(V124=V123,V124=V125)),NA(), V124)</f>
        <v>0</v>
      </c>
      <c r="W190">
        <f>IF(ISNA(X190),NA(),W124)</f>
        <v>0</v>
      </c>
      <c r="X190">
        <f>IF(OR(X124="",AND(X124=X123,X124=X125)),NA(), X124)</f>
        <v>0</v>
      </c>
      <c r="Y190">
        <f>IF(ISNA(Z190),NA(),Y124)</f>
        <v>0</v>
      </c>
      <c r="Z190">
        <f>IF(OR(Z124="",AND(Z124=Z123,Z124=Z125)),NA(), Z124)</f>
        <v>0</v>
      </c>
      <c r="AA190">
        <f>IF(ISNA(AB190),NA(),AA124)</f>
        <v>0</v>
      </c>
      <c r="AB190">
        <f>IF(OR(AB124="",AND(AB124=AB123,AB124=AB125)),NA(), AB124)</f>
        <v>0</v>
      </c>
      <c r="AC190">
        <f>IF(ISNA(AD190),NA(),AC124)</f>
        <v>0</v>
      </c>
      <c r="AD190">
        <f>IF(OR(AD124="",AND(AD124=AD123,AD124=AD125)),NA(), AD124)</f>
        <v>0</v>
      </c>
      <c r="AE190">
        <f>IF(ISNA(AF190),NA(),AE124)</f>
        <v>0</v>
      </c>
      <c r="AF190">
        <f>IF(OR(AF124="",AND(AF124=AF123,AF124=AF125)),NA(), AF124)</f>
        <v>0</v>
      </c>
      <c r="AG190">
        <f>IF(ISNA(AH190),NA(),AG124)</f>
        <v>0</v>
      </c>
      <c r="AH190">
        <f>IF(OR(AH124="",AND(AH124=AH123,AH124=AH125)),NA(), AH124)</f>
        <v>0</v>
      </c>
      <c r="AI190">
        <f>IF(ISNA(AJ190),NA(),AI124)</f>
        <v>0</v>
      </c>
      <c r="AJ190">
        <f>IF(OR(AJ124="",AND(AJ124=AJ123,AJ124=AJ125)),NA(), AJ124)</f>
        <v>0</v>
      </c>
      <c r="AK190">
        <f>IF(ISNA(AL190),NA(),AK124)</f>
        <v>0</v>
      </c>
      <c r="AL190">
        <f>IF(OR(AL124="",AND(AL124=AL123,AL124=AL125)),NA(), AL124)</f>
        <v>0</v>
      </c>
      <c r="AM190">
        <f>IF(ISNA(AN190),NA(),AM124)</f>
        <v>0</v>
      </c>
      <c r="AN190">
        <f>IF(OR(AN124="",AND(AN124=AN123,AN124=AN125)),NA(), AN124)</f>
        <v>0</v>
      </c>
      <c r="AO190">
        <f>IF(ISNA(AP190),NA(),AO124)</f>
        <v>0</v>
      </c>
      <c r="AP190">
        <f>IF(OR(AP124="",AND(AP124=AP123,AP124=AP125)),NA(), AP124)</f>
        <v>0</v>
      </c>
      <c r="AQ190">
        <f>IF(ISNA(AR190),NA(),AQ124)</f>
        <v>0</v>
      </c>
      <c r="AR190">
        <f>IF(OR(AR124="",AND(AR124=AR123,AR124=AR125)),NA(), AR124)</f>
        <v>0</v>
      </c>
      <c r="AS190">
        <f>IF(ISNA(AT190),NA(),AS124)</f>
        <v>0</v>
      </c>
      <c r="AT190">
        <f>IF(OR(AT124="",AND(AT124=AT123,AT124=AT125)),NA(), AT124)</f>
        <v>0</v>
      </c>
      <c r="AU190">
        <f>IF(ISNA(AV190),NA(),AU124)</f>
        <v>0</v>
      </c>
      <c r="AV190">
        <f>IF(OR(AV124="",AND(AV124=AV123,AV124=AV125)),NA(), AV124)</f>
        <v>0</v>
      </c>
      <c r="AW190">
        <f>IF(ISNA(AX190),NA(),AW124)</f>
        <v>0</v>
      </c>
      <c r="AX190">
        <f>IF(OR(AX124="",AND(AX124=AX123,AX124=AX125)),NA(), AX124)</f>
        <v>0</v>
      </c>
      <c r="AY190">
        <f>IF(ISNA(AZ190),NA(),AY124)</f>
        <v>0</v>
      </c>
      <c r="AZ190">
        <f>IF(OR(AZ124="",AND(AZ124=AZ123,AZ124=AZ125)),NA(), AZ124)</f>
        <v>0</v>
      </c>
      <c r="BA190">
        <f>IF(ISNA(BB190),NA(),BA124)</f>
        <v>0</v>
      </c>
      <c r="BB190">
        <f>IF(OR(BB124="",AND(BB124=BB123,BB124=BB125)),NA(), BB124)</f>
        <v>0</v>
      </c>
      <c r="BC190">
        <f>IF(ISNA(BD190),NA(),BC124)</f>
        <v>0</v>
      </c>
      <c r="BD190">
        <f>IF(OR(BD124="",AND(BD124=BD123,BD124=BD125)),NA(), BD124)</f>
        <v>0</v>
      </c>
      <c r="BE190">
        <f>IF(ISNA(BF190),NA(),BE124)</f>
        <v>0</v>
      </c>
      <c r="BF190">
        <f>IF(OR(BF124="",AND(BF124=BF123,BF124=BF125)),NA(), BF124)</f>
        <v>0</v>
      </c>
      <c r="BG190">
        <f>IF(ISNA(BH190),NA(),BG124)</f>
        <v>0</v>
      </c>
      <c r="BH190">
        <f>IF(OR(BH124="",AND(BH124=BH123,BH124=BH125)),NA(), BH124)</f>
        <v>0</v>
      </c>
      <c r="BI190">
        <f>IF(ISNA(BJ190),NA(),BI124)</f>
        <v>0</v>
      </c>
      <c r="BJ190">
        <f>IF(OR(BJ124="",AND(BJ124=BJ123,BJ124=BJ125)),NA(), BJ124)</f>
        <v>0</v>
      </c>
      <c r="BK190">
        <f>IF(ISNA(BL190),NA(),BK124)</f>
        <v>0</v>
      </c>
      <c r="BL190">
        <f>IF(OR(BL124="",AND(BL124=BL123,BL124=BL125)),NA(), BL124)</f>
        <v>0</v>
      </c>
      <c r="BM190">
        <f>IF(ISNA(BN190),NA(),BM124)</f>
        <v>0</v>
      </c>
      <c r="BN190">
        <f>IF(OR(BN124="",AND(BN124=BN123,BN124=BN125)),NA(), BN124)</f>
        <v>0</v>
      </c>
      <c r="BO190">
        <f>IF(ISNA(BP190),NA(),BO124)</f>
        <v>0</v>
      </c>
      <c r="BP190">
        <f>IF(OR(BP124="",AND(BP124=BP123,BP124=BP125)),NA(), BP124)</f>
        <v>0</v>
      </c>
      <c r="BS190">
        <f>IF(ISNA(BT190),NA(),BS124)</f>
        <v>0</v>
      </c>
      <c r="BT190">
        <f>IF(OR(BT124="",AND(BT124=BT123,BT124=BT125)),NA(), BT124)</f>
        <v>0</v>
      </c>
      <c r="BU190">
        <f>IF(ISNA(BV190),NA(),BU124)</f>
        <v>0</v>
      </c>
      <c r="BV190">
        <f>IF(OR(BV124="",AND(BV124=BV123,BV124=BV125)),NA(), BV124)</f>
        <v>0</v>
      </c>
      <c r="BW190">
        <f>IF(ISNA(BX190),NA(),BW124)</f>
        <v>0</v>
      </c>
      <c r="BX190">
        <f>IF(OR(BX124="",AND(BX124=BX123,BX124=BX125)),NA(), BX124)</f>
        <v>0</v>
      </c>
      <c r="BY190">
        <f>IF(ISNA(BZ190),NA(),BY124)</f>
        <v>0</v>
      </c>
      <c r="BZ190">
        <f>IF(OR(BZ124="",AND(BZ124=BZ123,BZ124=BZ125)),NA(), BZ124)</f>
        <v>0</v>
      </c>
      <c r="CA190">
        <f>IF(ISNA(CB190),NA(),CA124)</f>
        <v>0</v>
      </c>
      <c r="CB190">
        <f>IF(OR(CB124="",AND(CB124=CB123,CB124=CB125)),NA(), CB124)</f>
        <v>0</v>
      </c>
      <c r="CC190">
        <f>IF(ISNA(CD190),NA(),CC124)</f>
        <v>0</v>
      </c>
      <c r="CD190">
        <f>IF(OR(CD124="",AND(CD124=CD123,CD124=CD125)),NA(), CD124)</f>
        <v>0</v>
      </c>
      <c r="CE190">
        <f>IF(ISNA(CF190),NA(),CE124)</f>
        <v>0</v>
      </c>
      <c r="CF190">
        <f>IF(OR(CF124="",AND(CF124=CF123,CF124=CF125)),NA(), CF124)</f>
        <v>0</v>
      </c>
      <c r="CG190">
        <f>IF(ISNA(CH190),NA(),CG124)</f>
        <v>0</v>
      </c>
      <c r="CH190">
        <f>IF(OR(CH124="",AND(CH124=CH123,CH124=CH125)),NA(), CH124)</f>
        <v>0</v>
      </c>
      <c r="CI190">
        <f>IF(ISNA(CJ190),NA(),CI124)</f>
        <v>0</v>
      </c>
      <c r="CJ190">
        <f>IF(OR(CJ124="",AND(CJ124=CJ123,CJ124=CJ125)),NA(), CJ124)</f>
        <v>0</v>
      </c>
      <c r="CK190">
        <f>IF(ISNA(CL190),NA(),CK124)</f>
        <v>0</v>
      </c>
      <c r="CL190">
        <f>IF(OR(CL124="",AND(CL124=CL123,CL124=CL125)),NA(), CL124)</f>
        <v>0</v>
      </c>
      <c r="CM190">
        <f>IF(ISNA(CN190),NA(),CM124)</f>
        <v>0</v>
      </c>
      <c r="CN190">
        <f>IF(OR(CN124="",AND(CN124=CN123,CN124=CN125)),NA(), CN124)</f>
        <v>0</v>
      </c>
      <c r="CO190">
        <f>IF(ISNA(CP190),NA(),CO124)</f>
        <v>0</v>
      </c>
      <c r="CP190">
        <f>IF(OR(CP124="",AND(CP124=CP123,CP124=CP125)),NA(), CP124)</f>
        <v>0</v>
      </c>
      <c r="CQ190">
        <f>IF(ISNA(CR190),NA(),CQ124)</f>
        <v>0</v>
      </c>
      <c r="CR190">
        <f>IF(OR(CR124="",AND(CR124=CR123,CR124=CR125)),NA(), CR124)</f>
        <v>0</v>
      </c>
      <c r="CS190">
        <f>IF(ISNA(CT190),NA(),CS124)</f>
        <v>0</v>
      </c>
      <c r="CT190">
        <f>IF(OR(CT124="",AND(CT124=CT123,CT124=CT125)),NA(), CT124)</f>
        <v>0</v>
      </c>
      <c r="CU190">
        <f>IF(ISNA(CV190),NA(),CU124)</f>
        <v>0</v>
      </c>
      <c r="CV190">
        <f>IF(OR(CV124="",AND(CV124=CV123,CV124=CV125)),NA(), CV124)</f>
        <v>0</v>
      </c>
      <c r="CW190">
        <f>IF(ISNA(CX190),NA(),CW124)</f>
        <v>0</v>
      </c>
      <c r="CX190">
        <f>IF(OR(CX124="",AND(CX124=CX123,CX124=CX125)),NA(), CX124)</f>
        <v>0</v>
      </c>
      <c r="CY190">
        <f>IF(ISNA(CZ190),NA(),CY124)</f>
        <v>0</v>
      </c>
      <c r="CZ190">
        <f>IF(OR(CZ124="",AND(CZ124=CZ123,CZ124=CZ125)),NA(), CZ124)</f>
        <v>0</v>
      </c>
      <c r="DA190">
        <f>IF(ISNA(DB190),NA(),DA124)</f>
        <v>0</v>
      </c>
      <c r="DB190">
        <f>IF(OR(DB124="",AND(DB124=DB123,DB124=DB125)),NA(), DB124)</f>
        <v>0</v>
      </c>
      <c r="DC190">
        <f>IF(ISNA(DD190),NA(),DC124)</f>
        <v>0</v>
      </c>
      <c r="DD190">
        <f>IF(OR(DD124="",AND(DD124=DD123,DD124=DD125)),NA(), DD124)</f>
        <v>0</v>
      </c>
      <c r="DE190">
        <f>IF(ISNA(DF190),NA(),DE124)</f>
        <v>0</v>
      </c>
      <c r="DF190">
        <f>IF(OR(DF124="",AND(DF124=DF123,DF124=DF125)),NA(), DF124)</f>
        <v>0</v>
      </c>
      <c r="DG190">
        <f>IF(ISNA(DH190),NA(),DG124)</f>
        <v>0</v>
      </c>
      <c r="DH190">
        <f>IF(OR(DH124="",AND(DH124=DH123,DH124=DH125)),NA(), DH124)</f>
        <v>0</v>
      </c>
      <c r="DI190">
        <f>IF(ISNA(DJ190),NA(),DI124)</f>
        <v>0</v>
      </c>
      <c r="DJ190">
        <f>IF(OR(DJ124="",AND(DJ124=DJ123,DJ124=DJ125)),NA(), DJ124)</f>
        <v>0</v>
      </c>
      <c r="DK190">
        <f>IF(ISNA(DL190),NA(),DK124)</f>
        <v>0</v>
      </c>
      <c r="DL190">
        <f>IF(OR(DL124="",AND(DL124=DL123,DL124=DL125)),NA(), DL124)</f>
        <v>0</v>
      </c>
      <c r="DM190">
        <f>IF(ISNA(DN190),NA(),DM124)</f>
        <v>0</v>
      </c>
      <c r="DN190">
        <f>IF(OR(DN124="",AND(DN124=DN123,DN124=DN125)),NA(), DN124)</f>
        <v>0</v>
      </c>
      <c r="DO190">
        <f>IF(ISNA(DP190),NA(),DO124)</f>
        <v>0</v>
      </c>
      <c r="DP190">
        <f>IF(OR(DP124="",AND(DP124=DP123,DP124=DP125)),NA(), DP124)</f>
        <v>0</v>
      </c>
      <c r="DQ190">
        <f>IF(ISNA(DR190),NA(),DQ124)</f>
        <v>0</v>
      </c>
      <c r="DR190">
        <f>IF(OR(DR124="",AND(DR124=DR123,DR124=DR125)),NA(), DR124)</f>
        <v>0</v>
      </c>
      <c r="DS190">
        <f>IF(ISNA(DT190),NA(),DS124)</f>
        <v>0</v>
      </c>
      <c r="DT190">
        <f>IF(OR(DT124="",AND(DT124=DT123,DT124=DT125)),NA(), DT124)</f>
        <v>0</v>
      </c>
      <c r="DU190">
        <f>IF(ISNA(DV190),NA(),DU124)</f>
        <v>0</v>
      </c>
      <c r="DV190">
        <f>IF(OR(DV124="",AND(DV124=DV123,DV124=DV125)),NA(), DV124)</f>
        <v>0</v>
      </c>
      <c r="DW190">
        <f>IF(ISNA(DX190),NA(),DW124)</f>
        <v>0</v>
      </c>
      <c r="DX190">
        <f>IF(OR(DX124="",AND(DX124=DX123,DX124=DX125)),NA(), DX124)</f>
        <v>0</v>
      </c>
      <c r="DY190">
        <f>IF(ISNA(DZ190),NA(),DY124)</f>
        <v>0</v>
      </c>
      <c r="DZ190">
        <f>IF(OR(DZ124="",AND(DZ124=DZ123,DZ124=DZ125)),NA(), DZ124)</f>
        <v>0</v>
      </c>
      <c r="EA190">
        <f>IF(ISNA(EB190),NA(),EA124)</f>
        <v>0</v>
      </c>
      <c r="EB190">
        <f>IF(OR(EB124="",AND(EB124=EB123,EB124=EB125)),NA(), EB124)</f>
        <v>0</v>
      </c>
      <c r="EC190">
        <f>IF(ISNA(ED190),NA(),EC124)</f>
        <v>0</v>
      </c>
      <c r="ED190">
        <f>IF(OR(ED124="",AND(ED124=ED123,ED124=ED125)),NA(), ED124)</f>
        <v>0</v>
      </c>
    </row>
    <row r="191" spans="5:134">
      <c r="E191">
        <f>IF(ISNA(F191),NA(),E125)</f>
        <v>0</v>
      </c>
      <c r="F191">
        <f>IF(OR(F125="",AND(F125=F124,F125=F126)),NA(), F125)</f>
        <v>0</v>
      </c>
      <c r="G191">
        <f>IF(ISNA(H191),NA(),G125)</f>
        <v>0</v>
      </c>
      <c r="H191">
        <f>IF(OR(H125="",AND(H125=H124,H125=H126)),NA(), H125)</f>
        <v>0</v>
      </c>
      <c r="I191">
        <f>IF(ISNA(J191),NA(),I125)</f>
        <v>0</v>
      </c>
      <c r="J191">
        <f>IF(OR(J125="",AND(J125=J124,J125=J126)),NA(), J125)</f>
        <v>0</v>
      </c>
      <c r="K191">
        <f>IF(ISNA(L191),NA(),K125)</f>
        <v>0</v>
      </c>
      <c r="L191">
        <f>IF(OR(L125="",AND(L125=L124,L125=L126)),NA(), L125)</f>
        <v>0</v>
      </c>
      <c r="M191">
        <f>IF(ISNA(N191),NA(),M125)</f>
        <v>0</v>
      </c>
      <c r="N191">
        <f>IF(OR(N125="",AND(N125=N124,N125=N126)),NA(), N125)</f>
        <v>0</v>
      </c>
      <c r="O191">
        <f>IF(ISNA(P191),NA(),O125)</f>
        <v>0</v>
      </c>
      <c r="P191">
        <f>IF(OR(P125="",AND(P125=P124,P125=P126)),NA(), P125)</f>
        <v>0</v>
      </c>
      <c r="Q191">
        <f>IF(ISNA(R191),NA(),Q125)</f>
        <v>0</v>
      </c>
      <c r="R191">
        <f>IF(OR(R125="",AND(R125=R124,R125=R126)),NA(), R125)</f>
        <v>0</v>
      </c>
      <c r="S191">
        <f>IF(ISNA(T191),NA(),S125)</f>
        <v>0</v>
      </c>
      <c r="T191">
        <f>IF(OR(T125="",AND(T125=T124,T125=T126)),NA(), T125)</f>
        <v>0</v>
      </c>
      <c r="U191">
        <f>IF(ISNA(V191),NA(),U125)</f>
        <v>0</v>
      </c>
      <c r="V191">
        <f>IF(OR(V125="",AND(V125=V124,V125=V126)),NA(), V125)</f>
        <v>0</v>
      </c>
      <c r="W191">
        <f>IF(ISNA(X191),NA(),W125)</f>
        <v>0</v>
      </c>
      <c r="X191">
        <f>IF(OR(X125="",AND(X125=X124,X125=X126)),NA(), X125)</f>
        <v>0</v>
      </c>
      <c r="Y191">
        <f>IF(ISNA(Z191),NA(),Y125)</f>
        <v>0</v>
      </c>
      <c r="Z191">
        <f>IF(OR(Z125="",AND(Z125=Z124,Z125=Z126)),NA(), Z125)</f>
        <v>0</v>
      </c>
      <c r="AA191">
        <f>IF(ISNA(AB191),NA(),AA125)</f>
        <v>0</v>
      </c>
      <c r="AB191">
        <f>IF(OR(AB125="",AND(AB125=AB124,AB125=AB126)),NA(), AB125)</f>
        <v>0</v>
      </c>
      <c r="AC191">
        <f>IF(ISNA(AD191),NA(),AC125)</f>
        <v>0</v>
      </c>
      <c r="AD191">
        <f>IF(OR(AD125="",AND(AD125=AD124,AD125=AD126)),NA(), AD125)</f>
        <v>0</v>
      </c>
      <c r="AE191">
        <f>IF(ISNA(AF191),NA(),AE125)</f>
        <v>0</v>
      </c>
      <c r="AF191">
        <f>IF(OR(AF125="",AND(AF125=AF124,AF125=AF126)),NA(), AF125)</f>
        <v>0</v>
      </c>
      <c r="AG191">
        <f>IF(ISNA(AH191),NA(),AG125)</f>
        <v>0</v>
      </c>
      <c r="AH191">
        <f>IF(OR(AH125="",AND(AH125=AH124,AH125=AH126)),NA(), AH125)</f>
        <v>0</v>
      </c>
      <c r="AI191">
        <f>IF(ISNA(AJ191),NA(),AI125)</f>
        <v>0</v>
      </c>
      <c r="AJ191">
        <f>IF(OR(AJ125="",AND(AJ125=AJ124,AJ125=AJ126)),NA(), AJ125)</f>
        <v>0</v>
      </c>
      <c r="AK191">
        <f>IF(ISNA(AL191),NA(),AK125)</f>
        <v>0</v>
      </c>
      <c r="AL191">
        <f>IF(OR(AL125="",AND(AL125=AL124,AL125=AL126)),NA(), AL125)</f>
        <v>0</v>
      </c>
      <c r="AM191">
        <f>IF(ISNA(AN191),NA(),AM125)</f>
        <v>0</v>
      </c>
      <c r="AN191">
        <f>IF(OR(AN125="",AND(AN125=AN124,AN125=AN126)),NA(), AN125)</f>
        <v>0</v>
      </c>
      <c r="AO191">
        <f>IF(ISNA(AP191),NA(),AO125)</f>
        <v>0</v>
      </c>
      <c r="AP191">
        <f>IF(OR(AP125="",AND(AP125=AP124,AP125=AP126)),NA(), AP125)</f>
        <v>0</v>
      </c>
      <c r="AQ191">
        <f>IF(ISNA(AR191),NA(),AQ125)</f>
        <v>0</v>
      </c>
      <c r="AR191">
        <f>IF(OR(AR125="",AND(AR125=AR124,AR125=AR126)),NA(), AR125)</f>
        <v>0</v>
      </c>
      <c r="AS191">
        <f>IF(ISNA(AT191),NA(),AS125)</f>
        <v>0</v>
      </c>
      <c r="AT191">
        <f>IF(OR(AT125="",AND(AT125=AT124,AT125=AT126)),NA(), AT125)</f>
        <v>0</v>
      </c>
      <c r="AU191">
        <f>IF(ISNA(AV191),NA(),AU125)</f>
        <v>0</v>
      </c>
      <c r="AV191">
        <f>IF(OR(AV125="",AND(AV125=AV124,AV125=AV126)),NA(), AV125)</f>
        <v>0</v>
      </c>
      <c r="AW191">
        <f>IF(ISNA(AX191),NA(),AW125)</f>
        <v>0</v>
      </c>
      <c r="AX191">
        <f>IF(OR(AX125="",AND(AX125=AX124,AX125=AX126)),NA(), AX125)</f>
        <v>0</v>
      </c>
      <c r="AY191">
        <f>IF(ISNA(AZ191),NA(),AY125)</f>
        <v>0</v>
      </c>
      <c r="AZ191">
        <f>IF(OR(AZ125="",AND(AZ125=AZ124,AZ125=AZ126)),NA(), AZ125)</f>
        <v>0</v>
      </c>
      <c r="BA191">
        <f>IF(ISNA(BB191),NA(),BA125)</f>
        <v>0</v>
      </c>
      <c r="BB191">
        <f>IF(OR(BB125="",AND(BB125=BB124,BB125=BB126)),NA(), BB125)</f>
        <v>0</v>
      </c>
      <c r="BC191">
        <f>IF(ISNA(BD191),NA(),BC125)</f>
        <v>0</v>
      </c>
      <c r="BD191">
        <f>IF(OR(BD125="",AND(BD125=BD124,BD125=BD126)),NA(), BD125)</f>
        <v>0</v>
      </c>
      <c r="BE191">
        <f>IF(ISNA(BF191),NA(),BE125)</f>
        <v>0</v>
      </c>
      <c r="BF191">
        <f>IF(OR(BF125="",AND(BF125=BF124,BF125=BF126)),NA(), BF125)</f>
        <v>0</v>
      </c>
      <c r="BG191">
        <f>IF(ISNA(BH191),NA(),BG125)</f>
        <v>0</v>
      </c>
      <c r="BH191">
        <f>IF(OR(BH125="",AND(BH125=BH124,BH125=BH126)),NA(), BH125)</f>
        <v>0</v>
      </c>
      <c r="BI191">
        <f>IF(ISNA(BJ191),NA(),BI125)</f>
        <v>0</v>
      </c>
      <c r="BJ191">
        <f>IF(OR(BJ125="",AND(BJ125=BJ124,BJ125=BJ126)),NA(), BJ125)</f>
        <v>0</v>
      </c>
      <c r="BK191">
        <f>IF(ISNA(BL191),NA(),BK125)</f>
        <v>0</v>
      </c>
      <c r="BL191">
        <f>IF(OR(BL125="",AND(BL125=BL124,BL125=BL126)),NA(), BL125)</f>
        <v>0</v>
      </c>
      <c r="BM191">
        <f>IF(ISNA(BN191),NA(),BM125)</f>
        <v>0</v>
      </c>
      <c r="BN191">
        <f>IF(OR(BN125="",AND(BN125=BN124,BN125=BN126)),NA(), BN125)</f>
        <v>0</v>
      </c>
      <c r="BO191">
        <f>IF(ISNA(BP191),NA(),BO125)</f>
        <v>0</v>
      </c>
      <c r="BP191">
        <f>IF(OR(BP125="",AND(BP125=BP124,BP125=BP126)),NA(), BP125)</f>
        <v>0</v>
      </c>
      <c r="BS191">
        <f>IF(ISNA(BT191),NA(),BS125)</f>
        <v>0</v>
      </c>
      <c r="BT191">
        <f>IF(OR(BT125="",AND(BT125=BT124,BT125=BT126)),NA(), BT125)</f>
        <v>0</v>
      </c>
      <c r="BU191">
        <f>IF(ISNA(BV191),NA(),BU125)</f>
        <v>0</v>
      </c>
      <c r="BV191">
        <f>IF(OR(BV125="",AND(BV125=BV124,BV125=BV126)),NA(), BV125)</f>
        <v>0</v>
      </c>
      <c r="BW191">
        <f>IF(ISNA(BX191),NA(),BW125)</f>
        <v>0</v>
      </c>
      <c r="BX191">
        <f>IF(OR(BX125="",AND(BX125=BX124,BX125=BX126)),NA(), BX125)</f>
        <v>0</v>
      </c>
      <c r="BY191">
        <f>IF(ISNA(BZ191),NA(),BY125)</f>
        <v>0</v>
      </c>
      <c r="BZ191">
        <f>IF(OR(BZ125="",AND(BZ125=BZ124,BZ125=BZ126)),NA(), BZ125)</f>
        <v>0</v>
      </c>
      <c r="CA191">
        <f>IF(ISNA(CB191),NA(),CA125)</f>
        <v>0</v>
      </c>
      <c r="CB191">
        <f>IF(OR(CB125="",AND(CB125=CB124,CB125=CB126)),NA(), CB125)</f>
        <v>0</v>
      </c>
      <c r="CC191">
        <f>IF(ISNA(CD191),NA(),CC125)</f>
        <v>0</v>
      </c>
      <c r="CD191">
        <f>IF(OR(CD125="",AND(CD125=CD124,CD125=CD126)),NA(), CD125)</f>
        <v>0</v>
      </c>
      <c r="CE191">
        <f>IF(ISNA(CF191),NA(),CE125)</f>
        <v>0</v>
      </c>
      <c r="CF191">
        <f>IF(OR(CF125="",AND(CF125=CF124,CF125=CF126)),NA(), CF125)</f>
        <v>0</v>
      </c>
      <c r="CG191">
        <f>IF(ISNA(CH191),NA(),CG125)</f>
        <v>0</v>
      </c>
      <c r="CH191">
        <f>IF(OR(CH125="",AND(CH125=CH124,CH125=CH126)),NA(), CH125)</f>
        <v>0</v>
      </c>
      <c r="CI191">
        <f>IF(ISNA(CJ191),NA(),CI125)</f>
        <v>0</v>
      </c>
      <c r="CJ191">
        <f>IF(OR(CJ125="",AND(CJ125=CJ124,CJ125=CJ126)),NA(), CJ125)</f>
        <v>0</v>
      </c>
      <c r="CK191">
        <f>IF(ISNA(CL191),NA(),CK125)</f>
        <v>0</v>
      </c>
      <c r="CL191">
        <f>IF(OR(CL125="",AND(CL125=CL124,CL125=CL126)),NA(), CL125)</f>
        <v>0</v>
      </c>
      <c r="CM191">
        <f>IF(ISNA(CN191),NA(),CM125)</f>
        <v>0</v>
      </c>
      <c r="CN191">
        <f>IF(OR(CN125="",AND(CN125=CN124,CN125=CN126)),NA(), CN125)</f>
        <v>0</v>
      </c>
      <c r="CO191">
        <f>IF(ISNA(CP191),NA(),CO125)</f>
        <v>0</v>
      </c>
      <c r="CP191">
        <f>IF(OR(CP125="",AND(CP125=CP124,CP125=CP126)),NA(), CP125)</f>
        <v>0</v>
      </c>
      <c r="CQ191">
        <f>IF(ISNA(CR191),NA(),CQ125)</f>
        <v>0</v>
      </c>
      <c r="CR191">
        <f>IF(OR(CR125="",AND(CR125=CR124,CR125=CR126)),NA(), CR125)</f>
        <v>0</v>
      </c>
      <c r="CS191">
        <f>IF(ISNA(CT191),NA(),CS125)</f>
        <v>0</v>
      </c>
      <c r="CT191">
        <f>IF(OR(CT125="",AND(CT125=CT124,CT125=CT126)),NA(), CT125)</f>
        <v>0</v>
      </c>
      <c r="CU191">
        <f>IF(ISNA(CV191),NA(),CU125)</f>
        <v>0</v>
      </c>
      <c r="CV191">
        <f>IF(OR(CV125="",AND(CV125=CV124,CV125=CV126)),NA(), CV125)</f>
        <v>0</v>
      </c>
      <c r="CW191">
        <f>IF(ISNA(CX191),NA(),CW125)</f>
        <v>0</v>
      </c>
      <c r="CX191">
        <f>IF(OR(CX125="",AND(CX125=CX124,CX125=CX126)),NA(), CX125)</f>
        <v>0</v>
      </c>
      <c r="CY191">
        <f>IF(ISNA(CZ191),NA(),CY125)</f>
        <v>0</v>
      </c>
      <c r="CZ191">
        <f>IF(OR(CZ125="",AND(CZ125=CZ124,CZ125=CZ126)),NA(), CZ125)</f>
        <v>0</v>
      </c>
      <c r="DA191">
        <f>IF(ISNA(DB191),NA(),DA125)</f>
        <v>0</v>
      </c>
      <c r="DB191">
        <f>IF(OR(DB125="",AND(DB125=DB124,DB125=DB126)),NA(), DB125)</f>
        <v>0</v>
      </c>
      <c r="DC191">
        <f>IF(ISNA(DD191),NA(),DC125)</f>
        <v>0</v>
      </c>
      <c r="DD191">
        <f>IF(OR(DD125="",AND(DD125=DD124,DD125=DD126)),NA(), DD125)</f>
        <v>0</v>
      </c>
      <c r="DE191">
        <f>IF(ISNA(DF191),NA(),DE125)</f>
        <v>0</v>
      </c>
      <c r="DF191">
        <f>IF(OR(DF125="",AND(DF125=DF124,DF125=DF126)),NA(), DF125)</f>
        <v>0</v>
      </c>
      <c r="DG191">
        <f>IF(ISNA(DH191),NA(),DG125)</f>
        <v>0</v>
      </c>
      <c r="DH191">
        <f>IF(OR(DH125="",AND(DH125=DH124,DH125=DH126)),NA(), DH125)</f>
        <v>0</v>
      </c>
      <c r="DI191">
        <f>IF(ISNA(DJ191),NA(),DI125)</f>
        <v>0</v>
      </c>
      <c r="DJ191">
        <f>IF(OR(DJ125="",AND(DJ125=DJ124,DJ125=DJ126)),NA(), DJ125)</f>
        <v>0</v>
      </c>
      <c r="DK191">
        <f>IF(ISNA(DL191),NA(),DK125)</f>
        <v>0</v>
      </c>
      <c r="DL191">
        <f>IF(OR(DL125="",AND(DL125=DL124,DL125=DL126)),NA(), DL125)</f>
        <v>0</v>
      </c>
      <c r="DM191">
        <f>IF(ISNA(DN191),NA(),DM125)</f>
        <v>0</v>
      </c>
      <c r="DN191">
        <f>IF(OR(DN125="",AND(DN125=DN124,DN125=DN126)),NA(), DN125)</f>
        <v>0</v>
      </c>
      <c r="DO191">
        <f>IF(ISNA(DP191),NA(),DO125)</f>
        <v>0</v>
      </c>
      <c r="DP191">
        <f>IF(OR(DP125="",AND(DP125=DP124,DP125=DP126)),NA(), DP125)</f>
        <v>0</v>
      </c>
      <c r="DQ191">
        <f>IF(ISNA(DR191),NA(),DQ125)</f>
        <v>0</v>
      </c>
      <c r="DR191">
        <f>IF(OR(DR125="",AND(DR125=DR124,DR125=DR126)),NA(), DR125)</f>
        <v>0</v>
      </c>
      <c r="DS191">
        <f>IF(ISNA(DT191),NA(),DS125)</f>
        <v>0</v>
      </c>
      <c r="DT191">
        <f>IF(OR(DT125="",AND(DT125=DT124,DT125=DT126)),NA(), DT125)</f>
        <v>0</v>
      </c>
      <c r="DU191">
        <f>IF(ISNA(DV191),NA(),DU125)</f>
        <v>0</v>
      </c>
      <c r="DV191">
        <f>IF(OR(DV125="",AND(DV125=DV124,DV125=DV126)),NA(), DV125)</f>
        <v>0</v>
      </c>
      <c r="DW191">
        <f>IF(ISNA(DX191),NA(),DW125)</f>
        <v>0</v>
      </c>
      <c r="DX191">
        <f>IF(OR(DX125="",AND(DX125=DX124,DX125=DX126)),NA(), DX125)</f>
        <v>0</v>
      </c>
      <c r="DY191">
        <f>IF(ISNA(DZ191),NA(),DY125)</f>
        <v>0</v>
      </c>
      <c r="DZ191">
        <f>IF(OR(DZ125="",AND(DZ125=DZ124,DZ125=DZ126)),NA(), DZ125)</f>
        <v>0</v>
      </c>
      <c r="EA191">
        <f>IF(ISNA(EB191),NA(),EA125)</f>
        <v>0</v>
      </c>
      <c r="EB191">
        <f>IF(OR(EB125="",AND(EB125=EB124,EB125=EB126)),NA(), EB125)</f>
        <v>0</v>
      </c>
      <c r="EC191">
        <f>IF(ISNA(ED191),NA(),EC125)</f>
        <v>0</v>
      </c>
      <c r="ED191">
        <f>IF(OR(ED125="",AND(ED125=ED124,ED125=ED126)),NA(), ED125)</f>
        <v>0</v>
      </c>
    </row>
    <row r="192" spans="5:134">
      <c r="E192">
        <f>IF(ISNA(F192),NA(),E126)</f>
        <v>0</v>
      </c>
      <c r="F192">
        <f>IF(OR(F126="",AND(F126=F125,F126=F127)),NA(), F126)</f>
        <v>0</v>
      </c>
      <c r="G192">
        <f>IF(ISNA(H192),NA(),G126)</f>
        <v>0</v>
      </c>
      <c r="H192">
        <f>IF(OR(H126="",AND(H126=H125,H126=H127)),NA(), H126)</f>
        <v>0</v>
      </c>
      <c r="I192">
        <f>IF(ISNA(J192),NA(),I126)</f>
        <v>0</v>
      </c>
      <c r="J192">
        <f>IF(OR(J126="",AND(J126=J125,J126=J127)),NA(), J126)</f>
        <v>0</v>
      </c>
      <c r="K192">
        <f>IF(ISNA(L192),NA(),K126)</f>
        <v>0</v>
      </c>
      <c r="L192">
        <f>IF(OR(L126="",AND(L126=L125,L126=L127)),NA(), L126)</f>
        <v>0</v>
      </c>
      <c r="M192">
        <f>IF(ISNA(N192),NA(),M126)</f>
        <v>0</v>
      </c>
      <c r="N192">
        <f>IF(OR(N126="",AND(N126=N125,N126=N127)),NA(), N126)</f>
        <v>0</v>
      </c>
      <c r="O192">
        <f>IF(ISNA(P192),NA(),O126)</f>
        <v>0</v>
      </c>
      <c r="P192">
        <f>IF(OR(P126="",AND(P126=P125,P126=P127)),NA(), P126)</f>
        <v>0</v>
      </c>
      <c r="Q192">
        <f>IF(ISNA(R192),NA(),Q126)</f>
        <v>0</v>
      </c>
      <c r="R192">
        <f>IF(OR(R126="",AND(R126=R125,R126=R127)),NA(), R126)</f>
        <v>0</v>
      </c>
      <c r="S192">
        <f>IF(ISNA(T192),NA(),S126)</f>
        <v>0</v>
      </c>
      <c r="T192">
        <f>IF(OR(T126="",AND(T126=T125,T126=T127)),NA(), T126)</f>
        <v>0</v>
      </c>
      <c r="U192">
        <f>IF(ISNA(V192),NA(),U126)</f>
        <v>0</v>
      </c>
      <c r="V192">
        <f>IF(OR(V126="",AND(V126=V125,V126=V127)),NA(), V126)</f>
        <v>0</v>
      </c>
      <c r="W192">
        <f>IF(ISNA(X192),NA(),W126)</f>
        <v>0</v>
      </c>
      <c r="X192">
        <f>IF(OR(X126="",AND(X126=X125,X126=X127)),NA(), X126)</f>
        <v>0</v>
      </c>
      <c r="Y192">
        <f>IF(ISNA(Z192),NA(),Y126)</f>
        <v>0</v>
      </c>
      <c r="Z192">
        <f>IF(OR(Z126="",AND(Z126=Z125,Z126=Z127)),NA(), Z126)</f>
        <v>0</v>
      </c>
      <c r="AA192">
        <f>IF(ISNA(AB192),NA(),AA126)</f>
        <v>0</v>
      </c>
      <c r="AB192">
        <f>IF(OR(AB126="",AND(AB126=AB125,AB126=AB127)),NA(), AB126)</f>
        <v>0</v>
      </c>
      <c r="AC192">
        <f>IF(ISNA(AD192),NA(),AC126)</f>
        <v>0</v>
      </c>
      <c r="AD192">
        <f>IF(OR(AD126="",AND(AD126=AD125,AD126=AD127)),NA(), AD126)</f>
        <v>0</v>
      </c>
      <c r="AE192">
        <f>IF(ISNA(AF192),NA(),AE126)</f>
        <v>0</v>
      </c>
      <c r="AF192">
        <f>IF(OR(AF126="",AND(AF126=AF125,AF126=AF127)),NA(), AF126)</f>
        <v>0</v>
      </c>
      <c r="AG192">
        <f>IF(ISNA(AH192),NA(),AG126)</f>
        <v>0</v>
      </c>
      <c r="AH192">
        <f>IF(OR(AH126="",AND(AH126=AH125,AH126=AH127)),NA(), AH126)</f>
        <v>0</v>
      </c>
      <c r="AI192">
        <f>IF(ISNA(AJ192),NA(),AI126)</f>
        <v>0</v>
      </c>
      <c r="AJ192">
        <f>IF(OR(AJ126="",AND(AJ126=AJ125,AJ126=AJ127)),NA(), AJ126)</f>
        <v>0</v>
      </c>
      <c r="AK192">
        <f>IF(ISNA(AL192),NA(),AK126)</f>
        <v>0</v>
      </c>
      <c r="AL192">
        <f>IF(OR(AL126="",AND(AL126=AL125,AL126=AL127)),NA(), AL126)</f>
        <v>0</v>
      </c>
      <c r="AM192">
        <f>IF(ISNA(AN192),NA(),AM126)</f>
        <v>0</v>
      </c>
      <c r="AN192">
        <f>IF(OR(AN126="",AND(AN126=AN125,AN126=AN127)),NA(), AN126)</f>
        <v>0</v>
      </c>
      <c r="AO192">
        <f>IF(ISNA(AP192),NA(),AO126)</f>
        <v>0</v>
      </c>
      <c r="AP192">
        <f>IF(OR(AP126="",AND(AP126=AP125,AP126=AP127)),NA(), AP126)</f>
        <v>0</v>
      </c>
      <c r="AQ192">
        <f>IF(ISNA(AR192),NA(),AQ126)</f>
        <v>0</v>
      </c>
      <c r="AR192">
        <f>IF(OR(AR126="",AND(AR126=AR125,AR126=AR127)),NA(), AR126)</f>
        <v>0</v>
      </c>
      <c r="AS192">
        <f>IF(ISNA(AT192),NA(),AS126)</f>
        <v>0</v>
      </c>
      <c r="AT192">
        <f>IF(OR(AT126="",AND(AT126=AT125,AT126=AT127)),NA(), AT126)</f>
        <v>0</v>
      </c>
      <c r="AU192">
        <f>IF(ISNA(AV192),NA(),AU126)</f>
        <v>0</v>
      </c>
      <c r="AV192">
        <f>IF(OR(AV126="",AND(AV126=AV125,AV126=AV127)),NA(), AV126)</f>
        <v>0</v>
      </c>
      <c r="AW192">
        <f>IF(ISNA(AX192),NA(),AW126)</f>
        <v>0</v>
      </c>
      <c r="AX192">
        <f>IF(OR(AX126="",AND(AX126=AX125,AX126=AX127)),NA(), AX126)</f>
        <v>0</v>
      </c>
      <c r="AY192">
        <f>IF(ISNA(AZ192),NA(),AY126)</f>
        <v>0</v>
      </c>
      <c r="AZ192">
        <f>IF(OR(AZ126="",AND(AZ126=AZ125,AZ126=AZ127)),NA(), AZ126)</f>
        <v>0</v>
      </c>
      <c r="BA192">
        <f>IF(ISNA(BB192),NA(),BA126)</f>
        <v>0</v>
      </c>
      <c r="BB192">
        <f>IF(OR(BB126="",AND(BB126=BB125,BB126=BB127)),NA(), BB126)</f>
        <v>0</v>
      </c>
      <c r="BC192">
        <f>IF(ISNA(BD192),NA(),BC126)</f>
        <v>0</v>
      </c>
      <c r="BD192">
        <f>IF(OR(BD126="",AND(BD126=BD125,BD126=BD127)),NA(), BD126)</f>
        <v>0</v>
      </c>
      <c r="BE192">
        <f>IF(ISNA(BF192),NA(),BE126)</f>
        <v>0</v>
      </c>
      <c r="BF192">
        <f>IF(OR(BF126="",AND(BF126=BF125,BF126=BF127)),NA(), BF126)</f>
        <v>0</v>
      </c>
      <c r="BG192">
        <f>IF(ISNA(BH192),NA(),BG126)</f>
        <v>0</v>
      </c>
      <c r="BH192">
        <f>IF(OR(BH126="",AND(BH126=BH125,BH126=BH127)),NA(), BH126)</f>
        <v>0</v>
      </c>
      <c r="BI192">
        <f>IF(ISNA(BJ192),NA(),BI126)</f>
        <v>0</v>
      </c>
      <c r="BJ192">
        <f>IF(OR(BJ126="",AND(BJ126=BJ125,BJ126=BJ127)),NA(), BJ126)</f>
        <v>0</v>
      </c>
      <c r="BK192">
        <f>IF(ISNA(BL192),NA(),BK126)</f>
        <v>0</v>
      </c>
      <c r="BL192">
        <f>IF(OR(BL126="",AND(BL126=BL125,BL126=BL127)),NA(), BL126)</f>
        <v>0</v>
      </c>
      <c r="BM192">
        <f>IF(ISNA(BN192),NA(),BM126)</f>
        <v>0</v>
      </c>
      <c r="BN192">
        <f>IF(OR(BN126="",AND(BN126=BN125,BN126=BN127)),NA(), BN126)</f>
        <v>0</v>
      </c>
      <c r="BO192">
        <f>IF(ISNA(BP192),NA(),BO126)</f>
        <v>0</v>
      </c>
      <c r="BP192">
        <f>IF(OR(BP126="",AND(BP126=BP125,BP126=BP127)),NA(), BP126)</f>
        <v>0</v>
      </c>
      <c r="BS192">
        <f>IF(ISNA(BT192),NA(),BS126)</f>
        <v>0</v>
      </c>
      <c r="BT192">
        <f>IF(OR(BT126="",AND(BT126=BT125,BT126=BT127)),NA(), BT126)</f>
        <v>0</v>
      </c>
      <c r="BU192">
        <f>IF(ISNA(BV192),NA(),BU126)</f>
        <v>0</v>
      </c>
      <c r="BV192">
        <f>IF(OR(BV126="",AND(BV126=BV125,BV126=BV127)),NA(), BV126)</f>
        <v>0</v>
      </c>
      <c r="BW192">
        <f>IF(ISNA(BX192),NA(),BW126)</f>
        <v>0</v>
      </c>
      <c r="BX192">
        <f>IF(OR(BX126="",AND(BX126=BX125,BX126=BX127)),NA(), BX126)</f>
        <v>0</v>
      </c>
      <c r="BY192">
        <f>IF(ISNA(BZ192),NA(),BY126)</f>
        <v>0</v>
      </c>
      <c r="BZ192">
        <f>IF(OR(BZ126="",AND(BZ126=BZ125,BZ126=BZ127)),NA(), BZ126)</f>
        <v>0</v>
      </c>
      <c r="CA192">
        <f>IF(ISNA(CB192),NA(),CA126)</f>
        <v>0</v>
      </c>
      <c r="CB192">
        <f>IF(OR(CB126="",AND(CB126=CB125,CB126=CB127)),NA(), CB126)</f>
        <v>0</v>
      </c>
      <c r="CC192">
        <f>IF(ISNA(CD192),NA(),CC126)</f>
        <v>0</v>
      </c>
      <c r="CD192">
        <f>IF(OR(CD126="",AND(CD126=CD125,CD126=CD127)),NA(), CD126)</f>
        <v>0</v>
      </c>
      <c r="CE192">
        <f>IF(ISNA(CF192),NA(),CE126)</f>
        <v>0</v>
      </c>
      <c r="CF192">
        <f>IF(OR(CF126="",AND(CF126=CF125,CF126=CF127)),NA(), CF126)</f>
        <v>0</v>
      </c>
      <c r="CG192">
        <f>IF(ISNA(CH192),NA(),CG126)</f>
        <v>0</v>
      </c>
      <c r="CH192">
        <f>IF(OR(CH126="",AND(CH126=CH125,CH126=CH127)),NA(), CH126)</f>
        <v>0</v>
      </c>
      <c r="CI192">
        <f>IF(ISNA(CJ192),NA(),CI126)</f>
        <v>0</v>
      </c>
      <c r="CJ192">
        <f>IF(OR(CJ126="",AND(CJ126=CJ125,CJ126=CJ127)),NA(), CJ126)</f>
        <v>0</v>
      </c>
      <c r="CK192">
        <f>IF(ISNA(CL192),NA(),CK126)</f>
        <v>0</v>
      </c>
      <c r="CL192">
        <f>IF(OR(CL126="",AND(CL126=CL125,CL126=CL127)),NA(), CL126)</f>
        <v>0</v>
      </c>
      <c r="CM192">
        <f>IF(ISNA(CN192),NA(),CM126)</f>
        <v>0</v>
      </c>
      <c r="CN192">
        <f>IF(OR(CN126="",AND(CN126=CN125,CN126=CN127)),NA(), CN126)</f>
        <v>0</v>
      </c>
      <c r="CO192">
        <f>IF(ISNA(CP192),NA(),CO126)</f>
        <v>0</v>
      </c>
      <c r="CP192">
        <f>IF(OR(CP126="",AND(CP126=CP125,CP126=CP127)),NA(), CP126)</f>
        <v>0</v>
      </c>
      <c r="CQ192">
        <f>IF(ISNA(CR192),NA(),CQ126)</f>
        <v>0</v>
      </c>
      <c r="CR192">
        <f>IF(OR(CR126="",AND(CR126=CR125,CR126=CR127)),NA(), CR126)</f>
        <v>0</v>
      </c>
      <c r="CS192">
        <f>IF(ISNA(CT192),NA(),CS126)</f>
        <v>0</v>
      </c>
      <c r="CT192">
        <f>IF(OR(CT126="",AND(CT126=CT125,CT126=CT127)),NA(), CT126)</f>
        <v>0</v>
      </c>
      <c r="CU192">
        <f>IF(ISNA(CV192),NA(),CU126)</f>
        <v>0</v>
      </c>
      <c r="CV192">
        <f>IF(OR(CV126="",AND(CV126=CV125,CV126=CV127)),NA(), CV126)</f>
        <v>0</v>
      </c>
      <c r="CW192">
        <f>IF(ISNA(CX192),NA(),CW126)</f>
        <v>0</v>
      </c>
      <c r="CX192">
        <f>IF(OR(CX126="",AND(CX126=CX125,CX126=CX127)),NA(), CX126)</f>
        <v>0</v>
      </c>
      <c r="CY192">
        <f>IF(ISNA(CZ192),NA(),CY126)</f>
        <v>0</v>
      </c>
      <c r="CZ192">
        <f>IF(OR(CZ126="",AND(CZ126=CZ125,CZ126=CZ127)),NA(), CZ126)</f>
        <v>0</v>
      </c>
      <c r="DA192">
        <f>IF(ISNA(DB192),NA(),DA126)</f>
        <v>0</v>
      </c>
      <c r="DB192">
        <f>IF(OR(DB126="",AND(DB126=DB125,DB126=DB127)),NA(), DB126)</f>
        <v>0</v>
      </c>
      <c r="DC192">
        <f>IF(ISNA(DD192),NA(),DC126)</f>
        <v>0</v>
      </c>
      <c r="DD192">
        <f>IF(OR(DD126="",AND(DD126=DD125,DD126=DD127)),NA(), DD126)</f>
        <v>0</v>
      </c>
      <c r="DE192">
        <f>IF(ISNA(DF192),NA(),DE126)</f>
        <v>0</v>
      </c>
      <c r="DF192">
        <f>IF(OR(DF126="",AND(DF126=DF125,DF126=DF127)),NA(), DF126)</f>
        <v>0</v>
      </c>
      <c r="DG192">
        <f>IF(ISNA(DH192),NA(),DG126)</f>
        <v>0</v>
      </c>
      <c r="DH192">
        <f>IF(OR(DH126="",AND(DH126=DH125,DH126=DH127)),NA(), DH126)</f>
        <v>0</v>
      </c>
      <c r="DI192">
        <f>IF(ISNA(DJ192),NA(),DI126)</f>
        <v>0</v>
      </c>
      <c r="DJ192">
        <f>IF(OR(DJ126="",AND(DJ126=DJ125,DJ126=DJ127)),NA(), DJ126)</f>
        <v>0</v>
      </c>
      <c r="DK192">
        <f>IF(ISNA(DL192),NA(),DK126)</f>
        <v>0</v>
      </c>
      <c r="DL192">
        <f>IF(OR(DL126="",AND(DL126=DL125,DL126=DL127)),NA(), DL126)</f>
        <v>0</v>
      </c>
      <c r="DM192">
        <f>IF(ISNA(DN192),NA(),DM126)</f>
        <v>0</v>
      </c>
      <c r="DN192">
        <f>IF(OR(DN126="",AND(DN126=DN125,DN126=DN127)),NA(), DN126)</f>
        <v>0</v>
      </c>
      <c r="DO192">
        <f>IF(ISNA(DP192),NA(),DO126)</f>
        <v>0</v>
      </c>
      <c r="DP192">
        <f>IF(OR(DP126="",AND(DP126=DP125,DP126=DP127)),NA(), DP126)</f>
        <v>0</v>
      </c>
      <c r="DQ192">
        <f>IF(ISNA(DR192),NA(),DQ126)</f>
        <v>0</v>
      </c>
      <c r="DR192">
        <f>IF(OR(DR126="",AND(DR126=DR125,DR126=DR127)),NA(), DR126)</f>
        <v>0</v>
      </c>
      <c r="DS192">
        <f>IF(ISNA(DT192),NA(),DS126)</f>
        <v>0</v>
      </c>
      <c r="DT192">
        <f>IF(OR(DT126="",AND(DT126=DT125,DT126=DT127)),NA(), DT126)</f>
        <v>0</v>
      </c>
      <c r="DU192">
        <f>IF(ISNA(DV192),NA(),DU126)</f>
        <v>0</v>
      </c>
      <c r="DV192">
        <f>IF(OR(DV126="",AND(DV126=DV125,DV126=DV127)),NA(), DV126)</f>
        <v>0</v>
      </c>
      <c r="DW192">
        <f>IF(ISNA(DX192),NA(),DW126)</f>
        <v>0</v>
      </c>
      <c r="DX192">
        <f>IF(OR(DX126="",AND(DX126=DX125,DX126=DX127)),NA(), DX126)</f>
        <v>0</v>
      </c>
      <c r="DY192">
        <f>IF(ISNA(DZ192),NA(),DY126)</f>
        <v>0</v>
      </c>
      <c r="DZ192">
        <f>IF(OR(DZ126="",AND(DZ126=DZ125,DZ126=DZ127)),NA(), DZ126)</f>
        <v>0</v>
      </c>
      <c r="EA192">
        <f>IF(ISNA(EB192),NA(),EA126)</f>
        <v>0</v>
      </c>
      <c r="EB192">
        <f>IF(OR(EB126="",AND(EB126=EB125,EB126=EB127)),NA(), EB126)</f>
        <v>0</v>
      </c>
      <c r="EC192">
        <f>IF(ISNA(ED192),NA(),EC126)</f>
        <v>0</v>
      </c>
      <c r="ED192">
        <f>IF(OR(ED126="",AND(ED126=ED125,ED126=ED127)),NA(), ED126)</f>
        <v>0</v>
      </c>
    </row>
    <row r="193" spans="5:134">
      <c r="E193">
        <f>IF(ISNA(F193),NA(),E127)</f>
        <v>0</v>
      </c>
      <c r="F193">
        <f>IF(OR(F127="",AND(F127=F126,F127=F128)),NA(), F127)</f>
        <v>0</v>
      </c>
      <c r="G193">
        <f>IF(ISNA(H193),NA(),G127)</f>
        <v>0</v>
      </c>
      <c r="H193">
        <f>IF(OR(H127="",AND(H127=H126,H127=H128)),NA(), H127)</f>
        <v>0</v>
      </c>
      <c r="I193">
        <f>IF(ISNA(J193),NA(),I127)</f>
        <v>0</v>
      </c>
      <c r="J193">
        <f>IF(OR(J127="",AND(J127=J126,J127=J128)),NA(), J127)</f>
        <v>0</v>
      </c>
      <c r="K193">
        <f>IF(ISNA(L193),NA(),K127)</f>
        <v>0</v>
      </c>
      <c r="L193">
        <f>IF(OR(L127="",AND(L127=L126,L127=L128)),NA(), L127)</f>
        <v>0</v>
      </c>
      <c r="M193">
        <f>IF(ISNA(N193),NA(),M127)</f>
        <v>0</v>
      </c>
      <c r="N193">
        <f>IF(OR(N127="",AND(N127=N126,N127=N128)),NA(), N127)</f>
        <v>0</v>
      </c>
      <c r="O193">
        <f>IF(ISNA(P193),NA(),O127)</f>
        <v>0</v>
      </c>
      <c r="P193">
        <f>IF(OR(P127="",AND(P127=P126,P127=P128)),NA(), P127)</f>
        <v>0</v>
      </c>
      <c r="Q193">
        <f>IF(ISNA(R193),NA(),Q127)</f>
        <v>0</v>
      </c>
      <c r="R193">
        <f>IF(OR(R127="",AND(R127=R126,R127=R128)),NA(), R127)</f>
        <v>0</v>
      </c>
      <c r="S193">
        <f>IF(ISNA(T193),NA(),S127)</f>
        <v>0</v>
      </c>
      <c r="T193">
        <f>IF(OR(T127="",AND(T127=T126,T127=T128)),NA(), T127)</f>
        <v>0</v>
      </c>
      <c r="U193">
        <f>IF(ISNA(V193),NA(),U127)</f>
        <v>0</v>
      </c>
      <c r="V193">
        <f>IF(OR(V127="",AND(V127=V126,V127=V128)),NA(), V127)</f>
        <v>0</v>
      </c>
      <c r="W193">
        <f>IF(ISNA(X193),NA(),W127)</f>
        <v>0</v>
      </c>
      <c r="X193">
        <f>IF(OR(X127="",AND(X127=X126,X127=X128)),NA(), X127)</f>
        <v>0</v>
      </c>
      <c r="Y193">
        <f>IF(ISNA(Z193),NA(),Y127)</f>
        <v>0</v>
      </c>
      <c r="Z193">
        <f>IF(OR(Z127="",AND(Z127=Z126,Z127=Z128)),NA(), Z127)</f>
        <v>0</v>
      </c>
      <c r="AA193">
        <f>IF(ISNA(AB193),NA(),AA127)</f>
        <v>0</v>
      </c>
      <c r="AB193">
        <f>IF(OR(AB127="",AND(AB127=AB126,AB127=AB128)),NA(), AB127)</f>
        <v>0</v>
      </c>
      <c r="AC193">
        <f>IF(ISNA(AD193),NA(),AC127)</f>
        <v>0</v>
      </c>
      <c r="AD193">
        <f>IF(OR(AD127="",AND(AD127=AD126,AD127=AD128)),NA(), AD127)</f>
        <v>0</v>
      </c>
      <c r="AE193">
        <f>IF(ISNA(AF193),NA(),AE127)</f>
        <v>0</v>
      </c>
      <c r="AF193">
        <f>IF(OR(AF127="",AND(AF127=AF126,AF127=AF128)),NA(), AF127)</f>
        <v>0</v>
      </c>
      <c r="AG193">
        <f>IF(ISNA(AH193),NA(),AG127)</f>
        <v>0</v>
      </c>
      <c r="AH193">
        <f>IF(OR(AH127="",AND(AH127=AH126,AH127=AH128)),NA(), AH127)</f>
        <v>0</v>
      </c>
      <c r="AI193">
        <f>IF(ISNA(AJ193),NA(),AI127)</f>
        <v>0</v>
      </c>
      <c r="AJ193">
        <f>IF(OR(AJ127="",AND(AJ127=AJ126,AJ127=AJ128)),NA(), AJ127)</f>
        <v>0</v>
      </c>
      <c r="AK193">
        <f>IF(ISNA(AL193),NA(),AK127)</f>
        <v>0</v>
      </c>
      <c r="AL193">
        <f>IF(OR(AL127="",AND(AL127=AL126,AL127=AL128)),NA(), AL127)</f>
        <v>0</v>
      </c>
      <c r="AM193">
        <f>IF(ISNA(AN193),NA(),AM127)</f>
        <v>0</v>
      </c>
      <c r="AN193">
        <f>IF(OR(AN127="",AND(AN127=AN126,AN127=AN128)),NA(), AN127)</f>
        <v>0</v>
      </c>
      <c r="AO193">
        <f>IF(ISNA(AP193),NA(),AO127)</f>
        <v>0</v>
      </c>
      <c r="AP193">
        <f>IF(OR(AP127="",AND(AP127=AP126,AP127=AP128)),NA(), AP127)</f>
        <v>0</v>
      </c>
      <c r="AQ193">
        <f>IF(ISNA(AR193),NA(),AQ127)</f>
        <v>0</v>
      </c>
      <c r="AR193">
        <f>IF(OR(AR127="",AND(AR127=AR126,AR127=AR128)),NA(), AR127)</f>
        <v>0</v>
      </c>
      <c r="AS193">
        <f>IF(ISNA(AT193),NA(),AS127)</f>
        <v>0</v>
      </c>
      <c r="AT193">
        <f>IF(OR(AT127="",AND(AT127=AT126,AT127=AT128)),NA(), AT127)</f>
        <v>0</v>
      </c>
      <c r="AU193">
        <f>IF(ISNA(AV193),NA(),AU127)</f>
        <v>0</v>
      </c>
      <c r="AV193">
        <f>IF(OR(AV127="",AND(AV127=AV126,AV127=AV128)),NA(), AV127)</f>
        <v>0</v>
      </c>
      <c r="AW193">
        <f>IF(ISNA(AX193),NA(),AW127)</f>
        <v>0</v>
      </c>
      <c r="AX193">
        <f>IF(OR(AX127="",AND(AX127=AX126,AX127=AX128)),NA(), AX127)</f>
        <v>0</v>
      </c>
      <c r="AY193">
        <f>IF(ISNA(AZ193),NA(),AY127)</f>
        <v>0</v>
      </c>
      <c r="AZ193">
        <f>IF(OR(AZ127="",AND(AZ127=AZ126,AZ127=AZ128)),NA(), AZ127)</f>
        <v>0</v>
      </c>
      <c r="BA193">
        <f>IF(ISNA(BB193),NA(),BA127)</f>
        <v>0</v>
      </c>
      <c r="BB193">
        <f>IF(OR(BB127="",AND(BB127=BB126,BB127=BB128)),NA(), BB127)</f>
        <v>0</v>
      </c>
      <c r="BC193">
        <f>IF(ISNA(BD193),NA(),BC127)</f>
        <v>0</v>
      </c>
      <c r="BD193">
        <f>IF(OR(BD127="",AND(BD127=BD126,BD127=BD128)),NA(), BD127)</f>
        <v>0</v>
      </c>
      <c r="BE193">
        <f>IF(ISNA(BF193),NA(),BE127)</f>
        <v>0</v>
      </c>
      <c r="BF193">
        <f>IF(OR(BF127="",AND(BF127=BF126,BF127=BF128)),NA(), BF127)</f>
        <v>0</v>
      </c>
      <c r="BG193">
        <f>IF(ISNA(BH193),NA(),BG127)</f>
        <v>0</v>
      </c>
      <c r="BH193">
        <f>IF(OR(BH127="",AND(BH127=BH126,BH127=BH128)),NA(), BH127)</f>
        <v>0</v>
      </c>
      <c r="BI193">
        <f>IF(ISNA(BJ193),NA(),BI127)</f>
        <v>0</v>
      </c>
      <c r="BJ193">
        <f>IF(OR(BJ127="",AND(BJ127=BJ126,BJ127=BJ128)),NA(), BJ127)</f>
        <v>0</v>
      </c>
      <c r="BK193">
        <f>IF(ISNA(BL193),NA(),BK127)</f>
        <v>0</v>
      </c>
      <c r="BL193">
        <f>IF(OR(BL127="",AND(BL127=BL126,BL127=BL128)),NA(), BL127)</f>
        <v>0</v>
      </c>
      <c r="BM193">
        <f>IF(ISNA(BN193),NA(),BM127)</f>
        <v>0</v>
      </c>
      <c r="BN193">
        <f>IF(OR(BN127="",AND(BN127=BN126,BN127=BN128)),NA(), BN127)</f>
        <v>0</v>
      </c>
      <c r="BO193">
        <f>IF(ISNA(BP193),NA(),BO127)</f>
        <v>0</v>
      </c>
      <c r="BP193">
        <f>IF(OR(BP127="",AND(BP127=BP126,BP127=BP128)),NA(), BP127)</f>
        <v>0</v>
      </c>
      <c r="BS193">
        <f>IF(ISNA(BT193),NA(),BS127)</f>
        <v>0</v>
      </c>
      <c r="BT193">
        <f>IF(OR(BT127="",AND(BT127=BT126,BT127=BT128)),NA(), BT127)</f>
        <v>0</v>
      </c>
      <c r="BU193">
        <f>IF(ISNA(BV193),NA(),BU127)</f>
        <v>0</v>
      </c>
      <c r="BV193">
        <f>IF(OR(BV127="",AND(BV127=BV126,BV127=BV128)),NA(), BV127)</f>
        <v>0</v>
      </c>
      <c r="BW193">
        <f>IF(ISNA(BX193),NA(),BW127)</f>
        <v>0</v>
      </c>
      <c r="BX193">
        <f>IF(OR(BX127="",AND(BX127=BX126,BX127=BX128)),NA(), BX127)</f>
        <v>0</v>
      </c>
      <c r="BY193">
        <f>IF(ISNA(BZ193),NA(),BY127)</f>
        <v>0</v>
      </c>
      <c r="BZ193">
        <f>IF(OR(BZ127="",AND(BZ127=BZ126,BZ127=BZ128)),NA(), BZ127)</f>
        <v>0</v>
      </c>
      <c r="CA193">
        <f>IF(ISNA(CB193),NA(),CA127)</f>
        <v>0</v>
      </c>
      <c r="CB193">
        <f>IF(OR(CB127="",AND(CB127=CB126,CB127=CB128)),NA(), CB127)</f>
        <v>0</v>
      </c>
      <c r="CC193">
        <f>IF(ISNA(CD193),NA(),CC127)</f>
        <v>0</v>
      </c>
      <c r="CD193">
        <f>IF(OR(CD127="",AND(CD127=CD126,CD127=CD128)),NA(), CD127)</f>
        <v>0</v>
      </c>
      <c r="CE193">
        <f>IF(ISNA(CF193),NA(),CE127)</f>
        <v>0</v>
      </c>
      <c r="CF193">
        <f>IF(OR(CF127="",AND(CF127=CF126,CF127=CF128)),NA(), CF127)</f>
        <v>0</v>
      </c>
      <c r="CG193">
        <f>IF(ISNA(CH193),NA(),CG127)</f>
        <v>0</v>
      </c>
      <c r="CH193">
        <f>IF(OR(CH127="",AND(CH127=CH126,CH127=CH128)),NA(), CH127)</f>
        <v>0</v>
      </c>
      <c r="CI193">
        <f>IF(ISNA(CJ193),NA(),CI127)</f>
        <v>0</v>
      </c>
      <c r="CJ193">
        <f>IF(OR(CJ127="",AND(CJ127=CJ126,CJ127=CJ128)),NA(), CJ127)</f>
        <v>0</v>
      </c>
      <c r="CK193">
        <f>IF(ISNA(CL193),NA(),CK127)</f>
        <v>0</v>
      </c>
      <c r="CL193">
        <f>IF(OR(CL127="",AND(CL127=CL126,CL127=CL128)),NA(), CL127)</f>
        <v>0</v>
      </c>
      <c r="CM193">
        <f>IF(ISNA(CN193),NA(),CM127)</f>
        <v>0</v>
      </c>
      <c r="CN193">
        <f>IF(OR(CN127="",AND(CN127=CN126,CN127=CN128)),NA(), CN127)</f>
        <v>0</v>
      </c>
      <c r="CO193">
        <f>IF(ISNA(CP193),NA(),CO127)</f>
        <v>0</v>
      </c>
      <c r="CP193">
        <f>IF(OR(CP127="",AND(CP127=CP126,CP127=CP128)),NA(), CP127)</f>
        <v>0</v>
      </c>
      <c r="CQ193">
        <f>IF(ISNA(CR193),NA(),CQ127)</f>
        <v>0</v>
      </c>
      <c r="CR193">
        <f>IF(OR(CR127="",AND(CR127=CR126,CR127=CR128)),NA(), CR127)</f>
        <v>0</v>
      </c>
      <c r="CS193">
        <f>IF(ISNA(CT193),NA(),CS127)</f>
        <v>0</v>
      </c>
      <c r="CT193">
        <f>IF(OR(CT127="",AND(CT127=CT126,CT127=CT128)),NA(), CT127)</f>
        <v>0</v>
      </c>
      <c r="CU193">
        <f>IF(ISNA(CV193),NA(),CU127)</f>
        <v>0</v>
      </c>
      <c r="CV193">
        <f>IF(OR(CV127="",AND(CV127=CV126,CV127=CV128)),NA(), CV127)</f>
        <v>0</v>
      </c>
      <c r="CW193">
        <f>IF(ISNA(CX193),NA(),CW127)</f>
        <v>0</v>
      </c>
      <c r="CX193">
        <f>IF(OR(CX127="",AND(CX127=CX126,CX127=CX128)),NA(), CX127)</f>
        <v>0</v>
      </c>
      <c r="CY193">
        <f>IF(ISNA(CZ193),NA(),CY127)</f>
        <v>0</v>
      </c>
      <c r="CZ193">
        <f>IF(OR(CZ127="",AND(CZ127=CZ126,CZ127=CZ128)),NA(), CZ127)</f>
        <v>0</v>
      </c>
      <c r="DA193">
        <f>IF(ISNA(DB193),NA(),DA127)</f>
        <v>0</v>
      </c>
      <c r="DB193">
        <f>IF(OR(DB127="",AND(DB127=DB126,DB127=DB128)),NA(), DB127)</f>
        <v>0</v>
      </c>
      <c r="DC193">
        <f>IF(ISNA(DD193),NA(),DC127)</f>
        <v>0</v>
      </c>
      <c r="DD193">
        <f>IF(OR(DD127="",AND(DD127=DD126,DD127=DD128)),NA(), DD127)</f>
        <v>0</v>
      </c>
      <c r="DE193">
        <f>IF(ISNA(DF193),NA(),DE127)</f>
        <v>0</v>
      </c>
      <c r="DF193">
        <f>IF(OR(DF127="",AND(DF127=DF126,DF127=DF128)),NA(), DF127)</f>
        <v>0</v>
      </c>
      <c r="DG193">
        <f>IF(ISNA(DH193),NA(),DG127)</f>
        <v>0</v>
      </c>
      <c r="DH193">
        <f>IF(OR(DH127="",AND(DH127=DH126,DH127=DH128)),NA(), DH127)</f>
        <v>0</v>
      </c>
      <c r="DI193">
        <f>IF(ISNA(DJ193),NA(),DI127)</f>
        <v>0</v>
      </c>
      <c r="DJ193">
        <f>IF(OR(DJ127="",AND(DJ127=DJ126,DJ127=DJ128)),NA(), DJ127)</f>
        <v>0</v>
      </c>
      <c r="DK193">
        <f>IF(ISNA(DL193),NA(),DK127)</f>
        <v>0</v>
      </c>
      <c r="DL193">
        <f>IF(OR(DL127="",AND(DL127=DL126,DL127=DL128)),NA(), DL127)</f>
        <v>0</v>
      </c>
      <c r="DM193">
        <f>IF(ISNA(DN193),NA(),DM127)</f>
        <v>0</v>
      </c>
      <c r="DN193">
        <f>IF(OR(DN127="",AND(DN127=DN126,DN127=DN128)),NA(), DN127)</f>
        <v>0</v>
      </c>
      <c r="DO193">
        <f>IF(ISNA(DP193),NA(),DO127)</f>
        <v>0</v>
      </c>
      <c r="DP193">
        <f>IF(OR(DP127="",AND(DP127=DP126,DP127=DP128)),NA(), DP127)</f>
        <v>0</v>
      </c>
      <c r="DQ193">
        <f>IF(ISNA(DR193),NA(),DQ127)</f>
        <v>0</v>
      </c>
      <c r="DR193">
        <f>IF(OR(DR127="",AND(DR127=DR126,DR127=DR128)),NA(), DR127)</f>
        <v>0</v>
      </c>
      <c r="DS193">
        <f>IF(ISNA(DT193),NA(),DS127)</f>
        <v>0</v>
      </c>
      <c r="DT193">
        <f>IF(OR(DT127="",AND(DT127=DT126,DT127=DT128)),NA(), DT127)</f>
        <v>0</v>
      </c>
      <c r="DU193">
        <f>IF(ISNA(DV193),NA(),DU127)</f>
        <v>0</v>
      </c>
      <c r="DV193">
        <f>IF(OR(DV127="",AND(DV127=DV126,DV127=DV128)),NA(), DV127)</f>
        <v>0</v>
      </c>
      <c r="DW193">
        <f>IF(ISNA(DX193),NA(),DW127)</f>
        <v>0</v>
      </c>
      <c r="DX193">
        <f>IF(OR(DX127="",AND(DX127=DX126,DX127=DX128)),NA(), DX127)</f>
        <v>0</v>
      </c>
      <c r="DY193">
        <f>IF(ISNA(DZ193),NA(),DY127)</f>
        <v>0</v>
      </c>
      <c r="DZ193">
        <f>IF(OR(DZ127="",AND(DZ127=DZ126,DZ127=DZ128)),NA(), DZ127)</f>
        <v>0</v>
      </c>
      <c r="EA193">
        <f>IF(ISNA(EB193),NA(),EA127)</f>
        <v>0</v>
      </c>
      <c r="EB193">
        <f>IF(OR(EB127="",AND(EB127=EB126,EB127=EB128)),NA(), EB127)</f>
        <v>0</v>
      </c>
      <c r="EC193">
        <f>IF(ISNA(ED193),NA(),EC127)</f>
        <v>0</v>
      </c>
      <c r="ED193">
        <f>IF(OR(ED127="",AND(ED127=ED126,ED127=ED128)),NA(), ED127)</f>
        <v>0</v>
      </c>
    </row>
    <row r="194" spans="5:134">
      <c r="E194">
        <f>IF(ISNA(F194),NA(),E128)</f>
        <v>0</v>
      </c>
      <c r="F194">
        <f>IF(OR(F128="",AND(F128=F127,F128=F129)),NA(), F128)</f>
        <v>0</v>
      </c>
      <c r="G194">
        <f>IF(ISNA(H194),NA(),G128)</f>
        <v>0</v>
      </c>
      <c r="H194">
        <f>IF(OR(H128="",AND(H128=H127,H128=H129)),NA(), H128)</f>
        <v>0</v>
      </c>
      <c r="I194">
        <f>IF(ISNA(J194),NA(),I128)</f>
        <v>0</v>
      </c>
      <c r="J194">
        <f>IF(OR(J128="",AND(J128=J127,J128=J129)),NA(), J128)</f>
        <v>0</v>
      </c>
      <c r="K194">
        <f>IF(ISNA(L194),NA(),K128)</f>
        <v>0</v>
      </c>
      <c r="L194">
        <f>IF(OR(L128="",AND(L128=L127,L128=L129)),NA(), L128)</f>
        <v>0</v>
      </c>
      <c r="M194">
        <f>IF(ISNA(N194),NA(),M128)</f>
        <v>0</v>
      </c>
      <c r="N194">
        <f>IF(OR(N128="",AND(N128=N127,N128=N129)),NA(), N128)</f>
        <v>0</v>
      </c>
      <c r="O194">
        <f>IF(ISNA(P194),NA(),O128)</f>
        <v>0</v>
      </c>
      <c r="P194">
        <f>IF(OR(P128="",AND(P128=P127,P128=P129)),NA(), P128)</f>
        <v>0</v>
      </c>
      <c r="Q194">
        <f>IF(ISNA(R194),NA(),Q128)</f>
        <v>0</v>
      </c>
      <c r="R194">
        <f>IF(OR(R128="",AND(R128=R127,R128=R129)),NA(), R128)</f>
        <v>0</v>
      </c>
      <c r="S194">
        <f>IF(ISNA(T194),NA(),S128)</f>
        <v>0</v>
      </c>
      <c r="T194">
        <f>IF(OR(T128="",AND(T128=T127,T128=T129)),NA(), T128)</f>
        <v>0</v>
      </c>
      <c r="U194">
        <f>IF(ISNA(V194),NA(),U128)</f>
        <v>0</v>
      </c>
      <c r="V194">
        <f>IF(OR(V128="",AND(V128=V127,V128=V129)),NA(), V128)</f>
        <v>0</v>
      </c>
      <c r="W194">
        <f>IF(ISNA(X194),NA(),W128)</f>
        <v>0</v>
      </c>
      <c r="X194">
        <f>IF(OR(X128="",AND(X128=X127,X128=X129)),NA(), X128)</f>
        <v>0</v>
      </c>
      <c r="Y194">
        <f>IF(ISNA(Z194),NA(),Y128)</f>
        <v>0</v>
      </c>
      <c r="Z194">
        <f>IF(OR(Z128="",AND(Z128=Z127,Z128=Z129)),NA(), Z128)</f>
        <v>0</v>
      </c>
      <c r="AA194">
        <f>IF(ISNA(AB194),NA(),AA128)</f>
        <v>0</v>
      </c>
      <c r="AB194">
        <f>IF(OR(AB128="",AND(AB128=AB127,AB128=AB129)),NA(), AB128)</f>
        <v>0</v>
      </c>
      <c r="AC194">
        <f>IF(ISNA(AD194),NA(),AC128)</f>
        <v>0</v>
      </c>
      <c r="AD194">
        <f>IF(OR(AD128="",AND(AD128=AD127,AD128=AD129)),NA(), AD128)</f>
        <v>0</v>
      </c>
      <c r="AE194">
        <f>IF(ISNA(AF194),NA(),AE128)</f>
        <v>0</v>
      </c>
      <c r="AF194">
        <f>IF(OR(AF128="",AND(AF128=AF127,AF128=AF129)),NA(), AF128)</f>
        <v>0</v>
      </c>
      <c r="AG194">
        <f>IF(ISNA(AH194),NA(),AG128)</f>
        <v>0</v>
      </c>
      <c r="AH194">
        <f>IF(OR(AH128="",AND(AH128=AH127,AH128=AH129)),NA(), AH128)</f>
        <v>0</v>
      </c>
      <c r="AI194">
        <f>IF(ISNA(AJ194),NA(),AI128)</f>
        <v>0</v>
      </c>
      <c r="AJ194">
        <f>IF(OR(AJ128="",AND(AJ128=AJ127,AJ128=AJ129)),NA(), AJ128)</f>
        <v>0</v>
      </c>
      <c r="AK194">
        <f>IF(ISNA(AL194),NA(),AK128)</f>
        <v>0</v>
      </c>
      <c r="AL194">
        <f>IF(OR(AL128="",AND(AL128=AL127,AL128=AL129)),NA(), AL128)</f>
        <v>0</v>
      </c>
      <c r="AM194">
        <f>IF(ISNA(AN194),NA(),AM128)</f>
        <v>0</v>
      </c>
      <c r="AN194">
        <f>IF(OR(AN128="",AND(AN128=AN127,AN128=AN129)),NA(), AN128)</f>
        <v>0</v>
      </c>
      <c r="AO194">
        <f>IF(ISNA(AP194),NA(),AO128)</f>
        <v>0</v>
      </c>
      <c r="AP194">
        <f>IF(OR(AP128="",AND(AP128=AP127,AP128=AP129)),NA(), AP128)</f>
        <v>0</v>
      </c>
      <c r="AQ194">
        <f>IF(ISNA(AR194),NA(),AQ128)</f>
        <v>0</v>
      </c>
      <c r="AR194">
        <f>IF(OR(AR128="",AND(AR128=AR127,AR128=AR129)),NA(), AR128)</f>
        <v>0</v>
      </c>
      <c r="AS194">
        <f>IF(ISNA(AT194),NA(),AS128)</f>
        <v>0</v>
      </c>
      <c r="AT194">
        <f>IF(OR(AT128="",AND(AT128=AT127,AT128=AT129)),NA(), AT128)</f>
        <v>0</v>
      </c>
      <c r="AU194">
        <f>IF(ISNA(AV194),NA(),AU128)</f>
        <v>0</v>
      </c>
      <c r="AV194">
        <f>IF(OR(AV128="",AND(AV128=AV127,AV128=AV129)),NA(), AV128)</f>
        <v>0</v>
      </c>
      <c r="AW194">
        <f>IF(ISNA(AX194),NA(),AW128)</f>
        <v>0</v>
      </c>
      <c r="AX194">
        <f>IF(OR(AX128="",AND(AX128=AX127,AX128=AX129)),NA(), AX128)</f>
        <v>0</v>
      </c>
      <c r="AY194">
        <f>IF(ISNA(AZ194),NA(),AY128)</f>
        <v>0</v>
      </c>
      <c r="AZ194">
        <f>IF(OR(AZ128="",AND(AZ128=AZ127,AZ128=AZ129)),NA(), AZ128)</f>
        <v>0</v>
      </c>
      <c r="BA194">
        <f>IF(ISNA(BB194),NA(),BA128)</f>
        <v>0</v>
      </c>
      <c r="BB194">
        <f>IF(OR(BB128="",AND(BB128=BB127,BB128=BB129)),NA(), BB128)</f>
        <v>0</v>
      </c>
      <c r="BC194">
        <f>IF(ISNA(BD194),NA(),BC128)</f>
        <v>0</v>
      </c>
      <c r="BD194">
        <f>IF(OR(BD128="",AND(BD128=BD127,BD128=BD129)),NA(), BD128)</f>
        <v>0</v>
      </c>
      <c r="BE194">
        <f>IF(ISNA(BF194),NA(),BE128)</f>
        <v>0</v>
      </c>
      <c r="BF194">
        <f>IF(OR(BF128="",AND(BF128=BF127,BF128=BF129)),NA(), BF128)</f>
        <v>0</v>
      </c>
      <c r="BG194">
        <f>IF(ISNA(BH194),NA(),BG128)</f>
        <v>0</v>
      </c>
      <c r="BH194">
        <f>IF(OR(BH128="",AND(BH128=BH127,BH128=BH129)),NA(), BH128)</f>
        <v>0</v>
      </c>
      <c r="BI194">
        <f>IF(ISNA(BJ194),NA(),BI128)</f>
        <v>0</v>
      </c>
      <c r="BJ194">
        <f>IF(OR(BJ128="",AND(BJ128=BJ127,BJ128=BJ129)),NA(), BJ128)</f>
        <v>0</v>
      </c>
      <c r="BK194">
        <f>IF(ISNA(BL194),NA(),BK128)</f>
        <v>0</v>
      </c>
      <c r="BL194">
        <f>IF(OR(BL128="",AND(BL128=BL127,BL128=BL129)),NA(), BL128)</f>
        <v>0</v>
      </c>
      <c r="BM194">
        <f>IF(ISNA(BN194),NA(),BM128)</f>
        <v>0</v>
      </c>
      <c r="BN194">
        <f>IF(OR(BN128="",AND(BN128=BN127,BN128=BN129)),NA(), BN128)</f>
        <v>0</v>
      </c>
      <c r="BO194">
        <f>IF(ISNA(BP194),NA(),BO128)</f>
        <v>0</v>
      </c>
      <c r="BP194">
        <f>IF(OR(BP128="",AND(BP128=BP127,BP128=BP129)),NA(), BP128)</f>
        <v>0</v>
      </c>
      <c r="BS194">
        <f>IF(ISNA(BT194),NA(),BS128)</f>
        <v>0</v>
      </c>
      <c r="BT194">
        <f>IF(OR(BT128="",AND(BT128=BT127,BT128=BT129)),NA(), BT128)</f>
        <v>0</v>
      </c>
      <c r="BU194">
        <f>IF(ISNA(BV194),NA(),BU128)</f>
        <v>0</v>
      </c>
      <c r="BV194">
        <f>IF(OR(BV128="",AND(BV128=BV127,BV128=BV129)),NA(), BV128)</f>
        <v>0</v>
      </c>
      <c r="BW194">
        <f>IF(ISNA(BX194),NA(),BW128)</f>
        <v>0</v>
      </c>
      <c r="BX194">
        <f>IF(OR(BX128="",AND(BX128=BX127,BX128=BX129)),NA(), BX128)</f>
        <v>0</v>
      </c>
      <c r="BY194">
        <f>IF(ISNA(BZ194),NA(),BY128)</f>
        <v>0</v>
      </c>
      <c r="BZ194">
        <f>IF(OR(BZ128="",AND(BZ128=BZ127,BZ128=BZ129)),NA(), BZ128)</f>
        <v>0</v>
      </c>
      <c r="CA194">
        <f>IF(ISNA(CB194),NA(),CA128)</f>
        <v>0</v>
      </c>
      <c r="CB194">
        <f>IF(OR(CB128="",AND(CB128=CB127,CB128=CB129)),NA(), CB128)</f>
        <v>0</v>
      </c>
      <c r="CC194">
        <f>IF(ISNA(CD194),NA(),CC128)</f>
        <v>0</v>
      </c>
      <c r="CD194">
        <f>IF(OR(CD128="",AND(CD128=CD127,CD128=CD129)),NA(), CD128)</f>
        <v>0</v>
      </c>
      <c r="CE194">
        <f>IF(ISNA(CF194),NA(),CE128)</f>
        <v>0</v>
      </c>
      <c r="CF194">
        <f>IF(OR(CF128="",AND(CF128=CF127,CF128=CF129)),NA(), CF128)</f>
        <v>0</v>
      </c>
      <c r="CG194">
        <f>IF(ISNA(CH194),NA(),CG128)</f>
        <v>0</v>
      </c>
      <c r="CH194">
        <f>IF(OR(CH128="",AND(CH128=CH127,CH128=CH129)),NA(), CH128)</f>
        <v>0</v>
      </c>
      <c r="CI194">
        <f>IF(ISNA(CJ194),NA(),CI128)</f>
        <v>0</v>
      </c>
      <c r="CJ194">
        <f>IF(OR(CJ128="",AND(CJ128=CJ127,CJ128=CJ129)),NA(), CJ128)</f>
        <v>0</v>
      </c>
      <c r="CK194">
        <f>IF(ISNA(CL194),NA(),CK128)</f>
        <v>0</v>
      </c>
      <c r="CL194">
        <f>IF(OR(CL128="",AND(CL128=CL127,CL128=CL129)),NA(), CL128)</f>
        <v>0</v>
      </c>
      <c r="CM194">
        <f>IF(ISNA(CN194),NA(),CM128)</f>
        <v>0</v>
      </c>
      <c r="CN194">
        <f>IF(OR(CN128="",AND(CN128=CN127,CN128=CN129)),NA(), CN128)</f>
        <v>0</v>
      </c>
      <c r="CO194">
        <f>IF(ISNA(CP194),NA(),CO128)</f>
        <v>0</v>
      </c>
      <c r="CP194">
        <f>IF(OR(CP128="",AND(CP128=CP127,CP128=CP129)),NA(), CP128)</f>
        <v>0</v>
      </c>
      <c r="CQ194">
        <f>IF(ISNA(CR194),NA(),CQ128)</f>
        <v>0</v>
      </c>
      <c r="CR194">
        <f>IF(OR(CR128="",AND(CR128=CR127,CR128=CR129)),NA(), CR128)</f>
        <v>0</v>
      </c>
      <c r="CS194">
        <f>IF(ISNA(CT194),NA(),CS128)</f>
        <v>0</v>
      </c>
      <c r="CT194">
        <f>IF(OR(CT128="",AND(CT128=CT127,CT128=CT129)),NA(), CT128)</f>
        <v>0</v>
      </c>
      <c r="CU194">
        <f>IF(ISNA(CV194),NA(),CU128)</f>
        <v>0</v>
      </c>
      <c r="CV194">
        <f>IF(OR(CV128="",AND(CV128=CV127,CV128=CV129)),NA(), CV128)</f>
        <v>0</v>
      </c>
      <c r="CW194">
        <f>IF(ISNA(CX194),NA(),CW128)</f>
        <v>0</v>
      </c>
      <c r="CX194">
        <f>IF(OR(CX128="",AND(CX128=CX127,CX128=CX129)),NA(), CX128)</f>
        <v>0</v>
      </c>
      <c r="CY194">
        <f>IF(ISNA(CZ194),NA(),CY128)</f>
        <v>0</v>
      </c>
      <c r="CZ194">
        <f>IF(OR(CZ128="",AND(CZ128=CZ127,CZ128=CZ129)),NA(), CZ128)</f>
        <v>0</v>
      </c>
      <c r="DA194">
        <f>IF(ISNA(DB194),NA(),DA128)</f>
        <v>0</v>
      </c>
      <c r="DB194">
        <f>IF(OR(DB128="",AND(DB128=DB127,DB128=DB129)),NA(), DB128)</f>
        <v>0</v>
      </c>
      <c r="DC194">
        <f>IF(ISNA(DD194),NA(),DC128)</f>
        <v>0</v>
      </c>
      <c r="DD194">
        <f>IF(OR(DD128="",AND(DD128=DD127,DD128=DD129)),NA(), DD128)</f>
        <v>0</v>
      </c>
      <c r="DE194">
        <f>IF(ISNA(DF194),NA(),DE128)</f>
        <v>0</v>
      </c>
      <c r="DF194">
        <f>IF(OR(DF128="",AND(DF128=DF127,DF128=DF129)),NA(), DF128)</f>
        <v>0</v>
      </c>
      <c r="DG194">
        <f>IF(ISNA(DH194),NA(),DG128)</f>
        <v>0</v>
      </c>
      <c r="DH194">
        <f>IF(OR(DH128="",AND(DH128=DH127,DH128=DH129)),NA(), DH128)</f>
        <v>0</v>
      </c>
      <c r="DI194">
        <f>IF(ISNA(DJ194),NA(),DI128)</f>
        <v>0</v>
      </c>
      <c r="DJ194">
        <f>IF(OR(DJ128="",AND(DJ128=DJ127,DJ128=DJ129)),NA(), DJ128)</f>
        <v>0</v>
      </c>
      <c r="DK194">
        <f>IF(ISNA(DL194),NA(),DK128)</f>
        <v>0</v>
      </c>
      <c r="DL194">
        <f>IF(OR(DL128="",AND(DL128=DL127,DL128=DL129)),NA(), DL128)</f>
        <v>0</v>
      </c>
      <c r="DM194">
        <f>IF(ISNA(DN194),NA(),DM128)</f>
        <v>0</v>
      </c>
      <c r="DN194">
        <f>IF(OR(DN128="",AND(DN128=DN127,DN128=DN129)),NA(), DN128)</f>
        <v>0</v>
      </c>
      <c r="DO194">
        <f>IF(ISNA(DP194),NA(),DO128)</f>
        <v>0</v>
      </c>
      <c r="DP194">
        <f>IF(OR(DP128="",AND(DP128=DP127,DP128=DP129)),NA(), DP128)</f>
        <v>0</v>
      </c>
      <c r="DQ194">
        <f>IF(ISNA(DR194),NA(),DQ128)</f>
        <v>0</v>
      </c>
      <c r="DR194">
        <f>IF(OR(DR128="",AND(DR128=DR127,DR128=DR129)),NA(), DR128)</f>
        <v>0</v>
      </c>
      <c r="DS194">
        <f>IF(ISNA(DT194),NA(),DS128)</f>
        <v>0</v>
      </c>
      <c r="DT194">
        <f>IF(OR(DT128="",AND(DT128=DT127,DT128=DT129)),NA(), DT128)</f>
        <v>0</v>
      </c>
      <c r="DU194">
        <f>IF(ISNA(DV194),NA(),DU128)</f>
        <v>0</v>
      </c>
      <c r="DV194">
        <f>IF(OR(DV128="",AND(DV128=DV127,DV128=DV129)),NA(), DV128)</f>
        <v>0</v>
      </c>
      <c r="DW194">
        <f>IF(ISNA(DX194),NA(),DW128)</f>
        <v>0</v>
      </c>
      <c r="DX194">
        <f>IF(OR(DX128="",AND(DX128=DX127,DX128=DX129)),NA(), DX128)</f>
        <v>0</v>
      </c>
      <c r="DY194">
        <f>IF(ISNA(DZ194),NA(),DY128)</f>
        <v>0</v>
      </c>
      <c r="DZ194">
        <f>IF(OR(DZ128="",AND(DZ128=DZ127,DZ128=DZ129)),NA(), DZ128)</f>
        <v>0</v>
      </c>
      <c r="EA194">
        <f>IF(ISNA(EB194),NA(),EA128)</f>
        <v>0</v>
      </c>
      <c r="EB194">
        <f>IF(OR(EB128="",AND(EB128=EB127,EB128=EB129)),NA(), EB128)</f>
        <v>0</v>
      </c>
      <c r="EC194">
        <f>IF(ISNA(ED194),NA(),EC128)</f>
        <v>0</v>
      </c>
      <c r="ED194">
        <f>IF(OR(ED128="",AND(ED128=ED127,ED128=ED129)),NA(), ED128)</f>
        <v>0</v>
      </c>
    </row>
    <row r="195" spans="5:134">
      <c r="E195">
        <f>IF(ISNA(F195),NA(),E129)</f>
        <v>0</v>
      </c>
      <c r="F195">
        <f>IF(OR(F129="",AND(F129=F128,F129=F130)),NA(), F129)</f>
        <v>0</v>
      </c>
      <c r="G195">
        <f>IF(ISNA(H195),NA(),G129)</f>
        <v>0</v>
      </c>
      <c r="H195">
        <f>IF(OR(H129="",AND(H129=H128,H129=H130)),NA(), H129)</f>
        <v>0</v>
      </c>
      <c r="I195">
        <f>IF(ISNA(J195),NA(),I129)</f>
        <v>0</v>
      </c>
      <c r="J195">
        <f>IF(OR(J129="",AND(J129=J128,J129=J130)),NA(), J129)</f>
        <v>0</v>
      </c>
      <c r="K195">
        <f>IF(ISNA(L195),NA(),K129)</f>
        <v>0</v>
      </c>
      <c r="L195">
        <f>IF(OR(L129="",AND(L129=L128,L129=L130)),NA(), L129)</f>
        <v>0</v>
      </c>
      <c r="M195">
        <f>IF(ISNA(N195),NA(),M129)</f>
        <v>0</v>
      </c>
      <c r="N195">
        <f>IF(OR(N129="",AND(N129=N128,N129=N130)),NA(), N129)</f>
        <v>0</v>
      </c>
      <c r="O195">
        <f>IF(ISNA(P195),NA(),O129)</f>
        <v>0</v>
      </c>
      <c r="P195">
        <f>IF(OR(P129="",AND(P129=P128,P129=P130)),NA(), P129)</f>
        <v>0</v>
      </c>
      <c r="Q195">
        <f>IF(ISNA(R195),NA(),Q129)</f>
        <v>0</v>
      </c>
      <c r="R195">
        <f>IF(OR(R129="",AND(R129=R128,R129=R130)),NA(), R129)</f>
        <v>0</v>
      </c>
      <c r="S195">
        <f>IF(ISNA(T195),NA(),S129)</f>
        <v>0</v>
      </c>
      <c r="T195">
        <f>IF(OR(T129="",AND(T129=T128,T129=T130)),NA(), T129)</f>
        <v>0</v>
      </c>
      <c r="U195">
        <f>IF(ISNA(V195),NA(),U129)</f>
        <v>0</v>
      </c>
      <c r="V195">
        <f>IF(OR(V129="",AND(V129=V128,V129=V130)),NA(), V129)</f>
        <v>0</v>
      </c>
      <c r="W195">
        <f>IF(ISNA(X195),NA(),W129)</f>
        <v>0</v>
      </c>
      <c r="X195">
        <f>IF(OR(X129="",AND(X129=X128,X129=X130)),NA(), X129)</f>
        <v>0</v>
      </c>
      <c r="Y195">
        <f>IF(ISNA(Z195),NA(),Y129)</f>
        <v>0</v>
      </c>
      <c r="Z195">
        <f>IF(OR(Z129="",AND(Z129=Z128,Z129=Z130)),NA(), Z129)</f>
        <v>0</v>
      </c>
      <c r="AA195">
        <f>IF(ISNA(AB195),NA(),AA129)</f>
        <v>0</v>
      </c>
      <c r="AB195">
        <f>IF(OR(AB129="",AND(AB129=AB128,AB129=AB130)),NA(), AB129)</f>
        <v>0</v>
      </c>
      <c r="AC195">
        <f>IF(ISNA(AD195),NA(),AC129)</f>
        <v>0</v>
      </c>
      <c r="AD195">
        <f>IF(OR(AD129="",AND(AD129=AD128,AD129=AD130)),NA(), AD129)</f>
        <v>0</v>
      </c>
      <c r="AE195">
        <f>IF(ISNA(AF195),NA(),AE129)</f>
        <v>0</v>
      </c>
      <c r="AF195">
        <f>IF(OR(AF129="",AND(AF129=AF128,AF129=AF130)),NA(), AF129)</f>
        <v>0</v>
      </c>
      <c r="AG195">
        <f>IF(ISNA(AH195),NA(),AG129)</f>
        <v>0</v>
      </c>
      <c r="AH195">
        <f>IF(OR(AH129="",AND(AH129=AH128,AH129=AH130)),NA(), AH129)</f>
        <v>0</v>
      </c>
      <c r="AI195">
        <f>IF(ISNA(AJ195),NA(),AI129)</f>
        <v>0</v>
      </c>
      <c r="AJ195">
        <f>IF(OR(AJ129="",AND(AJ129=AJ128,AJ129=AJ130)),NA(), AJ129)</f>
        <v>0</v>
      </c>
      <c r="AK195">
        <f>IF(ISNA(AL195),NA(),AK129)</f>
        <v>0</v>
      </c>
      <c r="AL195">
        <f>IF(OR(AL129="",AND(AL129=AL128,AL129=AL130)),NA(), AL129)</f>
        <v>0</v>
      </c>
      <c r="AM195">
        <f>IF(ISNA(AN195),NA(),AM129)</f>
        <v>0</v>
      </c>
      <c r="AN195">
        <f>IF(OR(AN129="",AND(AN129=AN128,AN129=AN130)),NA(), AN129)</f>
        <v>0</v>
      </c>
      <c r="AO195">
        <f>IF(ISNA(AP195),NA(),AO129)</f>
        <v>0</v>
      </c>
      <c r="AP195">
        <f>IF(OR(AP129="",AND(AP129=AP128,AP129=AP130)),NA(), AP129)</f>
        <v>0</v>
      </c>
      <c r="AQ195">
        <f>IF(ISNA(AR195),NA(),AQ129)</f>
        <v>0</v>
      </c>
      <c r="AR195">
        <f>IF(OR(AR129="",AND(AR129=AR128,AR129=AR130)),NA(), AR129)</f>
        <v>0</v>
      </c>
      <c r="AS195">
        <f>IF(ISNA(AT195),NA(),AS129)</f>
        <v>0</v>
      </c>
      <c r="AT195">
        <f>IF(OR(AT129="",AND(AT129=AT128,AT129=AT130)),NA(), AT129)</f>
        <v>0</v>
      </c>
      <c r="AU195">
        <f>IF(ISNA(AV195),NA(),AU129)</f>
        <v>0</v>
      </c>
      <c r="AV195">
        <f>IF(OR(AV129="",AND(AV129=AV128,AV129=AV130)),NA(), AV129)</f>
        <v>0</v>
      </c>
      <c r="AW195">
        <f>IF(ISNA(AX195),NA(),AW129)</f>
        <v>0</v>
      </c>
      <c r="AX195">
        <f>IF(OR(AX129="",AND(AX129=AX128,AX129=AX130)),NA(), AX129)</f>
        <v>0</v>
      </c>
      <c r="AY195">
        <f>IF(ISNA(AZ195),NA(),AY129)</f>
        <v>0</v>
      </c>
      <c r="AZ195">
        <f>IF(OR(AZ129="",AND(AZ129=AZ128,AZ129=AZ130)),NA(), AZ129)</f>
        <v>0</v>
      </c>
      <c r="BA195">
        <f>IF(ISNA(BB195),NA(),BA129)</f>
        <v>0</v>
      </c>
      <c r="BB195">
        <f>IF(OR(BB129="",AND(BB129=BB128,BB129=BB130)),NA(), BB129)</f>
        <v>0</v>
      </c>
      <c r="BC195">
        <f>IF(ISNA(BD195),NA(),BC129)</f>
        <v>0</v>
      </c>
      <c r="BD195">
        <f>IF(OR(BD129="",AND(BD129=BD128,BD129=BD130)),NA(), BD129)</f>
        <v>0</v>
      </c>
      <c r="BE195">
        <f>IF(ISNA(BF195),NA(),BE129)</f>
        <v>0</v>
      </c>
      <c r="BF195">
        <f>IF(OR(BF129="",AND(BF129=BF128,BF129=BF130)),NA(), BF129)</f>
        <v>0</v>
      </c>
      <c r="BG195">
        <f>IF(ISNA(BH195),NA(),BG129)</f>
        <v>0</v>
      </c>
      <c r="BH195">
        <f>IF(OR(BH129="",AND(BH129=BH128,BH129=BH130)),NA(), BH129)</f>
        <v>0</v>
      </c>
      <c r="BI195">
        <f>IF(ISNA(BJ195),NA(),BI129)</f>
        <v>0</v>
      </c>
      <c r="BJ195">
        <f>IF(OR(BJ129="",AND(BJ129=BJ128,BJ129=BJ130)),NA(), BJ129)</f>
        <v>0</v>
      </c>
      <c r="BK195">
        <f>IF(ISNA(BL195),NA(),BK129)</f>
        <v>0</v>
      </c>
      <c r="BL195">
        <f>IF(OR(BL129="",AND(BL129=BL128,BL129=BL130)),NA(), BL129)</f>
        <v>0</v>
      </c>
      <c r="BM195">
        <f>IF(ISNA(BN195),NA(),BM129)</f>
        <v>0</v>
      </c>
      <c r="BN195">
        <f>IF(OR(BN129="",AND(BN129=BN128,BN129=BN130)),NA(), BN129)</f>
        <v>0</v>
      </c>
      <c r="BO195">
        <f>IF(ISNA(BP195),NA(),BO129)</f>
        <v>0</v>
      </c>
      <c r="BP195">
        <f>IF(OR(BP129="",AND(BP129=BP128,BP129=BP130)),NA(), BP129)</f>
        <v>0</v>
      </c>
      <c r="BS195">
        <f>IF(ISNA(BT195),NA(),BS129)</f>
        <v>0</v>
      </c>
      <c r="BT195">
        <f>IF(OR(BT129="",AND(BT129=BT128,BT129=BT130)),NA(), BT129)</f>
        <v>0</v>
      </c>
      <c r="BU195">
        <f>IF(ISNA(BV195),NA(),BU129)</f>
        <v>0</v>
      </c>
      <c r="BV195">
        <f>IF(OR(BV129="",AND(BV129=BV128,BV129=BV130)),NA(), BV129)</f>
        <v>0</v>
      </c>
      <c r="BW195">
        <f>IF(ISNA(BX195),NA(),BW129)</f>
        <v>0</v>
      </c>
      <c r="BX195">
        <f>IF(OR(BX129="",AND(BX129=BX128,BX129=BX130)),NA(), BX129)</f>
        <v>0</v>
      </c>
      <c r="BY195">
        <f>IF(ISNA(BZ195),NA(),BY129)</f>
        <v>0</v>
      </c>
      <c r="BZ195">
        <f>IF(OR(BZ129="",AND(BZ129=BZ128,BZ129=BZ130)),NA(), BZ129)</f>
        <v>0</v>
      </c>
      <c r="CA195">
        <f>IF(ISNA(CB195),NA(),CA129)</f>
        <v>0</v>
      </c>
      <c r="CB195">
        <f>IF(OR(CB129="",AND(CB129=CB128,CB129=CB130)),NA(), CB129)</f>
        <v>0</v>
      </c>
      <c r="CC195">
        <f>IF(ISNA(CD195),NA(),CC129)</f>
        <v>0</v>
      </c>
      <c r="CD195">
        <f>IF(OR(CD129="",AND(CD129=CD128,CD129=CD130)),NA(), CD129)</f>
        <v>0</v>
      </c>
      <c r="CE195">
        <f>IF(ISNA(CF195),NA(),CE129)</f>
        <v>0</v>
      </c>
      <c r="CF195">
        <f>IF(OR(CF129="",AND(CF129=CF128,CF129=CF130)),NA(), CF129)</f>
        <v>0</v>
      </c>
      <c r="CG195">
        <f>IF(ISNA(CH195),NA(),CG129)</f>
        <v>0</v>
      </c>
      <c r="CH195">
        <f>IF(OR(CH129="",AND(CH129=CH128,CH129=CH130)),NA(), CH129)</f>
        <v>0</v>
      </c>
      <c r="CI195">
        <f>IF(ISNA(CJ195),NA(),CI129)</f>
        <v>0</v>
      </c>
      <c r="CJ195">
        <f>IF(OR(CJ129="",AND(CJ129=CJ128,CJ129=CJ130)),NA(), CJ129)</f>
        <v>0</v>
      </c>
      <c r="CK195">
        <f>IF(ISNA(CL195),NA(),CK129)</f>
        <v>0</v>
      </c>
      <c r="CL195">
        <f>IF(OR(CL129="",AND(CL129=CL128,CL129=CL130)),NA(), CL129)</f>
        <v>0</v>
      </c>
      <c r="CM195">
        <f>IF(ISNA(CN195),NA(),CM129)</f>
        <v>0</v>
      </c>
      <c r="CN195">
        <f>IF(OR(CN129="",AND(CN129=CN128,CN129=CN130)),NA(), CN129)</f>
        <v>0</v>
      </c>
      <c r="CO195">
        <f>IF(ISNA(CP195),NA(),CO129)</f>
        <v>0</v>
      </c>
      <c r="CP195">
        <f>IF(OR(CP129="",AND(CP129=CP128,CP129=CP130)),NA(), CP129)</f>
        <v>0</v>
      </c>
      <c r="CQ195">
        <f>IF(ISNA(CR195),NA(),CQ129)</f>
        <v>0</v>
      </c>
      <c r="CR195">
        <f>IF(OR(CR129="",AND(CR129=CR128,CR129=CR130)),NA(), CR129)</f>
        <v>0</v>
      </c>
      <c r="CS195">
        <f>IF(ISNA(CT195),NA(),CS129)</f>
        <v>0</v>
      </c>
      <c r="CT195">
        <f>IF(OR(CT129="",AND(CT129=CT128,CT129=CT130)),NA(), CT129)</f>
        <v>0</v>
      </c>
      <c r="CU195">
        <f>IF(ISNA(CV195),NA(),CU129)</f>
        <v>0</v>
      </c>
      <c r="CV195">
        <f>IF(OR(CV129="",AND(CV129=CV128,CV129=CV130)),NA(), CV129)</f>
        <v>0</v>
      </c>
      <c r="CW195">
        <f>IF(ISNA(CX195),NA(),CW129)</f>
        <v>0</v>
      </c>
      <c r="CX195">
        <f>IF(OR(CX129="",AND(CX129=CX128,CX129=CX130)),NA(), CX129)</f>
        <v>0</v>
      </c>
      <c r="CY195">
        <f>IF(ISNA(CZ195),NA(),CY129)</f>
        <v>0</v>
      </c>
      <c r="CZ195">
        <f>IF(OR(CZ129="",AND(CZ129=CZ128,CZ129=CZ130)),NA(), CZ129)</f>
        <v>0</v>
      </c>
      <c r="DA195">
        <f>IF(ISNA(DB195),NA(),DA129)</f>
        <v>0</v>
      </c>
      <c r="DB195">
        <f>IF(OR(DB129="",AND(DB129=DB128,DB129=DB130)),NA(), DB129)</f>
        <v>0</v>
      </c>
      <c r="DC195">
        <f>IF(ISNA(DD195),NA(),DC129)</f>
        <v>0</v>
      </c>
      <c r="DD195">
        <f>IF(OR(DD129="",AND(DD129=DD128,DD129=DD130)),NA(), DD129)</f>
        <v>0</v>
      </c>
      <c r="DE195">
        <f>IF(ISNA(DF195),NA(),DE129)</f>
        <v>0</v>
      </c>
      <c r="DF195">
        <f>IF(OR(DF129="",AND(DF129=DF128,DF129=DF130)),NA(), DF129)</f>
        <v>0</v>
      </c>
      <c r="DG195">
        <f>IF(ISNA(DH195),NA(),DG129)</f>
        <v>0</v>
      </c>
      <c r="DH195">
        <f>IF(OR(DH129="",AND(DH129=DH128,DH129=DH130)),NA(), DH129)</f>
        <v>0</v>
      </c>
      <c r="DI195">
        <f>IF(ISNA(DJ195),NA(),DI129)</f>
        <v>0</v>
      </c>
      <c r="DJ195">
        <f>IF(OR(DJ129="",AND(DJ129=DJ128,DJ129=DJ130)),NA(), DJ129)</f>
        <v>0</v>
      </c>
      <c r="DK195">
        <f>IF(ISNA(DL195),NA(),DK129)</f>
        <v>0</v>
      </c>
      <c r="DL195">
        <f>IF(OR(DL129="",AND(DL129=DL128,DL129=DL130)),NA(), DL129)</f>
        <v>0</v>
      </c>
      <c r="DM195">
        <f>IF(ISNA(DN195),NA(),DM129)</f>
        <v>0</v>
      </c>
      <c r="DN195">
        <f>IF(OR(DN129="",AND(DN129=DN128,DN129=DN130)),NA(), DN129)</f>
        <v>0</v>
      </c>
      <c r="DO195">
        <f>IF(ISNA(DP195),NA(),DO129)</f>
        <v>0</v>
      </c>
      <c r="DP195">
        <f>IF(OR(DP129="",AND(DP129=DP128,DP129=DP130)),NA(), DP129)</f>
        <v>0</v>
      </c>
      <c r="DQ195">
        <f>IF(ISNA(DR195),NA(),DQ129)</f>
        <v>0</v>
      </c>
      <c r="DR195">
        <f>IF(OR(DR129="",AND(DR129=DR128,DR129=DR130)),NA(), DR129)</f>
        <v>0</v>
      </c>
      <c r="DS195">
        <f>IF(ISNA(DT195),NA(),DS129)</f>
        <v>0</v>
      </c>
      <c r="DT195">
        <f>IF(OR(DT129="",AND(DT129=DT128,DT129=DT130)),NA(), DT129)</f>
        <v>0</v>
      </c>
      <c r="DU195">
        <f>IF(ISNA(DV195),NA(),DU129)</f>
        <v>0</v>
      </c>
      <c r="DV195">
        <f>IF(OR(DV129="",AND(DV129=DV128,DV129=DV130)),NA(), DV129)</f>
        <v>0</v>
      </c>
      <c r="DW195">
        <f>IF(ISNA(DX195),NA(),DW129)</f>
        <v>0</v>
      </c>
      <c r="DX195">
        <f>IF(OR(DX129="",AND(DX129=DX128,DX129=DX130)),NA(), DX129)</f>
        <v>0</v>
      </c>
      <c r="DY195">
        <f>IF(ISNA(DZ195),NA(),DY129)</f>
        <v>0</v>
      </c>
      <c r="DZ195">
        <f>IF(OR(DZ129="",AND(DZ129=DZ128,DZ129=DZ130)),NA(), DZ129)</f>
        <v>0</v>
      </c>
      <c r="EA195">
        <f>IF(ISNA(EB195),NA(),EA129)</f>
        <v>0</v>
      </c>
      <c r="EB195">
        <f>IF(OR(EB129="",AND(EB129=EB128,EB129=EB130)),NA(), EB129)</f>
        <v>0</v>
      </c>
      <c r="EC195">
        <f>IF(ISNA(ED195),NA(),EC129)</f>
        <v>0</v>
      </c>
      <c r="ED195">
        <f>IF(OR(ED129="",AND(ED129=ED128,ED129=ED130)),NA(), ED129)</f>
        <v>0</v>
      </c>
    </row>
    <row r="196" spans="5:134">
      <c r="E196">
        <f>IF(ISNA(F196),NA(),E130)</f>
        <v>0</v>
      </c>
      <c r="F196">
        <f>IF(OR(F130="",AND(F130=F129,F130=F131)),NA(), F130)</f>
        <v>0</v>
      </c>
      <c r="G196">
        <f>IF(ISNA(H196),NA(),G130)</f>
        <v>0</v>
      </c>
      <c r="H196">
        <f>IF(OR(H130="",AND(H130=H129,H130=H131)),NA(), H130)</f>
        <v>0</v>
      </c>
      <c r="I196">
        <f>IF(ISNA(J196),NA(),I130)</f>
        <v>0</v>
      </c>
      <c r="J196">
        <f>IF(OR(J130="",AND(J130=J129,J130=J131)),NA(), J130)</f>
        <v>0</v>
      </c>
      <c r="K196">
        <f>IF(ISNA(L196),NA(),K130)</f>
        <v>0</v>
      </c>
      <c r="L196">
        <f>IF(OR(L130="",AND(L130=L129,L130=L131)),NA(), L130)</f>
        <v>0</v>
      </c>
      <c r="M196">
        <f>IF(ISNA(N196),NA(),M130)</f>
        <v>0</v>
      </c>
      <c r="N196">
        <f>IF(OR(N130="",AND(N130=N129,N130=N131)),NA(), N130)</f>
        <v>0</v>
      </c>
      <c r="O196">
        <f>IF(ISNA(P196),NA(),O130)</f>
        <v>0</v>
      </c>
      <c r="P196">
        <f>IF(OR(P130="",AND(P130=P129,P130=P131)),NA(), P130)</f>
        <v>0</v>
      </c>
      <c r="Q196">
        <f>IF(ISNA(R196),NA(),Q130)</f>
        <v>0</v>
      </c>
      <c r="R196">
        <f>IF(OR(R130="",AND(R130=R129,R130=R131)),NA(), R130)</f>
        <v>0</v>
      </c>
      <c r="S196">
        <f>IF(ISNA(T196),NA(),S130)</f>
        <v>0</v>
      </c>
      <c r="T196">
        <f>IF(OR(T130="",AND(T130=T129,T130=T131)),NA(), T130)</f>
        <v>0</v>
      </c>
      <c r="U196">
        <f>IF(ISNA(V196),NA(),U130)</f>
        <v>0</v>
      </c>
      <c r="V196">
        <f>IF(OR(V130="",AND(V130=V129,V130=V131)),NA(), V130)</f>
        <v>0</v>
      </c>
      <c r="W196">
        <f>IF(ISNA(X196),NA(),W130)</f>
        <v>0</v>
      </c>
      <c r="X196">
        <f>IF(OR(X130="",AND(X130=X129,X130=X131)),NA(), X130)</f>
        <v>0</v>
      </c>
      <c r="Y196">
        <f>IF(ISNA(Z196),NA(),Y130)</f>
        <v>0</v>
      </c>
      <c r="Z196">
        <f>IF(OR(Z130="",AND(Z130=Z129,Z130=Z131)),NA(), Z130)</f>
        <v>0</v>
      </c>
      <c r="AA196">
        <f>IF(ISNA(AB196),NA(),AA130)</f>
        <v>0</v>
      </c>
      <c r="AB196">
        <f>IF(OR(AB130="",AND(AB130=AB129,AB130=AB131)),NA(), AB130)</f>
        <v>0</v>
      </c>
      <c r="AC196">
        <f>IF(ISNA(AD196),NA(),AC130)</f>
        <v>0</v>
      </c>
      <c r="AD196">
        <f>IF(OR(AD130="",AND(AD130=AD129,AD130=AD131)),NA(), AD130)</f>
        <v>0</v>
      </c>
      <c r="AE196">
        <f>IF(ISNA(AF196),NA(),AE130)</f>
        <v>0</v>
      </c>
      <c r="AF196">
        <f>IF(OR(AF130="",AND(AF130=AF129,AF130=AF131)),NA(), AF130)</f>
        <v>0</v>
      </c>
      <c r="AG196">
        <f>IF(ISNA(AH196),NA(),AG130)</f>
        <v>0</v>
      </c>
      <c r="AH196">
        <f>IF(OR(AH130="",AND(AH130=AH129,AH130=AH131)),NA(), AH130)</f>
        <v>0</v>
      </c>
      <c r="AI196">
        <f>IF(ISNA(AJ196),NA(),AI130)</f>
        <v>0</v>
      </c>
      <c r="AJ196">
        <f>IF(OR(AJ130="",AND(AJ130=AJ129,AJ130=AJ131)),NA(), AJ130)</f>
        <v>0</v>
      </c>
      <c r="AK196">
        <f>IF(ISNA(AL196),NA(),AK130)</f>
        <v>0</v>
      </c>
      <c r="AL196">
        <f>IF(OR(AL130="",AND(AL130=AL129,AL130=AL131)),NA(), AL130)</f>
        <v>0</v>
      </c>
      <c r="AM196">
        <f>IF(ISNA(AN196),NA(),AM130)</f>
        <v>0</v>
      </c>
      <c r="AN196">
        <f>IF(OR(AN130="",AND(AN130=AN129,AN130=AN131)),NA(), AN130)</f>
        <v>0</v>
      </c>
      <c r="AO196">
        <f>IF(ISNA(AP196),NA(),AO130)</f>
        <v>0</v>
      </c>
      <c r="AP196">
        <f>IF(OR(AP130="",AND(AP130=AP129,AP130=AP131)),NA(), AP130)</f>
        <v>0</v>
      </c>
      <c r="AQ196">
        <f>IF(ISNA(AR196),NA(),AQ130)</f>
        <v>0</v>
      </c>
      <c r="AR196">
        <f>IF(OR(AR130="",AND(AR130=AR129,AR130=AR131)),NA(), AR130)</f>
        <v>0</v>
      </c>
      <c r="AS196">
        <f>IF(ISNA(AT196),NA(),AS130)</f>
        <v>0</v>
      </c>
      <c r="AT196">
        <f>IF(OR(AT130="",AND(AT130=AT129,AT130=AT131)),NA(), AT130)</f>
        <v>0</v>
      </c>
      <c r="AU196">
        <f>IF(ISNA(AV196),NA(),AU130)</f>
        <v>0</v>
      </c>
      <c r="AV196">
        <f>IF(OR(AV130="",AND(AV130=AV129,AV130=AV131)),NA(), AV130)</f>
        <v>0</v>
      </c>
      <c r="AW196">
        <f>IF(ISNA(AX196),NA(),AW130)</f>
        <v>0</v>
      </c>
      <c r="AX196">
        <f>IF(OR(AX130="",AND(AX130=AX129,AX130=AX131)),NA(), AX130)</f>
        <v>0</v>
      </c>
      <c r="AY196">
        <f>IF(ISNA(AZ196),NA(),AY130)</f>
        <v>0</v>
      </c>
      <c r="AZ196">
        <f>IF(OR(AZ130="",AND(AZ130=AZ129,AZ130=AZ131)),NA(), AZ130)</f>
        <v>0</v>
      </c>
      <c r="BA196">
        <f>IF(ISNA(BB196),NA(),BA130)</f>
        <v>0</v>
      </c>
      <c r="BB196">
        <f>IF(OR(BB130="",AND(BB130=BB129,BB130=BB131)),NA(), BB130)</f>
        <v>0</v>
      </c>
      <c r="BC196">
        <f>IF(ISNA(BD196),NA(),BC130)</f>
        <v>0</v>
      </c>
      <c r="BD196">
        <f>IF(OR(BD130="",AND(BD130=BD129,BD130=BD131)),NA(), BD130)</f>
        <v>0</v>
      </c>
      <c r="BE196">
        <f>IF(ISNA(BF196),NA(),BE130)</f>
        <v>0</v>
      </c>
      <c r="BF196">
        <f>IF(OR(BF130="",AND(BF130=BF129,BF130=BF131)),NA(), BF130)</f>
        <v>0</v>
      </c>
      <c r="BG196">
        <f>IF(ISNA(BH196),NA(),BG130)</f>
        <v>0</v>
      </c>
      <c r="BH196">
        <f>IF(OR(BH130="",AND(BH130=BH129,BH130=BH131)),NA(), BH130)</f>
        <v>0</v>
      </c>
      <c r="BI196">
        <f>IF(ISNA(BJ196),NA(),BI130)</f>
        <v>0</v>
      </c>
      <c r="BJ196">
        <f>IF(OR(BJ130="",AND(BJ130=BJ129,BJ130=BJ131)),NA(), BJ130)</f>
        <v>0</v>
      </c>
      <c r="BK196">
        <f>IF(ISNA(BL196),NA(),BK130)</f>
        <v>0</v>
      </c>
      <c r="BL196">
        <f>IF(OR(BL130="",AND(BL130=BL129,BL130=BL131)),NA(), BL130)</f>
        <v>0</v>
      </c>
      <c r="BM196">
        <f>IF(ISNA(BN196),NA(),BM130)</f>
        <v>0</v>
      </c>
      <c r="BN196">
        <f>IF(OR(BN130="",AND(BN130=BN129,BN130=BN131)),NA(), BN130)</f>
        <v>0</v>
      </c>
      <c r="BO196">
        <f>IF(ISNA(BP196),NA(),BO130)</f>
        <v>0</v>
      </c>
      <c r="BP196">
        <f>IF(OR(BP130="",AND(BP130=BP129,BP130=BP131)),NA(), BP130)</f>
        <v>0</v>
      </c>
      <c r="BS196">
        <f>IF(ISNA(BT196),NA(),BS130)</f>
        <v>0</v>
      </c>
      <c r="BT196">
        <f>IF(OR(BT130="",AND(BT130=BT129,BT130=BT131)),NA(), BT130)</f>
        <v>0</v>
      </c>
      <c r="BU196">
        <f>IF(ISNA(BV196),NA(),BU130)</f>
        <v>0</v>
      </c>
      <c r="BV196">
        <f>IF(OR(BV130="",AND(BV130=BV129,BV130=BV131)),NA(), BV130)</f>
        <v>0</v>
      </c>
      <c r="BW196">
        <f>IF(ISNA(BX196),NA(),BW130)</f>
        <v>0</v>
      </c>
      <c r="BX196">
        <f>IF(OR(BX130="",AND(BX130=BX129,BX130=BX131)),NA(), BX130)</f>
        <v>0</v>
      </c>
      <c r="BY196">
        <f>IF(ISNA(BZ196),NA(),BY130)</f>
        <v>0</v>
      </c>
      <c r="BZ196">
        <f>IF(OR(BZ130="",AND(BZ130=BZ129,BZ130=BZ131)),NA(), BZ130)</f>
        <v>0</v>
      </c>
      <c r="CA196">
        <f>IF(ISNA(CB196),NA(),CA130)</f>
        <v>0</v>
      </c>
      <c r="CB196">
        <f>IF(OR(CB130="",AND(CB130=CB129,CB130=CB131)),NA(), CB130)</f>
        <v>0</v>
      </c>
      <c r="CC196">
        <f>IF(ISNA(CD196),NA(),CC130)</f>
        <v>0</v>
      </c>
      <c r="CD196">
        <f>IF(OR(CD130="",AND(CD130=CD129,CD130=CD131)),NA(), CD130)</f>
        <v>0</v>
      </c>
      <c r="CE196">
        <f>IF(ISNA(CF196),NA(),CE130)</f>
        <v>0</v>
      </c>
      <c r="CF196">
        <f>IF(OR(CF130="",AND(CF130=CF129,CF130=CF131)),NA(), CF130)</f>
        <v>0</v>
      </c>
      <c r="CG196">
        <f>IF(ISNA(CH196),NA(),CG130)</f>
        <v>0</v>
      </c>
      <c r="CH196">
        <f>IF(OR(CH130="",AND(CH130=CH129,CH130=CH131)),NA(), CH130)</f>
        <v>0</v>
      </c>
      <c r="CI196">
        <f>IF(ISNA(CJ196),NA(),CI130)</f>
        <v>0</v>
      </c>
      <c r="CJ196">
        <f>IF(OR(CJ130="",AND(CJ130=CJ129,CJ130=CJ131)),NA(), CJ130)</f>
        <v>0</v>
      </c>
      <c r="CK196">
        <f>IF(ISNA(CL196),NA(),CK130)</f>
        <v>0</v>
      </c>
      <c r="CL196">
        <f>IF(OR(CL130="",AND(CL130=CL129,CL130=CL131)),NA(), CL130)</f>
        <v>0</v>
      </c>
      <c r="CM196">
        <f>IF(ISNA(CN196),NA(),CM130)</f>
        <v>0</v>
      </c>
      <c r="CN196">
        <f>IF(OR(CN130="",AND(CN130=CN129,CN130=CN131)),NA(), CN130)</f>
        <v>0</v>
      </c>
      <c r="CO196">
        <f>IF(ISNA(CP196),NA(),CO130)</f>
        <v>0</v>
      </c>
      <c r="CP196">
        <f>IF(OR(CP130="",AND(CP130=CP129,CP130=CP131)),NA(), CP130)</f>
        <v>0</v>
      </c>
      <c r="CQ196">
        <f>IF(ISNA(CR196),NA(),CQ130)</f>
        <v>0</v>
      </c>
      <c r="CR196">
        <f>IF(OR(CR130="",AND(CR130=CR129,CR130=CR131)),NA(), CR130)</f>
        <v>0</v>
      </c>
      <c r="CS196">
        <f>IF(ISNA(CT196),NA(),CS130)</f>
        <v>0</v>
      </c>
      <c r="CT196">
        <f>IF(OR(CT130="",AND(CT130=CT129,CT130=CT131)),NA(), CT130)</f>
        <v>0</v>
      </c>
      <c r="CU196">
        <f>IF(ISNA(CV196),NA(),CU130)</f>
        <v>0</v>
      </c>
      <c r="CV196">
        <f>IF(OR(CV130="",AND(CV130=CV129,CV130=CV131)),NA(), CV130)</f>
        <v>0</v>
      </c>
      <c r="CW196">
        <f>IF(ISNA(CX196),NA(),CW130)</f>
        <v>0</v>
      </c>
      <c r="CX196">
        <f>IF(OR(CX130="",AND(CX130=CX129,CX130=CX131)),NA(), CX130)</f>
        <v>0</v>
      </c>
      <c r="CY196">
        <f>IF(ISNA(CZ196),NA(),CY130)</f>
        <v>0</v>
      </c>
      <c r="CZ196">
        <f>IF(OR(CZ130="",AND(CZ130=CZ129,CZ130=CZ131)),NA(), CZ130)</f>
        <v>0</v>
      </c>
      <c r="DA196">
        <f>IF(ISNA(DB196),NA(),DA130)</f>
        <v>0</v>
      </c>
      <c r="DB196">
        <f>IF(OR(DB130="",AND(DB130=DB129,DB130=DB131)),NA(), DB130)</f>
        <v>0</v>
      </c>
      <c r="DC196">
        <f>IF(ISNA(DD196),NA(),DC130)</f>
        <v>0</v>
      </c>
      <c r="DD196">
        <f>IF(OR(DD130="",AND(DD130=DD129,DD130=DD131)),NA(), DD130)</f>
        <v>0</v>
      </c>
      <c r="DE196">
        <f>IF(ISNA(DF196),NA(),DE130)</f>
        <v>0</v>
      </c>
      <c r="DF196">
        <f>IF(OR(DF130="",AND(DF130=DF129,DF130=DF131)),NA(), DF130)</f>
        <v>0</v>
      </c>
      <c r="DG196">
        <f>IF(ISNA(DH196),NA(),DG130)</f>
        <v>0</v>
      </c>
      <c r="DH196">
        <f>IF(OR(DH130="",AND(DH130=DH129,DH130=DH131)),NA(), DH130)</f>
        <v>0</v>
      </c>
      <c r="DI196">
        <f>IF(ISNA(DJ196),NA(),DI130)</f>
        <v>0</v>
      </c>
      <c r="DJ196">
        <f>IF(OR(DJ130="",AND(DJ130=DJ129,DJ130=DJ131)),NA(), DJ130)</f>
        <v>0</v>
      </c>
      <c r="DK196">
        <f>IF(ISNA(DL196),NA(),DK130)</f>
        <v>0</v>
      </c>
      <c r="DL196">
        <f>IF(OR(DL130="",AND(DL130=DL129,DL130=DL131)),NA(), DL130)</f>
        <v>0</v>
      </c>
      <c r="DM196">
        <f>IF(ISNA(DN196),NA(),DM130)</f>
        <v>0</v>
      </c>
      <c r="DN196">
        <f>IF(OR(DN130="",AND(DN130=DN129,DN130=DN131)),NA(), DN130)</f>
        <v>0</v>
      </c>
      <c r="DO196">
        <f>IF(ISNA(DP196),NA(),DO130)</f>
        <v>0</v>
      </c>
      <c r="DP196">
        <f>IF(OR(DP130="",AND(DP130=DP129,DP130=DP131)),NA(), DP130)</f>
        <v>0</v>
      </c>
      <c r="DQ196">
        <f>IF(ISNA(DR196),NA(),DQ130)</f>
        <v>0</v>
      </c>
      <c r="DR196">
        <f>IF(OR(DR130="",AND(DR130=DR129,DR130=DR131)),NA(), DR130)</f>
        <v>0</v>
      </c>
      <c r="DS196">
        <f>IF(ISNA(DT196),NA(),DS130)</f>
        <v>0</v>
      </c>
      <c r="DT196">
        <f>IF(OR(DT130="",AND(DT130=DT129,DT130=DT131)),NA(), DT130)</f>
        <v>0</v>
      </c>
      <c r="DU196">
        <f>IF(ISNA(DV196),NA(),DU130)</f>
        <v>0</v>
      </c>
      <c r="DV196">
        <f>IF(OR(DV130="",AND(DV130=DV129,DV130=DV131)),NA(), DV130)</f>
        <v>0</v>
      </c>
      <c r="DW196">
        <f>IF(ISNA(DX196),NA(),DW130)</f>
        <v>0</v>
      </c>
      <c r="DX196">
        <f>IF(OR(DX130="",AND(DX130=DX129,DX130=DX131)),NA(), DX130)</f>
        <v>0</v>
      </c>
      <c r="DY196">
        <f>IF(ISNA(DZ196),NA(),DY130)</f>
        <v>0</v>
      </c>
      <c r="DZ196">
        <f>IF(OR(DZ130="",AND(DZ130=DZ129,DZ130=DZ131)),NA(), DZ130)</f>
        <v>0</v>
      </c>
      <c r="EA196">
        <f>IF(ISNA(EB196),NA(),EA130)</f>
        <v>0</v>
      </c>
      <c r="EB196">
        <f>IF(OR(EB130="",AND(EB130=EB129,EB130=EB131)),NA(), EB130)</f>
        <v>0</v>
      </c>
      <c r="EC196">
        <f>IF(ISNA(ED196),NA(),EC130)</f>
        <v>0</v>
      </c>
      <c r="ED196">
        <f>IF(OR(ED130="",AND(ED130=ED129,ED130=ED131)),NA(), ED130)</f>
        <v>0</v>
      </c>
    </row>
    <row r="197" spans="5:134">
      <c r="E197">
        <f>IF(ISNA(F197),NA(),E131)</f>
        <v>0</v>
      </c>
      <c r="F197">
        <f>IF(OR(F131="",AND(F131=F130,F131=F132)),NA(), F131)</f>
        <v>0</v>
      </c>
      <c r="G197">
        <f>IF(ISNA(H197),NA(),G131)</f>
        <v>0</v>
      </c>
      <c r="H197">
        <f>IF(OR(H131="",AND(H131=H130,H131=H132)),NA(), H131)</f>
        <v>0</v>
      </c>
      <c r="I197">
        <f>IF(ISNA(J197),NA(),I131)</f>
        <v>0</v>
      </c>
      <c r="J197">
        <f>IF(OR(J131="",AND(J131=J130,J131=J132)),NA(), J131)</f>
        <v>0</v>
      </c>
      <c r="K197">
        <f>IF(ISNA(L197),NA(),K131)</f>
        <v>0</v>
      </c>
      <c r="L197">
        <f>IF(OR(L131="",AND(L131=L130,L131=L132)),NA(), L131)</f>
        <v>0</v>
      </c>
      <c r="M197">
        <f>IF(ISNA(N197),NA(),M131)</f>
        <v>0</v>
      </c>
      <c r="N197">
        <f>IF(OR(N131="",AND(N131=N130,N131=N132)),NA(), N131)</f>
        <v>0</v>
      </c>
      <c r="O197">
        <f>IF(ISNA(P197),NA(),O131)</f>
        <v>0</v>
      </c>
      <c r="P197">
        <f>IF(OR(P131="",AND(P131=P130,P131=P132)),NA(), P131)</f>
        <v>0</v>
      </c>
      <c r="Q197">
        <f>IF(ISNA(R197),NA(),Q131)</f>
        <v>0</v>
      </c>
      <c r="R197">
        <f>IF(OR(R131="",AND(R131=R130,R131=R132)),NA(), R131)</f>
        <v>0</v>
      </c>
      <c r="S197">
        <f>IF(ISNA(T197),NA(),S131)</f>
        <v>0</v>
      </c>
      <c r="T197">
        <f>IF(OR(T131="",AND(T131=T130,T131=T132)),NA(), T131)</f>
        <v>0</v>
      </c>
      <c r="U197">
        <f>IF(ISNA(V197),NA(),U131)</f>
        <v>0</v>
      </c>
      <c r="V197">
        <f>IF(OR(V131="",AND(V131=V130,V131=V132)),NA(), V131)</f>
        <v>0</v>
      </c>
      <c r="W197">
        <f>IF(ISNA(X197),NA(),W131)</f>
        <v>0</v>
      </c>
      <c r="X197">
        <f>IF(OR(X131="",AND(X131=X130,X131=X132)),NA(), X131)</f>
        <v>0</v>
      </c>
      <c r="Y197">
        <f>IF(ISNA(Z197),NA(),Y131)</f>
        <v>0</v>
      </c>
      <c r="Z197">
        <f>IF(OR(Z131="",AND(Z131=Z130,Z131=Z132)),NA(), Z131)</f>
        <v>0</v>
      </c>
      <c r="AA197">
        <f>IF(ISNA(AB197),NA(),AA131)</f>
        <v>0</v>
      </c>
      <c r="AB197">
        <f>IF(OR(AB131="",AND(AB131=AB130,AB131=AB132)),NA(), AB131)</f>
        <v>0</v>
      </c>
      <c r="AC197">
        <f>IF(ISNA(AD197),NA(),AC131)</f>
        <v>0</v>
      </c>
      <c r="AD197">
        <f>IF(OR(AD131="",AND(AD131=AD130,AD131=AD132)),NA(), AD131)</f>
        <v>0</v>
      </c>
      <c r="AE197">
        <f>IF(ISNA(AF197),NA(),AE131)</f>
        <v>0</v>
      </c>
      <c r="AF197">
        <f>IF(OR(AF131="",AND(AF131=AF130,AF131=AF132)),NA(), AF131)</f>
        <v>0</v>
      </c>
      <c r="AG197">
        <f>IF(ISNA(AH197),NA(),AG131)</f>
        <v>0</v>
      </c>
      <c r="AH197">
        <f>IF(OR(AH131="",AND(AH131=AH130,AH131=AH132)),NA(), AH131)</f>
        <v>0</v>
      </c>
      <c r="AI197">
        <f>IF(ISNA(AJ197),NA(),AI131)</f>
        <v>0</v>
      </c>
      <c r="AJ197">
        <f>IF(OR(AJ131="",AND(AJ131=AJ130,AJ131=AJ132)),NA(), AJ131)</f>
        <v>0</v>
      </c>
      <c r="AK197">
        <f>IF(ISNA(AL197),NA(),AK131)</f>
        <v>0</v>
      </c>
      <c r="AL197">
        <f>IF(OR(AL131="",AND(AL131=AL130,AL131=AL132)),NA(), AL131)</f>
        <v>0</v>
      </c>
      <c r="AM197">
        <f>IF(ISNA(AN197),NA(),AM131)</f>
        <v>0</v>
      </c>
      <c r="AN197">
        <f>IF(OR(AN131="",AND(AN131=AN130,AN131=AN132)),NA(), AN131)</f>
        <v>0</v>
      </c>
      <c r="AO197">
        <f>IF(ISNA(AP197),NA(),AO131)</f>
        <v>0</v>
      </c>
      <c r="AP197">
        <f>IF(OR(AP131="",AND(AP131=AP130,AP131=AP132)),NA(), AP131)</f>
        <v>0</v>
      </c>
      <c r="AQ197">
        <f>IF(ISNA(AR197),NA(),AQ131)</f>
        <v>0</v>
      </c>
      <c r="AR197">
        <f>IF(OR(AR131="",AND(AR131=AR130,AR131=AR132)),NA(), AR131)</f>
        <v>0</v>
      </c>
      <c r="AS197">
        <f>IF(ISNA(AT197),NA(),AS131)</f>
        <v>0</v>
      </c>
      <c r="AT197">
        <f>IF(OR(AT131="",AND(AT131=AT130,AT131=AT132)),NA(), AT131)</f>
        <v>0</v>
      </c>
      <c r="AU197">
        <f>IF(ISNA(AV197),NA(),AU131)</f>
        <v>0</v>
      </c>
      <c r="AV197">
        <f>IF(OR(AV131="",AND(AV131=AV130,AV131=AV132)),NA(), AV131)</f>
        <v>0</v>
      </c>
      <c r="AW197">
        <f>IF(ISNA(AX197),NA(),AW131)</f>
        <v>0</v>
      </c>
      <c r="AX197">
        <f>IF(OR(AX131="",AND(AX131=AX130,AX131=AX132)),NA(), AX131)</f>
        <v>0</v>
      </c>
      <c r="AY197">
        <f>IF(ISNA(AZ197),NA(),AY131)</f>
        <v>0</v>
      </c>
      <c r="AZ197">
        <f>IF(OR(AZ131="",AND(AZ131=AZ130,AZ131=AZ132)),NA(), AZ131)</f>
        <v>0</v>
      </c>
      <c r="BA197">
        <f>IF(ISNA(BB197),NA(),BA131)</f>
        <v>0</v>
      </c>
      <c r="BB197">
        <f>IF(OR(BB131="",AND(BB131=BB130,BB131=BB132)),NA(), BB131)</f>
        <v>0</v>
      </c>
      <c r="BC197">
        <f>IF(ISNA(BD197),NA(),BC131)</f>
        <v>0</v>
      </c>
      <c r="BD197">
        <f>IF(OR(BD131="",AND(BD131=BD130,BD131=BD132)),NA(), BD131)</f>
        <v>0</v>
      </c>
      <c r="BE197">
        <f>IF(ISNA(BF197),NA(),BE131)</f>
        <v>0</v>
      </c>
      <c r="BF197">
        <f>IF(OR(BF131="",AND(BF131=BF130,BF131=BF132)),NA(), BF131)</f>
        <v>0</v>
      </c>
      <c r="BG197">
        <f>IF(ISNA(BH197),NA(),BG131)</f>
        <v>0</v>
      </c>
      <c r="BH197">
        <f>IF(OR(BH131="",AND(BH131=BH130,BH131=BH132)),NA(), BH131)</f>
        <v>0</v>
      </c>
      <c r="BI197">
        <f>IF(ISNA(BJ197),NA(),BI131)</f>
        <v>0</v>
      </c>
      <c r="BJ197">
        <f>IF(OR(BJ131="",AND(BJ131=BJ130,BJ131=BJ132)),NA(), BJ131)</f>
        <v>0</v>
      </c>
      <c r="BK197">
        <f>IF(ISNA(BL197),NA(),BK131)</f>
        <v>0</v>
      </c>
      <c r="BL197">
        <f>IF(OR(BL131="",AND(BL131=BL130,BL131=BL132)),NA(), BL131)</f>
        <v>0</v>
      </c>
      <c r="BM197">
        <f>IF(ISNA(BN197),NA(),BM131)</f>
        <v>0</v>
      </c>
      <c r="BN197">
        <f>IF(OR(BN131="",AND(BN131=BN130,BN131=BN132)),NA(), BN131)</f>
        <v>0</v>
      </c>
      <c r="BO197">
        <f>IF(ISNA(BP197),NA(),BO131)</f>
        <v>0</v>
      </c>
      <c r="BP197">
        <f>IF(OR(BP131="",AND(BP131=BP130,BP131=BP132)),NA(), BP131)</f>
        <v>0</v>
      </c>
      <c r="BS197">
        <f>IF(ISNA(BT197),NA(),BS131)</f>
        <v>0</v>
      </c>
      <c r="BT197">
        <f>IF(OR(BT131="",AND(BT131=BT130,BT131=BT132)),NA(), BT131)</f>
        <v>0</v>
      </c>
      <c r="BU197">
        <f>IF(ISNA(BV197),NA(),BU131)</f>
        <v>0</v>
      </c>
      <c r="BV197">
        <f>IF(OR(BV131="",AND(BV131=BV130,BV131=BV132)),NA(), BV131)</f>
        <v>0</v>
      </c>
      <c r="BW197">
        <f>IF(ISNA(BX197),NA(),BW131)</f>
        <v>0</v>
      </c>
      <c r="BX197">
        <f>IF(OR(BX131="",AND(BX131=BX130,BX131=BX132)),NA(), BX131)</f>
        <v>0</v>
      </c>
      <c r="BY197">
        <f>IF(ISNA(BZ197),NA(),BY131)</f>
        <v>0</v>
      </c>
      <c r="BZ197">
        <f>IF(OR(BZ131="",AND(BZ131=BZ130,BZ131=BZ132)),NA(), BZ131)</f>
        <v>0</v>
      </c>
      <c r="CA197">
        <f>IF(ISNA(CB197),NA(),CA131)</f>
        <v>0</v>
      </c>
      <c r="CB197">
        <f>IF(OR(CB131="",AND(CB131=CB130,CB131=CB132)),NA(), CB131)</f>
        <v>0</v>
      </c>
      <c r="CC197">
        <f>IF(ISNA(CD197),NA(),CC131)</f>
        <v>0</v>
      </c>
      <c r="CD197">
        <f>IF(OR(CD131="",AND(CD131=CD130,CD131=CD132)),NA(), CD131)</f>
        <v>0</v>
      </c>
      <c r="CE197">
        <f>IF(ISNA(CF197),NA(),CE131)</f>
        <v>0</v>
      </c>
      <c r="CF197">
        <f>IF(OR(CF131="",AND(CF131=CF130,CF131=CF132)),NA(), CF131)</f>
        <v>0</v>
      </c>
      <c r="CG197">
        <f>IF(ISNA(CH197),NA(),CG131)</f>
        <v>0</v>
      </c>
      <c r="CH197">
        <f>IF(OR(CH131="",AND(CH131=CH130,CH131=CH132)),NA(), CH131)</f>
        <v>0</v>
      </c>
      <c r="CI197">
        <f>IF(ISNA(CJ197),NA(),CI131)</f>
        <v>0</v>
      </c>
      <c r="CJ197">
        <f>IF(OR(CJ131="",AND(CJ131=CJ130,CJ131=CJ132)),NA(), CJ131)</f>
        <v>0</v>
      </c>
      <c r="CK197">
        <f>IF(ISNA(CL197),NA(),CK131)</f>
        <v>0</v>
      </c>
      <c r="CL197">
        <f>IF(OR(CL131="",AND(CL131=CL130,CL131=CL132)),NA(), CL131)</f>
        <v>0</v>
      </c>
      <c r="CM197">
        <f>IF(ISNA(CN197),NA(),CM131)</f>
        <v>0</v>
      </c>
      <c r="CN197">
        <f>IF(OR(CN131="",AND(CN131=CN130,CN131=CN132)),NA(), CN131)</f>
        <v>0</v>
      </c>
      <c r="CO197">
        <f>IF(ISNA(CP197),NA(),CO131)</f>
        <v>0</v>
      </c>
      <c r="CP197">
        <f>IF(OR(CP131="",AND(CP131=CP130,CP131=CP132)),NA(), CP131)</f>
        <v>0</v>
      </c>
      <c r="CQ197">
        <f>IF(ISNA(CR197),NA(),CQ131)</f>
        <v>0</v>
      </c>
      <c r="CR197">
        <f>IF(OR(CR131="",AND(CR131=CR130,CR131=CR132)),NA(), CR131)</f>
        <v>0</v>
      </c>
      <c r="CS197">
        <f>IF(ISNA(CT197),NA(),CS131)</f>
        <v>0</v>
      </c>
      <c r="CT197">
        <f>IF(OR(CT131="",AND(CT131=CT130,CT131=CT132)),NA(), CT131)</f>
        <v>0</v>
      </c>
      <c r="CU197">
        <f>IF(ISNA(CV197),NA(),CU131)</f>
        <v>0</v>
      </c>
      <c r="CV197">
        <f>IF(OR(CV131="",AND(CV131=CV130,CV131=CV132)),NA(), CV131)</f>
        <v>0</v>
      </c>
      <c r="CW197">
        <f>IF(ISNA(CX197),NA(),CW131)</f>
        <v>0</v>
      </c>
      <c r="CX197">
        <f>IF(OR(CX131="",AND(CX131=CX130,CX131=CX132)),NA(), CX131)</f>
        <v>0</v>
      </c>
      <c r="CY197">
        <f>IF(ISNA(CZ197),NA(),CY131)</f>
        <v>0</v>
      </c>
      <c r="CZ197">
        <f>IF(OR(CZ131="",AND(CZ131=CZ130,CZ131=CZ132)),NA(), CZ131)</f>
        <v>0</v>
      </c>
      <c r="DA197">
        <f>IF(ISNA(DB197),NA(),DA131)</f>
        <v>0</v>
      </c>
      <c r="DB197">
        <f>IF(OR(DB131="",AND(DB131=DB130,DB131=DB132)),NA(), DB131)</f>
        <v>0</v>
      </c>
      <c r="DC197">
        <f>IF(ISNA(DD197),NA(),DC131)</f>
        <v>0</v>
      </c>
      <c r="DD197">
        <f>IF(OR(DD131="",AND(DD131=DD130,DD131=DD132)),NA(), DD131)</f>
        <v>0</v>
      </c>
      <c r="DE197">
        <f>IF(ISNA(DF197),NA(),DE131)</f>
        <v>0</v>
      </c>
      <c r="DF197">
        <f>IF(OR(DF131="",AND(DF131=DF130,DF131=DF132)),NA(), DF131)</f>
        <v>0</v>
      </c>
      <c r="DG197">
        <f>IF(ISNA(DH197),NA(),DG131)</f>
        <v>0</v>
      </c>
      <c r="DH197">
        <f>IF(OR(DH131="",AND(DH131=DH130,DH131=DH132)),NA(), DH131)</f>
        <v>0</v>
      </c>
      <c r="DI197">
        <f>IF(ISNA(DJ197),NA(),DI131)</f>
        <v>0</v>
      </c>
      <c r="DJ197">
        <f>IF(OR(DJ131="",AND(DJ131=DJ130,DJ131=DJ132)),NA(), DJ131)</f>
        <v>0</v>
      </c>
      <c r="DK197">
        <f>IF(ISNA(DL197),NA(),DK131)</f>
        <v>0</v>
      </c>
      <c r="DL197">
        <f>IF(OR(DL131="",AND(DL131=DL130,DL131=DL132)),NA(), DL131)</f>
        <v>0</v>
      </c>
      <c r="DM197">
        <f>IF(ISNA(DN197),NA(),DM131)</f>
        <v>0</v>
      </c>
      <c r="DN197">
        <f>IF(OR(DN131="",AND(DN131=DN130,DN131=DN132)),NA(), DN131)</f>
        <v>0</v>
      </c>
      <c r="DO197">
        <f>IF(ISNA(DP197),NA(),DO131)</f>
        <v>0</v>
      </c>
      <c r="DP197">
        <f>IF(OR(DP131="",AND(DP131=DP130,DP131=DP132)),NA(), DP131)</f>
        <v>0</v>
      </c>
      <c r="DQ197">
        <f>IF(ISNA(DR197),NA(),DQ131)</f>
        <v>0</v>
      </c>
      <c r="DR197">
        <f>IF(OR(DR131="",AND(DR131=DR130,DR131=DR132)),NA(), DR131)</f>
        <v>0</v>
      </c>
      <c r="DS197">
        <f>IF(ISNA(DT197),NA(),DS131)</f>
        <v>0</v>
      </c>
      <c r="DT197">
        <f>IF(OR(DT131="",AND(DT131=DT130,DT131=DT132)),NA(), DT131)</f>
        <v>0</v>
      </c>
      <c r="DU197">
        <f>IF(ISNA(DV197),NA(),DU131)</f>
        <v>0</v>
      </c>
      <c r="DV197">
        <f>IF(OR(DV131="",AND(DV131=DV130,DV131=DV132)),NA(), DV131)</f>
        <v>0</v>
      </c>
      <c r="DW197">
        <f>IF(ISNA(DX197),NA(),DW131)</f>
        <v>0</v>
      </c>
      <c r="DX197">
        <f>IF(OR(DX131="",AND(DX131=DX130,DX131=DX132)),NA(), DX131)</f>
        <v>0</v>
      </c>
      <c r="DY197">
        <f>IF(ISNA(DZ197),NA(),DY131)</f>
        <v>0</v>
      </c>
      <c r="DZ197">
        <f>IF(OR(DZ131="",AND(DZ131=DZ130,DZ131=DZ132)),NA(), DZ131)</f>
        <v>0</v>
      </c>
      <c r="EA197">
        <f>IF(ISNA(EB197),NA(),EA131)</f>
        <v>0</v>
      </c>
      <c r="EB197">
        <f>IF(OR(EB131="",AND(EB131=EB130,EB131=EB132)),NA(), EB131)</f>
        <v>0</v>
      </c>
      <c r="EC197">
        <f>IF(ISNA(ED197),NA(),EC131)</f>
        <v>0</v>
      </c>
      <c r="ED197">
        <f>IF(OR(ED131="",AND(ED131=ED130,ED131=ED132)),NA(), ED131)</f>
        <v>0</v>
      </c>
    </row>
    <row r="198" spans="5:134">
      <c r="E198">
        <f>IF(ISNA(F198),NA(),E132)</f>
        <v>0</v>
      </c>
      <c r="F198">
        <f>IF(OR(F132="",AND(F132=F131,F132=F133)),NA(), F132)</f>
        <v>0</v>
      </c>
      <c r="G198">
        <f>IF(ISNA(H198),NA(),G132)</f>
        <v>0</v>
      </c>
      <c r="H198">
        <f>IF(OR(H132="",AND(H132=H131,H132=H133)),NA(), H132)</f>
        <v>0</v>
      </c>
      <c r="I198">
        <f>IF(ISNA(J198),NA(),I132)</f>
        <v>0</v>
      </c>
      <c r="J198">
        <f>IF(OR(J132="",AND(J132=J131,J132=J133)),NA(), J132)</f>
        <v>0</v>
      </c>
      <c r="K198">
        <f>IF(ISNA(L198),NA(),K132)</f>
        <v>0</v>
      </c>
      <c r="L198">
        <f>IF(OR(L132="",AND(L132=L131,L132=L133)),NA(), L132)</f>
        <v>0</v>
      </c>
      <c r="M198">
        <f>IF(ISNA(N198),NA(),M132)</f>
        <v>0</v>
      </c>
      <c r="N198">
        <f>IF(OR(N132="",AND(N132=N131,N132=N133)),NA(), N132)</f>
        <v>0</v>
      </c>
      <c r="O198">
        <f>IF(ISNA(P198),NA(),O132)</f>
        <v>0</v>
      </c>
      <c r="P198">
        <f>IF(OR(P132="",AND(P132=P131,P132=P133)),NA(), P132)</f>
        <v>0</v>
      </c>
      <c r="Q198">
        <f>IF(ISNA(R198),NA(),Q132)</f>
        <v>0</v>
      </c>
      <c r="R198">
        <f>IF(OR(R132="",AND(R132=R131,R132=R133)),NA(), R132)</f>
        <v>0</v>
      </c>
      <c r="S198">
        <f>IF(ISNA(T198),NA(),S132)</f>
        <v>0</v>
      </c>
      <c r="T198">
        <f>IF(OR(T132="",AND(T132=T131,T132=T133)),NA(), T132)</f>
        <v>0</v>
      </c>
      <c r="U198">
        <f>IF(ISNA(V198),NA(),U132)</f>
        <v>0</v>
      </c>
      <c r="V198">
        <f>IF(OR(V132="",AND(V132=V131,V132=V133)),NA(), V132)</f>
        <v>0</v>
      </c>
      <c r="W198">
        <f>IF(ISNA(X198),NA(),W132)</f>
        <v>0</v>
      </c>
      <c r="X198">
        <f>IF(OR(X132="",AND(X132=X131,X132=X133)),NA(), X132)</f>
        <v>0</v>
      </c>
      <c r="Y198">
        <f>IF(ISNA(Z198),NA(),Y132)</f>
        <v>0</v>
      </c>
      <c r="Z198">
        <f>IF(OR(Z132="",AND(Z132=Z131,Z132=Z133)),NA(), Z132)</f>
        <v>0</v>
      </c>
      <c r="AA198">
        <f>IF(ISNA(AB198),NA(),AA132)</f>
        <v>0</v>
      </c>
      <c r="AB198">
        <f>IF(OR(AB132="",AND(AB132=AB131,AB132=AB133)),NA(), AB132)</f>
        <v>0</v>
      </c>
      <c r="AC198">
        <f>IF(ISNA(AD198),NA(),AC132)</f>
        <v>0</v>
      </c>
      <c r="AD198">
        <f>IF(OR(AD132="",AND(AD132=AD131,AD132=AD133)),NA(), AD132)</f>
        <v>0</v>
      </c>
      <c r="AE198">
        <f>IF(ISNA(AF198),NA(),AE132)</f>
        <v>0</v>
      </c>
      <c r="AF198">
        <f>IF(OR(AF132="",AND(AF132=AF131,AF132=AF133)),NA(), AF132)</f>
        <v>0</v>
      </c>
      <c r="AG198">
        <f>IF(ISNA(AH198),NA(),AG132)</f>
        <v>0</v>
      </c>
      <c r="AH198">
        <f>IF(OR(AH132="",AND(AH132=AH131,AH132=AH133)),NA(), AH132)</f>
        <v>0</v>
      </c>
      <c r="AI198">
        <f>IF(ISNA(AJ198),NA(),AI132)</f>
        <v>0</v>
      </c>
      <c r="AJ198">
        <f>IF(OR(AJ132="",AND(AJ132=AJ131,AJ132=AJ133)),NA(), AJ132)</f>
        <v>0</v>
      </c>
      <c r="AK198">
        <f>IF(ISNA(AL198),NA(),AK132)</f>
        <v>0</v>
      </c>
      <c r="AL198">
        <f>IF(OR(AL132="",AND(AL132=AL131,AL132=AL133)),NA(), AL132)</f>
        <v>0</v>
      </c>
      <c r="AM198">
        <f>IF(ISNA(AN198),NA(),AM132)</f>
        <v>0</v>
      </c>
      <c r="AN198">
        <f>IF(OR(AN132="",AND(AN132=AN131,AN132=AN133)),NA(), AN132)</f>
        <v>0</v>
      </c>
      <c r="AO198">
        <f>IF(ISNA(AP198),NA(),AO132)</f>
        <v>0</v>
      </c>
      <c r="AP198">
        <f>IF(OR(AP132="",AND(AP132=AP131,AP132=AP133)),NA(), AP132)</f>
        <v>0</v>
      </c>
      <c r="AQ198">
        <f>IF(ISNA(AR198),NA(),AQ132)</f>
        <v>0</v>
      </c>
      <c r="AR198">
        <f>IF(OR(AR132="",AND(AR132=AR131,AR132=AR133)),NA(), AR132)</f>
        <v>0</v>
      </c>
      <c r="AS198">
        <f>IF(ISNA(AT198),NA(),AS132)</f>
        <v>0</v>
      </c>
      <c r="AT198">
        <f>IF(OR(AT132="",AND(AT132=AT131,AT132=AT133)),NA(), AT132)</f>
        <v>0</v>
      </c>
      <c r="AU198">
        <f>IF(ISNA(AV198),NA(),AU132)</f>
        <v>0</v>
      </c>
      <c r="AV198">
        <f>IF(OR(AV132="",AND(AV132=AV131,AV132=AV133)),NA(), AV132)</f>
        <v>0</v>
      </c>
      <c r="AW198">
        <f>IF(ISNA(AX198),NA(),AW132)</f>
        <v>0</v>
      </c>
      <c r="AX198">
        <f>IF(OR(AX132="",AND(AX132=AX131,AX132=AX133)),NA(), AX132)</f>
        <v>0</v>
      </c>
      <c r="AY198">
        <f>IF(ISNA(AZ198),NA(),AY132)</f>
        <v>0</v>
      </c>
      <c r="AZ198">
        <f>IF(OR(AZ132="",AND(AZ132=AZ131,AZ132=AZ133)),NA(), AZ132)</f>
        <v>0</v>
      </c>
      <c r="BA198">
        <f>IF(ISNA(BB198),NA(),BA132)</f>
        <v>0</v>
      </c>
      <c r="BB198">
        <f>IF(OR(BB132="",AND(BB132=BB131,BB132=BB133)),NA(), BB132)</f>
        <v>0</v>
      </c>
      <c r="BC198">
        <f>IF(ISNA(BD198),NA(),BC132)</f>
        <v>0</v>
      </c>
      <c r="BD198">
        <f>IF(OR(BD132="",AND(BD132=BD131,BD132=BD133)),NA(), BD132)</f>
        <v>0</v>
      </c>
      <c r="BE198">
        <f>IF(ISNA(BF198),NA(),BE132)</f>
        <v>0</v>
      </c>
      <c r="BF198">
        <f>IF(OR(BF132="",AND(BF132=BF131,BF132=BF133)),NA(), BF132)</f>
        <v>0</v>
      </c>
      <c r="BG198">
        <f>IF(ISNA(BH198),NA(),BG132)</f>
        <v>0</v>
      </c>
      <c r="BH198">
        <f>IF(OR(BH132="",AND(BH132=BH131,BH132=BH133)),NA(), BH132)</f>
        <v>0</v>
      </c>
      <c r="BI198">
        <f>IF(ISNA(BJ198),NA(),BI132)</f>
        <v>0</v>
      </c>
      <c r="BJ198">
        <f>IF(OR(BJ132="",AND(BJ132=BJ131,BJ132=BJ133)),NA(), BJ132)</f>
        <v>0</v>
      </c>
      <c r="BK198">
        <f>IF(ISNA(BL198),NA(),BK132)</f>
        <v>0</v>
      </c>
      <c r="BL198">
        <f>IF(OR(BL132="",AND(BL132=BL131,BL132=BL133)),NA(), BL132)</f>
        <v>0</v>
      </c>
      <c r="BM198">
        <f>IF(ISNA(BN198),NA(),BM132)</f>
        <v>0</v>
      </c>
      <c r="BN198">
        <f>IF(OR(BN132="",AND(BN132=BN131,BN132=BN133)),NA(), BN132)</f>
        <v>0</v>
      </c>
      <c r="BO198">
        <f>IF(ISNA(BP198),NA(),BO132)</f>
        <v>0</v>
      </c>
      <c r="BP198">
        <f>IF(OR(BP132="",AND(BP132=BP131,BP132=BP133)),NA(), BP132)</f>
        <v>0</v>
      </c>
      <c r="BS198">
        <f>IF(ISNA(BT198),NA(),BS132)</f>
        <v>0</v>
      </c>
      <c r="BT198">
        <f>IF(OR(BT132="",AND(BT132=BT131,BT132=BT133)),NA(), BT132)</f>
        <v>0</v>
      </c>
      <c r="BU198">
        <f>IF(ISNA(BV198),NA(),BU132)</f>
        <v>0</v>
      </c>
      <c r="BV198">
        <f>IF(OR(BV132="",AND(BV132=BV131,BV132=BV133)),NA(), BV132)</f>
        <v>0</v>
      </c>
      <c r="BW198">
        <f>IF(ISNA(BX198),NA(),BW132)</f>
        <v>0</v>
      </c>
      <c r="BX198">
        <f>IF(OR(BX132="",AND(BX132=BX131,BX132=BX133)),NA(), BX132)</f>
        <v>0</v>
      </c>
      <c r="BY198">
        <f>IF(ISNA(BZ198),NA(),BY132)</f>
        <v>0</v>
      </c>
      <c r="BZ198">
        <f>IF(OR(BZ132="",AND(BZ132=BZ131,BZ132=BZ133)),NA(), BZ132)</f>
        <v>0</v>
      </c>
      <c r="CA198">
        <f>IF(ISNA(CB198),NA(),CA132)</f>
        <v>0</v>
      </c>
      <c r="CB198">
        <f>IF(OR(CB132="",AND(CB132=CB131,CB132=CB133)),NA(), CB132)</f>
        <v>0</v>
      </c>
      <c r="CC198">
        <f>IF(ISNA(CD198),NA(),CC132)</f>
        <v>0</v>
      </c>
      <c r="CD198">
        <f>IF(OR(CD132="",AND(CD132=CD131,CD132=CD133)),NA(), CD132)</f>
        <v>0</v>
      </c>
      <c r="CE198">
        <f>IF(ISNA(CF198),NA(),CE132)</f>
        <v>0</v>
      </c>
      <c r="CF198">
        <f>IF(OR(CF132="",AND(CF132=CF131,CF132=CF133)),NA(), CF132)</f>
        <v>0</v>
      </c>
      <c r="CG198">
        <f>IF(ISNA(CH198),NA(),CG132)</f>
        <v>0</v>
      </c>
      <c r="CH198">
        <f>IF(OR(CH132="",AND(CH132=CH131,CH132=CH133)),NA(), CH132)</f>
        <v>0</v>
      </c>
      <c r="CI198">
        <f>IF(ISNA(CJ198),NA(),CI132)</f>
        <v>0</v>
      </c>
      <c r="CJ198">
        <f>IF(OR(CJ132="",AND(CJ132=CJ131,CJ132=CJ133)),NA(), CJ132)</f>
        <v>0</v>
      </c>
      <c r="CK198">
        <f>IF(ISNA(CL198),NA(),CK132)</f>
        <v>0</v>
      </c>
      <c r="CL198">
        <f>IF(OR(CL132="",AND(CL132=CL131,CL132=CL133)),NA(), CL132)</f>
        <v>0</v>
      </c>
      <c r="CM198">
        <f>IF(ISNA(CN198),NA(),CM132)</f>
        <v>0</v>
      </c>
      <c r="CN198">
        <f>IF(OR(CN132="",AND(CN132=CN131,CN132=CN133)),NA(), CN132)</f>
        <v>0</v>
      </c>
      <c r="CO198">
        <f>IF(ISNA(CP198),NA(),CO132)</f>
        <v>0</v>
      </c>
      <c r="CP198">
        <f>IF(OR(CP132="",AND(CP132=CP131,CP132=CP133)),NA(), CP132)</f>
        <v>0</v>
      </c>
      <c r="CQ198">
        <f>IF(ISNA(CR198),NA(),CQ132)</f>
        <v>0</v>
      </c>
      <c r="CR198">
        <f>IF(OR(CR132="",AND(CR132=CR131,CR132=CR133)),NA(), CR132)</f>
        <v>0</v>
      </c>
      <c r="CS198">
        <f>IF(ISNA(CT198),NA(),CS132)</f>
        <v>0</v>
      </c>
      <c r="CT198">
        <f>IF(OR(CT132="",AND(CT132=CT131,CT132=CT133)),NA(), CT132)</f>
        <v>0</v>
      </c>
      <c r="CU198">
        <f>IF(ISNA(CV198),NA(),CU132)</f>
        <v>0</v>
      </c>
      <c r="CV198">
        <f>IF(OR(CV132="",AND(CV132=CV131,CV132=CV133)),NA(), CV132)</f>
        <v>0</v>
      </c>
      <c r="CW198">
        <f>IF(ISNA(CX198),NA(),CW132)</f>
        <v>0</v>
      </c>
      <c r="CX198">
        <f>IF(OR(CX132="",AND(CX132=CX131,CX132=CX133)),NA(), CX132)</f>
        <v>0</v>
      </c>
      <c r="CY198">
        <f>IF(ISNA(CZ198),NA(),CY132)</f>
        <v>0</v>
      </c>
      <c r="CZ198">
        <f>IF(OR(CZ132="",AND(CZ132=CZ131,CZ132=CZ133)),NA(), CZ132)</f>
        <v>0</v>
      </c>
      <c r="DA198">
        <f>IF(ISNA(DB198),NA(),DA132)</f>
        <v>0</v>
      </c>
      <c r="DB198">
        <f>IF(OR(DB132="",AND(DB132=DB131,DB132=DB133)),NA(), DB132)</f>
        <v>0</v>
      </c>
      <c r="DC198">
        <f>IF(ISNA(DD198),NA(),DC132)</f>
        <v>0</v>
      </c>
      <c r="DD198">
        <f>IF(OR(DD132="",AND(DD132=DD131,DD132=DD133)),NA(), DD132)</f>
        <v>0</v>
      </c>
      <c r="DE198">
        <f>IF(ISNA(DF198),NA(),DE132)</f>
        <v>0</v>
      </c>
      <c r="DF198">
        <f>IF(OR(DF132="",AND(DF132=DF131,DF132=DF133)),NA(), DF132)</f>
        <v>0</v>
      </c>
      <c r="DG198">
        <f>IF(ISNA(DH198),NA(),DG132)</f>
        <v>0</v>
      </c>
      <c r="DH198">
        <f>IF(OR(DH132="",AND(DH132=DH131,DH132=DH133)),NA(), DH132)</f>
        <v>0</v>
      </c>
      <c r="DI198">
        <f>IF(ISNA(DJ198),NA(),DI132)</f>
        <v>0</v>
      </c>
      <c r="DJ198">
        <f>IF(OR(DJ132="",AND(DJ132=DJ131,DJ132=DJ133)),NA(), DJ132)</f>
        <v>0</v>
      </c>
      <c r="DK198">
        <f>IF(ISNA(DL198),NA(),DK132)</f>
        <v>0</v>
      </c>
      <c r="DL198">
        <f>IF(OR(DL132="",AND(DL132=DL131,DL132=DL133)),NA(), DL132)</f>
        <v>0</v>
      </c>
      <c r="DM198">
        <f>IF(ISNA(DN198),NA(),DM132)</f>
        <v>0</v>
      </c>
      <c r="DN198">
        <f>IF(OR(DN132="",AND(DN132=DN131,DN132=DN133)),NA(), DN132)</f>
        <v>0</v>
      </c>
      <c r="DO198">
        <f>IF(ISNA(DP198),NA(),DO132)</f>
        <v>0</v>
      </c>
      <c r="DP198">
        <f>IF(OR(DP132="",AND(DP132=DP131,DP132=DP133)),NA(), DP132)</f>
        <v>0</v>
      </c>
      <c r="DQ198">
        <f>IF(ISNA(DR198),NA(),DQ132)</f>
        <v>0</v>
      </c>
      <c r="DR198">
        <f>IF(OR(DR132="",AND(DR132=DR131,DR132=DR133)),NA(), DR132)</f>
        <v>0</v>
      </c>
      <c r="DS198">
        <f>IF(ISNA(DT198),NA(),DS132)</f>
        <v>0</v>
      </c>
      <c r="DT198">
        <f>IF(OR(DT132="",AND(DT132=DT131,DT132=DT133)),NA(), DT132)</f>
        <v>0</v>
      </c>
      <c r="DU198">
        <f>IF(ISNA(DV198),NA(),DU132)</f>
        <v>0</v>
      </c>
      <c r="DV198">
        <f>IF(OR(DV132="",AND(DV132=DV131,DV132=DV133)),NA(), DV132)</f>
        <v>0</v>
      </c>
      <c r="DW198">
        <f>IF(ISNA(DX198),NA(),DW132)</f>
        <v>0</v>
      </c>
      <c r="DX198">
        <f>IF(OR(DX132="",AND(DX132=DX131,DX132=DX133)),NA(), DX132)</f>
        <v>0</v>
      </c>
      <c r="DY198">
        <f>IF(ISNA(DZ198),NA(),DY132)</f>
        <v>0</v>
      </c>
      <c r="DZ198">
        <f>IF(OR(DZ132="",AND(DZ132=DZ131,DZ132=DZ133)),NA(), DZ132)</f>
        <v>0</v>
      </c>
      <c r="EA198">
        <f>IF(ISNA(EB198),NA(),EA132)</f>
        <v>0</v>
      </c>
      <c r="EB198">
        <f>IF(OR(EB132="",AND(EB132=EB131,EB132=EB133)),NA(), EB132)</f>
        <v>0</v>
      </c>
      <c r="EC198">
        <f>IF(ISNA(ED198),NA(),EC132)</f>
        <v>0</v>
      </c>
      <c r="ED198">
        <f>IF(OR(ED132="",AND(ED132=ED131,ED132=ED133)),NA(), ED132)</f>
        <v>0</v>
      </c>
    </row>
    <row r="199" spans="5:134">
      <c r="E199">
        <f>IF(ISNA(F199),NA(),E133)</f>
        <v>0</v>
      </c>
      <c r="F199">
        <f>IF(OR(F133="",AND(F133=F132,F133=F134)),NA(), F133)</f>
        <v>0</v>
      </c>
      <c r="G199">
        <f>IF(ISNA(H199),NA(),G133)</f>
        <v>0</v>
      </c>
      <c r="H199">
        <f>IF(OR(H133="",AND(H133=H132,H133=H134)),NA(), H133)</f>
        <v>0</v>
      </c>
      <c r="I199">
        <f>IF(ISNA(J199),NA(),I133)</f>
        <v>0</v>
      </c>
      <c r="J199">
        <f>IF(OR(J133="",AND(J133=J132,J133=J134)),NA(), J133)</f>
        <v>0</v>
      </c>
      <c r="K199">
        <f>IF(ISNA(L199),NA(),K133)</f>
        <v>0</v>
      </c>
      <c r="L199">
        <f>IF(OR(L133="",AND(L133=L132,L133=L134)),NA(), L133)</f>
        <v>0</v>
      </c>
      <c r="M199">
        <f>IF(ISNA(N199),NA(),M133)</f>
        <v>0</v>
      </c>
      <c r="N199">
        <f>IF(OR(N133="",AND(N133=N132,N133=N134)),NA(), N133)</f>
        <v>0</v>
      </c>
      <c r="O199">
        <f>IF(ISNA(P199),NA(),O133)</f>
        <v>0</v>
      </c>
      <c r="P199">
        <f>IF(OR(P133="",AND(P133=P132,P133=P134)),NA(), P133)</f>
        <v>0</v>
      </c>
      <c r="Q199">
        <f>IF(ISNA(R199),NA(),Q133)</f>
        <v>0</v>
      </c>
      <c r="R199">
        <f>IF(OR(R133="",AND(R133=R132,R133=R134)),NA(), R133)</f>
        <v>0</v>
      </c>
      <c r="S199">
        <f>IF(ISNA(T199),NA(),S133)</f>
        <v>0</v>
      </c>
      <c r="T199">
        <f>IF(OR(T133="",AND(T133=T132,T133=T134)),NA(), T133)</f>
        <v>0</v>
      </c>
      <c r="U199">
        <f>IF(ISNA(V199),NA(),U133)</f>
        <v>0</v>
      </c>
      <c r="V199">
        <f>IF(OR(V133="",AND(V133=V132,V133=V134)),NA(), V133)</f>
        <v>0</v>
      </c>
      <c r="W199">
        <f>IF(ISNA(X199),NA(),W133)</f>
        <v>0</v>
      </c>
      <c r="X199">
        <f>IF(OR(X133="",AND(X133=X132,X133=X134)),NA(), X133)</f>
        <v>0</v>
      </c>
      <c r="Y199">
        <f>IF(ISNA(Z199),NA(),Y133)</f>
        <v>0</v>
      </c>
      <c r="Z199">
        <f>IF(OR(Z133="",AND(Z133=Z132,Z133=Z134)),NA(), Z133)</f>
        <v>0</v>
      </c>
      <c r="AA199">
        <f>IF(ISNA(AB199),NA(),AA133)</f>
        <v>0</v>
      </c>
      <c r="AB199">
        <f>IF(OR(AB133="",AND(AB133=AB132,AB133=AB134)),NA(), AB133)</f>
        <v>0</v>
      </c>
      <c r="AC199">
        <f>IF(ISNA(AD199),NA(),AC133)</f>
        <v>0</v>
      </c>
      <c r="AD199">
        <f>IF(OR(AD133="",AND(AD133=AD132,AD133=AD134)),NA(), AD133)</f>
        <v>0</v>
      </c>
      <c r="AE199">
        <f>IF(ISNA(AF199),NA(),AE133)</f>
        <v>0</v>
      </c>
      <c r="AF199">
        <f>IF(OR(AF133="",AND(AF133=AF132,AF133=AF134)),NA(), AF133)</f>
        <v>0</v>
      </c>
      <c r="AG199">
        <f>IF(ISNA(AH199),NA(),AG133)</f>
        <v>0</v>
      </c>
      <c r="AH199">
        <f>IF(OR(AH133="",AND(AH133=AH132,AH133=AH134)),NA(), AH133)</f>
        <v>0</v>
      </c>
      <c r="AI199">
        <f>IF(ISNA(AJ199),NA(),AI133)</f>
        <v>0</v>
      </c>
      <c r="AJ199">
        <f>IF(OR(AJ133="",AND(AJ133=AJ132,AJ133=AJ134)),NA(), AJ133)</f>
        <v>0</v>
      </c>
      <c r="AK199">
        <f>IF(ISNA(AL199),NA(),AK133)</f>
        <v>0</v>
      </c>
      <c r="AL199">
        <f>IF(OR(AL133="",AND(AL133=AL132,AL133=AL134)),NA(), AL133)</f>
        <v>0</v>
      </c>
      <c r="AM199">
        <f>IF(ISNA(AN199),NA(),AM133)</f>
        <v>0</v>
      </c>
      <c r="AN199">
        <f>IF(OR(AN133="",AND(AN133=AN132,AN133=AN134)),NA(), AN133)</f>
        <v>0</v>
      </c>
      <c r="AO199">
        <f>IF(ISNA(AP199),NA(),AO133)</f>
        <v>0</v>
      </c>
      <c r="AP199">
        <f>IF(OR(AP133="",AND(AP133=AP132,AP133=AP134)),NA(), AP133)</f>
        <v>0</v>
      </c>
      <c r="AQ199">
        <f>IF(ISNA(AR199),NA(),AQ133)</f>
        <v>0</v>
      </c>
      <c r="AR199">
        <f>IF(OR(AR133="",AND(AR133=AR132,AR133=AR134)),NA(), AR133)</f>
        <v>0</v>
      </c>
      <c r="AS199">
        <f>IF(ISNA(AT199),NA(),AS133)</f>
        <v>0</v>
      </c>
      <c r="AT199">
        <f>IF(OR(AT133="",AND(AT133=AT132,AT133=AT134)),NA(), AT133)</f>
        <v>0</v>
      </c>
      <c r="AU199">
        <f>IF(ISNA(AV199),NA(),AU133)</f>
        <v>0</v>
      </c>
      <c r="AV199">
        <f>IF(OR(AV133="",AND(AV133=AV132,AV133=AV134)),NA(), AV133)</f>
        <v>0</v>
      </c>
      <c r="AW199">
        <f>IF(ISNA(AX199),NA(),AW133)</f>
        <v>0</v>
      </c>
      <c r="AX199">
        <f>IF(OR(AX133="",AND(AX133=AX132,AX133=AX134)),NA(), AX133)</f>
        <v>0</v>
      </c>
      <c r="AY199">
        <f>IF(ISNA(AZ199),NA(),AY133)</f>
        <v>0</v>
      </c>
      <c r="AZ199">
        <f>IF(OR(AZ133="",AND(AZ133=AZ132,AZ133=AZ134)),NA(), AZ133)</f>
        <v>0</v>
      </c>
      <c r="BA199">
        <f>IF(ISNA(BB199),NA(),BA133)</f>
        <v>0</v>
      </c>
      <c r="BB199">
        <f>IF(OR(BB133="",AND(BB133=BB132,BB133=BB134)),NA(), BB133)</f>
        <v>0</v>
      </c>
      <c r="BC199">
        <f>IF(ISNA(BD199),NA(),BC133)</f>
        <v>0</v>
      </c>
      <c r="BD199">
        <f>IF(OR(BD133="",AND(BD133=BD132,BD133=BD134)),NA(), BD133)</f>
        <v>0</v>
      </c>
      <c r="BE199">
        <f>IF(ISNA(BF199),NA(),BE133)</f>
        <v>0</v>
      </c>
      <c r="BF199">
        <f>IF(OR(BF133="",AND(BF133=BF132,BF133=BF134)),NA(), BF133)</f>
        <v>0</v>
      </c>
      <c r="BG199">
        <f>IF(ISNA(BH199),NA(),BG133)</f>
        <v>0</v>
      </c>
      <c r="BH199">
        <f>IF(OR(BH133="",AND(BH133=BH132,BH133=BH134)),NA(), BH133)</f>
        <v>0</v>
      </c>
      <c r="BI199">
        <f>IF(ISNA(BJ199),NA(),BI133)</f>
        <v>0</v>
      </c>
      <c r="BJ199">
        <f>IF(OR(BJ133="",AND(BJ133=BJ132,BJ133=BJ134)),NA(), BJ133)</f>
        <v>0</v>
      </c>
      <c r="BK199">
        <f>IF(ISNA(BL199),NA(),BK133)</f>
        <v>0</v>
      </c>
      <c r="BL199">
        <f>IF(OR(BL133="",AND(BL133=BL132,BL133=BL134)),NA(), BL133)</f>
        <v>0</v>
      </c>
      <c r="BM199">
        <f>IF(ISNA(BN199),NA(),BM133)</f>
        <v>0</v>
      </c>
      <c r="BN199">
        <f>IF(OR(BN133="",AND(BN133=BN132,BN133=BN134)),NA(), BN133)</f>
        <v>0</v>
      </c>
      <c r="BO199">
        <f>IF(ISNA(BP199),NA(),BO133)</f>
        <v>0</v>
      </c>
      <c r="BP199">
        <f>IF(OR(BP133="",AND(BP133=BP132,BP133=BP134)),NA(), BP133)</f>
        <v>0</v>
      </c>
      <c r="BS199">
        <f>IF(ISNA(BT199),NA(),BS133)</f>
        <v>0</v>
      </c>
      <c r="BT199">
        <f>IF(OR(BT133="",AND(BT133=BT132,BT133=BT134)),NA(), BT133)</f>
        <v>0</v>
      </c>
      <c r="BU199">
        <f>IF(ISNA(BV199),NA(),BU133)</f>
        <v>0</v>
      </c>
      <c r="BV199">
        <f>IF(OR(BV133="",AND(BV133=BV132,BV133=BV134)),NA(), BV133)</f>
        <v>0</v>
      </c>
      <c r="BW199">
        <f>IF(ISNA(BX199),NA(),BW133)</f>
        <v>0</v>
      </c>
      <c r="BX199">
        <f>IF(OR(BX133="",AND(BX133=BX132,BX133=BX134)),NA(), BX133)</f>
        <v>0</v>
      </c>
      <c r="BY199">
        <f>IF(ISNA(BZ199),NA(),BY133)</f>
        <v>0</v>
      </c>
      <c r="BZ199">
        <f>IF(OR(BZ133="",AND(BZ133=BZ132,BZ133=BZ134)),NA(), BZ133)</f>
        <v>0</v>
      </c>
      <c r="CA199">
        <f>IF(ISNA(CB199),NA(),CA133)</f>
        <v>0</v>
      </c>
      <c r="CB199">
        <f>IF(OR(CB133="",AND(CB133=CB132,CB133=CB134)),NA(), CB133)</f>
        <v>0</v>
      </c>
      <c r="CC199">
        <f>IF(ISNA(CD199),NA(),CC133)</f>
        <v>0</v>
      </c>
      <c r="CD199">
        <f>IF(OR(CD133="",AND(CD133=CD132,CD133=CD134)),NA(), CD133)</f>
        <v>0</v>
      </c>
      <c r="CE199">
        <f>IF(ISNA(CF199),NA(),CE133)</f>
        <v>0</v>
      </c>
      <c r="CF199">
        <f>IF(OR(CF133="",AND(CF133=CF132,CF133=CF134)),NA(), CF133)</f>
        <v>0</v>
      </c>
      <c r="CG199">
        <f>IF(ISNA(CH199),NA(),CG133)</f>
        <v>0</v>
      </c>
      <c r="CH199">
        <f>IF(OR(CH133="",AND(CH133=CH132,CH133=CH134)),NA(), CH133)</f>
        <v>0</v>
      </c>
      <c r="CI199">
        <f>IF(ISNA(CJ199),NA(),CI133)</f>
        <v>0</v>
      </c>
      <c r="CJ199">
        <f>IF(OR(CJ133="",AND(CJ133=CJ132,CJ133=CJ134)),NA(), CJ133)</f>
        <v>0</v>
      </c>
      <c r="CK199">
        <f>IF(ISNA(CL199),NA(),CK133)</f>
        <v>0</v>
      </c>
      <c r="CL199">
        <f>IF(OR(CL133="",AND(CL133=CL132,CL133=CL134)),NA(), CL133)</f>
        <v>0</v>
      </c>
      <c r="CM199">
        <f>IF(ISNA(CN199),NA(),CM133)</f>
        <v>0</v>
      </c>
      <c r="CN199">
        <f>IF(OR(CN133="",AND(CN133=CN132,CN133=CN134)),NA(), CN133)</f>
        <v>0</v>
      </c>
      <c r="CO199">
        <f>IF(ISNA(CP199),NA(),CO133)</f>
        <v>0</v>
      </c>
      <c r="CP199">
        <f>IF(OR(CP133="",AND(CP133=CP132,CP133=CP134)),NA(), CP133)</f>
        <v>0</v>
      </c>
      <c r="CQ199">
        <f>IF(ISNA(CR199),NA(),CQ133)</f>
        <v>0</v>
      </c>
      <c r="CR199">
        <f>IF(OR(CR133="",AND(CR133=CR132,CR133=CR134)),NA(), CR133)</f>
        <v>0</v>
      </c>
      <c r="CS199">
        <f>IF(ISNA(CT199),NA(),CS133)</f>
        <v>0</v>
      </c>
      <c r="CT199">
        <f>IF(OR(CT133="",AND(CT133=CT132,CT133=CT134)),NA(), CT133)</f>
        <v>0</v>
      </c>
      <c r="CU199">
        <f>IF(ISNA(CV199),NA(),CU133)</f>
        <v>0</v>
      </c>
      <c r="CV199">
        <f>IF(OR(CV133="",AND(CV133=CV132,CV133=CV134)),NA(), CV133)</f>
        <v>0</v>
      </c>
      <c r="CW199">
        <f>IF(ISNA(CX199),NA(),CW133)</f>
        <v>0</v>
      </c>
      <c r="CX199">
        <f>IF(OR(CX133="",AND(CX133=CX132,CX133=CX134)),NA(), CX133)</f>
        <v>0</v>
      </c>
      <c r="CY199">
        <f>IF(ISNA(CZ199),NA(),CY133)</f>
        <v>0</v>
      </c>
      <c r="CZ199">
        <f>IF(OR(CZ133="",AND(CZ133=CZ132,CZ133=CZ134)),NA(), CZ133)</f>
        <v>0</v>
      </c>
      <c r="DA199">
        <f>IF(ISNA(DB199),NA(),DA133)</f>
        <v>0</v>
      </c>
      <c r="DB199">
        <f>IF(OR(DB133="",AND(DB133=DB132,DB133=DB134)),NA(), DB133)</f>
        <v>0</v>
      </c>
      <c r="DC199">
        <f>IF(ISNA(DD199),NA(),DC133)</f>
        <v>0</v>
      </c>
      <c r="DD199">
        <f>IF(OR(DD133="",AND(DD133=DD132,DD133=DD134)),NA(), DD133)</f>
        <v>0</v>
      </c>
      <c r="DE199">
        <f>IF(ISNA(DF199),NA(),DE133)</f>
        <v>0</v>
      </c>
      <c r="DF199">
        <f>IF(OR(DF133="",AND(DF133=DF132,DF133=DF134)),NA(), DF133)</f>
        <v>0</v>
      </c>
      <c r="DG199">
        <f>IF(ISNA(DH199),NA(),DG133)</f>
        <v>0</v>
      </c>
      <c r="DH199">
        <f>IF(OR(DH133="",AND(DH133=DH132,DH133=DH134)),NA(), DH133)</f>
        <v>0</v>
      </c>
      <c r="DI199">
        <f>IF(ISNA(DJ199),NA(),DI133)</f>
        <v>0</v>
      </c>
      <c r="DJ199">
        <f>IF(OR(DJ133="",AND(DJ133=DJ132,DJ133=DJ134)),NA(), DJ133)</f>
        <v>0</v>
      </c>
      <c r="DK199">
        <f>IF(ISNA(DL199),NA(),DK133)</f>
        <v>0</v>
      </c>
      <c r="DL199">
        <f>IF(OR(DL133="",AND(DL133=DL132,DL133=DL134)),NA(), DL133)</f>
        <v>0</v>
      </c>
      <c r="DM199">
        <f>IF(ISNA(DN199),NA(),DM133)</f>
        <v>0</v>
      </c>
      <c r="DN199">
        <f>IF(OR(DN133="",AND(DN133=DN132,DN133=DN134)),NA(), DN133)</f>
        <v>0</v>
      </c>
      <c r="DO199">
        <f>IF(ISNA(DP199),NA(),DO133)</f>
        <v>0</v>
      </c>
      <c r="DP199">
        <f>IF(OR(DP133="",AND(DP133=DP132,DP133=DP134)),NA(), DP133)</f>
        <v>0</v>
      </c>
      <c r="DQ199">
        <f>IF(ISNA(DR199),NA(),DQ133)</f>
        <v>0</v>
      </c>
      <c r="DR199">
        <f>IF(OR(DR133="",AND(DR133=DR132,DR133=DR134)),NA(), DR133)</f>
        <v>0</v>
      </c>
      <c r="DS199">
        <f>IF(ISNA(DT199),NA(),DS133)</f>
        <v>0</v>
      </c>
      <c r="DT199">
        <f>IF(OR(DT133="",AND(DT133=DT132,DT133=DT134)),NA(), DT133)</f>
        <v>0</v>
      </c>
      <c r="DU199">
        <f>IF(ISNA(DV199),NA(),DU133)</f>
        <v>0</v>
      </c>
      <c r="DV199">
        <f>IF(OR(DV133="",AND(DV133=DV132,DV133=DV134)),NA(), DV133)</f>
        <v>0</v>
      </c>
      <c r="DW199">
        <f>IF(ISNA(DX199),NA(),DW133)</f>
        <v>0</v>
      </c>
      <c r="DX199">
        <f>IF(OR(DX133="",AND(DX133=DX132,DX133=DX134)),NA(), DX133)</f>
        <v>0</v>
      </c>
      <c r="DY199">
        <f>IF(ISNA(DZ199),NA(),DY133)</f>
        <v>0</v>
      </c>
      <c r="DZ199">
        <f>IF(OR(DZ133="",AND(DZ133=DZ132,DZ133=DZ134)),NA(), DZ133)</f>
        <v>0</v>
      </c>
      <c r="EA199">
        <f>IF(ISNA(EB199),NA(),EA133)</f>
        <v>0</v>
      </c>
      <c r="EB199">
        <f>IF(OR(EB133="",AND(EB133=EB132,EB133=EB134)),NA(), EB133)</f>
        <v>0</v>
      </c>
      <c r="EC199">
        <f>IF(ISNA(ED199),NA(),EC133)</f>
        <v>0</v>
      </c>
      <c r="ED199">
        <f>IF(OR(ED133="",AND(ED133=ED132,ED133=ED134)),NA(), ED133)</f>
        <v>0</v>
      </c>
    </row>
    <row r="200" spans="5:134">
      <c r="E200">
        <f>IF(ISNA(F200),NA(),E134)</f>
        <v>0</v>
      </c>
      <c r="F200">
        <f>IF(OR(F134="",AND(F134=F133,F134=F135)),NA(), F134)</f>
        <v>0</v>
      </c>
      <c r="G200">
        <f>IF(ISNA(H200),NA(),G134)</f>
        <v>0</v>
      </c>
      <c r="H200">
        <f>IF(OR(H134="",AND(H134=H133,H134=H135)),NA(), H134)</f>
        <v>0</v>
      </c>
      <c r="I200">
        <f>IF(ISNA(J200),NA(),I134)</f>
        <v>0</v>
      </c>
      <c r="J200">
        <f>IF(OR(J134="",AND(J134=J133,J134=J135)),NA(), J134)</f>
        <v>0</v>
      </c>
      <c r="K200">
        <f>IF(ISNA(L200),NA(),K134)</f>
        <v>0</v>
      </c>
      <c r="L200">
        <f>IF(OR(L134="",AND(L134=L133,L134=L135)),NA(), L134)</f>
        <v>0</v>
      </c>
      <c r="M200">
        <f>IF(ISNA(N200),NA(),M134)</f>
        <v>0</v>
      </c>
      <c r="N200">
        <f>IF(OR(N134="",AND(N134=N133,N134=N135)),NA(), N134)</f>
        <v>0</v>
      </c>
      <c r="O200">
        <f>IF(ISNA(P200),NA(),O134)</f>
        <v>0</v>
      </c>
      <c r="P200">
        <f>IF(OR(P134="",AND(P134=P133,P134=P135)),NA(), P134)</f>
        <v>0</v>
      </c>
      <c r="Q200">
        <f>IF(ISNA(R200),NA(),Q134)</f>
        <v>0</v>
      </c>
      <c r="R200">
        <f>IF(OR(R134="",AND(R134=R133,R134=R135)),NA(), R134)</f>
        <v>0</v>
      </c>
      <c r="S200">
        <f>IF(ISNA(T200),NA(),S134)</f>
        <v>0</v>
      </c>
      <c r="T200">
        <f>IF(OR(T134="",AND(T134=T133,T134=T135)),NA(), T134)</f>
        <v>0</v>
      </c>
      <c r="U200">
        <f>IF(ISNA(V200),NA(),U134)</f>
        <v>0</v>
      </c>
      <c r="V200">
        <f>IF(OR(V134="",AND(V134=V133,V134=V135)),NA(), V134)</f>
        <v>0</v>
      </c>
      <c r="W200">
        <f>IF(ISNA(X200),NA(),W134)</f>
        <v>0</v>
      </c>
      <c r="X200">
        <f>IF(OR(X134="",AND(X134=X133,X134=X135)),NA(), X134)</f>
        <v>0</v>
      </c>
      <c r="Y200">
        <f>IF(ISNA(Z200),NA(),Y134)</f>
        <v>0</v>
      </c>
      <c r="Z200">
        <f>IF(OR(Z134="",AND(Z134=Z133,Z134=Z135)),NA(), Z134)</f>
        <v>0</v>
      </c>
      <c r="AA200">
        <f>IF(ISNA(AB200),NA(),AA134)</f>
        <v>0</v>
      </c>
      <c r="AB200">
        <f>IF(OR(AB134="",AND(AB134=AB133,AB134=AB135)),NA(), AB134)</f>
        <v>0</v>
      </c>
      <c r="AC200">
        <f>IF(ISNA(AD200),NA(),AC134)</f>
        <v>0</v>
      </c>
      <c r="AD200">
        <f>IF(OR(AD134="",AND(AD134=AD133,AD134=AD135)),NA(), AD134)</f>
        <v>0</v>
      </c>
      <c r="AE200">
        <f>IF(ISNA(AF200),NA(),AE134)</f>
        <v>0</v>
      </c>
      <c r="AF200">
        <f>IF(OR(AF134="",AND(AF134=AF133,AF134=AF135)),NA(), AF134)</f>
        <v>0</v>
      </c>
      <c r="AG200">
        <f>IF(ISNA(AH200),NA(),AG134)</f>
        <v>0</v>
      </c>
      <c r="AH200">
        <f>IF(OR(AH134="",AND(AH134=AH133,AH134=AH135)),NA(), AH134)</f>
        <v>0</v>
      </c>
      <c r="AI200">
        <f>IF(ISNA(AJ200),NA(),AI134)</f>
        <v>0</v>
      </c>
      <c r="AJ200">
        <f>IF(OR(AJ134="",AND(AJ134=AJ133,AJ134=AJ135)),NA(), AJ134)</f>
        <v>0</v>
      </c>
      <c r="AK200">
        <f>IF(ISNA(AL200),NA(),AK134)</f>
        <v>0</v>
      </c>
      <c r="AL200">
        <f>IF(OR(AL134="",AND(AL134=AL133,AL134=AL135)),NA(), AL134)</f>
        <v>0</v>
      </c>
      <c r="AM200">
        <f>IF(ISNA(AN200),NA(),AM134)</f>
        <v>0</v>
      </c>
      <c r="AN200">
        <f>IF(OR(AN134="",AND(AN134=AN133,AN134=AN135)),NA(), AN134)</f>
        <v>0</v>
      </c>
      <c r="AO200">
        <f>IF(ISNA(AP200),NA(),AO134)</f>
        <v>0</v>
      </c>
      <c r="AP200">
        <f>IF(OR(AP134="",AND(AP134=AP133,AP134=AP135)),NA(), AP134)</f>
        <v>0</v>
      </c>
      <c r="AQ200">
        <f>IF(ISNA(AR200),NA(),AQ134)</f>
        <v>0</v>
      </c>
      <c r="AR200">
        <f>IF(OR(AR134="",AND(AR134=AR133,AR134=AR135)),NA(), AR134)</f>
        <v>0</v>
      </c>
      <c r="AS200">
        <f>IF(ISNA(AT200),NA(),AS134)</f>
        <v>0</v>
      </c>
      <c r="AT200">
        <f>IF(OR(AT134="",AND(AT134=AT133,AT134=AT135)),NA(), AT134)</f>
        <v>0</v>
      </c>
      <c r="AU200">
        <f>IF(ISNA(AV200),NA(),AU134)</f>
        <v>0</v>
      </c>
      <c r="AV200">
        <f>IF(OR(AV134="",AND(AV134=AV133,AV134=AV135)),NA(), AV134)</f>
        <v>0</v>
      </c>
      <c r="AW200">
        <f>IF(ISNA(AX200),NA(),AW134)</f>
        <v>0</v>
      </c>
      <c r="AX200">
        <f>IF(OR(AX134="",AND(AX134=AX133,AX134=AX135)),NA(), AX134)</f>
        <v>0</v>
      </c>
      <c r="AY200">
        <f>IF(ISNA(AZ200),NA(),AY134)</f>
        <v>0</v>
      </c>
      <c r="AZ200">
        <f>IF(OR(AZ134="",AND(AZ134=AZ133,AZ134=AZ135)),NA(), AZ134)</f>
        <v>0</v>
      </c>
      <c r="BA200">
        <f>IF(ISNA(BB200),NA(),BA134)</f>
        <v>0</v>
      </c>
      <c r="BB200">
        <f>IF(OR(BB134="",AND(BB134=BB133,BB134=BB135)),NA(), BB134)</f>
        <v>0</v>
      </c>
      <c r="BC200">
        <f>IF(ISNA(BD200),NA(),BC134)</f>
        <v>0</v>
      </c>
      <c r="BD200">
        <f>IF(OR(BD134="",AND(BD134=BD133,BD134=BD135)),NA(), BD134)</f>
        <v>0</v>
      </c>
      <c r="BE200">
        <f>IF(ISNA(BF200),NA(),BE134)</f>
        <v>0</v>
      </c>
      <c r="BF200">
        <f>IF(OR(BF134="",AND(BF134=BF133,BF134=BF135)),NA(), BF134)</f>
        <v>0</v>
      </c>
      <c r="BG200">
        <f>IF(ISNA(BH200),NA(),BG134)</f>
        <v>0</v>
      </c>
      <c r="BH200">
        <f>IF(OR(BH134="",AND(BH134=BH133,BH134=BH135)),NA(), BH134)</f>
        <v>0</v>
      </c>
      <c r="BI200">
        <f>IF(ISNA(BJ200),NA(),BI134)</f>
        <v>0</v>
      </c>
      <c r="BJ200">
        <f>IF(OR(BJ134="",AND(BJ134=BJ133,BJ134=BJ135)),NA(), BJ134)</f>
        <v>0</v>
      </c>
      <c r="BK200">
        <f>IF(ISNA(BL200),NA(),BK134)</f>
        <v>0</v>
      </c>
      <c r="BL200">
        <f>IF(OR(BL134="",AND(BL134=BL133,BL134=BL135)),NA(), BL134)</f>
        <v>0</v>
      </c>
      <c r="BM200">
        <f>IF(ISNA(BN200),NA(),BM134)</f>
        <v>0</v>
      </c>
      <c r="BN200">
        <f>IF(OR(BN134="",AND(BN134=BN133,BN134=BN135)),NA(), BN134)</f>
        <v>0</v>
      </c>
      <c r="BO200">
        <f>IF(ISNA(BP200),NA(),BO134)</f>
        <v>0</v>
      </c>
      <c r="BP200">
        <f>IF(OR(BP134="",AND(BP134=BP133,BP134=BP135)),NA(), BP134)</f>
        <v>0</v>
      </c>
      <c r="BS200">
        <f>IF(ISNA(BT200),NA(),BS134)</f>
        <v>0</v>
      </c>
      <c r="BT200">
        <f>IF(OR(BT134="",AND(BT134=BT133,BT134=BT135)),NA(), BT134)</f>
        <v>0</v>
      </c>
      <c r="BU200">
        <f>IF(ISNA(BV200),NA(),BU134)</f>
        <v>0</v>
      </c>
      <c r="BV200">
        <f>IF(OR(BV134="",AND(BV134=BV133,BV134=BV135)),NA(), BV134)</f>
        <v>0</v>
      </c>
      <c r="BW200">
        <f>IF(ISNA(BX200),NA(),BW134)</f>
        <v>0</v>
      </c>
      <c r="BX200">
        <f>IF(OR(BX134="",AND(BX134=BX133,BX134=BX135)),NA(), BX134)</f>
        <v>0</v>
      </c>
      <c r="BY200">
        <f>IF(ISNA(BZ200),NA(),BY134)</f>
        <v>0</v>
      </c>
      <c r="BZ200">
        <f>IF(OR(BZ134="",AND(BZ134=BZ133,BZ134=BZ135)),NA(), BZ134)</f>
        <v>0</v>
      </c>
      <c r="CA200">
        <f>IF(ISNA(CB200),NA(),CA134)</f>
        <v>0</v>
      </c>
      <c r="CB200">
        <f>IF(OR(CB134="",AND(CB134=CB133,CB134=CB135)),NA(), CB134)</f>
        <v>0</v>
      </c>
      <c r="CC200">
        <f>IF(ISNA(CD200),NA(),CC134)</f>
        <v>0</v>
      </c>
      <c r="CD200">
        <f>IF(OR(CD134="",AND(CD134=CD133,CD134=CD135)),NA(), CD134)</f>
        <v>0</v>
      </c>
      <c r="CE200">
        <f>IF(ISNA(CF200),NA(),CE134)</f>
        <v>0</v>
      </c>
      <c r="CF200">
        <f>IF(OR(CF134="",AND(CF134=CF133,CF134=CF135)),NA(), CF134)</f>
        <v>0</v>
      </c>
      <c r="CG200">
        <f>IF(ISNA(CH200),NA(),CG134)</f>
        <v>0</v>
      </c>
      <c r="CH200">
        <f>IF(OR(CH134="",AND(CH134=CH133,CH134=CH135)),NA(), CH134)</f>
        <v>0</v>
      </c>
      <c r="CI200">
        <f>IF(ISNA(CJ200),NA(),CI134)</f>
        <v>0</v>
      </c>
      <c r="CJ200">
        <f>IF(OR(CJ134="",AND(CJ134=CJ133,CJ134=CJ135)),NA(), CJ134)</f>
        <v>0</v>
      </c>
      <c r="CK200">
        <f>IF(ISNA(CL200),NA(),CK134)</f>
        <v>0</v>
      </c>
      <c r="CL200">
        <f>IF(OR(CL134="",AND(CL134=CL133,CL134=CL135)),NA(), CL134)</f>
        <v>0</v>
      </c>
      <c r="CM200">
        <f>IF(ISNA(CN200),NA(),CM134)</f>
        <v>0</v>
      </c>
      <c r="CN200">
        <f>IF(OR(CN134="",AND(CN134=CN133,CN134=CN135)),NA(), CN134)</f>
        <v>0</v>
      </c>
      <c r="CO200">
        <f>IF(ISNA(CP200),NA(),CO134)</f>
        <v>0</v>
      </c>
      <c r="CP200">
        <f>IF(OR(CP134="",AND(CP134=CP133,CP134=CP135)),NA(), CP134)</f>
        <v>0</v>
      </c>
      <c r="CQ200">
        <f>IF(ISNA(CR200),NA(),CQ134)</f>
        <v>0</v>
      </c>
      <c r="CR200">
        <f>IF(OR(CR134="",AND(CR134=CR133,CR134=CR135)),NA(), CR134)</f>
        <v>0</v>
      </c>
      <c r="CS200">
        <f>IF(ISNA(CT200),NA(),CS134)</f>
        <v>0</v>
      </c>
      <c r="CT200">
        <f>IF(OR(CT134="",AND(CT134=CT133,CT134=CT135)),NA(), CT134)</f>
        <v>0</v>
      </c>
      <c r="CU200">
        <f>IF(ISNA(CV200),NA(),CU134)</f>
        <v>0</v>
      </c>
      <c r="CV200">
        <f>IF(OR(CV134="",AND(CV134=CV133,CV134=CV135)),NA(), CV134)</f>
        <v>0</v>
      </c>
      <c r="CW200">
        <f>IF(ISNA(CX200),NA(),CW134)</f>
        <v>0</v>
      </c>
      <c r="CX200">
        <f>IF(OR(CX134="",AND(CX134=CX133,CX134=CX135)),NA(), CX134)</f>
        <v>0</v>
      </c>
      <c r="CY200">
        <f>IF(ISNA(CZ200),NA(),CY134)</f>
        <v>0</v>
      </c>
      <c r="CZ200">
        <f>IF(OR(CZ134="",AND(CZ134=CZ133,CZ134=CZ135)),NA(), CZ134)</f>
        <v>0</v>
      </c>
      <c r="DA200">
        <f>IF(ISNA(DB200),NA(),DA134)</f>
        <v>0</v>
      </c>
      <c r="DB200">
        <f>IF(OR(DB134="",AND(DB134=DB133,DB134=DB135)),NA(), DB134)</f>
        <v>0</v>
      </c>
      <c r="DC200">
        <f>IF(ISNA(DD200),NA(),DC134)</f>
        <v>0</v>
      </c>
      <c r="DD200">
        <f>IF(OR(DD134="",AND(DD134=DD133,DD134=DD135)),NA(), DD134)</f>
        <v>0</v>
      </c>
      <c r="DE200">
        <f>IF(ISNA(DF200),NA(),DE134)</f>
        <v>0</v>
      </c>
      <c r="DF200">
        <f>IF(OR(DF134="",AND(DF134=DF133,DF134=DF135)),NA(), DF134)</f>
        <v>0</v>
      </c>
      <c r="DG200">
        <f>IF(ISNA(DH200),NA(),DG134)</f>
        <v>0</v>
      </c>
      <c r="DH200">
        <f>IF(OR(DH134="",AND(DH134=DH133,DH134=DH135)),NA(), DH134)</f>
        <v>0</v>
      </c>
      <c r="DI200">
        <f>IF(ISNA(DJ200),NA(),DI134)</f>
        <v>0</v>
      </c>
      <c r="DJ200">
        <f>IF(OR(DJ134="",AND(DJ134=DJ133,DJ134=DJ135)),NA(), DJ134)</f>
        <v>0</v>
      </c>
      <c r="DK200">
        <f>IF(ISNA(DL200),NA(),DK134)</f>
        <v>0</v>
      </c>
      <c r="DL200">
        <f>IF(OR(DL134="",AND(DL134=DL133,DL134=DL135)),NA(), DL134)</f>
        <v>0</v>
      </c>
      <c r="DM200">
        <f>IF(ISNA(DN200),NA(),DM134)</f>
        <v>0</v>
      </c>
      <c r="DN200">
        <f>IF(OR(DN134="",AND(DN134=DN133,DN134=DN135)),NA(), DN134)</f>
        <v>0</v>
      </c>
      <c r="DO200">
        <f>IF(ISNA(DP200),NA(),DO134)</f>
        <v>0</v>
      </c>
      <c r="DP200">
        <f>IF(OR(DP134="",AND(DP134=DP133,DP134=DP135)),NA(), DP134)</f>
        <v>0</v>
      </c>
      <c r="DQ200">
        <f>IF(ISNA(DR200),NA(),DQ134)</f>
        <v>0</v>
      </c>
      <c r="DR200">
        <f>IF(OR(DR134="",AND(DR134=DR133,DR134=DR135)),NA(), DR134)</f>
        <v>0</v>
      </c>
      <c r="DS200">
        <f>IF(ISNA(DT200),NA(),DS134)</f>
        <v>0</v>
      </c>
      <c r="DT200">
        <f>IF(OR(DT134="",AND(DT134=DT133,DT134=DT135)),NA(), DT134)</f>
        <v>0</v>
      </c>
      <c r="DU200">
        <f>IF(ISNA(DV200),NA(),DU134)</f>
        <v>0</v>
      </c>
      <c r="DV200">
        <f>IF(OR(DV134="",AND(DV134=DV133,DV134=DV135)),NA(), DV134)</f>
        <v>0</v>
      </c>
      <c r="DW200">
        <f>IF(ISNA(DX200),NA(),DW134)</f>
        <v>0</v>
      </c>
      <c r="DX200">
        <f>IF(OR(DX134="",AND(DX134=DX133,DX134=DX135)),NA(), DX134)</f>
        <v>0</v>
      </c>
      <c r="DY200">
        <f>IF(ISNA(DZ200),NA(),DY134)</f>
        <v>0</v>
      </c>
      <c r="DZ200">
        <f>IF(OR(DZ134="",AND(DZ134=DZ133,DZ134=DZ135)),NA(), DZ134)</f>
        <v>0</v>
      </c>
      <c r="EA200">
        <f>IF(ISNA(EB200),NA(),EA134)</f>
        <v>0</v>
      </c>
      <c r="EB200">
        <f>IF(OR(EB134="",AND(EB134=EB133,EB134=EB135)),NA(), EB134)</f>
        <v>0</v>
      </c>
      <c r="EC200">
        <f>IF(ISNA(ED200),NA(),EC134)</f>
        <v>0</v>
      </c>
      <c r="ED200">
        <f>IF(OR(ED134="",AND(ED134=ED133,ED134=ED135)),NA(), ED134)</f>
        <v>0</v>
      </c>
    </row>
    <row r="201" spans="5:134">
      <c r="E201">
        <f>IF(ISNA(F201),NA(),E135)</f>
        <v>0</v>
      </c>
      <c r="F201">
        <f>IF(OR(F135="",AND(F135=F134,F135=F136)),NA(), F135)</f>
        <v>0</v>
      </c>
      <c r="G201">
        <f>IF(ISNA(H201),NA(),G135)</f>
        <v>0</v>
      </c>
      <c r="H201">
        <f>IF(OR(H135="",AND(H135=H134,H135=H136)),NA(), H135)</f>
        <v>0</v>
      </c>
      <c r="I201">
        <f>IF(ISNA(J201),NA(),I135)</f>
        <v>0</v>
      </c>
      <c r="J201">
        <f>IF(OR(J135="",AND(J135=J134,J135=J136)),NA(), J135)</f>
        <v>0</v>
      </c>
      <c r="K201">
        <f>IF(ISNA(L201),NA(),K135)</f>
        <v>0</v>
      </c>
      <c r="L201">
        <f>IF(OR(L135="",AND(L135=L134,L135=L136)),NA(), L135)</f>
        <v>0</v>
      </c>
      <c r="M201">
        <f>IF(ISNA(N201),NA(),M135)</f>
        <v>0</v>
      </c>
      <c r="N201">
        <f>IF(OR(N135="",AND(N135=N134,N135=N136)),NA(), N135)</f>
        <v>0</v>
      </c>
      <c r="O201">
        <f>IF(ISNA(P201),NA(),O135)</f>
        <v>0</v>
      </c>
      <c r="P201">
        <f>IF(OR(P135="",AND(P135=P134,P135=P136)),NA(), P135)</f>
        <v>0</v>
      </c>
      <c r="Q201">
        <f>IF(ISNA(R201),NA(),Q135)</f>
        <v>0</v>
      </c>
      <c r="R201">
        <f>IF(OR(R135="",AND(R135=R134,R135=R136)),NA(), R135)</f>
        <v>0</v>
      </c>
      <c r="S201">
        <f>IF(ISNA(T201),NA(),S135)</f>
        <v>0</v>
      </c>
      <c r="T201">
        <f>IF(OR(T135="",AND(T135=T134,T135=T136)),NA(), T135)</f>
        <v>0</v>
      </c>
      <c r="U201">
        <f>IF(ISNA(V201),NA(),U135)</f>
        <v>0</v>
      </c>
      <c r="V201">
        <f>IF(OR(V135="",AND(V135=V134,V135=V136)),NA(), V135)</f>
        <v>0</v>
      </c>
      <c r="W201">
        <f>IF(ISNA(X201),NA(),W135)</f>
        <v>0</v>
      </c>
      <c r="X201">
        <f>IF(OR(X135="",AND(X135=X134,X135=X136)),NA(), X135)</f>
        <v>0</v>
      </c>
      <c r="Y201">
        <f>IF(ISNA(Z201),NA(),Y135)</f>
        <v>0</v>
      </c>
      <c r="Z201">
        <f>IF(OR(Z135="",AND(Z135=Z134,Z135=Z136)),NA(), Z135)</f>
        <v>0</v>
      </c>
      <c r="AA201">
        <f>IF(ISNA(AB201),NA(),AA135)</f>
        <v>0</v>
      </c>
      <c r="AB201">
        <f>IF(OR(AB135="",AND(AB135=AB134,AB135=AB136)),NA(), AB135)</f>
        <v>0</v>
      </c>
      <c r="AC201">
        <f>IF(ISNA(AD201),NA(),AC135)</f>
        <v>0</v>
      </c>
      <c r="AD201">
        <f>IF(OR(AD135="",AND(AD135=AD134,AD135=AD136)),NA(), AD135)</f>
        <v>0</v>
      </c>
      <c r="AE201">
        <f>IF(ISNA(AF201),NA(),AE135)</f>
        <v>0</v>
      </c>
      <c r="AF201">
        <f>IF(OR(AF135="",AND(AF135=AF134,AF135=AF136)),NA(), AF135)</f>
        <v>0</v>
      </c>
      <c r="AG201">
        <f>IF(ISNA(AH201),NA(),AG135)</f>
        <v>0</v>
      </c>
      <c r="AH201">
        <f>IF(OR(AH135="",AND(AH135=AH134,AH135=AH136)),NA(), AH135)</f>
        <v>0</v>
      </c>
      <c r="AI201">
        <f>IF(ISNA(AJ201),NA(),AI135)</f>
        <v>0</v>
      </c>
      <c r="AJ201">
        <f>IF(OR(AJ135="",AND(AJ135=AJ134,AJ135=AJ136)),NA(), AJ135)</f>
        <v>0</v>
      </c>
      <c r="AK201">
        <f>IF(ISNA(AL201),NA(),AK135)</f>
        <v>0</v>
      </c>
      <c r="AL201">
        <f>IF(OR(AL135="",AND(AL135=AL134,AL135=AL136)),NA(), AL135)</f>
        <v>0</v>
      </c>
      <c r="AM201">
        <f>IF(ISNA(AN201),NA(),AM135)</f>
        <v>0</v>
      </c>
      <c r="AN201">
        <f>IF(OR(AN135="",AND(AN135=AN134,AN135=AN136)),NA(), AN135)</f>
        <v>0</v>
      </c>
      <c r="AO201">
        <f>IF(ISNA(AP201),NA(),AO135)</f>
        <v>0</v>
      </c>
      <c r="AP201">
        <f>IF(OR(AP135="",AND(AP135=AP134,AP135=AP136)),NA(), AP135)</f>
        <v>0</v>
      </c>
      <c r="AQ201">
        <f>IF(ISNA(AR201),NA(),AQ135)</f>
        <v>0</v>
      </c>
      <c r="AR201">
        <f>IF(OR(AR135="",AND(AR135=AR134,AR135=AR136)),NA(), AR135)</f>
        <v>0</v>
      </c>
      <c r="AS201">
        <f>IF(ISNA(AT201),NA(),AS135)</f>
        <v>0</v>
      </c>
      <c r="AT201">
        <f>IF(OR(AT135="",AND(AT135=AT134,AT135=AT136)),NA(), AT135)</f>
        <v>0</v>
      </c>
      <c r="AU201">
        <f>IF(ISNA(AV201),NA(),AU135)</f>
        <v>0</v>
      </c>
      <c r="AV201">
        <f>IF(OR(AV135="",AND(AV135=AV134,AV135=AV136)),NA(), AV135)</f>
        <v>0</v>
      </c>
      <c r="AW201">
        <f>IF(ISNA(AX201),NA(),AW135)</f>
        <v>0</v>
      </c>
      <c r="AX201">
        <f>IF(OR(AX135="",AND(AX135=AX134,AX135=AX136)),NA(), AX135)</f>
        <v>0</v>
      </c>
      <c r="AY201">
        <f>IF(ISNA(AZ201),NA(),AY135)</f>
        <v>0</v>
      </c>
      <c r="AZ201">
        <f>IF(OR(AZ135="",AND(AZ135=AZ134,AZ135=AZ136)),NA(), AZ135)</f>
        <v>0</v>
      </c>
      <c r="BA201">
        <f>IF(ISNA(BB201),NA(),BA135)</f>
        <v>0</v>
      </c>
      <c r="BB201">
        <f>IF(OR(BB135="",AND(BB135=BB134,BB135=BB136)),NA(), BB135)</f>
        <v>0</v>
      </c>
      <c r="BC201">
        <f>IF(ISNA(BD201),NA(),BC135)</f>
        <v>0</v>
      </c>
      <c r="BD201">
        <f>IF(OR(BD135="",AND(BD135=BD134,BD135=BD136)),NA(), BD135)</f>
        <v>0</v>
      </c>
      <c r="BE201">
        <f>IF(ISNA(BF201),NA(),BE135)</f>
        <v>0</v>
      </c>
      <c r="BF201">
        <f>IF(OR(BF135="",AND(BF135=BF134,BF135=BF136)),NA(), BF135)</f>
        <v>0</v>
      </c>
      <c r="BG201">
        <f>IF(ISNA(BH201),NA(),BG135)</f>
        <v>0</v>
      </c>
      <c r="BH201">
        <f>IF(OR(BH135="",AND(BH135=BH134,BH135=BH136)),NA(), BH135)</f>
        <v>0</v>
      </c>
      <c r="BI201">
        <f>IF(ISNA(BJ201),NA(),BI135)</f>
        <v>0</v>
      </c>
      <c r="BJ201">
        <f>IF(OR(BJ135="",AND(BJ135=BJ134,BJ135=BJ136)),NA(), BJ135)</f>
        <v>0</v>
      </c>
      <c r="BK201">
        <f>IF(ISNA(BL201),NA(),BK135)</f>
        <v>0</v>
      </c>
      <c r="BL201">
        <f>IF(OR(BL135="",AND(BL135=BL134,BL135=BL136)),NA(), BL135)</f>
        <v>0</v>
      </c>
      <c r="BM201">
        <f>IF(ISNA(BN201),NA(),BM135)</f>
        <v>0</v>
      </c>
      <c r="BN201">
        <f>IF(OR(BN135="",AND(BN135=BN134,BN135=BN136)),NA(), BN135)</f>
        <v>0</v>
      </c>
      <c r="BO201">
        <f>IF(ISNA(BP201),NA(),BO135)</f>
        <v>0</v>
      </c>
      <c r="BP201">
        <f>IF(OR(BP135="",AND(BP135=BP134,BP135=BP136)),NA(), BP135)</f>
        <v>0</v>
      </c>
      <c r="BS201">
        <f>IF(ISNA(BT201),NA(),BS135)</f>
        <v>0</v>
      </c>
      <c r="BT201">
        <f>IF(OR(BT135="",AND(BT135=BT134,BT135=BT136)),NA(), BT135)</f>
        <v>0</v>
      </c>
      <c r="BU201">
        <f>IF(ISNA(BV201),NA(),BU135)</f>
        <v>0</v>
      </c>
      <c r="BV201">
        <f>IF(OR(BV135="",AND(BV135=BV134,BV135=BV136)),NA(), BV135)</f>
        <v>0</v>
      </c>
      <c r="BW201">
        <f>IF(ISNA(BX201),NA(),BW135)</f>
        <v>0</v>
      </c>
      <c r="BX201">
        <f>IF(OR(BX135="",AND(BX135=BX134,BX135=BX136)),NA(), BX135)</f>
        <v>0</v>
      </c>
      <c r="BY201">
        <f>IF(ISNA(BZ201),NA(),BY135)</f>
        <v>0</v>
      </c>
      <c r="BZ201">
        <f>IF(OR(BZ135="",AND(BZ135=BZ134,BZ135=BZ136)),NA(), BZ135)</f>
        <v>0</v>
      </c>
      <c r="CA201">
        <f>IF(ISNA(CB201),NA(),CA135)</f>
        <v>0</v>
      </c>
      <c r="CB201">
        <f>IF(OR(CB135="",AND(CB135=CB134,CB135=CB136)),NA(), CB135)</f>
        <v>0</v>
      </c>
      <c r="CC201">
        <f>IF(ISNA(CD201),NA(),CC135)</f>
        <v>0</v>
      </c>
      <c r="CD201">
        <f>IF(OR(CD135="",AND(CD135=CD134,CD135=CD136)),NA(), CD135)</f>
        <v>0</v>
      </c>
      <c r="CE201">
        <f>IF(ISNA(CF201),NA(),CE135)</f>
        <v>0</v>
      </c>
      <c r="CF201">
        <f>IF(OR(CF135="",AND(CF135=CF134,CF135=CF136)),NA(), CF135)</f>
        <v>0</v>
      </c>
      <c r="CG201">
        <f>IF(ISNA(CH201),NA(),CG135)</f>
        <v>0</v>
      </c>
      <c r="CH201">
        <f>IF(OR(CH135="",AND(CH135=CH134,CH135=CH136)),NA(), CH135)</f>
        <v>0</v>
      </c>
      <c r="CI201">
        <f>IF(ISNA(CJ201),NA(),CI135)</f>
        <v>0</v>
      </c>
      <c r="CJ201">
        <f>IF(OR(CJ135="",AND(CJ135=CJ134,CJ135=CJ136)),NA(), CJ135)</f>
        <v>0</v>
      </c>
      <c r="CK201">
        <f>IF(ISNA(CL201),NA(),CK135)</f>
        <v>0</v>
      </c>
      <c r="CL201">
        <f>IF(OR(CL135="",AND(CL135=CL134,CL135=CL136)),NA(), CL135)</f>
        <v>0</v>
      </c>
      <c r="CM201">
        <f>IF(ISNA(CN201),NA(),CM135)</f>
        <v>0</v>
      </c>
      <c r="CN201">
        <f>IF(OR(CN135="",AND(CN135=CN134,CN135=CN136)),NA(), CN135)</f>
        <v>0</v>
      </c>
      <c r="CO201">
        <f>IF(ISNA(CP201),NA(),CO135)</f>
        <v>0</v>
      </c>
      <c r="CP201">
        <f>IF(OR(CP135="",AND(CP135=CP134,CP135=CP136)),NA(), CP135)</f>
        <v>0</v>
      </c>
      <c r="CQ201">
        <f>IF(ISNA(CR201),NA(),CQ135)</f>
        <v>0</v>
      </c>
      <c r="CR201">
        <f>IF(OR(CR135="",AND(CR135=CR134,CR135=CR136)),NA(), CR135)</f>
        <v>0</v>
      </c>
      <c r="CS201">
        <f>IF(ISNA(CT201),NA(),CS135)</f>
        <v>0</v>
      </c>
      <c r="CT201">
        <f>IF(OR(CT135="",AND(CT135=CT134,CT135=CT136)),NA(), CT135)</f>
        <v>0</v>
      </c>
      <c r="CU201">
        <f>IF(ISNA(CV201),NA(),CU135)</f>
        <v>0</v>
      </c>
      <c r="CV201">
        <f>IF(OR(CV135="",AND(CV135=CV134,CV135=CV136)),NA(), CV135)</f>
        <v>0</v>
      </c>
      <c r="CW201">
        <f>IF(ISNA(CX201),NA(),CW135)</f>
        <v>0</v>
      </c>
      <c r="CX201">
        <f>IF(OR(CX135="",AND(CX135=CX134,CX135=CX136)),NA(), CX135)</f>
        <v>0</v>
      </c>
      <c r="CY201">
        <f>IF(ISNA(CZ201),NA(),CY135)</f>
        <v>0</v>
      </c>
      <c r="CZ201">
        <f>IF(OR(CZ135="",AND(CZ135=CZ134,CZ135=CZ136)),NA(), CZ135)</f>
        <v>0</v>
      </c>
      <c r="DA201">
        <f>IF(ISNA(DB201),NA(),DA135)</f>
        <v>0</v>
      </c>
      <c r="DB201">
        <f>IF(OR(DB135="",AND(DB135=DB134,DB135=DB136)),NA(), DB135)</f>
        <v>0</v>
      </c>
      <c r="DC201">
        <f>IF(ISNA(DD201),NA(),DC135)</f>
        <v>0</v>
      </c>
      <c r="DD201">
        <f>IF(OR(DD135="",AND(DD135=DD134,DD135=DD136)),NA(), DD135)</f>
        <v>0</v>
      </c>
      <c r="DE201">
        <f>IF(ISNA(DF201),NA(),DE135)</f>
        <v>0</v>
      </c>
      <c r="DF201">
        <f>IF(OR(DF135="",AND(DF135=DF134,DF135=DF136)),NA(), DF135)</f>
        <v>0</v>
      </c>
      <c r="DG201">
        <f>IF(ISNA(DH201),NA(),DG135)</f>
        <v>0</v>
      </c>
      <c r="DH201">
        <f>IF(OR(DH135="",AND(DH135=DH134,DH135=DH136)),NA(), DH135)</f>
        <v>0</v>
      </c>
      <c r="DI201">
        <f>IF(ISNA(DJ201),NA(),DI135)</f>
        <v>0</v>
      </c>
      <c r="DJ201">
        <f>IF(OR(DJ135="",AND(DJ135=DJ134,DJ135=DJ136)),NA(), DJ135)</f>
        <v>0</v>
      </c>
      <c r="DK201">
        <f>IF(ISNA(DL201),NA(),DK135)</f>
        <v>0</v>
      </c>
      <c r="DL201">
        <f>IF(OR(DL135="",AND(DL135=DL134,DL135=DL136)),NA(), DL135)</f>
        <v>0</v>
      </c>
      <c r="DM201">
        <f>IF(ISNA(DN201),NA(),DM135)</f>
        <v>0</v>
      </c>
      <c r="DN201">
        <f>IF(OR(DN135="",AND(DN135=DN134,DN135=DN136)),NA(), DN135)</f>
        <v>0</v>
      </c>
      <c r="DO201">
        <f>IF(ISNA(DP201),NA(),DO135)</f>
        <v>0</v>
      </c>
      <c r="DP201">
        <f>IF(OR(DP135="",AND(DP135=DP134,DP135=DP136)),NA(), DP135)</f>
        <v>0</v>
      </c>
      <c r="DQ201">
        <f>IF(ISNA(DR201),NA(),DQ135)</f>
        <v>0</v>
      </c>
      <c r="DR201">
        <f>IF(OR(DR135="",AND(DR135=DR134,DR135=DR136)),NA(), DR135)</f>
        <v>0</v>
      </c>
      <c r="DS201">
        <f>IF(ISNA(DT201),NA(),DS135)</f>
        <v>0</v>
      </c>
      <c r="DT201">
        <f>IF(OR(DT135="",AND(DT135=DT134,DT135=DT136)),NA(), DT135)</f>
        <v>0</v>
      </c>
      <c r="DU201">
        <f>IF(ISNA(DV201),NA(),DU135)</f>
        <v>0</v>
      </c>
      <c r="DV201">
        <f>IF(OR(DV135="",AND(DV135=DV134,DV135=DV136)),NA(), DV135)</f>
        <v>0</v>
      </c>
      <c r="DW201">
        <f>IF(ISNA(DX201),NA(),DW135)</f>
        <v>0</v>
      </c>
      <c r="DX201">
        <f>IF(OR(DX135="",AND(DX135=DX134,DX135=DX136)),NA(), DX135)</f>
        <v>0</v>
      </c>
      <c r="DY201">
        <f>IF(ISNA(DZ201),NA(),DY135)</f>
        <v>0</v>
      </c>
      <c r="DZ201">
        <f>IF(OR(DZ135="",AND(DZ135=DZ134,DZ135=DZ136)),NA(), DZ135)</f>
        <v>0</v>
      </c>
      <c r="EA201">
        <f>IF(ISNA(EB201),NA(),EA135)</f>
        <v>0</v>
      </c>
      <c r="EB201">
        <f>IF(OR(EB135="",AND(EB135=EB134,EB135=EB136)),NA(), EB135)</f>
        <v>0</v>
      </c>
      <c r="EC201">
        <f>IF(ISNA(ED201),NA(),EC135)</f>
        <v>0</v>
      </c>
      <c r="ED201">
        <f>IF(OR(ED135="",AND(ED135=ED134,ED135=ED136)),NA(), ED135)</f>
        <v>0</v>
      </c>
    </row>
    <row r="202" spans="5:134">
      <c r="E202">
        <f>IF(ISNA(F202),NA(),E136)</f>
        <v>0</v>
      </c>
      <c r="F202">
        <f>IF(OR(F136="",AND(F136=F135,F136=F137)),NA(), F136)</f>
        <v>0</v>
      </c>
      <c r="G202">
        <f>IF(ISNA(H202),NA(),G136)</f>
        <v>0</v>
      </c>
      <c r="H202">
        <f>IF(OR(H136="",AND(H136=H135,H136=H137)),NA(), H136)</f>
        <v>0</v>
      </c>
      <c r="I202">
        <f>IF(ISNA(J202),NA(),I136)</f>
        <v>0</v>
      </c>
      <c r="J202">
        <f>IF(OR(J136="",AND(J136=J135,J136=J137)),NA(), J136)</f>
        <v>0</v>
      </c>
      <c r="K202">
        <f>IF(ISNA(L202),NA(),K136)</f>
        <v>0</v>
      </c>
      <c r="L202">
        <f>IF(OR(L136="",AND(L136=L135,L136=L137)),NA(), L136)</f>
        <v>0</v>
      </c>
      <c r="M202">
        <f>IF(ISNA(N202),NA(),M136)</f>
        <v>0</v>
      </c>
      <c r="N202">
        <f>IF(OR(N136="",AND(N136=N135,N136=N137)),NA(), N136)</f>
        <v>0</v>
      </c>
      <c r="O202">
        <f>IF(ISNA(P202),NA(),O136)</f>
        <v>0</v>
      </c>
      <c r="P202">
        <f>IF(OR(P136="",AND(P136=P135,P136=P137)),NA(), P136)</f>
        <v>0</v>
      </c>
      <c r="Q202">
        <f>IF(ISNA(R202),NA(),Q136)</f>
        <v>0</v>
      </c>
      <c r="R202">
        <f>IF(OR(R136="",AND(R136=R135,R136=R137)),NA(), R136)</f>
        <v>0</v>
      </c>
      <c r="S202">
        <f>IF(ISNA(T202),NA(),S136)</f>
        <v>0</v>
      </c>
      <c r="T202">
        <f>IF(OR(T136="",AND(T136=T135,T136=T137)),NA(), T136)</f>
        <v>0</v>
      </c>
      <c r="U202">
        <f>IF(ISNA(V202),NA(),U136)</f>
        <v>0</v>
      </c>
      <c r="V202">
        <f>IF(OR(V136="",AND(V136=V135,V136=V137)),NA(), V136)</f>
        <v>0</v>
      </c>
      <c r="W202">
        <f>IF(ISNA(X202),NA(),W136)</f>
        <v>0</v>
      </c>
      <c r="X202">
        <f>IF(OR(X136="",AND(X136=X135,X136=X137)),NA(), X136)</f>
        <v>0</v>
      </c>
      <c r="Y202">
        <f>IF(ISNA(Z202),NA(),Y136)</f>
        <v>0</v>
      </c>
      <c r="Z202">
        <f>IF(OR(Z136="",AND(Z136=Z135,Z136=Z137)),NA(), Z136)</f>
        <v>0</v>
      </c>
      <c r="AA202">
        <f>IF(ISNA(AB202),NA(),AA136)</f>
        <v>0</v>
      </c>
      <c r="AB202">
        <f>IF(OR(AB136="",AND(AB136=AB135,AB136=AB137)),NA(), AB136)</f>
        <v>0</v>
      </c>
      <c r="AC202">
        <f>IF(ISNA(AD202),NA(),AC136)</f>
        <v>0</v>
      </c>
      <c r="AD202">
        <f>IF(OR(AD136="",AND(AD136=AD135,AD136=AD137)),NA(), AD136)</f>
        <v>0</v>
      </c>
      <c r="AE202">
        <f>IF(ISNA(AF202),NA(),AE136)</f>
        <v>0</v>
      </c>
      <c r="AF202">
        <f>IF(OR(AF136="",AND(AF136=AF135,AF136=AF137)),NA(), AF136)</f>
        <v>0</v>
      </c>
      <c r="AG202">
        <f>IF(ISNA(AH202),NA(),AG136)</f>
        <v>0</v>
      </c>
      <c r="AH202">
        <f>IF(OR(AH136="",AND(AH136=AH135,AH136=AH137)),NA(), AH136)</f>
        <v>0</v>
      </c>
      <c r="AI202">
        <f>IF(ISNA(AJ202),NA(),AI136)</f>
        <v>0</v>
      </c>
      <c r="AJ202">
        <f>IF(OR(AJ136="",AND(AJ136=AJ135,AJ136=AJ137)),NA(), AJ136)</f>
        <v>0</v>
      </c>
      <c r="AK202">
        <f>IF(ISNA(AL202),NA(),AK136)</f>
        <v>0</v>
      </c>
      <c r="AL202">
        <f>IF(OR(AL136="",AND(AL136=AL135,AL136=AL137)),NA(), AL136)</f>
        <v>0</v>
      </c>
      <c r="AM202">
        <f>IF(ISNA(AN202),NA(),AM136)</f>
        <v>0</v>
      </c>
      <c r="AN202">
        <f>IF(OR(AN136="",AND(AN136=AN135,AN136=AN137)),NA(), AN136)</f>
        <v>0</v>
      </c>
      <c r="AO202">
        <f>IF(ISNA(AP202),NA(),AO136)</f>
        <v>0</v>
      </c>
      <c r="AP202">
        <f>IF(OR(AP136="",AND(AP136=AP135,AP136=AP137)),NA(), AP136)</f>
        <v>0</v>
      </c>
      <c r="AQ202">
        <f>IF(ISNA(AR202),NA(),AQ136)</f>
        <v>0</v>
      </c>
      <c r="AR202">
        <f>IF(OR(AR136="",AND(AR136=AR135,AR136=AR137)),NA(), AR136)</f>
        <v>0</v>
      </c>
      <c r="AS202">
        <f>IF(ISNA(AT202),NA(),AS136)</f>
        <v>0</v>
      </c>
      <c r="AT202">
        <f>IF(OR(AT136="",AND(AT136=AT135,AT136=AT137)),NA(), AT136)</f>
        <v>0</v>
      </c>
      <c r="AU202">
        <f>IF(ISNA(AV202),NA(),AU136)</f>
        <v>0</v>
      </c>
      <c r="AV202">
        <f>IF(OR(AV136="",AND(AV136=AV135,AV136=AV137)),NA(), AV136)</f>
        <v>0</v>
      </c>
      <c r="AW202">
        <f>IF(ISNA(AX202),NA(),AW136)</f>
        <v>0</v>
      </c>
      <c r="AX202">
        <f>IF(OR(AX136="",AND(AX136=AX135,AX136=AX137)),NA(), AX136)</f>
        <v>0</v>
      </c>
      <c r="AY202">
        <f>IF(ISNA(AZ202),NA(),AY136)</f>
        <v>0</v>
      </c>
      <c r="AZ202">
        <f>IF(OR(AZ136="",AND(AZ136=AZ135,AZ136=AZ137)),NA(), AZ136)</f>
        <v>0</v>
      </c>
      <c r="BA202">
        <f>IF(ISNA(BB202),NA(),BA136)</f>
        <v>0</v>
      </c>
      <c r="BB202">
        <f>IF(OR(BB136="",AND(BB136=BB135,BB136=BB137)),NA(), BB136)</f>
        <v>0</v>
      </c>
      <c r="BC202">
        <f>IF(ISNA(BD202),NA(),BC136)</f>
        <v>0</v>
      </c>
      <c r="BD202">
        <f>IF(OR(BD136="",AND(BD136=BD135,BD136=BD137)),NA(), BD136)</f>
        <v>0</v>
      </c>
      <c r="BE202">
        <f>IF(ISNA(BF202),NA(),BE136)</f>
        <v>0</v>
      </c>
      <c r="BF202">
        <f>IF(OR(BF136="",AND(BF136=BF135,BF136=BF137)),NA(), BF136)</f>
        <v>0</v>
      </c>
      <c r="BG202">
        <f>IF(ISNA(BH202),NA(),BG136)</f>
        <v>0</v>
      </c>
      <c r="BH202">
        <f>IF(OR(BH136="",AND(BH136=BH135,BH136=BH137)),NA(), BH136)</f>
        <v>0</v>
      </c>
      <c r="BI202">
        <f>IF(ISNA(BJ202),NA(),BI136)</f>
        <v>0</v>
      </c>
      <c r="BJ202">
        <f>IF(OR(BJ136="",AND(BJ136=BJ135,BJ136=BJ137)),NA(), BJ136)</f>
        <v>0</v>
      </c>
      <c r="BK202">
        <f>IF(ISNA(BL202),NA(),BK136)</f>
        <v>0</v>
      </c>
      <c r="BL202">
        <f>IF(OR(BL136="",AND(BL136=BL135,BL136=BL137)),NA(), BL136)</f>
        <v>0</v>
      </c>
      <c r="BM202">
        <f>IF(ISNA(BN202),NA(),BM136)</f>
        <v>0</v>
      </c>
      <c r="BN202">
        <f>IF(OR(BN136="",AND(BN136=BN135,BN136=BN137)),NA(), BN136)</f>
        <v>0</v>
      </c>
      <c r="BO202">
        <f>IF(ISNA(BP202),NA(),BO136)</f>
        <v>0</v>
      </c>
      <c r="BP202">
        <f>IF(OR(BP136="",AND(BP136=BP135,BP136=BP137)),NA(), BP136)</f>
        <v>0</v>
      </c>
      <c r="BS202">
        <f>IF(ISNA(BT202),NA(),BS136)</f>
        <v>0</v>
      </c>
      <c r="BT202">
        <f>IF(OR(BT136="",AND(BT136=BT135,BT136=BT137)),NA(), BT136)</f>
        <v>0</v>
      </c>
      <c r="BU202">
        <f>IF(ISNA(BV202),NA(),BU136)</f>
        <v>0</v>
      </c>
      <c r="BV202">
        <f>IF(OR(BV136="",AND(BV136=BV135,BV136=BV137)),NA(), BV136)</f>
        <v>0</v>
      </c>
      <c r="BW202">
        <f>IF(ISNA(BX202),NA(),BW136)</f>
        <v>0</v>
      </c>
      <c r="BX202">
        <f>IF(OR(BX136="",AND(BX136=BX135,BX136=BX137)),NA(), BX136)</f>
        <v>0</v>
      </c>
      <c r="BY202">
        <f>IF(ISNA(BZ202),NA(),BY136)</f>
        <v>0</v>
      </c>
      <c r="BZ202">
        <f>IF(OR(BZ136="",AND(BZ136=BZ135,BZ136=BZ137)),NA(), BZ136)</f>
        <v>0</v>
      </c>
      <c r="CA202">
        <f>IF(ISNA(CB202),NA(),CA136)</f>
        <v>0</v>
      </c>
      <c r="CB202">
        <f>IF(OR(CB136="",AND(CB136=CB135,CB136=CB137)),NA(), CB136)</f>
        <v>0</v>
      </c>
      <c r="CC202">
        <f>IF(ISNA(CD202),NA(),CC136)</f>
        <v>0</v>
      </c>
      <c r="CD202">
        <f>IF(OR(CD136="",AND(CD136=CD135,CD136=CD137)),NA(), CD136)</f>
        <v>0</v>
      </c>
      <c r="CE202">
        <f>IF(ISNA(CF202),NA(),CE136)</f>
        <v>0</v>
      </c>
      <c r="CF202">
        <f>IF(OR(CF136="",AND(CF136=CF135,CF136=CF137)),NA(), CF136)</f>
        <v>0</v>
      </c>
      <c r="CG202">
        <f>IF(ISNA(CH202),NA(),CG136)</f>
        <v>0</v>
      </c>
      <c r="CH202">
        <f>IF(OR(CH136="",AND(CH136=CH135,CH136=CH137)),NA(), CH136)</f>
        <v>0</v>
      </c>
      <c r="CI202">
        <f>IF(ISNA(CJ202),NA(),CI136)</f>
        <v>0</v>
      </c>
      <c r="CJ202">
        <f>IF(OR(CJ136="",AND(CJ136=CJ135,CJ136=CJ137)),NA(), CJ136)</f>
        <v>0</v>
      </c>
      <c r="CK202">
        <f>IF(ISNA(CL202),NA(),CK136)</f>
        <v>0</v>
      </c>
      <c r="CL202">
        <f>IF(OR(CL136="",AND(CL136=CL135,CL136=CL137)),NA(), CL136)</f>
        <v>0</v>
      </c>
      <c r="CM202">
        <f>IF(ISNA(CN202),NA(),CM136)</f>
        <v>0</v>
      </c>
      <c r="CN202">
        <f>IF(OR(CN136="",AND(CN136=CN135,CN136=CN137)),NA(), CN136)</f>
        <v>0</v>
      </c>
      <c r="CO202">
        <f>IF(ISNA(CP202),NA(),CO136)</f>
        <v>0</v>
      </c>
      <c r="CP202">
        <f>IF(OR(CP136="",AND(CP136=CP135,CP136=CP137)),NA(), CP136)</f>
        <v>0</v>
      </c>
      <c r="CQ202">
        <f>IF(ISNA(CR202),NA(),CQ136)</f>
        <v>0</v>
      </c>
      <c r="CR202">
        <f>IF(OR(CR136="",AND(CR136=CR135,CR136=CR137)),NA(), CR136)</f>
        <v>0</v>
      </c>
      <c r="CS202">
        <f>IF(ISNA(CT202),NA(),CS136)</f>
        <v>0</v>
      </c>
      <c r="CT202">
        <f>IF(OR(CT136="",AND(CT136=CT135,CT136=CT137)),NA(), CT136)</f>
        <v>0</v>
      </c>
      <c r="CU202">
        <f>IF(ISNA(CV202),NA(),CU136)</f>
        <v>0</v>
      </c>
      <c r="CV202">
        <f>IF(OR(CV136="",AND(CV136=CV135,CV136=CV137)),NA(), CV136)</f>
        <v>0</v>
      </c>
      <c r="CW202">
        <f>IF(ISNA(CX202),NA(),CW136)</f>
        <v>0</v>
      </c>
      <c r="CX202">
        <f>IF(OR(CX136="",AND(CX136=CX135,CX136=CX137)),NA(), CX136)</f>
        <v>0</v>
      </c>
      <c r="CY202">
        <f>IF(ISNA(CZ202),NA(),CY136)</f>
        <v>0</v>
      </c>
      <c r="CZ202">
        <f>IF(OR(CZ136="",AND(CZ136=CZ135,CZ136=CZ137)),NA(), CZ136)</f>
        <v>0</v>
      </c>
      <c r="DA202">
        <f>IF(ISNA(DB202),NA(),DA136)</f>
        <v>0</v>
      </c>
      <c r="DB202">
        <f>IF(OR(DB136="",AND(DB136=DB135,DB136=DB137)),NA(), DB136)</f>
        <v>0</v>
      </c>
      <c r="DC202">
        <f>IF(ISNA(DD202),NA(),DC136)</f>
        <v>0</v>
      </c>
      <c r="DD202">
        <f>IF(OR(DD136="",AND(DD136=DD135,DD136=DD137)),NA(), DD136)</f>
        <v>0</v>
      </c>
      <c r="DE202">
        <f>IF(ISNA(DF202),NA(),DE136)</f>
        <v>0</v>
      </c>
      <c r="DF202">
        <f>IF(OR(DF136="",AND(DF136=DF135,DF136=DF137)),NA(), DF136)</f>
        <v>0</v>
      </c>
      <c r="DG202">
        <f>IF(ISNA(DH202),NA(),DG136)</f>
        <v>0</v>
      </c>
      <c r="DH202">
        <f>IF(OR(DH136="",AND(DH136=DH135,DH136=DH137)),NA(), DH136)</f>
        <v>0</v>
      </c>
      <c r="DI202">
        <f>IF(ISNA(DJ202),NA(),DI136)</f>
        <v>0</v>
      </c>
      <c r="DJ202">
        <f>IF(OR(DJ136="",AND(DJ136=DJ135,DJ136=DJ137)),NA(), DJ136)</f>
        <v>0</v>
      </c>
      <c r="DK202">
        <f>IF(ISNA(DL202),NA(),DK136)</f>
        <v>0</v>
      </c>
      <c r="DL202">
        <f>IF(OR(DL136="",AND(DL136=DL135,DL136=DL137)),NA(), DL136)</f>
        <v>0</v>
      </c>
      <c r="DM202">
        <f>IF(ISNA(DN202),NA(),DM136)</f>
        <v>0</v>
      </c>
      <c r="DN202">
        <f>IF(OR(DN136="",AND(DN136=DN135,DN136=DN137)),NA(), DN136)</f>
        <v>0</v>
      </c>
      <c r="DO202">
        <f>IF(ISNA(DP202),NA(),DO136)</f>
        <v>0</v>
      </c>
      <c r="DP202">
        <f>IF(OR(DP136="",AND(DP136=DP135,DP136=DP137)),NA(), DP136)</f>
        <v>0</v>
      </c>
      <c r="DQ202">
        <f>IF(ISNA(DR202),NA(),DQ136)</f>
        <v>0</v>
      </c>
      <c r="DR202">
        <f>IF(OR(DR136="",AND(DR136=DR135,DR136=DR137)),NA(), DR136)</f>
        <v>0</v>
      </c>
      <c r="DS202">
        <f>IF(ISNA(DT202),NA(),DS136)</f>
        <v>0</v>
      </c>
      <c r="DT202">
        <f>IF(OR(DT136="",AND(DT136=DT135,DT136=DT137)),NA(), DT136)</f>
        <v>0</v>
      </c>
      <c r="DU202">
        <f>IF(ISNA(DV202),NA(),DU136)</f>
        <v>0</v>
      </c>
      <c r="DV202">
        <f>IF(OR(DV136="",AND(DV136=DV135,DV136=DV137)),NA(), DV136)</f>
        <v>0</v>
      </c>
      <c r="DW202">
        <f>IF(ISNA(DX202),NA(),DW136)</f>
        <v>0</v>
      </c>
      <c r="DX202">
        <f>IF(OR(DX136="",AND(DX136=DX135,DX136=DX137)),NA(), DX136)</f>
        <v>0</v>
      </c>
      <c r="DY202">
        <f>IF(ISNA(DZ202),NA(),DY136)</f>
        <v>0</v>
      </c>
      <c r="DZ202">
        <f>IF(OR(DZ136="",AND(DZ136=DZ135,DZ136=DZ137)),NA(), DZ136)</f>
        <v>0</v>
      </c>
      <c r="EA202">
        <f>IF(ISNA(EB202),NA(),EA136)</f>
        <v>0</v>
      </c>
      <c r="EB202">
        <f>IF(OR(EB136="",AND(EB136=EB135,EB136=EB137)),NA(), EB136)</f>
        <v>0</v>
      </c>
      <c r="EC202">
        <f>IF(ISNA(ED202),NA(),EC136)</f>
        <v>0</v>
      </c>
      <c r="ED202">
        <f>IF(OR(ED136="",AND(ED136=ED135,ED136=ED137)),NA(), ED136)</f>
        <v>0</v>
      </c>
    </row>
    <row r="203" spans="5:134">
      <c r="E203">
        <f>IF(ISNA(F203),NA(),E137)</f>
        <v>0</v>
      </c>
      <c r="F203">
        <f>IF(OR(F137="",AND(F137=F136,F137=F138)),NA(), F137)</f>
        <v>0</v>
      </c>
      <c r="G203">
        <f>IF(ISNA(H203),NA(),G137)</f>
        <v>0</v>
      </c>
      <c r="H203">
        <f>IF(OR(H137="",AND(H137=H136,H137=H138)),NA(), H137)</f>
        <v>0</v>
      </c>
      <c r="I203">
        <f>IF(ISNA(J203),NA(),I137)</f>
        <v>0</v>
      </c>
      <c r="J203">
        <f>IF(OR(J137="",AND(J137=J136,J137=J138)),NA(), J137)</f>
        <v>0</v>
      </c>
      <c r="K203">
        <f>IF(ISNA(L203),NA(),K137)</f>
        <v>0</v>
      </c>
      <c r="L203">
        <f>IF(OR(L137="",AND(L137=L136,L137=L138)),NA(), L137)</f>
        <v>0</v>
      </c>
      <c r="M203">
        <f>IF(ISNA(N203),NA(),M137)</f>
        <v>0</v>
      </c>
      <c r="N203">
        <f>IF(OR(N137="",AND(N137=N136,N137=N138)),NA(), N137)</f>
        <v>0</v>
      </c>
      <c r="O203">
        <f>IF(ISNA(P203),NA(),O137)</f>
        <v>0</v>
      </c>
      <c r="P203">
        <f>IF(OR(P137="",AND(P137=P136,P137=P138)),NA(), P137)</f>
        <v>0</v>
      </c>
      <c r="Q203">
        <f>IF(ISNA(R203),NA(),Q137)</f>
        <v>0</v>
      </c>
      <c r="R203">
        <f>IF(OR(R137="",AND(R137=R136,R137=R138)),NA(), R137)</f>
        <v>0</v>
      </c>
      <c r="S203">
        <f>IF(ISNA(T203),NA(),S137)</f>
        <v>0</v>
      </c>
      <c r="T203">
        <f>IF(OR(T137="",AND(T137=T136,T137=T138)),NA(), T137)</f>
        <v>0</v>
      </c>
      <c r="U203">
        <f>IF(ISNA(V203),NA(),U137)</f>
        <v>0</v>
      </c>
      <c r="V203">
        <f>IF(OR(V137="",AND(V137=V136,V137=V138)),NA(), V137)</f>
        <v>0</v>
      </c>
      <c r="W203">
        <f>IF(ISNA(X203),NA(),W137)</f>
        <v>0</v>
      </c>
      <c r="X203">
        <f>IF(OR(X137="",AND(X137=X136,X137=X138)),NA(), X137)</f>
        <v>0</v>
      </c>
      <c r="Y203">
        <f>IF(ISNA(Z203),NA(),Y137)</f>
        <v>0</v>
      </c>
      <c r="Z203">
        <f>IF(OR(Z137="",AND(Z137=Z136,Z137=Z138)),NA(), Z137)</f>
        <v>0</v>
      </c>
      <c r="AA203">
        <f>IF(ISNA(AB203),NA(),AA137)</f>
        <v>0</v>
      </c>
      <c r="AB203">
        <f>IF(OR(AB137="",AND(AB137=AB136,AB137=AB138)),NA(), AB137)</f>
        <v>0</v>
      </c>
      <c r="AC203">
        <f>IF(ISNA(AD203),NA(),AC137)</f>
        <v>0</v>
      </c>
      <c r="AD203">
        <f>IF(OR(AD137="",AND(AD137=AD136,AD137=AD138)),NA(), AD137)</f>
        <v>0</v>
      </c>
      <c r="AE203">
        <f>IF(ISNA(AF203),NA(),AE137)</f>
        <v>0</v>
      </c>
      <c r="AF203">
        <f>IF(OR(AF137="",AND(AF137=AF136,AF137=AF138)),NA(), AF137)</f>
        <v>0</v>
      </c>
      <c r="AG203">
        <f>IF(ISNA(AH203),NA(),AG137)</f>
        <v>0</v>
      </c>
      <c r="AH203">
        <f>IF(OR(AH137="",AND(AH137=AH136,AH137=AH138)),NA(), AH137)</f>
        <v>0</v>
      </c>
      <c r="AI203">
        <f>IF(ISNA(AJ203),NA(),AI137)</f>
        <v>0</v>
      </c>
      <c r="AJ203">
        <f>IF(OR(AJ137="",AND(AJ137=AJ136,AJ137=AJ138)),NA(), AJ137)</f>
        <v>0</v>
      </c>
      <c r="AK203">
        <f>IF(ISNA(AL203),NA(),AK137)</f>
        <v>0</v>
      </c>
      <c r="AL203">
        <f>IF(OR(AL137="",AND(AL137=AL136,AL137=AL138)),NA(), AL137)</f>
        <v>0</v>
      </c>
      <c r="AM203">
        <f>IF(ISNA(AN203),NA(),AM137)</f>
        <v>0</v>
      </c>
      <c r="AN203">
        <f>IF(OR(AN137="",AND(AN137=AN136,AN137=AN138)),NA(), AN137)</f>
        <v>0</v>
      </c>
      <c r="AO203">
        <f>IF(ISNA(AP203),NA(),AO137)</f>
        <v>0</v>
      </c>
      <c r="AP203">
        <f>IF(OR(AP137="",AND(AP137=AP136,AP137=AP138)),NA(), AP137)</f>
        <v>0</v>
      </c>
      <c r="AQ203">
        <f>IF(ISNA(AR203),NA(),AQ137)</f>
        <v>0</v>
      </c>
      <c r="AR203">
        <f>IF(OR(AR137="",AND(AR137=AR136,AR137=AR138)),NA(), AR137)</f>
        <v>0</v>
      </c>
      <c r="AS203">
        <f>IF(ISNA(AT203),NA(),AS137)</f>
        <v>0</v>
      </c>
      <c r="AT203">
        <f>IF(OR(AT137="",AND(AT137=AT136,AT137=AT138)),NA(), AT137)</f>
        <v>0</v>
      </c>
      <c r="AU203">
        <f>IF(ISNA(AV203),NA(),AU137)</f>
        <v>0</v>
      </c>
      <c r="AV203">
        <f>IF(OR(AV137="",AND(AV137=AV136,AV137=AV138)),NA(), AV137)</f>
        <v>0</v>
      </c>
      <c r="AW203">
        <f>IF(ISNA(AX203),NA(),AW137)</f>
        <v>0</v>
      </c>
      <c r="AX203">
        <f>IF(OR(AX137="",AND(AX137=AX136,AX137=AX138)),NA(), AX137)</f>
        <v>0</v>
      </c>
      <c r="AY203">
        <f>IF(ISNA(AZ203),NA(),AY137)</f>
        <v>0</v>
      </c>
      <c r="AZ203">
        <f>IF(OR(AZ137="",AND(AZ137=AZ136,AZ137=AZ138)),NA(), AZ137)</f>
        <v>0</v>
      </c>
      <c r="BA203">
        <f>IF(ISNA(BB203),NA(),BA137)</f>
        <v>0</v>
      </c>
      <c r="BB203">
        <f>IF(OR(BB137="",AND(BB137=BB136,BB137=BB138)),NA(), BB137)</f>
        <v>0</v>
      </c>
      <c r="BC203">
        <f>IF(ISNA(BD203),NA(),BC137)</f>
        <v>0</v>
      </c>
      <c r="BD203">
        <f>IF(OR(BD137="",AND(BD137=BD136,BD137=BD138)),NA(), BD137)</f>
        <v>0</v>
      </c>
      <c r="BE203">
        <f>IF(ISNA(BF203),NA(),BE137)</f>
        <v>0</v>
      </c>
      <c r="BF203">
        <f>IF(OR(BF137="",AND(BF137=BF136,BF137=BF138)),NA(), BF137)</f>
        <v>0</v>
      </c>
      <c r="BG203">
        <f>IF(ISNA(BH203),NA(),BG137)</f>
        <v>0</v>
      </c>
      <c r="BH203">
        <f>IF(OR(BH137="",AND(BH137=BH136,BH137=BH138)),NA(), BH137)</f>
        <v>0</v>
      </c>
      <c r="BI203">
        <f>IF(ISNA(BJ203),NA(),BI137)</f>
        <v>0</v>
      </c>
      <c r="BJ203">
        <f>IF(OR(BJ137="",AND(BJ137=BJ136,BJ137=BJ138)),NA(), BJ137)</f>
        <v>0</v>
      </c>
      <c r="BK203">
        <f>IF(ISNA(BL203),NA(),BK137)</f>
        <v>0</v>
      </c>
      <c r="BL203">
        <f>IF(OR(BL137="",AND(BL137=BL136,BL137=BL138)),NA(), BL137)</f>
        <v>0</v>
      </c>
      <c r="BM203">
        <f>IF(ISNA(BN203),NA(),BM137)</f>
        <v>0</v>
      </c>
      <c r="BN203">
        <f>IF(OR(BN137="",AND(BN137=BN136,BN137=BN138)),NA(), BN137)</f>
        <v>0</v>
      </c>
      <c r="BO203">
        <f>IF(ISNA(BP203),NA(),BO137)</f>
        <v>0</v>
      </c>
      <c r="BP203">
        <f>IF(OR(BP137="",AND(BP137=BP136,BP137=BP138)),NA(), BP137)</f>
        <v>0</v>
      </c>
      <c r="BS203">
        <f>IF(ISNA(BT203),NA(),BS137)</f>
        <v>0</v>
      </c>
      <c r="BT203">
        <f>IF(OR(BT137="",AND(BT137=BT136,BT137=BT138)),NA(), BT137)</f>
        <v>0</v>
      </c>
      <c r="BU203">
        <f>IF(ISNA(BV203),NA(),BU137)</f>
        <v>0</v>
      </c>
      <c r="BV203">
        <f>IF(OR(BV137="",AND(BV137=BV136,BV137=BV138)),NA(), BV137)</f>
        <v>0</v>
      </c>
      <c r="BW203">
        <f>IF(ISNA(BX203),NA(),BW137)</f>
        <v>0</v>
      </c>
      <c r="BX203">
        <f>IF(OR(BX137="",AND(BX137=BX136,BX137=BX138)),NA(), BX137)</f>
        <v>0</v>
      </c>
      <c r="BY203">
        <f>IF(ISNA(BZ203),NA(),BY137)</f>
        <v>0</v>
      </c>
      <c r="BZ203">
        <f>IF(OR(BZ137="",AND(BZ137=BZ136,BZ137=BZ138)),NA(), BZ137)</f>
        <v>0</v>
      </c>
      <c r="CA203">
        <f>IF(ISNA(CB203),NA(),CA137)</f>
        <v>0</v>
      </c>
      <c r="CB203">
        <f>IF(OR(CB137="",AND(CB137=CB136,CB137=CB138)),NA(), CB137)</f>
        <v>0</v>
      </c>
      <c r="CC203">
        <f>IF(ISNA(CD203),NA(),CC137)</f>
        <v>0</v>
      </c>
      <c r="CD203">
        <f>IF(OR(CD137="",AND(CD137=CD136,CD137=CD138)),NA(), CD137)</f>
        <v>0</v>
      </c>
      <c r="CE203">
        <f>IF(ISNA(CF203),NA(),CE137)</f>
        <v>0</v>
      </c>
      <c r="CF203">
        <f>IF(OR(CF137="",AND(CF137=CF136,CF137=CF138)),NA(), CF137)</f>
        <v>0</v>
      </c>
      <c r="CG203">
        <f>IF(ISNA(CH203),NA(),CG137)</f>
        <v>0</v>
      </c>
      <c r="CH203">
        <f>IF(OR(CH137="",AND(CH137=CH136,CH137=CH138)),NA(), CH137)</f>
        <v>0</v>
      </c>
      <c r="CI203">
        <f>IF(ISNA(CJ203),NA(),CI137)</f>
        <v>0</v>
      </c>
      <c r="CJ203">
        <f>IF(OR(CJ137="",AND(CJ137=CJ136,CJ137=CJ138)),NA(), CJ137)</f>
        <v>0</v>
      </c>
      <c r="CK203">
        <f>IF(ISNA(CL203),NA(),CK137)</f>
        <v>0</v>
      </c>
      <c r="CL203">
        <f>IF(OR(CL137="",AND(CL137=CL136,CL137=CL138)),NA(), CL137)</f>
        <v>0</v>
      </c>
      <c r="CM203">
        <f>IF(ISNA(CN203),NA(),CM137)</f>
        <v>0</v>
      </c>
      <c r="CN203">
        <f>IF(OR(CN137="",AND(CN137=CN136,CN137=CN138)),NA(), CN137)</f>
        <v>0</v>
      </c>
      <c r="CO203">
        <f>IF(ISNA(CP203),NA(),CO137)</f>
        <v>0</v>
      </c>
      <c r="CP203">
        <f>IF(OR(CP137="",AND(CP137=CP136,CP137=CP138)),NA(), CP137)</f>
        <v>0</v>
      </c>
      <c r="CQ203">
        <f>IF(ISNA(CR203),NA(),CQ137)</f>
        <v>0</v>
      </c>
      <c r="CR203">
        <f>IF(OR(CR137="",AND(CR137=CR136,CR137=CR138)),NA(), CR137)</f>
        <v>0</v>
      </c>
      <c r="CS203">
        <f>IF(ISNA(CT203),NA(),CS137)</f>
        <v>0</v>
      </c>
      <c r="CT203">
        <f>IF(OR(CT137="",AND(CT137=CT136,CT137=CT138)),NA(), CT137)</f>
        <v>0</v>
      </c>
      <c r="CU203">
        <f>IF(ISNA(CV203),NA(),CU137)</f>
        <v>0</v>
      </c>
      <c r="CV203">
        <f>IF(OR(CV137="",AND(CV137=CV136,CV137=CV138)),NA(), CV137)</f>
        <v>0</v>
      </c>
      <c r="CW203">
        <f>IF(ISNA(CX203),NA(),CW137)</f>
        <v>0</v>
      </c>
      <c r="CX203">
        <f>IF(OR(CX137="",AND(CX137=CX136,CX137=CX138)),NA(), CX137)</f>
        <v>0</v>
      </c>
      <c r="CY203">
        <f>IF(ISNA(CZ203),NA(),CY137)</f>
        <v>0</v>
      </c>
      <c r="CZ203">
        <f>IF(OR(CZ137="",AND(CZ137=CZ136,CZ137=CZ138)),NA(), CZ137)</f>
        <v>0</v>
      </c>
      <c r="DA203">
        <f>IF(ISNA(DB203),NA(),DA137)</f>
        <v>0</v>
      </c>
      <c r="DB203">
        <f>IF(OR(DB137="",AND(DB137=DB136,DB137=DB138)),NA(), DB137)</f>
        <v>0</v>
      </c>
      <c r="DC203">
        <f>IF(ISNA(DD203),NA(),DC137)</f>
        <v>0</v>
      </c>
      <c r="DD203">
        <f>IF(OR(DD137="",AND(DD137=DD136,DD137=DD138)),NA(), DD137)</f>
        <v>0</v>
      </c>
      <c r="DE203">
        <f>IF(ISNA(DF203),NA(),DE137)</f>
        <v>0</v>
      </c>
      <c r="DF203">
        <f>IF(OR(DF137="",AND(DF137=DF136,DF137=DF138)),NA(), DF137)</f>
        <v>0</v>
      </c>
      <c r="DG203">
        <f>IF(ISNA(DH203),NA(),DG137)</f>
        <v>0</v>
      </c>
      <c r="DH203">
        <f>IF(OR(DH137="",AND(DH137=DH136,DH137=DH138)),NA(), DH137)</f>
        <v>0</v>
      </c>
      <c r="DI203">
        <f>IF(ISNA(DJ203),NA(),DI137)</f>
        <v>0</v>
      </c>
      <c r="DJ203">
        <f>IF(OR(DJ137="",AND(DJ137=DJ136,DJ137=DJ138)),NA(), DJ137)</f>
        <v>0</v>
      </c>
      <c r="DK203">
        <f>IF(ISNA(DL203),NA(),DK137)</f>
        <v>0</v>
      </c>
      <c r="DL203">
        <f>IF(OR(DL137="",AND(DL137=DL136,DL137=DL138)),NA(), DL137)</f>
        <v>0</v>
      </c>
      <c r="DM203">
        <f>IF(ISNA(DN203),NA(),DM137)</f>
        <v>0</v>
      </c>
      <c r="DN203">
        <f>IF(OR(DN137="",AND(DN137=DN136,DN137=DN138)),NA(), DN137)</f>
        <v>0</v>
      </c>
      <c r="DO203">
        <f>IF(ISNA(DP203),NA(),DO137)</f>
        <v>0</v>
      </c>
      <c r="DP203">
        <f>IF(OR(DP137="",AND(DP137=DP136,DP137=DP138)),NA(), DP137)</f>
        <v>0</v>
      </c>
      <c r="DQ203">
        <f>IF(ISNA(DR203),NA(),DQ137)</f>
        <v>0</v>
      </c>
      <c r="DR203">
        <f>IF(OR(DR137="",AND(DR137=DR136,DR137=DR138)),NA(), DR137)</f>
        <v>0</v>
      </c>
      <c r="DS203">
        <f>IF(ISNA(DT203),NA(),DS137)</f>
        <v>0</v>
      </c>
      <c r="DT203">
        <f>IF(OR(DT137="",AND(DT137=DT136,DT137=DT138)),NA(), DT137)</f>
        <v>0</v>
      </c>
      <c r="DU203">
        <f>IF(ISNA(DV203),NA(),DU137)</f>
        <v>0</v>
      </c>
      <c r="DV203">
        <f>IF(OR(DV137="",AND(DV137=DV136,DV137=DV138)),NA(), DV137)</f>
        <v>0</v>
      </c>
      <c r="DW203">
        <f>IF(ISNA(DX203),NA(),DW137)</f>
        <v>0</v>
      </c>
      <c r="DX203">
        <f>IF(OR(DX137="",AND(DX137=DX136,DX137=DX138)),NA(), DX137)</f>
        <v>0</v>
      </c>
      <c r="DY203">
        <f>IF(ISNA(DZ203),NA(),DY137)</f>
        <v>0</v>
      </c>
      <c r="DZ203">
        <f>IF(OR(DZ137="",AND(DZ137=DZ136,DZ137=DZ138)),NA(), DZ137)</f>
        <v>0</v>
      </c>
      <c r="EA203">
        <f>IF(ISNA(EB203),NA(),EA137)</f>
        <v>0</v>
      </c>
      <c r="EB203">
        <f>IF(OR(EB137="",AND(EB137=EB136,EB137=EB138)),NA(), EB137)</f>
        <v>0</v>
      </c>
      <c r="EC203">
        <f>IF(ISNA(ED203),NA(),EC137)</f>
        <v>0</v>
      </c>
      <c r="ED203">
        <f>IF(OR(ED137="",AND(ED137=ED136,ED137=ED138)),NA(), ED137)</f>
        <v>0</v>
      </c>
    </row>
    <row r="204" spans="5:134">
      <c r="E204">
        <f>IF(ISNA(F204),NA(),E138)</f>
        <v>0</v>
      </c>
      <c r="F204">
        <f>IF(OR(F138="",AND(F138=F137,F138=F139)),NA(), F138)</f>
        <v>0</v>
      </c>
      <c r="G204">
        <f>IF(ISNA(H204),NA(),G138)</f>
        <v>0</v>
      </c>
      <c r="H204">
        <f>IF(OR(H138="",AND(H138=H137,H138=H139)),NA(), H138)</f>
        <v>0</v>
      </c>
      <c r="I204">
        <f>IF(ISNA(J204),NA(),I138)</f>
        <v>0</v>
      </c>
      <c r="J204">
        <f>IF(OR(J138="",AND(J138=J137,J138=J139)),NA(), J138)</f>
        <v>0</v>
      </c>
      <c r="K204">
        <f>IF(ISNA(L204),NA(),K138)</f>
        <v>0</v>
      </c>
      <c r="L204">
        <f>IF(OR(L138="",AND(L138=L137,L138=L139)),NA(), L138)</f>
        <v>0</v>
      </c>
      <c r="M204">
        <f>IF(ISNA(N204),NA(),M138)</f>
        <v>0</v>
      </c>
      <c r="N204">
        <f>IF(OR(N138="",AND(N138=N137,N138=N139)),NA(), N138)</f>
        <v>0</v>
      </c>
      <c r="O204">
        <f>IF(ISNA(P204),NA(),O138)</f>
        <v>0</v>
      </c>
      <c r="P204">
        <f>IF(OR(P138="",AND(P138=P137,P138=P139)),NA(), P138)</f>
        <v>0</v>
      </c>
      <c r="Q204">
        <f>IF(ISNA(R204),NA(),Q138)</f>
        <v>0</v>
      </c>
      <c r="R204">
        <f>IF(OR(R138="",AND(R138=R137,R138=R139)),NA(), R138)</f>
        <v>0</v>
      </c>
      <c r="S204">
        <f>IF(ISNA(T204),NA(),S138)</f>
        <v>0</v>
      </c>
      <c r="T204">
        <f>IF(OR(T138="",AND(T138=T137,T138=T139)),NA(), T138)</f>
        <v>0</v>
      </c>
      <c r="U204">
        <f>IF(ISNA(V204),NA(),U138)</f>
        <v>0</v>
      </c>
      <c r="V204">
        <f>IF(OR(V138="",AND(V138=V137,V138=V139)),NA(), V138)</f>
        <v>0</v>
      </c>
      <c r="W204">
        <f>IF(ISNA(X204),NA(),W138)</f>
        <v>0</v>
      </c>
      <c r="X204">
        <f>IF(OR(X138="",AND(X138=X137,X138=X139)),NA(), X138)</f>
        <v>0</v>
      </c>
      <c r="Y204">
        <f>IF(ISNA(Z204),NA(),Y138)</f>
        <v>0</v>
      </c>
      <c r="Z204">
        <f>IF(OR(Z138="",AND(Z138=Z137,Z138=Z139)),NA(), Z138)</f>
        <v>0</v>
      </c>
      <c r="AA204">
        <f>IF(ISNA(AB204),NA(),AA138)</f>
        <v>0</v>
      </c>
      <c r="AB204">
        <f>IF(OR(AB138="",AND(AB138=AB137,AB138=AB139)),NA(), AB138)</f>
        <v>0</v>
      </c>
      <c r="AC204">
        <f>IF(ISNA(AD204),NA(),AC138)</f>
        <v>0</v>
      </c>
      <c r="AD204">
        <f>IF(OR(AD138="",AND(AD138=AD137,AD138=AD139)),NA(), AD138)</f>
        <v>0</v>
      </c>
      <c r="AE204">
        <f>IF(ISNA(AF204),NA(),AE138)</f>
        <v>0</v>
      </c>
      <c r="AF204">
        <f>IF(OR(AF138="",AND(AF138=AF137,AF138=AF139)),NA(), AF138)</f>
        <v>0</v>
      </c>
      <c r="AG204">
        <f>IF(ISNA(AH204),NA(),AG138)</f>
        <v>0</v>
      </c>
      <c r="AH204">
        <f>IF(OR(AH138="",AND(AH138=AH137,AH138=AH139)),NA(), AH138)</f>
        <v>0</v>
      </c>
      <c r="AI204">
        <f>IF(ISNA(AJ204),NA(),AI138)</f>
        <v>0</v>
      </c>
      <c r="AJ204">
        <f>IF(OR(AJ138="",AND(AJ138=AJ137,AJ138=AJ139)),NA(), AJ138)</f>
        <v>0</v>
      </c>
      <c r="AK204">
        <f>IF(ISNA(AL204),NA(),AK138)</f>
        <v>0</v>
      </c>
      <c r="AL204">
        <f>IF(OR(AL138="",AND(AL138=AL137,AL138=AL139)),NA(), AL138)</f>
        <v>0</v>
      </c>
      <c r="AM204">
        <f>IF(ISNA(AN204),NA(),AM138)</f>
        <v>0</v>
      </c>
      <c r="AN204">
        <f>IF(OR(AN138="",AND(AN138=AN137,AN138=AN139)),NA(), AN138)</f>
        <v>0</v>
      </c>
      <c r="AO204">
        <f>IF(ISNA(AP204),NA(),AO138)</f>
        <v>0</v>
      </c>
      <c r="AP204">
        <f>IF(OR(AP138="",AND(AP138=AP137,AP138=AP139)),NA(), AP138)</f>
        <v>0</v>
      </c>
      <c r="AQ204">
        <f>IF(ISNA(AR204),NA(),AQ138)</f>
        <v>0</v>
      </c>
      <c r="AR204">
        <f>IF(OR(AR138="",AND(AR138=AR137,AR138=AR139)),NA(), AR138)</f>
        <v>0</v>
      </c>
      <c r="AS204">
        <f>IF(ISNA(AT204),NA(),AS138)</f>
        <v>0</v>
      </c>
      <c r="AT204">
        <f>IF(OR(AT138="",AND(AT138=AT137,AT138=AT139)),NA(), AT138)</f>
        <v>0</v>
      </c>
      <c r="AU204">
        <f>IF(ISNA(AV204),NA(),AU138)</f>
        <v>0</v>
      </c>
      <c r="AV204">
        <f>IF(OR(AV138="",AND(AV138=AV137,AV138=AV139)),NA(), AV138)</f>
        <v>0</v>
      </c>
      <c r="AW204">
        <f>IF(ISNA(AX204),NA(),AW138)</f>
        <v>0</v>
      </c>
      <c r="AX204">
        <f>IF(OR(AX138="",AND(AX138=AX137,AX138=AX139)),NA(), AX138)</f>
        <v>0</v>
      </c>
      <c r="AY204">
        <f>IF(ISNA(AZ204),NA(),AY138)</f>
        <v>0</v>
      </c>
      <c r="AZ204">
        <f>IF(OR(AZ138="",AND(AZ138=AZ137,AZ138=AZ139)),NA(), AZ138)</f>
        <v>0</v>
      </c>
      <c r="BA204">
        <f>IF(ISNA(BB204),NA(),BA138)</f>
        <v>0</v>
      </c>
      <c r="BB204">
        <f>IF(OR(BB138="",AND(BB138=BB137,BB138=BB139)),NA(), BB138)</f>
        <v>0</v>
      </c>
      <c r="BC204">
        <f>IF(ISNA(BD204),NA(),BC138)</f>
        <v>0</v>
      </c>
      <c r="BD204">
        <f>IF(OR(BD138="",AND(BD138=BD137,BD138=BD139)),NA(), BD138)</f>
        <v>0</v>
      </c>
      <c r="BE204">
        <f>IF(ISNA(BF204),NA(),BE138)</f>
        <v>0</v>
      </c>
      <c r="BF204">
        <f>IF(OR(BF138="",AND(BF138=BF137,BF138=BF139)),NA(), BF138)</f>
        <v>0</v>
      </c>
      <c r="BG204">
        <f>IF(ISNA(BH204),NA(),BG138)</f>
        <v>0</v>
      </c>
      <c r="BH204">
        <f>IF(OR(BH138="",AND(BH138=BH137,BH138=BH139)),NA(), BH138)</f>
        <v>0</v>
      </c>
      <c r="BI204">
        <f>IF(ISNA(BJ204),NA(),BI138)</f>
        <v>0</v>
      </c>
      <c r="BJ204">
        <f>IF(OR(BJ138="",AND(BJ138=BJ137,BJ138=BJ139)),NA(), BJ138)</f>
        <v>0</v>
      </c>
      <c r="BK204">
        <f>IF(ISNA(BL204),NA(),BK138)</f>
        <v>0</v>
      </c>
      <c r="BL204">
        <f>IF(OR(BL138="",AND(BL138=BL137,BL138=BL139)),NA(), BL138)</f>
        <v>0</v>
      </c>
      <c r="BM204">
        <f>IF(ISNA(BN204),NA(),BM138)</f>
        <v>0</v>
      </c>
      <c r="BN204">
        <f>IF(OR(BN138="",AND(BN138=BN137,BN138=BN139)),NA(), BN138)</f>
        <v>0</v>
      </c>
      <c r="BO204">
        <f>IF(ISNA(BP204),NA(),BO138)</f>
        <v>0</v>
      </c>
      <c r="BP204">
        <f>IF(OR(BP138="",AND(BP138=BP137,BP138=BP139)),NA(), BP138)</f>
        <v>0</v>
      </c>
      <c r="BS204">
        <f>IF(ISNA(BT204),NA(),BS138)</f>
        <v>0</v>
      </c>
      <c r="BT204">
        <f>IF(OR(BT138="",AND(BT138=BT137,BT138=BT139)),NA(), BT138)</f>
        <v>0</v>
      </c>
      <c r="BU204">
        <f>IF(ISNA(BV204),NA(),BU138)</f>
        <v>0</v>
      </c>
      <c r="BV204">
        <f>IF(OR(BV138="",AND(BV138=BV137,BV138=BV139)),NA(), BV138)</f>
        <v>0</v>
      </c>
      <c r="BW204">
        <f>IF(ISNA(BX204),NA(),BW138)</f>
        <v>0</v>
      </c>
      <c r="BX204">
        <f>IF(OR(BX138="",AND(BX138=BX137,BX138=BX139)),NA(), BX138)</f>
        <v>0</v>
      </c>
      <c r="BY204">
        <f>IF(ISNA(BZ204),NA(),BY138)</f>
        <v>0</v>
      </c>
      <c r="BZ204">
        <f>IF(OR(BZ138="",AND(BZ138=BZ137,BZ138=BZ139)),NA(), BZ138)</f>
        <v>0</v>
      </c>
      <c r="CA204">
        <f>IF(ISNA(CB204),NA(),CA138)</f>
        <v>0</v>
      </c>
      <c r="CB204">
        <f>IF(OR(CB138="",AND(CB138=CB137,CB138=CB139)),NA(), CB138)</f>
        <v>0</v>
      </c>
      <c r="CC204">
        <f>IF(ISNA(CD204),NA(),CC138)</f>
        <v>0</v>
      </c>
      <c r="CD204">
        <f>IF(OR(CD138="",AND(CD138=CD137,CD138=CD139)),NA(), CD138)</f>
        <v>0</v>
      </c>
      <c r="CE204">
        <f>IF(ISNA(CF204),NA(),CE138)</f>
        <v>0</v>
      </c>
      <c r="CF204">
        <f>IF(OR(CF138="",AND(CF138=CF137,CF138=CF139)),NA(), CF138)</f>
        <v>0</v>
      </c>
      <c r="CG204">
        <f>IF(ISNA(CH204),NA(),CG138)</f>
        <v>0</v>
      </c>
      <c r="CH204">
        <f>IF(OR(CH138="",AND(CH138=CH137,CH138=CH139)),NA(), CH138)</f>
        <v>0</v>
      </c>
      <c r="CI204">
        <f>IF(ISNA(CJ204),NA(),CI138)</f>
        <v>0</v>
      </c>
      <c r="CJ204">
        <f>IF(OR(CJ138="",AND(CJ138=CJ137,CJ138=CJ139)),NA(), CJ138)</f>
        <v>0</v>
      </c>
      <c r="CK204">
        <f>IF(ISNA(CL204),NA(),CK138)</f>
        <v>0</v>
      </c>
      <c r="CL204">
        <f>IF(OR(CL138="",AND(CL138=CL137,CL138=CL139)),NA(), CL138)</f>
        <v>0</v>
      </c>
      <c r="CM204">
        <f>IF(ISNA(CN204),NA(),CM138)</f>
        <v>0</v>
      </c>
      <c r="CN204">
        <f>IF(OR(CN138="",AND(CN138=CN137,CN138=CN139)),NA(), CN138)</f>
        <v>0</v>
      </c>
      <c r="CO204">
        <f>IF(ISNA(CP204),NA(),CO138)</f>
        <v>0</v>
      </c>
      <c r="CP204">
        <f>IF(OR(CP138="",AND(CP138=CP137,CP138=CP139)),NA(), CP138)</f>
        <v>0</v>
      </c>
      <c r="CQ204">
        <f>IF(ISNA(CR204),NA(),CQ138)</f>
        <v>0</v>
      </c>
      <c r="CR204">
        <f>IF(OR(CR138="",AND(CR138=CR137,CR138=CR139)),NA(), CR138)</f>
        <v>0</v>
      </c>
      <c r="CS204">
        <f>IF(ISNA(CT204),NA(),CS138)</f>
        <v>0</v>
      </c>
      <c r="CT204">
        <f>IF(OR(CT138="",AND(CT138=CT137,CT138=CT139)),NA(), CT138)</f>
        <v>0</v>
      </c>
      <c r="CU204">
        <f>IF(ISNA(CV204),NA(),CU138)</f>
        <v>0</v>
      </c>
      <c r="CV204">
        <f>IF(OR(CV138="",AND(CV138=CV137,CV138=CV139)),NA(), CV138)</f>
        <v>0</v>
      </c>
      <c r="CW204">
        <f>IF(ISNA(CX204),NA(),CW138)</f>
        <v>0</v>
      </c>
      <c r="CX204">
        <f>IF(OR(CX138="",AND(CX138=CX137,CX138=CX139)),NA(), CX138)</f>
        <v>0</v>
      </c>
      <c r="CY204">
        <f>IF(ISNA(CZ204),NA(),CY138)</f>
        <v>0</v>
      </c>
      <c r="CZ204">
        <f>IF(OR(CZ138="",AND(CZ138=CZ137,CZ138=CZ139)),NA(), CZ138)</f>
        <v>0</v>
      </c>
      <c r="DA204">
        <f>IF(ISNA(DB204),NA(),DA138)</f>
        <v>0</v>
      </c>
      <c r="DB204">
        <f>IF(OR(DB138="",AND(DB138=DB137,DB138=DB139)),NA(), DB138)</f>
        <v>0</v>
      </c>
      <c r="DC204">
        <f>IF(ISNA(DD204),NA(),DC138)</f>
        <v>0</v>
      </c>
      <c r="DD204">
        <f>IF(OR(DD138="",AND(DD138=DD137,DD138=DD139)),NA(), DD138)</f>
        <v>0</v>
      </c>
      <c r="DE204">
        <f>IF(ISNA(DF204),NA(),DE138)</f>
        <v>0</v>
      </c>
      <c r="DF204">
        <f>IF(OR(DF138="",AND(DF138=DF137,DF138=DF139)),NA(), DF138)</f>
        <v>0</v>
      </c>
      <c r="DG204">
        <f>IF(ISNA(DH204),NA(),DG138)</f>
        <v>0</v>
      </c>
      <c r="DH204">
        <f>IF(OR(DH138="",AND(DH138=DH137,DH138=DH139)),NA(), DH138)</f>
        <v>0</v>
      </c>
      <c r="DI204">
        <f>IF(ISNA(DJ204),NA(),DI138)</f>
        <v>0</v>
      </c>
      <c r="DJ204">
        <f>IF(OR(DJ138="",AND(DJ138=DJ137,DJ138=DJ139)),NA(), DJ138)</f>
        <v>0</v>
      </c>
      <c r="DK204">
        <f>IF(ISNA(DL204),NA(),DK138)</f>
        <v>0</v>
      </c>
      <c r="DL204">
        <f>IF(OR(DL138="",AND(DL138=DL137,DL138=DL139)),NA(), DL138)</f>
        <v>0</v>
      </c>
      <c r="DM204">
        <f>IF(ISNA(DN204),NA(),DM138)</f>
        <v>0</v>
      </c>
      <c r="DN204">
        <f>IF(OR(DN138="",AND(DN138=DN137,DN138=DN139)),NA(), DN138)</f>
        <v>0</v>
      </c>
      <c r="DO204">
        <f>IF(ISNA(DP204),NA(),DO138)</f>
        <v>0</v>
      </c>
      <c r="DP204">
        <f>IF(OR(DP138="",AND(DP138=DP137,DP138=DP139)),NA(), DP138)</f>
        <v>0</v>
      </c>
      <c r="DQ204">
        <f>IF(ISNA(DR204),NA(),DQ138)</f>
        <v>0</v>
      </c>
      <c r="DR204">
        <f>IF(OR(DR138="",AND(DR138=DR137,DR138=DR139)),NA(), DR138)</f>
        <v>0</v>
      </c>
      <c r="DS204">
        <f>IF(ISNA(DT204),NA(),DS138)</f>
        <v>0</v>
      </c>
      <c r="DT204">
        <f>IF(OR(DT138="",AND(DT138=DT137,DT138=DT139)),NA(), DT138)</f>
        <v>0</v>
      </c>
      <c r="DU204">
        <f>IF(ISNA(DV204),NA(),DU138)</f>
        <v>0</v>
      </c>
      <c r="DV204">
        <f>IF(OR(DV138="",AND(DV138=DV137,DV138=DV139)),NA(), DV138)</f>
        <v>0</v>
      </c>
      <c r="DW204">
        <f>IF(ISNA(DX204),NA(),DW138)</f>
        <v>0</v>
      </c>
      <c r="DX204">
        <f>IF(OR(DX138="",AND(DX138=DX137,DX138=DX139)),NA(), DX138)</f>
        <v>0</v>
      </c>
      <c r="DY204">
        <f>IF(ISNA(DZ204),NA(),DY138)</f>
        <v>0</v>
      </c>
      <c r="DZ204">
        <f>IF(OR(DZ138="",AND(DZ138=DZ137,DZ138=DZ139)),NA(), DZ138)</f>
        <v>0</v>
      </c>
      <c r="EA204">
        <f>IF(ISNA(EB204),NA(),EA138)</f>
        <v>0</v>
      </c>
      <c r="EB204">
        <f>IF(OR(EB138="",AND(EB138=EB137,EB138=EB139)),NA(), EB138)</f>
        <v>0</v>
      </c>
      <c r="EC204">
        <f>IF(ISNA(ED204),NA(),EC138)</f>
        <v>0</v>
      </c>
      <c r="ED204">
        <f>IF(OR(ED138="",AND(ED138=ED137,ED138=ED139)),NA(), ED138)</f>
        <v>0</v>
      </c>
    </row>
    <row r="205" spans="5:134">
      <c r="E205">
        <f>IF(ISNA(F205),NA(),E139)</f>
        <v>0</v>
      </c>
      <c r="F205">
        <f>IF(OR(F139="",AND(F139=F138,F139=F140)),NA(), F139)</f>
        <v>0</v>
      </c>
      <c r="G205">
        <f>IF(ISNA(H205),NA(),G139)</f>
        <v>0</v>
      </c>
      <c r="H205">
        <f>IF(OR(H139="",AND(H139=H138,H139=H140)),NA(), H139)</f>
        <v>0</v>
      </c>
      <c r="I205">
        <f>IF(ISNA(J205),NA(),I139)</f>
        <v>0</v>
      </c>
      <c r="J205">
        <f>IF(OR(J139="",AND(J139=J138,J139=J140)),NA(), J139)</f>
        <v>0</v>
      </c>
      <c r="K205">
        <f>IF(ISNA(L205),NA(),K139)</f>
        <v>0</v>
      </c>
      <c r="L205">
        <f>IF(OR(L139="",AND(L139=L138,L139=L140)),NA(), L139)</f>
        <v>0</v>
      </c>
      <c r="M205">
        <f>IF(ISNA(N205),NA(),M139)</f>
        <v>0</v>
      </c>
      <c r="N205">
        <f>IF(OR(N139="",AND(N139=N138,N139=N140)),NA(), N139)</f>
        <v>0</v>
      </c>
      <c r="O205">
        <f>IF(ISNA(P205),NA(),O139)</f>
        <v>0</v>
      </c>
      <c r="P205">
        <f>IF(OR(P139="",AND(P139=P138,P139=P140)),NA(), P139)</f>
        <v>0</v>
      </c>
      <c r="Q205">
        <f>IF(ISNA(R205),NA(),Q139)</f>
        <v>0</v>
      </c>
      <c r="R205">
        <f>IF(OR(R139="",AND(R139=R138,R139=R140)),NA(), R139)</f>
        <v>0</v>
      </c>
      <c r="S205">
        <f>IF(ISNA(T205),NA(),S139)</f>
        <v>0</v>
      </c>
      <c r="T205">
        <f>IF(OR(T139="",AND(T139=T138,T139=T140)),NA(), T139)</f>
        <v>0</v>
      </c>
      <c r="U205">
        <f>IF(ISNA(V205),NA(),U139)</f>
        <v>0</v>
      </c>
      <c r="V205">
        <f>IF(OR(V139="",AND(V139=V138,V139=V140)),NA(), V139)</f>
        <v>0</v>
      </c>
      <c r="W205">
        <f>IF(ISNA(X205),NA(),W139)</f>
        <v>0</v>
      </c>
      <c r="X205">
        <f>IF(OR(X139="",AND(X139=X138,X139=X140)),NA(), X139)</f>
        <v>0</v>
      </c>
      <c r="Y205">
        <f>IF(ISNA(Z205),NA(),Y139)</f>
        <v>0</v>
      </c>
      <c r="Z205">
        <f>IF(OR(Z139="",AND(Z139=Z138,Z139=Z140)),NA(), Z139)</f>
        <v>0</v>
      </c>
      <c r="AA205">
        <f>IF(ISNA(AB205),NA(),AA139)</f>
        <v>0</v>
      </c>
      <c r="AB205">
        <f>IF(OR(AB139="",AND(AB139=AB138,AB139=AB140)),NA(), AB139)</f>
        <v>0</v>
      </c>
      <c r="AC205">
        <f>IF(ISNA(AD205),NA(),AC139)</f>
        <v>0</v>
      </c>
      <c r="AD205">
        <f>IF(OR(AD139="",AND(AD139=AD138,AD139=AD140)),NA(), AD139)</f>
        <v>0</v>
      </c>
      <c r="AE205">
        <f>IF(ISNA(AF205),NA(),AE139)</f>
        <v>0</v>
      </c>
      <c r="AF205">
        <f>IF(OR(AF139="",AND(AF139=AF138,AF139=AF140)),NA(), AF139)</f>
        <v>0</v>
      </c>
      <c r="AG205">
        <f>IF(ISNA(AH205),NA(),AG139)</f>
        <v>0</v>
      </c>
      <c r="AH205">
        <f>IF(OR(AH139="",AND(AH139=AH138,AH139=AH140)),NA(), AH139)</f>
        <v>0</v>
      </c>
      <c r="AI205">
        <f>IF(ISNA(AJ205),NA(),AI139)</f>
        <v>0</v>
      </c>
      <c r="AJ205">
        <f>IF(OR(AJ139="",AND(AJ139=AJ138,AJ139=AJ140)),NA(), AJ139)</f>
        <v>0</v>
      </c>
      <c r="AK205">
        <f>IF(ISNA(AL205),NA(),AK139)</f>
        <v>0</v>
      </c>
      <c r="AL205">
        <f>IF(OR(AL139="",AND(AL139=AL138,AL139=AL140)),NA(), AL139)</f>
        <v>0</v>
      </c>
      <c r="AM205">
        <f>IF(ISNA(AN205),NA(),AM139)</f>
        <v>0</v>
      </c>
      <c r="AN205">
        <f>IF(OR(AN139="",AND(AN139=AN138,AN139=AN140)),NA(), AN139)</f>
        <v>0</v>
      </c>
      <c r="AO205">
        <f>IF(ISNA(AP205),NA(),AO139)</f>
        <v>0</v>
      </c>
      <c r="AP205">
        <f>IF(OR(AP139="",AND(AP139=AP138,AP139=AP140)),NA(), AP139)</f>
        <v>0</v>
      </c>
      <c r="AQ205">
        <f>IF(ISNA(AR205),NA(),AQ139)</f>
        <v>0</v>
      </c>
      <c r="AR205">
        <f>IF(OR(AR139="",AND(AR139=AR138,AR139=AR140)),NA(), AR139)</f>
        <v>0</v>
      </c>
      <c r="AS205">
        <f>IF(ISNA(AT205),NA(),AS139)</f>
        <v>0</v>
      </c>
      <c r="AT205">
        <f>IF(OR(AT139="",AND(AT139=AT138,AT139=AT140)),NA(), AT139)</f>
        <v>0</v>
      </c>
      <c r="AU205">
        <f>IF(ISNA(AV205),NA(),AU139)</f>
        <v>0</v>
      </c>
      <c r="AV205">
        <f>IF(OR(AV139="",AND(AV139=AV138,AV139=AV140)),NA(), AV139)</f>
        <v>0</v>
      </c>
      <c r="AW205">
        <f>IF(ISNA(AX205),NA(),AW139)</f>
        <v>0</v>
      </c>
      <c r="AX205">
        <f>IF(OR(AX139="",AND(AX139=AX138,AX139=AX140)),NA(), AX139)</f>
        <v>0</v>
      </c>
      <c r="AY205">
        <f>IF(ISNA(AZ205),NA(),AY139)</f>
        <v>0</v>
      </c>
      <c r="AZ205">
        <f>IF(OR(AZ139="",AND(AZ139=AZ138,AZ139=AZ140)),NA(), AZ139)</f>
        <v>0</v>
      </c>
      <c r="BA205">
        <f>IF(ISNA(BB205),NA(),BA139)</f>
        <v>0</v>
      </c>
      <c r="BB205">
        <f>IF(OR(BB139="",AND(BB139=BB138,BB139=BB140)),NA(), BB139)</f>
        <v>0</v>
      </c>
      <c r="BC205">
        <f>IF(ISNA(BD205),NA(),BC139)</f>
        <v>0</v>
      </c>
      <c r="BD205">
        <f>IF(OR(BD139="",AND(BD139=BD138,BD139=BD140)),NA(), BD139)</f>
        <v>0</v>
      </c>
      <c r="BE205">
        <f>IF(ISNA(BF205),NA(),BE139)</f>
        <v>0</v>
      </c>
      <c r="BF205">
        <f>IF(OR(BF139="",AND(BF139=BF138,BF139=BF140)),NA(), BF139)</f>
        <v>0</v>
      </c>
      <c r="BG205">
        <f>IF(ISNA(BH205),NA(),BG139)</f>
        <v>0</v>
      </c>
      <c r="BH205">
        <f>IF(OR(BH139="",AND(BH139=BH138,BH139=BH140)),NA(), BH139)</f>
        <v>0</v>
      </c>
      <c r="BI205">
        <f>IF(ISNA(BJ205),NA(),BI139)</f>
        <v>0</v>
      </c>
      <c r="BJ205">
        <f>IF(OR(BJ139="",AND(BJ139=BJ138,BJ139=BJ140)),NA(), BJ139)</f>
        <v>0</v>
      </c>
      <c r="BK205">
        <f>IF(ISNA(BL205),NA(),BK139)</f>
        <v>0</v>
      </c>
      <c r="BL205">
        <f>IF(OR(BL139="",AND(BL139=BL138,BL139=BL140)),NA(), BL139)</f>
        <v>0</v>
      </c>
      <c r="BM205">
        <f>IF(ISNA(BN205),NA(),BM139)</f>
        <v>0</v>
      </c>
      <c r="BN205">
        <f>IF(OR(BN139="",AND(BN139=BN138,BN139=BN140)),NA(), BN139)</f>
        <v>0</v>
      </c>
      <c r="BO205">
        <f>IF(ISNA(BP205),NA(),BO139)</f>
        <v>0</v>
      </c>
      <c r="BP205">
        <f>IF(OR(BP139="",AND(BP139=BP138,BP139=BP140)),NA(), BP139)</f>
        <v>0</v>
      </c>
      <c r="BS205">
        <f>IF(ISNA(BT205),NA(),BS139)</f>
        <v>0</v>
      </c>
      <c r="BT205">
        <f>IF(OR(BT139="",AND(BT139=BT138,BT139=BT140)),NA(), BT139)</f>
        <v>0</v>
      </c>
      <c r="BU205">
        <f>IF(ISNA(BV205),NA(),BU139)</f>
        <v>0</v>
      </c>
      <c r="BV205">
        <f>IF(OR(BV139="",AND(BV139=BV138,BV139=BV140)),NA(), BV139)</f>
        <v>0</v>
      </c>
      <c r="BW205">
        <f>IF(ISNA(BX205),NA(),BW139)</f>
        <v>0</v>
      </c>
      <c r="BX205">
        <f>IF(OR(BX139="",AND(BX139=BX138,BX139=BX140)),NA(), BX139)</f>
        <v>0</v>
      </c>
      <c r="BY205">
        <f>IF(ISNA(BZ205),NA(),BY139)</f>
        <v>0</v>
      </c>
      <c r="BZ205">
        <f>IF(OR(BZ139="",AND(BZ139=BZ138,BZ139=BZ140)),NA(), BZ139)</f>
        <v>0</v>
      </c>
      <c r="CA205">
        <f>IF(ISNA(CB205),NA(),CA139)</f>
        <v>0</v>
      </c>
      <c r="CB205">
        <f>IF(OR(CB139="",AND(CB139=CB138,CB139=CB140)),NA(), CB139)</f>
        <v>0</v>
      </c>
      <c r="CC205">
        <f>IF(ISNA(CD205),NA(),CC139)</f>
        <v>0</v>
      </c>
      <c r="CD205">
        <f>IF(OR(CD139="",AND(CD139=CD138,CD139=CD140)),NA(), CD139)</f>
        <v>0</v>
      </c>
      <c r="CE205">
        <f>IF(ISNA(CF205),NA(),CE139)</f>
        <v>0</v>
      </c>
      <c r="CF205">
        <f>IF(OR(CF139="",AND(CF139=CF138,CF139=CF140)),NA(), CF139)</f>
        <v>0</v>
      </c>
      <c r="CG205">
        <f>IF(ISNA(CH205),NA(),CG139)</f>
        <v>0</v>
      </c>
      <c r="CH205">
        <f>IF(OR(CH139="",AND(CH139=CH138,CH139=CH140)),NA(), CH139)</f>
        <v>0</v>
      </c>
      <c r="CI205">
        <f>IF(ISNA(CJ205),NA(),CI139)</f>
        <v>0</v>
      </c>
      <c r="CJ205">
        <f>IF(OR(CJ139="",AND(CJ139=CJ138,CJ139=CJ140)),NA(), CJ139)</f>
        <v>0</v>
      </c>
      <c r="CK205">
        <f>IF(ISNA(CL205),NA(),CK139)</f>
        <v>0</v>
      </c>
      <c r="CL205">
        <f>IF(OR(CL139="",AND(CL139=CL138,CL139=CL140)),NA(), CL139)</f>
        <v>0</v>
      </c>
      <c r="CM205">
        <f>IF(ISNA(CN205),NA(),CM139)</f>
        <v>0</v>
      </c>
      <c r="CN205">
        <f>IF(OR(CN139="",AND(CN139=CN138,CN139=CN140)),NA(), CN139)</f>
        <v>0</v>
      </c>
      <c r="CO205">
        <f>IF(ISNA(CP205),NA(),CO139)</f>
        <v>0</v>
      </c>
      <c r="CP205">
        <f>IF(OR(CP139="",AND(CP139=CP138,CP139=CP140)),NA(), CP139)</f>
        <v>0</v>
      </c>
      <c r="CQ205">
        <f>IF(ISNA(CR205),NA(),CQ139)</f>
        <v>0</v>
      </c>
      <c r="CR205">
        <f>IF(OR(CR139="",AND(CR139=CR138,CR139=CR140)),NA(), CR139)</f>
        <v>0</v>
      </c>
      <c r="CS205">
        <f>IF(ISNA(CT205),NA(),CS139)</f>
        <v>0</v>
      </c>
      <c r="CT205">
        <f>IF(OR(CT139="",AND(CT139=CT138,CT139=CT140)),NA(), CT139)</f>
        <v>0</v>
      </c>
      <c r="CU205">
        <f>IF(ISNA(CV205),NA(),CU139)</f>
        <v>0</v>
      </c>
      <c r="CV205">
        <f>IF(OR(CV139="",AND(CV139=CV138,CV139=CV140)),NA(), CV139)</f>
        <v>0</v>
      </c>
      <c r="CW205">
        <f>IF(ISNA(CX205),NA(),CW139)</f>
        <v>0</v>
      </c>
      <c r="CX205">
        <f>IF(OR(CX139="",AND(CX139=CX138,CX139=CX140)),NA(), CX139)</f>
        <v>0</v>
      </c>
      <c r="CY205">
        <f>IF(ISNA(CZ205),NA(),CY139)</f>
        <v>0</v>
      </c>
      <c r="CZ205">
        <f>IF(OR(CZ139="",AND(CZ139=CZ138,CZ139=CZ140)),NA(), CZ139)</f>
        <v>0</v>
      </c>
      <c r="DA205">
        <f>IF(ISNA(DB205),NA(),DA139)</f>
        <v>0</v>
      </c>
      <c r="DB205">
        <f>IF(OR(DB139="",AND(DB139=DB138,DB139=DB140)),NA(), DB139)</f>
        <v>0</v>
      </c>
      <c r="DC205">
        <f>IF(ISNA(DD205),NA(),DC139)</f>
        <v>0</v>
      </c>
      <c r="DD205">
        <f>IF(OR(DD139="",AND(DD139=DD138,DD139=DD140)),NA(), DD139)</f>
        <v>0</v>
      </c>
      <c r="DE205">
        <f>IF(ISNA(DF205),NA(),DE139)</f>
        <v>0</v>
      </c>
      <c r="DF205">
        <f>IF(OR(DF139="",AND(DF139=DF138,DF139=DF140)),NA(), DF139)</f>
        <v>0</v>
      </c>
      <c r="DG205">
        <f>IF(ISNA(DH205),NA(),DG139)</f>
        <v>0</v>
      </c>
      <c r="DH205">
        <f>IF(OR(DH139="",AND(DH139=DH138,DH139=DH140)),NA(), DH139)</f>
        <v>0</v>
      </c>
      <c r="DI205">
        <f>IF(ISNA(DJ205),NA(),DI139)</f>
        <v>0</v>
      </c>
      <c r="DJ205">
        <f>IF(OR(DJ139="",AND(DJ139=DJ138,DJ139=DJ140)),NA(), DJ139)</f>
        <v>0</v>
      </c>
      <c r="DK205">
        <f>IF(ISNA(DL205),NA(),DK139)</f>
        <v>0</v>
      </c>
      <c r="DL205">
        <f>IF(OR(DL139="",AND(DL139=DL138,DL139=DL140)),NA(), DL139)</f>
        <v>0</v>
      </c>
      <c r="DM205">
        <f>IF(ISNA(DN205),NA(),DM139)</f>
        <v>0</v>
      </c>
      <c r="DN205">
        <f>IF(OR(DN139="",AND(DN139=DN138,DN139=DN140)),NA(), DN139)</f>
        <v>0</v>
      </c>
      <c r="DO205">
        <f>IF(ISNA(DP205),NA(),DO139)</f>
        <v>0</v>
      </c>
      <c r="DP205">
        <f>IF(OR(DP139="",AND(DP139=DP138,DP139=DP140)),NA(), DP139)</f>
        <v>0</v>
      </c>
      <c r="DQ205">
        <f>IF(ISNA(DR205),NA(),DQ139)</f>
        <v>0</v>
      </c>
      <c r="DR205">
        <f>IF(OR(DR139="",AND(DR139=DR138,DR139=DR140)),NA(), DR139)</f>
        <v>0</v>
      </c>
      <c r="DS205">
        <f>IF(ISNA(DT205),NA(),DS139)</f>
        <v>0</v>
      </c>
      <c r="DT205">
        <f>IF(OR(DT139="",AND(DT139=DT138,DT139=DT140)),NA(), DT139)</f>
        <v>0</v>
      </c>
      <c r="DU205">
        <f>IF(ISNA(DV205),NA(),DU139)</f>
        <v>0</v>
      </c>
      <c r="DV205">
        <f>IF(OR(DV139="",AND(DV139=DV138,DV139=DV140)),NA(), DV139)</f>
        <v>0</v>
      </c>
      <c r="DW205">
        <f>IF(ISNA(DX205),NA(),DW139)</f>
        <v>0</v>
      </c>
      <c r="DX205">
        <f>IF(OR(DX139="",AND(DX139=DX138,DX139=DX140)),NA(), DX139)</f>
        <v>0</v>
      </c>
      <c r="DY205">
        <f>IF(ISNA(DZ205),NA(),DY139)</f>
        <v>0</v>
      </c>
      <c r="DZ205">
        <f>IF(OR(DZ139="",AND(DZ139=DZ138,DZ139=DZ140)),NA(), DZ139)</f>
        <v>0</v>
      </c>
      <c r="EA205">
        <f>IF(ISNA(EB205),NA(),EA139)</f>
        <v>0</v>
      </c>
      <c r="EB205">
        <f>IF(OR(EB139="",AND(EB139=EB138,EB139=EB140)),NA(), EB139)</f>
        <v>0</v>
      </c>
      <c r="EC205">
        <f>IF(ISNA(ED205),NA(),EC139)</f>
        <v>0</v>
      </c>
      <c r="ED205">
        <f>IF(OR(ED139="",AND(ED139=ED138,ED139=ED140)),NA(), ED139)</f>
        <v>0</v>
      </c>
    </row>
    <row r="206" spans="5:134">
      <c r="E206">
        <f>IF(ISNA(F206),NA(),E140)</f>
        <v>0</v>
      </c>
      <c r="F206">
        <f>IF(OR(F140="",AND(F140=F139,F140=F141)),NA(), F140)</f>
        <v>0</v>
      </c>
      <c r="G206">
        <f>IF(ISNA(H206),NA(),G140)</f>
        <v>0</v>
      </c>
      <c r="H206">
        <f>IF(OR(H140="",AND(H140=H139,H140=H141)),NA(), H140)</f>
        <v>0</v>
      </c>
      <c r="I206">
        <f>IF(ISNA(J206),NA(),I140)</f>
        <v>0</v>
      </c>
      <c r="J206">
        <f>IF(OR(J140="",AND(J140=J139,J140=J141)),NA(), J140)</f>
        <v>0</v>
      </c>
      <c r="K206">
        <f>IF(ISNA(L206),NA(),K140)</f>
        <v>0</v>
      </c>
      <c r="L206">
        <f>IF(OR(L140="",AND(L140=L139,L140=L141)),NA(), L140)</f>
        <v>0</v>
      </c>
      <c r="M206">
        <f>IF(ISNA(N206),NA(),M140)</f>
        <v>0</v>
      </c>
      <c r="N206">
        <f>IF(OR(N140="",AND(N140=N139,N140=N141)),NA(), N140)</f>
        <v>0</v>
      </c>
      <c r="O206">
        <f>IF(ISNA(P206),NA(),O140)</f>
        <v>0</v>
      </c>
      <c r="P206">
        <f>IF(OR(P140="",AND(P140=P139,P140=P141)),NA(), P140)</f>
        <v>0</v>
      </c>
      <c r="Q206">
        <f>IF(ISNA(R206),NA(),Q140)</f>
        <v>0</v>
      </c>
      <c r="R206">
        <f>IF(OR(R140="",AND(R140=R139,R140=R141)),NA(), R140)</f>
        <v>0</v>
      </c>
      <c r="S206">
        <f>IF(ISNA(T206),NA(),S140)</f>
        <v>0</v>
      </c>
      <c r="T206">
        <f>IF(OR(T140="",AND(T140=T139,T140=T141)),NA(), T140)</f>
        <v>0</v>
      </c>
      <c r="U206">
        <f>IF(ISNA(V206),NA(),U140)</f>
        <v>0</v>
      </c>
      <c r="V206">
        <f>IF(OR(V140="",AND(V140=V139,V140=V141)),NA(), V140)</f>
        <v>0</v>
      </c>
      <c r="W206">
        <f>IF(ISNA(X206),NA(),W140)</f>
        <v>0</v>
      </c>
      <c r="X206">
        <f>IF(OR(X140="",AND(X140=X139,X140=X141)),NA(), X140)</f>
        <v>0</v>
      </c>
      <c r="Y206">
        <f>IF(ISNA(Z206),NA(),Y140)</f>
        <v>0</v>
      </c>
      <c r="Z206">
        <f>IF(OR(Z140="",AND(Z140=Z139,Z140=Z141)),NA(), Z140)</f>
        <v>0</v>
      </c>
      <c r="AA206">
        <f>IF(ISNA(AB206),NA(),AA140)</f>
        <v>0</v>
      </c>
      <c r="AB206">
        <f>IF(OR(AB140="",AND(AB140=AB139,AB140=AB141)),NA(), AB140)</f>
        <v>0</v>
      </c>
      <c r="AC206">
        <f>IF(ISNA(AD206),NA(),AC140)</f>
        <v>0</v>
      </c>
      <c r="AD206">
        <f>IF(OR(AD140="",AND(AD140=AD139,AD140=AD141)),NA(), AD140)</f>
        <v>0</v>
      </c>
      <c r="AE206">
        <f>IF(ISNA(AF206),NA(),AE140)</f>
        <v>0</v>
      </c>
      <c r="AF206">
        <f>IF(OR(AF140="",AND(AF140=AF139,AF140=AF141)),NA(), AF140)</f>
        <v>0</v>
      </c>
      <c r="AG206">
        <f>IF(ISNA(AH206),NA(),AG140)</f>
        <v>0</v>
      </c>
      <c r="AH206">
        <f>IF(OR(AH140="",AND(AH140=AH139,AH140=AH141)),NA(), AH140)</f>
        <v>0</v>
      </c>
      <c r="AI206">
        <f>IF(ISNA(AJ206),NA(),AI140)</f>
        <v>0</v>
      </c>
      <c r="AJ206">
        <f>IF(OR(AJ140="",AND(AJ140=AJ139,AJ140=AJ141)),NA(), AJ140)</f>
        <v>0</v>
      </c>
      <c r="AK206">
        <f>IF(ISNA(AL206),NA(),AK140)</f>
        <v>0</v>
      </c>
      <c r="AL206">
        <f>IF(OR(AL140="",AND(AL140=AL139,AL140=AL141)),NA(), AL140)</f>
        <v>0</v>
      </c>
      <c r="AM206">
        <f>IF(ISNA(AN206),NA(),AM140)</f>
        <v>0</v>
      </c>
      <c r="AN206">
        <f>IF(OR(AN140="",AND(AN140=AN139,AN140=AN141)),NA(), AN140)</f>
        <v>0</v>
      </c>
      <c r="AO206">
        <f>IF(ISNA(AP206),NA(),AO140)</f>
        <v>0</v>
      </c>
      <c r="AP206">
        <f>IF(OR(AP140="",AND(AP140=AP139,AP140=AP141)),NA(), AP140)</f>
        <v>0</v>
      </c>
      <c r="AQ206">
        <f>IF(ISNA(AR206),NA(),AQ140)</f>
        <v>0</v>
      </c>
      <c r="AR206">
        <f>IF(OR(AR140="",AND(AR140=AR139,AR140=AR141)),NA(), AR140)</f>
        <v>0</v>
      </c>
      <c r="AS206">
        <f>IF(ISNA(AT206),NA(),AS140)</f>
        <v>0</v>
      </c>
      <c r="AT206">
        <f>IF(OR(AT140="",AND(AT140=AT139,AT140=AT141)),NA(), AT140)</f>
        <v>0</v>
      </c>
      <c r="AU206">
        <f>IF(ISNA(AV206),NA(),AU140)</f>
        <v>0</v>
      </c>
      <c r="AV206">
        <f>IF(OR(AV140="",AND(AV140=AV139,AV140=AV141)),NA(), AV140)</f>
        <v>0</v>
      </c>
      <c r="AW206">
        <f>IF(ISNA(AX206),NA(),AW140)</f>
        <v>0</v>
      </c>
      <c r="AX206">
        <f>IF(OR(AX140="",AND(AX140=AX139,AX140=AX141)),NA(), AX140)</f>
        <v>0</v>
      </c>
      <c r="AY206">
        <f>IF(ISNA(AZ206),NA(),AY140)</f>
        <v>0</v>
      </c>
      <c r="AZ206">
        <f>IF(OR(AZ140="",AND(AZ140=AZ139,AZ140=AZ141)),NA(), AZ140)</f>
        <v>0</v>
      </c>
      <c r="BA206">
        <f>IF(ISNA(BB206),NA(),BA140)</f>
        <v>0</v>
      </c>
      <c r="BB206">
        <f>IF(OR(BB140="",AND(BB140=BB139,BB140=BB141)),NA(), BB140)</f>
        <v>0</v>
      </c>
      <c r="BC206">
        <f>IF(ISNA(BD206),NA(),BC140)</f>
        <v>0</v>
      </c>
      <c r="BD206">
        <f>IF(OR(BD140="",AND(BD140=BD139,BD140=BD141)),NA(), BD140)</f>
        <v>0</v>
      </c>
      <c r="BE206">
        <f>IF(ISNA(BF206),NA(),BE140)</f>
        <v>0</v>
      </c>
      <c r="BF206">
        <f>IF(OR(BF140="",AND(BF140=BF139,BF140=BF141)),NA(), BF140)</f>
        <v>0</v>
      </c>
      <c r="BG206">
        <f>IF(ISNA(BH206),NA(),BG140)</f>
        <v>0</v>
      </c>
      <c r="BH206">
        <f>IF(OR(BH140="",AND(BH140=BH139,BH140=BH141)),NA(), BH140)</f>
        <v>0</v>
      </c>
      <c r="BI206">
        <f>IF(ISNA(BJ206),NA(),BI140)</f>
        <v>0</v>
      </c>
      <c r="BJ206">
        <f>IF(OR(BJ140="",AND(BJ140=BJ139,BJ140=BJ141)),NA(), BJ140)</f>
        <v>0</v>
      </c>
      <c r="BK206">
        <f>IF(ISNA(BL206),NA(),BK140)</f>
        <v>0</v>
      </c>
      <c r="BL206">
        <f>IF(OR(BL140="",AND(BL140=BL139,BL140=BL141)),NA(), BL140)</f>
        <v>0</v>
      </c>
      <c r="BM206">
        <f>IF(ISNA(BN206),NA(),BM140)</f>
        <v>0</v>
      </c>
      <c r="BN206">
        <f>IF(OR(BN140="",AND(BN140=BN139,BN140=BN141)),NA(), BN140)</f>
        <v>0</v>
      </c>
      <c r="BO206">
        <f>IF(ISNA(BP206),NA(),BO140)</f>
        <v>0</v>
      </c>
      <c r="BP206">
        <f>IF(OR(BP140="",AND(BP140=BP139,BP140=BP141)),NA(), BP140)</f>
        <v>0</v>
      </c>
      <c r="BS206">
        <f>IF(ISNA(BT206),NA(),BS140)</f>
        <v>0</v>
      </c>
      <c r="BT206">
        <f>IF(OR(BT140="",AND(BT140=BT139,BT140=BT141)),NA(), BT140)</f>
        <v>0</v>
      </c>
      <c r="BU206">
        <f>IF(ISNA(BV206),NA(),BU140)</f>
        <v>0</v>
      </c>
      <c r="BV206">
        <f>IF(OR(BV140="",AND(BV140=BV139,BV140=BV141)),NA(), BV140)</f>
        <v>0</v>
      </c>
      <c r="BW206">
        <f>IF(ISNA(BX206),NA(),BW140)</f>
        <v>0</v>
      </c>
      <c r="BX206">
        <f>IF(OR(BX140="",AND(BX140=BX139,BX140=BX141)),NA(), BX140)</f>
        <v>0</v>
      </c>
      <c r="BY206">
        <f>IF(ISNA(BZ206),NA(),BY140)</f>
        <v>0</v>
      </c>
      <c r="BZ206">
        <f>IF(OR(BZ140="",AND(BZ140=BZ139,BZ140=BZ141)),NA(), BZ140)</f>
        <v>0</v>
      </c>
      <c r="CA206">
        <f>IF(ISNA(CB206),NA(),CA140)</f>
        <v>0</v>
      </c>
      <c r="CB206">
        <f>IF(OR(CB140="",AND(CB140=CB139,CB140=CB141)),NA(), CB140)</f>
        <v>0</v>
      </c>
      <c r="CC206">
        <f>IF(ISNA(CD206),NA(),CC140)</f>
        <v>0</v>
      </c>
      <c r="CD206">
        <f>IF(OR(CD140="",AND(CD140=CD139,CD140=CD141)),NA(), CD140)</f>
        <v>0</v>
      </c>
      <c r="CE206">
        <f>IF(ISNA(CF206),NA(),CE140)</f>
        <v>0</v>
      </c>
      <c r="CF206">
        <f>IF(OR(CF140="",AND(CF140=CF139,CF140=CF141)),NA(), CF140)</f>
        <v>0</v>
      </c>
      <c r="CG206">
        <f>IF(ISNA(CH206),NA(),CG140)</f>
        <v>0</v>
      </c>
      <c r="CH206">
        <f>IF(OR(CH140="",AND(CH140=CH139,CH140=CH141)),NA(), CH140)</f>
        <v>0</v>
      </c>
      <c r="CI206">
        <f>IF(ISNA(CJ206),NA(),CI140)</f>
        <v>0</v>
      </c>
      <c r="CJ206">
        <f>IF(OR(CJ140="",AND(CJ140=CJ139,CJ140=CJ141)),NA(), CJ140)</f>
        <v>0</v>
      </c>
      <c r="CK206">
        <f>IF(ISNA(CL206),NA(),CK140)</f>
        <v>0</v>
      </c>
      <c r="CL206">
        <f>IF(OR(CL140="",AND(CL140=CL139,CL140=CL141)),NA(), CL140)</f>
        <v>0</v>
      </c>
      <c r="CM206">
        <f>IF(ISNA(CN206),NA(),CM140)</f>
        <v>0</v>
      </c>
      <c r="CN206">
        <f>IF(OR(CN140="",AND(CN140=CN139,CN140=CN141)),NA(), CN140)</f>
        <v>0</v>
      </c>
      <c r="CO206">
        <f>IF(ISNA(CP206),NA(),CO140)</f>
        <v>0</v>
      </c>
      <c r="CP206">
        <f>IF(OR(CP140="",AND(CP140=CP139,CP140=CP141)),NA(), CP140)</f>
        <v>0</v>
      </c>
      <c r="CQ206">
        <f>IF(ISNA(CR206),NA(),CQ140)</f>
        <v>0</v>
      </c>
      <c r="CR206">
        <f>IF(OR(CR140="",AND(CR140=CR139,CR140=CR141)),NA(), CR140)</f>
        <v>0</v>
      </c>
      <c r="CS206">
        <f>IF(ISNA(CT206),NA(),CS140)</f>
        <v>0</v>
      </c>
      <c r="CT206">
        <f>IF(OR(CT140="",AND(CT140=CT139,CT140=CT141)),NA(), CT140)</f>
        <v>0</v>
      </c>
      <c r="CU206">
        <f>IF(ISNA(CV206),NA(),CU140)</f>
        <v>0</v>
      </c>
      <c r="CV206">
        <f>IF(OR(CV140="",AND(CV140=CV139,CV140=CV141)),NA(), CV140)</f>
        <v>0</v>
      </c>
      <c r="CW206">
        <f>IF(ISNA(CX206),NA(),CW140)</f>
        <v>0</v>
      </c>
      <c r="CX206">
        <f>IF(OR(CX140="",AND(CX140=CX139,CX140=CX141)),NA(), CX140)</f>
        <v>0</v>
      </c>
      <c r="CY206">
        <f>IF(ISNA(CZ206),NA(),CY140)</f>
        <v>0</v>
      </c>
      <c r="CZ206">
        <f>IF(OR(CZ140="",AND(CZ140=CZ139,CZ140=CZ141)),NA(), CZ140)</f>
        <v>0</v>
      </c>
      <c r="DA206">
        <f>IF(ISNA(DB206),NA(),DA140)</f>
        <v>0</v>
      </c>
      <c r="DB206">
        <f>IF(OR(DB140="",AND(DB140=DB139,DB140=DB141)),NA(), DB140)</f>
        <v>0</v>
      </c>
      <c r="DC206">
        <f>IF(ISNA(DD206),NA(),DC140)</f>
        <v>0</v>
      </c>
      <c r="DD206">
        <f>IF(OR(DD140="",AND(DD140=DD139,DD140=DD141)),NA(), DD140)</f>
        <v>0</v>
      </c>
      <c r="DE206">
        <f>IF(ISNA(DF206),NA(),DE140)</f>
        <v>0</v>
      </c>
      <c r="DF206">
        <f>IF(OR(DF140="",AND(DF140=DF139,DF140=DF141)),NA(), DF140)</f>
        <v>0</v>
      </c>
      <c r="DG206">
        <f>IF(ISNA(DH206),NA(),DG140)</f>
        <v>0</v>
      </c>
      <c r="DH206">
        <f>IF(OR(DH140="",AND(DH140=DH139,DH140=DH141)),NA(), DH140)</f>
        <v>0</v>
      </c>
      <c r="DI206">
        <f>IF(ISNA(DJ206),NA(),DI140)</f>
        <v>0</v>
      </c>
      <c r="DJ206">
        <f>IF(OR(DJ140="",AND(DJ140=DJ139,DJ140=DJ141)),NA(), DJ140)</f>
        <v>0</v>
      </c>
      <c r="DK206">
        <f>IF(ISNA(DL206),NA(),DK140)</f>
        <v>0</v>
      </c>
      <c r="DL206">
        <f>IF(OR(DL140="",AND(DL140=DL139,DL140=DL141)),NA(), DL140)</f>
        <v>0</v>
      </c>
      <c r="DM206">
        <f>IF(ISNA(DN206),NA(),DM140)</f>
        <v>0</v>
      </c>
      <c r="DN206">
        <f>IF(OR(DN140="",AND(DN140=DN139,DN140=DN141)),NA(), DN140)</f>
        <v>0</v>
      </c>
      <c r="DO206">
        <f>IF(ISNA(DP206),NA(),DO140)</f>
        <v>0</v>
      </c>
      <c r="DP206">
        <f>IF(OR(DP140="",AND(DP140=DP139,DP140=DP141)),NA(), DP140)</f>
        <v>0</v>
      </c>
      <c r="DQ206">
        <f>IF(ISNA(DR206),NA(),DQ140)</f>
        <v>0</v>
      </c>
      <c r="DR206">
        <f>IF(OR(DR140="",AND(DR140=DR139,DR140=DR141)),NA(), DR140)</f>
        <v>0</v>
      </c>
      <c r="DS206">
        <f>IF(ISNA(DT206),NA(),DS140)</f>
        <v>0</v>
      </c>
      <c r="DT206">
        <f>IF(OR(DT140="",AND(DT140=DT139,DT140=DT141)),NA(), DT140)</f>
        <v>0</v>
      </c>
      <c r="DU206">
        <f>IF(ISNA(DV206),NA(),DU140)</f>
        <v>0</v>
      </c>
      <c r="DV206">
        <f>IF(OR(DV140="",AND(DV140=DV139,DV140=DV141)),NA(), DV140)</f>
        <v>0</v>
      </c>
      <c r="DW206">
        <f>IF(ISNA(DX206),NA(),DW140)</f>
        <v>0</v>
      </c>
      <c r="DX206">
        <f>IF(OR(DX140="",AND(DX140=DX139,DX140=DX141)),NA(), DX140)</f>
        <v>0</v>
      </c>
      <c r="DY206">
        <f>IF(ISNA(DZ206),NA(),DY140)</f>
        <v>0</v>
      </c>
      <c r="DZ206">
        <f>IF(OR(DZ140="",AND(DZ140=DZ139,DZ140=DZ141)),NA(), DZ140)</f>
        <v>0</v>
      </c>
      <c r="EA206">
        <f>IF(ISNA(EB206),NA(),EA140)</f>
        <v>0</v>
      </c>
      <c r="EB206">
        <f>IF(OR(EB140="",AND(EB140=EB139,EB140=EB141)),NA(), EB140)</f>
        <v>0</v>
      </c>
      <c r="EC206">
        <f>IF(ISNA(ED206),NA(),EC140)</f>
        <v>0</v>
      </c>
      <c r="ED206">
        <f>IF(OR(ED140="",AND(ED140=ED139,ED140=ED141)),NA(), ED140)</f>
        <v>0</v>
      </c>
    </row>
    <row r="207" spans="5:134">
      <c r="E207">
        <f>IF(ISNA(F207),NA(),E141)</f>
        <v>0</v>
      </c>
      <c r="F207">
        <f>IF(OR(F141="",AND(F141=F140,F141=F142)),NA(), F141)</f>
        <v>0</v>
      </c>
      <c r="G207">
        <f>IF(ISNA(H207),NA(),G141)</f>
        <v>0</v>
      </c>
      <c r="H207">
        <f>IF(OR(H141="",AND(H141=H140,H141=H142)),NA(), H141)</f>
        <v>0</v>
      </c>
      <c r="I207">
        <f>IF(ISNA(J207),NA(),I141)</f>
        <v>0</v>
      </c>
      <c r="J207">
        <f>IF(OR(J141="",AND(J141=J140,J141=J142)),NA(), J141)</f>
        <v>0</v>
      </c>
      <c r="K207">
        <f>IF(ISNA(L207),NA(),K141)</f>
        <v>0</v>
      </c>
      <c r="L207">
        <f>IF(OR(L141="",AND(L141=L140,L141=L142)),NA(), L141)</f>
        <v>0</v>
      </c>
      <c r="M207">
        <f>IF(ISNA(N207),NA(),M141)</f>
        <v>0</v>
      </c>
      <c r="N207">
        <f>IF(OR(N141="",AND(N141=N140,N141=N142)),NA(), N141)</f>
        <v>0</v>
      </c>
      <c r="O207">
        <f>IF(ISNA(P207),NA(),O141)</f>
        <v>0</v>
      </c>
      <c r="P207">
        <f>IF(OR(P141="",AND(P141=P140,P141=P142)),NA(), P141)</f>
        <v>0</v>
      </c>
      <c r="Q207">
        <f>IF(ISNA(R207),NA(),Q141)</f>
        <v>0</v>
      </c>
      <c r="R207">
        <f>IF(OR(R141="",AND(R141=R140,R141=R142)),NA(), R141)</f>
        <v>0</v>
      </c>
      <c r="S207">
        <f>IF(ISNA(T207),NA(),S141)</f>
        <v>0</v>
      </c>
      <c r="T207">
        <f>IF(OR(T141="",AND(T141=T140,T141=T142)),NA(), T141)</f>
        <v>0</v>
      </c>
      <c r="U207">
        <f>IF(ISNA(V207),NA(),U141)</f>
        <v>0</v>
      </c>
      <c r="V207">
        <f>IF(OR(V141="",AND(V141=V140,V141=V142)),NA(), V141)</f>
        <v>0</v>
      </c>
      <c r="W207">
        <f>IF(ISNA(X207),NA(),W141)</f>
        <v>0</v>
      </c>
      <c r="X207">
        <f>IF(OR(X141="",AND(X141=X140,X141=X142)),NA(), X141)</f>
        <v>0</v>
      </c>
      <c r="Y207">
        <f>IF(ISNA(Z207),NA(),Y141)</f>
        <v>0</v>
      </c>
      <c r="Z207">
        <f>IF(OR(Z141="",AND(Z141=Z140,Z141=Z142)),NA(), Z141)</f>
        <v>0</v>
      </c>
      <c r="AA207">
        <f>IF(ISNA(AB207),NA(),AA141)</f>
        <v>0</v>
      </c>
      <c r="AB207">
        <f>IF(OR(AB141="",AND(AB141=AB140,AB141=AB142)),NA(), AB141)</f>
        <v>0</v>
      </c>
      <c r="AC207">
        <f>IF(ISNA(AD207),NA(),AC141)</f>
        <v>0</v>
      </c>
      <c r="AD207">
        <f>IF(OR(AD141="",AND(AD141=AD140,AD141=AD142)),NA(), AD141)</f>
        <v>0</v>
      </c>
      <c r="AE207">
        <f>IF(ISNA(AF207),NA(),AE141)</f>
        <v>0</v>
      </c>
      <c r="AF207">
        <f>IF(OR(AF141="",AND(AF141=AF140,AF141=AF142)),NA(), AF141)</f>
        <v>0</v>
      </c>
      <c r="AG207">
        <f>IF(ISNA(AH207),NA(),AG141)</f>
        <v>0</v>
      </c>
      <c r="AH207">
        <f>IF(OR(AH141="",AND(AH141=AH140,AH141=AH142)),NA(), AH141)</f>
        <v>0</v>
      </c>
      <c r="AI207">
        <f>IF(ISNA(AJ207),NA(),AI141)</f>
        <v>0</v>
      </c>
      <c r="AJ207">
        <f>IF(OR(AJ141="",AND(AJ141=AJ140,AJ141=AJ142)),NA(), AJ141)</f>
        <v>0</v>
      </c>
      <c r="AK207">
        <f>IF(ISNA(AL207),NA(),AK141)</f>
        <v>0</v>
      </c>
      <c r="AL207">
        <f>IF(OR(AL141="",AND(AL141=AL140,AL141=AL142)),NA(), AL141)</f>
        <v>0</v>
      </c>
      <c r="AM207">
        <f>IF(ISNA(AN207),NA(),AM141)</f>
        <v>0</v>
      </c>
      <c r="AN207">
        <f>IF(OR(AN141="",AND(AN141=AN140,AN141=AN142)),NA(), AN141)</f>
        <v>0</v>
      </c>
      <c r="AO207">
        <f>IF(ISNA(AP207),NA(),AO141)</f>
        <v>0</v>
      </c>
      <c r="AP207">
        <f>IF(OR(AP141="",AND(AP141=AP140,AP141=AP142)),NA(), AP141)</f>
        <v>0</v>
      </c>
      <c r="AQ207">
        <f>IF(ISNA(AR207),NA(),AQ141)</f>
        <v>0</v>
      </c>
      <c r="AR207">
        <f>IF(OR(AR141="",AND(AR141=AR140,AR141=AR142)),NA(), AR141)</f>
        <v>0</v>
      </c>
      <c r="AS207">
        <f>IF(ISNA(AT207),NA(),AS141)</f>
        <v>0</v>
      </c>
      <c r="AT207">
        <f>IF(OR(AT141="",AND(AT141=AT140,AT141=AT142)),NA(), AT141)</f>
        <v>0</v>
      </c>
      <c r="AU207">
        <f>IF(ISNA(AV207),NA(),AU141)</f>
        <v>0</v>
      </c>
      <c r="AV207">
        <f>IF(OR(AV141="",AND(AV141=AV140,AV141=AV142)),NA(), AV141)</f>
        <v>0</v>
      </c>
      <c r="AW207">
        <f>IF(ISNA(AX207),NA(),AW141)</f>
        <v>0</v>
      </c>
      <c r="AX207">
        <f>IF(OR(AX141="",AND(AX141=AX140,AX141=AX142)),NA(), AX141)</f>
        <v>0</v>
      </c>
      <c r="AY207">
        <f>IF(ISNA(AZ207),NA(),AY141)</f>
        <v>0</v>
      </c>
      <c r="AZ207">
        <f>IF(OR(AZ141="",AND(AZ141=AZ140,AZ141=AZ142)),NA(), AZ141)</f>
        <v>0</v>
      </c>
      <c r="BA207">
        <f>IF(ISNA(BB207),NA(),BA141)</f>
        <v>0</v>
      </c>
      <c r="BB207">
        <f>IF(OR(BB141="",AND(BB141=BB140,BB141=BB142)),NA(), BB141)</f>
        <v>0</v>
      </c>
      <c r="BC207">
        <f>IF(ISNA(BD207),NA(),BC141)</f>
        <v>0</v>
      </c>
      <c r="BD207">
        <f>IF(OR(BD141="",AND(BD141=BD140,BD141=BD142)),NA(), BD141)</f>
        <v>0</v>
      </c>
      <c r="BE207">
        <f>IF(ISNA(BF207),NA(),BE141)</f>
        <v>0</v>
      </c>
      <c r="BF207">
        <f>IF(OR(BF141="",AND(BF141=BF140,BF141=BF142)),NA(), BF141)</f>
        <v>0</v>
      </c>
      <c r="BG207">
        <f>IF(ISNA(BH207),NA(),BG141)</f>
        <v>0</v>
      </c>
      <c r="BH207">
        <f>IF(OR(BH141="",AND(BH141=BH140,BH141=BH142)),NA(), BH141)</f>
        <v>0</v>
      </c>
      <c r="BI207">
        <f>IF(ISNA(BJ207),NA(),BI141)</f>
        <v>0</v>
      </c>
      <c r="BJ207">
        <f>IF(OR(BJ141="",AND(BJ141=BJ140,BJ141=BJ142)),NA(), BJ141)</f>
        <v>0</v>
      </c>
      <c r="BK207">
        <f>IF(ISNA(BL207),NA(),BK141)</f>
        <v>0</v>
      </c>
      <c r="BL207">
        <f>IF(OR(BL141="",AND(BL141=BL140,BL141=BL142)),NA(), BL141)</f>
        <v>0</v>
      </c>
      <c r="BM207">
        <f>IF(ISNA(BN207),NA(),BM141)</f>
        <v>0</v>
      </c>
      <c r="BN207">
        <f>IF(OR(BN141="",AND(BN141=BN140,BN141=BN142)),NA(), BN141)</f>
        <v>0</v>
      </c>
      <c r="BO207">
        <f>IF(ISNA(BP207),NA(),BO141)</f>
        <v>0</v>
      </c>
      <c r="BP207">
        <f>IF(OR(BP141="",AND(BP141=BP140,BP141=BP142)),NA(), BP141)</f>
        <v>0</v>
      </c>
      <c r="BS207">
        <f>IF(ISNA(BT207),NA(),BS141)</f>
        <v>0</v>
      </c>
      <c r="BT207">
        <f>IF(OR(BT141="",AND(BT141=BT140,BT141=BT142)),NA(), BT141)</f>
        <v>0</v>
      </c>
      <c r="BU207">
        <f>IF(ISNA(BV207),NA(),BU141)</f>
        <v>0</v>
      </c>
      <c r="BV207">
        <f>IF(OR(BV141="",AND(BV141=BV140,BV141=BV142)),NA(), BV141)</f>
        <v>0</v>
      </c>
      <c r="BW207">
        <f>IF(ISNA(BX207),NA(),BW141)</f>
        <v>0</v>
      </c>
      <c r="BX207">
        <f>IF(OR(BX141="",AND(BX141=BX140,BX141=BX142)),NA(), BX141)</f>
        <v>0</v>
      </c>
      <c r="BY207">
        <f>IF(ISNA(BZ207),NA(),BY141)</f>
        <v>0</v>
      </c>
      <c r="BZ207">
        <f>IF(OR(BZ141="",AND(BZ141=BZ140,BZ141=BZ142)),NA(), BZ141)</f>
        <v>0</v>
      </c>
      <c r="CA207">
        <f>IF(ISNA(CB207),NA(),CA141)</f>
        <v>0</v>
      </c>
      <c r="CB207">
        <f>IF(OR(CB141="",AND(CB141=CB140,CB141=CB142)),NA(), CB141)</f>
        <v>0</v>
      </c>
      <c r="CC207">
        <f>IF(ISNA(CD207),NA(),CC141)</f>
        <v>0</v>
      </c>
      <c r="CD207">
        <f>IF(OR(CD141="",AND(CD141=CD140,CD141=CD142)),NA(), CD141)</f>
        <v>0</v>
      </c>
      <c r="CE207">
        <f>IF(ISNA(CF207),NA(),CE141)</f>
        <v>0</v>
      </c>
      <c r="CF207">
        <f>IF(OR(CF141="",AND(CF141=CF140,CF141=CF142)),NA(), CF141)</f>
        <v>0</v>
      </c>
      <c r="CG207">
        <f>IF(ISNA(CH207),NA(),CG141)</f>
        <v>0</v>
      </c>
      <c r="CH207">
        <f>IF(OR(CH141="",AND(CH141=CH140,CH141=CH142)),NA(), CH141)</f>
        <v>0</v>
      </c>
      <c r="CI207">
        <f>IF(ISNA(CJ207),NA(),CI141)</f>
        <v>0</v>
      </c>
      <c r="CJ207">
        <f>IF(OR(CJ141="",AND(CJ141=CJ140,CJ141=CJ142)),NA(), CJ141)</f>
        <v>0</v>
      </c>
      <c r="CK207">
        <f>IF(ISNA(CL207),NA(),CK141)</f>
        <v>0</v>
      </c>
      <c r="CL207">
        <f>IF(OR(CL141="",AND(CL141=CL140,CL141=CL142)),NA(), CL141)</f>
        <v>0</v>
      </c>
      <c r="CM207">
        <f>IF(ISNA(CN207),NA(),CM141)</f>
        <v>0</v>
      </c>
      <c r="CN207">
        <f>IF(OR(CN141="",AND(CN141=CN140,CN141=CN142)),NA(), CN141)</f>
        <v>0</v>
      </c>
      <c r="CO207">
        <f>IF(ISNA(CP207),NA(),CO141)</f>
        <v>0</v>
      </c>
      <c r="CP207">
        <f>IF(OR(CP141="",AND(CP141=CP140,CP141=CP142)),NA(), CP141)</f>
        <v>0</v>
      </c>
      <c r="CQ207">
        <f>IF(ISNA(CR207),NA(),CQ141)</f>
        <v>0</v>
      </c>
      <c r="CR207">
        <f>IF(OR(CR141="",AND(CR141=CR140,CR141=CR142)),NA(), CR141)</f>
        <v>0</v>
      </c>
      <c r="CS207">
        <f>IF(ISNA(CT207),NA(),CS141)</f>
        <v>0</v>
      </c>
      <c r="CT207">
        <f>IF(OR(CT141="",AND(CT141=CT140,CT141=CT142)),NA(), CT141)</f>
        <v>0</v>
      </c>
      <c r="CU207">
        <f>IF(ISNA(CV207),NA(),CU141)</f>
        <v>0</v>
      </c>
      <c r="CV207">
        <f>IF(OR(CV141="",AND(CV141=CV140,CV141=CV142)),NA(), CV141)</f>
        <v>0</v>
      </c>
      <c r="CW207">
        <f>IF(ISNA(CX207),NA(),CW141)</f>
        <v>0</v>
      </c>
      <c r="CX207">
        <f>IF(OR(CX141="",AND(CX141=CX140,CX141=CX142)),NA(), CX141)</f>
        <v>0</v>
      </c>
      <c r="CY207">
        <f>IF(ISNA(CZ207),NA(),CY141)</f>
        <v>0</v>
      </c>
      <c r="CZ207">
        <f>IF(OR(CZ141="",AND(CZ141=CZ140,CZ141=CZ142)),NA(), CZ141)</f>
        <v>0</v>
      </c>
      <c r="DA207">
        <f>IF(ISNA(DB207),NA(),DA141)</f>
        <v>0</v>
      </c>
      <c r="DB207">
        <f>IF(OR(DB141="",AND(DB141=DB140,DB141=DB142)),NA(), DB141)</f>
        <v>0</v>
      </c>
      <c r="DC207">
        <f>IF(ISNA(DD207),NA(),DC141)</f>
        <v>0</v>
      </c>
      <c r="DD207">
        <f>IF(OR(DD141="",AND(DD141=DD140,DD141=DD142)),NA(), DD141)</f>
        <v>0</v>
      </c>
      <c r="DE207">
        <f>IF(ISNA(DF207),NA(),DE141)</f>
        <v>0</v>
      </c>
      <c r="DF207">
        <f>IF(OR(DF141="",AND(DF141=DF140,DF141=DF142)),NA(), DF141)</f>
        <v>0</v>
      </c>
      <c r="DG207">
        <f>IF(ISNA(DH207),NA(),DG141)</f>
        <v>0</v>
      </c>
      <c r="DH207">
        <f>IF(OR(DH141="",AND(DH141=DH140,DH141=DH142)),NA(), DH141)</f>
        <v>0</v>
      </c>
      <c r="DI207">
        <f>IF(ISNA(DJ207),NA(),DI141)</f>
        <v>0</v>
      </c>
      <c r="DJ207">
        <f>IF(OR(DJ141="",AND(DJ141=DJ140,DJ141=DJ142)),NA(), DJ141)</f>
        <v>0</v>
      </c>
      <c r="DK207">
        <f>IF(ISNA(DL207),NA(),DK141)</f>
        <v>0</v>
      </c>
      <c r="DL207">
        <f>IF(OR(DL141="",AND(DL141=DL140,DL141=DL142)),NA(), DL141)</f>
        <v>0</v>
      </c>
      <c r="DM207">
        <f>IF(ISNA(DN207),NA(),DM141)</f>
        <v>0</v>
      </c>
      <c r="DN207">
        <f>IF(OR(DN141="",AND(DN141=DN140,DN141=DN142)),NA(), DN141)</f>
        <v>0</v>
      </c>
      <c r="DO207">
        <f>IF(ISNA(DP207),NA(),DO141)</f>
        <v>0</v>
      </c>
      <c r="DP207">
        <f>IF(OR(DP141="",AND(DP141=DP140,DP141=DP142)),NA(), DP141)</f>
        <v>0</v>
      </c>
      <c r="DQ207">
        <f>IF(ISNA(DR207),NA(),DQ141)</f>
        <v>0</v>
      </c>
      <c r="DR207">
        <f>IF(OR(DR141="",AND(DR141=DR140,DR141=DR142)),NA(), DR141)</f>
        <v>0</v>
      </c>
      <c r="DS207">
        <f>IF(ISNA(DT207),NA(),DS141)</f>
        <v>0</v>
      </c>
      <c r="DT207">
        <f>IF(OR(DT141="",AND(DT141=DT140,DT141=DT142)),NA(), DT141)</f>
        <v>0</v>
      </c>
      <c r="DU207">
        <f>IF(ISNA(DV207),NA(),DU141)</f>
        <v>0</v>
      </c>
      <c r="DV207">
        <f>IF(OR(DV141="",AND(DV141=DV140,DV141=DV142)),NA(), DV141)</f>
        <v>0</v>
      </c>
      <c r="DW207">
        <f>IF(ISNA(DX207),NA(),DW141)</f>
        <v>0</v>
      </c>
      <c r="DX207">
        <f>IF(OR(DX141="",AND(DX141=DX140,DX141=DX142)),NA(), DX141)</f>
        <v>0</v>
      </c>
      <c r="DY207">
        <f>IF(ISNA(DZ207),NA(),DY141)</f>
        <v>0</v>
      </c>
      <c r="DZ207">
        <f>IF(OR(DZ141="",AND(DZ141=DZ140,DZ141=DZ142)),NA(), DZ141)</f>
        <v>0</v>
      </c>
      <c r="EA207">
        <f>IF(ISNA(EB207),NA(),EA141)</f>
        <v>0</v>
      </c>
      <c r="EB207">
        <f>IF(OR(EB141="",AND(EB141=EB140,EB141=EB142)),NA(), EB141)</f>
        <v>0</v>
      </c>
      <c r="EC207">
        <f>IF(ISNA(ED207),NA(),EC141)</f>
        <v>0</v>
      </c>
      <c r="ED207">
        <f>IF(OR(ED141="",AND(ED141=ED140,ED141=ED142)),NA(), ED141)</f>
        <v>0</v>
      </c>
    </row>
    <row r="208" spans="5:134">
      <c r="E208">
        <f>IF(ISNA(F208),NA(),E142)</f>
        <v>0</v>
      </c>
      <c r="F208">
        <f>IF(OR(F142="",AND(F142=F141,F142=F143)),NA(), F142)</f>
        <v>0</v>
      </c>
      <c r="G208">
        <f>IF(ISNA(H208),NA(),G142)</f>
        <v>0</v>
      </c>
      <c r="H208">
        <f>IF(OR(H142="",AND(H142=H141,H142=H143)),NA(), H142)</f>
        <v>0</v>
      </c>
      <c r="I208">
        <f>IF(ISNA(J208),NA(),I142)</f>
        <v>0</v>
      </c>
      <c r="J208">
        <f>IF(OR(J142="",AND(J142=J141,J142=J143)),NA(), J142)</f>
        <v>0</v>
      </c>
      <c r="K208">
        <f>IF(ISNA(L208),NA(),K142)</f>
        <v>0</v>
      </c>
      <c r="L208">
        <f>IF(OR(L142="",AND(L142=L141,L142=L143)),NA(), L142)</f>
        <v>0</v>
      </c>
      <c r="M208">
        <f>IF(ISNA(N208),NA(),M142)</f>
        <v>0</v>
      </c>
      <c r="N208">
        <f>IF(OR(N142="",AND(N142=N141,N142=N143)),NA(), N142)</f>
        <v>0</v>
      </c>
      <c r="O208">
        <f>IF(ISNA(P208),NA(),O142)</f>
        <v>0</v>
      </c>
      <c r="P208">
        <f>IF(OR(P142="",AND(P142=P141,P142=P143)),NA(), P142)</f>
        <v>0</v>
      </c>
      <c r="Q208">
        <f>IF(ISNA(R208),NA(),Q142)</f>
        <v>0</v>
      </c>
      <c r="R208">
        <f>IF(OR(R142="",AND(R142=R141,R142=R143)),NA(), R142)</f>
        <v>0</v>
      </c>
      <c r="S208">
        <f>IF(ISNA(T208),NA(),S142)</f>
        <v>0</v>
      </c>
      <c r="T208">
        <f>IF(OR(T142="",AND(T142=T141,T142=T143)),NA(), T142)</f>
        <v>0</v>
      </c>
      <c r="U208">
        <f>IF(ISNA(V208),NA(),U142)</f>
        <v>0</v>
      </c>
      <c r="V208">
        <f>IF(OR(V142="",AND(V142=V141,V142=V143)),NA(), V142)</f>
        <v>0</v>
      </c>
      <c r="W208">
        <f>IF(ISNA(X208),NA(),W142)</f>
        <v>0</v>
      </c>
      <c r="X208">
        <f>IF(OR(X142="",AND(X142=X141,X142=X143)),NA(), X142)</f>
        <v>0</v>
      </c>
      <c r="Y208">
        <f>IF(ISNA(Z208),NA(),Y142)</f>
        <v>0</v>
      </c>
      <c r="Z208">
        <f>IF(OR(Z142="",AND(Z142=Z141,Z142=Z143)),NA(), Z142)</f>
        <v>0</v>
      </c>
      <c r="AA208">
        <f>IF(ISNA(AB208),NA(),AA142)</f>
        <v>0</v>
      </c>
      <c r="AB208">
        <f>IF(OR(AB142="",AND(AB142=AB141,AB142=AB143)),NA(), AB142)</f>
        <v>0</v>
      </c>
      <c r="AC208">
        <f>IF(ISNA(AD208),NA(),AC142)</f>
        <v>0</v>
      </c>
      <c r="AD208">
        <f>IF(OR(AD142="",AND(AD142=AD141,AD142=AD143)),NA(), AD142)</f>
        <v>0</v>
      </c>
      <c r="AE208">
        <f>IF(ISNA(AF208),NA(),AE142)</f>
        <v>0</v>
      </c>
      <c r="AF208">
        <f>IF(OR(AF142="",AND(AF142=AF141,AF142=AF143)),NA(), AF142)</f>
        <v>0</v>
      </c>
      <c r="AG208">
        <f>IF(ISNA(AH208),NA(),AG142)</f>
        <v>0</v>
      </c>
      <c r="AH208">
        <f>IF(OR(AH142="",AND(AH142=AH141,AH142=AH143)),NA(), AH142)</f>
        <v>0</v>
      </c>
      <c r="AI208">
        <f>IF(ISNA(AJ208),NA(),AI142)</f>
        <v>0</v>
      </c>
      <c r="AJ208">
        <f>IF(OR(AJ142="",AND(AJ142=AJ141,AJ142=AJ143)),NA(), AJ142)</f>
        <v>0</v>
      </c>
      <c r="AK208">
        <f>IF(ISNA(AL208),NA(),AK142)</f>
        <v>0</v>
      </c>
      <c r="AL208">
        <f>IF(OR(AL142="",AND(AL142=AL141,AL142=AL143)),NA(), AL142)</f>
        <v>0</v>
      </c>
      <c r="AM208">
        <f>IF(ISNA(AN208),NA(),AM142)</f>
        <v>0</v>
      </c>
      <c r="AN208">
        <f>IF(OR(AN142="",AND(AN142=AN141,AN142=AN143)),NA(), AN142)</f>
        <v>0</v>
      </c>
      <c r="AO208">
        <f>IF(ISNA(AP208),NA(),AO142)</f>
        <v>0</v>
      </c>
      <c r="AP208">
        <f>IF(OR(AP142="",AND(AP142=AP141,AP142=AP143)),NA(), AP142)</f>
        <v>0</v>
      </c>
      <c r="AQ208">
        <f>IF(ISNA(AR208),NA(),AQ142)</f>
        <v>0</v>
      </c>
      <c r="AR208">
        <f>IF(OR(AR142="",AND(AR142=AR141,AR142=AR143)),NA(), AR142)</f>
        <v>0</v>
      </c>
      <c r="AS208">
        <f>IF(ISNA(AT208),NA(),AS142)</f>
        <v>0</v>
      </c>
      <c r="AT208">
        <f>IF(OR(AT142="",AND(AT142=AT141,AT142=AT143)),NA(), AT142)</f>
        <v>0</v>
      </c>
      <c r="AU208">
        <f>IF(ISNA(AV208),NA(),AU142)</f>
        <v>0</v>
      </c>
      <c r="AV208">
        <f>IF(OR(AV142="",AND(AV142=AV141,AV142=AV143)),NA(), AV142)</f>
        <v>0</v>
      </c>
      <c r="AW208">
        <f>IF(ISNA(AX208),NA(),AW142)</f>
        <v>0</v>
      </c>
      <c r="AX208">
        <f>IF(OR(AX142="",AND(AX142=AX141,AX142=AX143)),NA(), AX142)</f>
        <v>0</v>
      </c>
      <c r="AY208">
        <f>IF(ISNA(AZ208),NA(),AY142)</f>
        <v>0</v>
      </c>
      <c r="AZ208">
        <f>IF(OR(AZ142="",AND(AZ142=AZ141,AZ142=AZ143)),NA(), AZ142)</f>
        <v>0</v>
      </c>
      <c r="BA208">
        <f>IF(ISNA(BB208),NA(),BA142)</f>
        <v>0</v>
      </c>
      <c r="BB208">
        <f>IF(OR(BB142="",AND(BB142=BB141,BB142=BB143)),NA(), BB142)</f>
        <v>0</v>
      </c>
      <c r="BC208">
        <f>IF(ISNA(BD208),NA(),BC142)</f>
        <v>0</v>
      </c>
      <c r="BD208">
        <f>IF(OR(BD142="",AND(BD142=BD141,BD142=BD143)),NA(), BD142)</f>
        <v>0</v>
      </c>
      <c r="BE208">
        <f>IF(ISNA(BF208),NA(),BE142)</f>
        <v>0</v>
      </c>
      <c r="BF208">
        <f>IF(OR(BF142="",AND(BF142=BF141,BF142=BF143)),NA(), BF142)</f>
        <v>0</v>
      </c>
      <c r="BG208">
        <f>IF(ISNA(BH208),NA(),BG142)</f>
        <v>0</v>
      </c>
      <c r="BH208">
        <f>IF(OR(BH142="",AND(BH142=BH141,BH142=BH143)),NA(), BH142)</f>
        <v>0</v>
      </c>
      <c r="BI208">
        <f>IF(ISNA(BJ208),NA(),BI142)</f>
        <v>0</v>
      </c>
      <c r="BJ208">
        <f>IF(OR(BJ142="",AND(BJ142=BJ141,BJ142=BJ143)),NA(), BJ142)</f>
        <v>0</v>
      </c>
      <c r="BK208">
        <f>IF(ISNA(BL208),NA(),BK142)</f>
        <v>0</v>
      </c>
      <c r="BL208">
        <f>IF(OR(BL142="",AND(BL142=BL141,BL142=BL143)),NA(), BL142)</f>
        <v>0</v>
      </c>
      <c r="BM208">
        <f>IF(ISNA(BN208),NA(),BM142)</f>
        <v>0</v>
      </c>
      <c r="BN208">
        <f>IF(OR(BN142="",AND(BN142=BN141,BN142=BN143)),NA(), BN142)</f>
        <v>0</v>
      </c>
      <c r="BO208">
        <f>IF(ISNA(BP208),NA(),BO142)</f>
        <v>0</v>
      </c>
      <c r="BP208">
        <f>IF(OR(BP142="",AND(BP142=BP141,BP142=BP143)),NA(), BP142)</f>
        <v>0</v>
      </c>
      <c r="BS208">
        <f>IF(ISNA(BT208),NA(),BS142)</f>
        <v>0</v>
      </c>
      <c r="BT208">
        <f>IF(OR(BT142="",AND(BT142=BT141,BT142=BT143)),NA(), BT142)</f>
        <v>0</v>
      </c>
      <c r="BU208">
        <f>IF(ISNA(BV208),NA(),BU142)</f>
        <v>0</v>
      </c>
      <c r="BV208">
        <f>IF(OR(BV142="",AND(BV142=BV141,BV142=BV143)),NA(), BV142)</f>
        <v>0</v>
      </c>
      <c r="BW208">
        <f>IF(ISNA(BX208),NA(),BW142)</f>
        <v>0</v>
      </c>
      <c r="BX208">
        <f>IF(OR(BX142="",AND(BX142=BX141,BX142=BX143)),NA(), BX142)</f>
        <v>0</v>
      </c>
      <c r="BY208">
        <f>IF(ISNA(BZ208),NA(),BY142)</f>
        <v>0</v>
      </c>
      <c r="BZ208">
        <f>IF(OR(BZ142="",AND(BZ142=BZ141,BZ142=BZ143)),NA(), BZ142)</f>
        <v>0</v>
      </c>
      <c r="CA208">
        <f>IF(ISNA(CB208),NA(),CA142)</f>
        <v>0</v>
      </c>
      <c r="CB208">
        <f>IF(OR(CB142="",AND(CB142=CB141,CB142=CB143)),NA(), CB142)</f>
        <v>0</v>
      </c>
      <c r="CC208">
        <f>IF(ISNA(CD208),NA(),CC142)</f>
        <v>0</v>
      </c>
      <c r="CD208">
        <f>IF(OR(CD142="",AND(CD142=CD141,CD142=CD143)),NA(), CD142)</f>
        <v>0</v>
      </c>
      <c r="CE208">
        <f>IF(ISNA(CF208),NA(),CE142)</f>
        <v>0</v>
      </c>
      <c r="CF208">
        <f>IF(OR(CF142="",AND(CF142=CF141,CF142=CF143)),NA(), CF142)</f>
        <v>0</v>
      </c>
      <c r="CG208">
        <f>IF(ISNA(CH208),NA(),CG142)</f>
        <v>0</v>
      </c>
      <c r="CH208">
        <f>IF(OR(CH142="",AND(CH142=CH141,CH142=CH143)),NA(), CH142)</f>
        <v>0</v>
      </c>
      <c r="CI208">
        <f>IF(ISNA(CJ208),NA(),CI142)</f>
        <v>0</v>
      </c>
      <c r="CJ208">
        <f>IF(OR(CJ142="",AND(CJ142=CJ141,CJ142=CJ143)),NA(), CJ142)</f>
        <v>0</v>
      </c>
      <c r="CK208">
        <f>IF(ISNA(CL208),NA(),CK142)</f>
        <v>0</v>
      </c>
      <c r="CL208">
        <f>IF(OR(CL142="",AND(CL142=CL141,CL142=CL143)),NA(), CL142)</f>
        <v>0</v>
      </c>
      <c r="CM208">
        <f>IF(ISNA(CN208),NA(),CM142)</f>
        <v>0</v>
      </c>
      <c r="CN208">
        <f>IF(OR(CN142="",AND(CN142=CN141,CN142=CN143)),NA(), CN142)</f>
        <v>0</v>
      </c>
      <c r="CO208">
        <f>IF(ISNA(CP208),NA(),CO142)</f>
        <v>0</v>
      </c>
      <c r="CP208">
        <f>IF(OR(CP142="",AND(CP142=CP141,CP142=CP143)),NA(), CP142)</f>
        <v>0</v>
      </c>
      <c r="CQ208">
        <f>IF(ISNA(CR208),NA(),CQ142)</f>
        <v>0</v>
      </c>
      <c r="CR208">
        <f>IF(OR(CR142="",AND(CR142=CR141,CR142=CR143)),NA(), CR142)</f>
        <v>0</v>
      </c>
      <c r="CS208">
        <f>IF(ISNA(CT208),NA(),CS142)</f>
        <v>0</v>
      </c>
      <c r="CT208">
        <f>IF(OR(CT142="",AND(CT142=CT141,CT142=CT143)),NA(), CT142)</f>
        <v>0</v>
      </c>
      <c r="CU208">
        <f>IF(ISNA(CV208),NA(),CU142)</f>
        <v>0</v>
      </c>
      <c r="CV208">
        <f>IF(OR(CV142="",AND(CV142=CV141,CV142=CV143)),NA(), CV142)</f>
        <v>0</v>
      </c>
      <c r="CW208">
        <f>IF(ISNA(CX208),NA(),CW142)</f>
        <v>0</v>
      </c>
      <c r="CX208">
        <f>IF(OR(CX142="",AND(CX142=CX141,CX142=CX143)),NA(), CX142)</f>
        <v>0</v>
      </c>
      <c r="CY208">
        <f>IF(ISNA(CZ208),NA(),CY142)</f>
        <v>0</v>
      </c>
      <c r="CZ208">
        <f>IF(OR(CZ142="",AND(CZ142=CZ141,CZ142=CZ143)),NA(), CZ142)</f>
        <v>0</v>
      </c>
      <c r="DA208">
        <f>IF(ISNA(DB208),NA(),DA142)</f>
        <v>0</v>
      </c>
      <c r="DB208">
        <f>IF(OR(DB142="",AND(DB142=DB141,DB142=DB143)),NA(), DB142)</f>
        <v>0</v>
      </c>
      <c r="DC208">
        <f>IF(ISNA(DD208),NA(),DC142)</f>
        <v>0</v>
      </c>
      <c r="DD208">
        <f>IF(OR(DD142="",AND(DD142=DD141,DD142=DD143)),NA(), DD142)</f>
        <v>0</v>
      </c>
      <c r="DE208">
        <f>IF(ISNA(DF208),NA(),DE142)</f>
        <v>0</v>
      </c>
      <c r="DF208">
        <f>IF(OR(DF142="",AND(DF142=DF141,DF142=DF143)),NA(), DF142)</f>
        <v>0</v>
      </c>
      <c r="DG208">
        <f>IF(ISNA(DH208),NA(),DG142)</f>
        <v>0</v>
      </c>
      <c r="DH208">
        <f>IF(OR(DH142="",AND(DH142=DH141,DH142=DH143)),NA(), DH142)</f>
        <v>0</v>
      </c>
      <c r="DI208">
        <f>IF(ISNA(DJ208),NA(),DI142)</f>
        <v>0</v>
      </c>
      <c r="DJ208">
        <f>IF(OR(DJ142="",AND(DJ142=DJ141,DJ142=DJ143)),NA(), DJ142)</f>
        <v>0</v>
      </c>
      <c r="DK208">
        <f>IF(ISNA(DL208),NA(),DK142)</f>
        <v>0</v>
      </c>
      <c r="DL208">
        <f>IF(OR(DL142="",AND(DL142=DL141,DL142=DL143)),NA(), DL142)</f>
        <v>0</v>
      </c>
      <c r="DM208">
        <f>IF(ISNA(DN208),NA(),DM142)</f>
        <v>0</v>
      </c>
      <c r="DN208">
        <f>IF(OR(DN142="",AND(DN142=DN141,DN142=DN143)),NA(), DN142)</f>
        <v>0</v>
      </c>
      <c r="DO208">
        <f>IF(ISNA(DP208),NA(),DO142)</f>
        <v>0</v>
      </c>
      <c r="DP208">
        <f>IF(OR(DP142="",AND(DP142=DP141,DP142=DP143)),NA(), DP142)</f>
        <v>0</v>
      </c>
      <c r="DQ208">
        <f>IF(ISNA(DR208),NA(),DQ142)</f>
        <v>0</v>
      </c>
      <c r="DR208">
        <f>IF(OR(DR142="",AND(DR142=DR141,DR142=DR143)),NA(), DR142)</f>
        <v>0</v>
      </c>
      <c r="DS208">
        <f>IF(ISNA(DT208),NA(),DS142)</f>
        <v>0</v>
      </c>
      <c r="DT208">
        <f>IF(OR(DT142="",AND(DT142=DT141,DT142=DT143)),NA(), DT142)</f>
        <v>0</v>
      </c>
      <c r="DU208">
        <f>IF(ISNA(DV208),NA(),DU142)</f>
        <v>0</v>
      </c>
      <c r="DV208">
        <f>IF(OR(DV142="",AND(DV142=DV141,DV142=DV143)),NA(), DV142)</f>
        <v>0</v>
      </c>
      <c r="DW208">
        <f>IF(ISNA(DX208),NA(),DW142)</f>
        <v>0</v>
      </c>
      <c r="DX208">
        <f>IF(OR(DX142="",AND(DX142=DX141,DX142=DX143)),NA(), DX142)</f>
        <v>0</v>
      </c>
      <c r="DY208">
        <f>IF(ISNA(DZ208),NA(),DY142)</f>
        <v>0</v>
      </c>
      <c r="DZ208">
        <f>IF(OR(DZ142="",AND(DZ142=DZ141,DZ142=DZ143)),NA(), DZ142)</f>
        <v>0</v>
      </c>
      <c r="EA208">
        <f>IF(ISNA(EB208),NA(),EA142)</f>
        <v>0</v>
      </c>
      <c r="EB208">
        <f>IF(OR(EB142="",AND(EB142=EB141,EB142=EB143)),NA(), EB142)</f>
        <v>0</v>
      </c>
      <c r="EC208">
        <f>IF(ISNA(ED208),NA(),EC142)</f>
        <v>0</v>
      </c>
      <c r="ED208">
        <f>IF(OR(ED142="",AND(ED142=ED141,ED142=ED143)),NA(), ED142)</f>
        <v>0</v>
      </c>
    </row>
    <row r="209" spans="5:134">
      <c r="E209">
        <f>IF(ISNA(F209),NA(),E143)</f>
        <v>0</v>
      </c>
      <c r="F209">
        <f>IF(OR(F143="",AND(F143=F142,F143=F144)),NA(), F143)</f>
        <v>0</v>
      </c>
      <c r="G209">
        <f>IF(ISNA(H209),NA(),G143)</f>
        <v>0</v>
      </c>
      <c r="H209">
        <f>IF(OR(H143="",AND(H143=H142,H143=H144)),NA(), H143)</f>
        <v>0</v>
      </c>
      <c r="I209">
        <f>IF(ISNA(J209),NA(),I143)</f>
        <v>0</v>
      </c>
      <c r="J209">
        <f>IF(OR(J143="",AND(J143=J142,J143=J144)),NA(), J143)</f>
        <v>0</v>
      </c>
      <c r="K209">
        <f>IF(ISNA(L209),NA(),K143)</f>
        <v>0</v>
      </c>
      <c r="L209">
        <f>IF(OR(L143="",AND(L143=L142,L143=L144)),NA(), L143)</f>
        <v>0</v>
      </c>
      <c r="M209">
        <f>IF(ISNA(N209),NA(),M143)</f>
        <v>0</v>
      </c>
      <c r="N209">
        <f>IF(OR(N143="",AND(N143=N142,N143=N144)),NA(), N143)</f>
        <v>0</v>
      </c>
      <c r="O209">
        <f>IF(ISNA(P209),NA(),O143)</f>
        <v>0</v>
      </c>
      <c r="P209">
        <f>IF(OR(P143="",AND(P143=P142,P143=P144)),NA(), P143)</f>
        <v>0</v>
      </c>
      <c r="Q209">
        <f>IF(ISNA(R209),NA(),Q143)</f>
        <v>0</v>
      </c>
      <c r="R209">
        <f>IF(OR(R143="",AND(R143=R142,R143=R144)),NA(), R143)</f>
        <v>0</v>
      </c>
      <c r="S209">
        <f>IF(ISNA(T209),NA(),S143)</f>
        <v>0</v>
      </c>
      <c r="T209">
        <f>IF(OR(T143="",AND(T143=T142,T143=T144)),NA(), T143)</f>
        <v>0</v>
      </c>
      <c r="U209">
        <f>IF(ISNA(V209),NA(),U143)</f>
        <v>0</v>
      </c>
      <c r="V209">
        <f>IF(OR(V143="",AND(V143=V142,V143=V144)),NA(), V143)</f>
        <v>0</v>
      </c>
      <c r="W209">
        <f>IF(ISNA(X209),NA(),W143)</f>
        <v>0</v>
      </c>
      <c r="X209">
        <f>IF(OR(X143="",AND(X143=X142,X143=X144)),NA(), X143)</f>
        <v>0</v>
      </c>
      <c r="Y209">
        <f>IF(ISNA(Z209),NA(),Y143)</f>
        <v>0</v>
      </c>
      <c r="Z209">
        <f>IF(OR(Z143="",AND(Z143=Z142,Z143=Z144)),NA(), Z143)</f>
        <v>0</v>
      </c>
      <c r="AA209">
        <f>IF(ISNA(AB209),NA(),AA143)</f>
        <v>0</v>
      </c>
      <c r="AB209">
        <f>IF(OR(AB143="",AND(AB143=AB142,AB143=AB144)),NA(), AB143)</f>
        <v>0</v>
      </c>
      <c r="AC209">
        <f>IF(ISNA(AD209),NA(),AC143)</f>
        <v>0</v>
      </c>
      <c r="AD209">
        <f>IF(OR(AD143="",AND(AD143=AD142,AD143=AD144)),NA(), AD143)</f>
        <v>0</v>
      </c>
      <c r="AE209">
        <f>IF(ISNA(AF209),NA(),AE143)</f>
        <v>0</v>
      </c>
      <c r="AF209">
        <f>IF(OR(AF143="",AND(AF143=AF142,AF143=AF144)),NA(), AF143)</f>
        <v>0</v>
      </c>
      <c r="AG209">
        <f>IF(ISNA(AH209),NA(),AG143)</f>
        <v>0</v>
      </c>
      <c r="AH209">
        <f>IF(OR(AH143="",AND(AH143=AH142,AH143=AH144)),NA(), AH143)</f>
        <v>0</v>
      </c>
      <c r="AI209">
        <f>IF(ISNA(AJ209),NA(),AI143)</f>
        <v>0</v>
      </c>
      <c r="AJ209">
        <f>IF(OR(AJ143="",AND(AJ143=AJ142,AJ143=AJ144)),NA(), AJ143)</f>
        <v>0</v>
      </c>
      <c r="AK209">
        <f>IF(ISNA(AL209),NA(),AK143)</f>
        <v>0</v>
      </c>
      <c r="AL209">
        <f>IF(OR(AL143="",AND(AL143=AL142,AL143=AL144)),NA(), AL143)</f>
        <v>0</v>
      </c>
      <c r="AM209">
        <f>IF(ISNA(AN209),NA(),AM143)</f>
        <v>0</v>
      </c>
      <c r="AN209">
        <f>IF(OR(AN143="",AND(AN143=AN142,AN143=AN144)),NA(), AN143)</f>
        <v>0</v>
      </c>
      <c r="AO209">
        <f>IF(ISNA(AP209),NA(),AO143)</f>
        <v>0</v>
      </c>
      <c r="AP209">
        <f>IF(OR(AP143="",AND(AP143=AP142,AP143=AP144)),NA(), AP143)</f>
        <v>0</v>
      </c>
      <c r="AQ209">
        <f>IF(ISNA(AR209),NA(),AQ143)</f>
        <v>0</v>
      </c>
      <c r="AR209">
        <f>IF(OR(AR143="",AND(AR143=AR142,AR143=AR144)),NA(), AR143)</f>
        <v>0</v>
      </c>
      <c r="AS209">
        <f>IF(ISNA(AT209),NA(),AS143)</f>
        <v>0</v>
      </c>
      <c r="AT209">
        <f>IF(OR(AT143="",AND(AT143=AT142,AT143=AT144)),NA(), AT143)</f>
        <v>0</v>
      </c>
      <c r="AU209">
        <f>IF(ISNA(AV209),NA(),AU143)</f>
        <v>0</v>
      </c>
      <c r="AV209">
        <f>IF(OR(AV143="",AND(AV143=AV142,AV143=AV144)),NA(), AV143)</f>
        <v>0</v>
      </c>
      <c r="AW209">
        <f>IF(ISNA(AX209),NA(),AW143)</f>
        <v>0</v>
      </c>
      <c r="AX209">
        <f>IF(OR(AX143="",AND(AX143=AX142,AX143=AX144)),NA(), AX143)</f>
        <v>0</v>
      </c>
      <c r="AY209">
        <f>IF(ISNA(AZ209),NA(),AY143)</f>
        <v>0</v>
      </c>
      <c r="AZ209">
        <f>IF(OR(AZ143="",AND(AZ143=AZ142,AZ143=AZ144)),NA(), AZ143)</f>
        <v>0</v>
      </c>
      <c r="BA209">
        <f>IF(ISNA(BB209),NA(),BA143)</f>
        <v>0</v>
      </c>
      <c r="BB209">
        <f>IF(OR(BB143="",AND(BB143=BB142,BB143=BB144)),NA(), BB143)</f>
        <v>0</v>
      </c>
      <c r="BC209">
        <f>IF(ISNA(BD209),NA(),BC143)</f>
        <v>0</v>
      </c>
      <c r="BD209">
        <f>IF(OR(BD143="",AND(BD143=BD142,BD143=BD144)),NA(), BD143)</f>
        <v>0</v>
      </c>
      <c r="BE209">
        <f>IF(ISNA(BF209),NA(),BE143)</f>
        <v>0</v>
      </c>
      <c r="BF209">
        <f>IF(OR(BF143="",AND(BF143=BF142,BF143=BF144)),NA(), BF143)</f>
        <v>0</v>
      </c>
      <c r="BG209">
        <f>IF(ISNA(BH209),NA(),BG143)</f>
        <v>0</v>
      </c>
      <c r="BH209">
        <f>IF(OR(BH143="",AND(BH143=BH142,BH143=BH144)),NA(), BH143)</f>
        <v>0</v>
      </c>
      <c r="BI209">
        <f>IF(ISNA(BJ209),NA(),BI143)</f>
        <v>0</v>
      </c>
      <c r="BJ209">
        <f>IF(OR(BJ143="",AND(BJ143=BJ142,BJ143=BJ144)),NA(), BJ143)</f>
        <v>0</v>
      </c>
      <c r="BK209">
        <f>IF(ISNA(BL209),NA(),BK143)</f>
        <v>0</v>
      </c>
      <c r="BL209">
        <f>IF(OR(BL143="",AND(BL143=BL142,BL143=BL144)),NA(), BL143)</f>
        <v>0</v>
      </c>
      <c r="BM209">
        <f>IF(ISNA(BN209),NA(),BM143)</f>
        <v>0</v>
      </c>
      <c r="BN209">
        <f>IF(OR(BN143="",AND(BN143=BN142,BN143=BN144)),NA(), BN143)</f>
        <v>0</v>
      </c>
      <c r="BO209">
        <f>IF(ISNA(BP209),NA(),BO143)</f>
        <v>0</v>
      </c>
      <c r="BP209">
        <f>IF(OR(BP143="",AND(BP143=BP142,BP143=BP144)),NA(), BP143)</f>
        <v>0</v>
      </c>
      <c r="BS209">
        <f>IF(ISNA(BT209),NA(),BS143)</f>
        <v>0</v>
      </c>
      <c r="BT209">
        <f>IF(OR(BT143="",AND(BT143=BT142,BT143=BT144)),NA(), BT143)</f>
        <v>0</v>
      </c>
      <c r="BU209">
        <f>IF(ISNA(BV209),NA(),BU143)</f>
        <v>0</v>
      </c>
      <c r="BV209">
        <f>IF(OR(BV143="",AND(BV143=BV142,BV143=BV144)),NA(), BV143)</f>
        <v>0</v>
      </c>
      <c r="BW209">
        <f>IF(ISNA(BX209),NA(),BW143)</f>
        <v>0</v>
      </c>
      <c r="BX209">
        <f>IF(OR(BX143="",AND(BX143=BX142,BX143=BX144)),NA(), BX143)</f>
        <v>0</v>
      </c>
      <c r="BY209">
        <f>IF(ISNA(BZ209),NA(),BY143)</f>
        <v>0</v>
      </c>
      <c r="BZ209">
        <f>IF(OR(BZ143="",AND(BZ143=BZ142,BZ143=BZ144)),NA(), BZ143)</f>
        <v>0</v>
      </c>
      <c r="CA209">
        <f>IF(ISNA(CB209),NA(),CA143)</f>
        <v>0</v>
      </c>
      <c r="CB209">
        <f>IF(OR(CB143="",AND(CB143=CB142,CB143=CB144)),NA(), CB143)</f>
        <v>0</v>
      </c>
      <c r="CC209">
        <f>IF(ISNA(CD209),NA(),CC143)</f>
        <v>0</v>
      </c>
      <c r="CD209">
        <f>IF(OR(CD143="",AND(CD143=CD142,CD143=CD144)),NA(), CD143)</f>
        <v>0</v>
      </c>
      <c r="CE209">
        <f>IF(ISNA(CF209),NA(),CE143)</f>
        <v>0</v>
      </c>
      <c r="CF209">
        <f>IF(OR(CF143="",AND(CF143=CF142,CF143=CF144)),NA(), CF143)</f>
        <v>0</v>
      </c>
      <c r="CG209">
        <f>IF(ISNA(CH209),NA(),CG143)</f>
        <v>0</v>
      </c>
      <c r="CH209">
        <f>IF(OR(CH143="",AND(CH143=CH142,CH143=CH144)),NA(), CH143)</f>
        <v>0</v>
      </c>
      <c r="CI209">
        <f>IF(ISNA(CJ209),NA(),CI143)</f>
        <v>0</v>
      </c>
      <c r="CJ209">
        <f>IF(OR(CJ143="",AND(CJ143=CJ142,CJ143=CJ144)),NA(), CJ143)</f>
        <v>0</v>
      </c>
      <c r="CK209">
        <f>IF(ISNA(CL209),NA(),CK143)</f>
        <v>0</v>
      </c>
      <c r="CL209">
        <f>IF(OR(CL143="",AND(CL143=CL142,CL143=CL144)),NA(), CL143)</f>
        <v>0</v>
      </c>
      <c r="CM209">
        <f>IF(ISNA(CN209),NA(),CM143)</f>
        <v>0</v>
      </c>
      <c r="CN209">
        <f>IF(OR(CN143="",AND(CN143=CN142,CN143=CN144)),NA(), CN143)</f>
        <v>0</v>
      </c>
      <c r="CO209">
        <f>IF(ISNA(CP209),NA(),CO143)</f>
        <v>0</v>
      </c>
      <c r="CP209">
        <f>IF(OR(CP143="",AND(CP143=CP142,CP143=CP144)),NA(), CP143)</f>
        <v>0</v>
      </c>
      <c r="CQ209">
        <f>IF(ISNA(CR209),NA(),CQ143)</f>
        <v>0</v>
      </c>
      <c r="CR209">
        <f>IF(OR(CR143="",AND(CR143=CR142,CR143=CR144)),NA(), CR143)</f>
        <v>0</v>
      </c>
      <c r="CS209">
        <f>IF(ISNA(CT209),NA(),CS143)</f>
        <v>0</v>
      </c>
      <c r="CT209">
        <f>IF(OR(CT143="",AND(CT143=CT142,CT143=CT144)),NA(), CT143)</f>
        <v>0</v>
      </c>
      <c r="CU209">
        <f>IF(ISNA(CV209),NA(),CU143)</f>
        <v>0</v>
      </c>
      <c r="CV209">
        <f>IF(OR(CV143="",AND(CV143=CV142,CV143=CV144)),NA(), CV143)</f>
        <v>0</v>
      </c>
      <c r="CW209">
        <f>IF(ISNA(CX209),NA(),CW143)</f>
        <v>0</v>
      </c>
      <c r="CX209">
        <f>IF(OR(CX143="",AND(CX143=CX142,CX143=CX144)),NA(), CX143)</f>
        <v>0</v>
      </c>
      <c r="CY209">
        <f>IF(ISNA(CZ209),NA(),CY143)</f>
        <v>0</v>
      </c>
      <c r="CZ209">
        <f>IF(OR(CZ143="",AND(CZ143=CZ142,CZ143=CZ144)),NA(), CZ143)</f>
        <v>0</v>
      </c>
      <c r="DA209">
        <f>IF(ISNA(DB209),NA(),DA143)</f>
        <v>0</v>
      </c>
      <c r="DB209">
        <f>IF(OR(DB143="",AND(DB143=DB142,DB143=DB144)),NA(), DB143)</f>
        <v>0</v>
      </c>
      <c r="DC209">
        <f>IF(ISNA(DD209),NA(),DC143)</f>
        <v>0</v>
      </c>
      <c r="DD209">
        <f>IF(OR(DD143="",AND(DD143=DD142,DD143=DD144)),NA(), DD143)</f>
        <v>0</v>
      </c>
      <c r="DE209">
        <f>IF(ISNA(DF209),NA(),DE143)</f>
        <v>0</v>
      </c>
      <c r="DF209">
        <f>IF(OR(DF143="",AND(DF143=DF142,DF143=DF144)),NA(), DF143)</f>
        <v>0</v>
      </c>
      <c r="DG209">
        <f>IF(ISNA(DH209),NA(),DG143)</f>
        <v>0</v>
      </c>
      <c r="DH209">
        <f>IF(OR(DH143="",AND(DH143=DH142,DH143=DH144)),NA(), DH143)</f>
        <v>0</v>
      </c>
      <c r="DI209">
        <f>IF(ISNA(DJ209),NA(),DI143)</f>
        <v>0</v>
      </c>
      <c r="DJ209">
        <f>IF(OR(DJ143="",AND(DJ143=DJ142,DJ143=DJ144)),NA(), DJ143)</f>
        <v>0</v>
      </c>
      <c r="DK209">
        <f>IF(ISNA(DL209),NA(),DK143)</f>
        <v>0</v>
      </c>
      <c r="DL209">
        <f>IF(OR(DL143="",AND(DL143=DL142,DL143=DL144)),NA(), DL143)</f>
        <v>0</v>
      </c>
      <c r="DM209">
        <f>IF(ISNA(DN209),NA(),DM143)</f>
        <v>0</v>
      </c>
      <c r="DN209">
        <f>IF(OR(DN143="",AND(DN143=DN142,DN143=DN144)),NA(), DN143)</f>
        <v>0</v>
      </c>
      <c r="DO209">
        <f>IF(ISNA(DP209),NA(),DO143)</f>
        <v>0</v>
      </c>
      <c r="DP209">
        <f>IF(OR(DP143="",AND(DP143=DP142,DP143=DP144)),NA(), DP143)</f>
        <v>0</v>
      </c>
      <c r="DQ209">
        <f>IF(ISNA(DR209),NA(),DQ143)</f>
        <v>0</v>
      </c>
      <c r="DR209">
        <f>IF(OR(DR143="",AND(DR143=DR142,DR143=DR144)),NA(), DR143)</f>
        <v>0</v>
      </c>
      <c r="DS209">
        <f>IF(ISNA(DT209),NA(),DS143)</f>
        <v>0</v>
      </c>
      <c r="DT209">
        <f>IF(OR(DT143="",AND(DT143=DT142,DT143=DT144)),NA(), DT143)</f>
        <v>0</v>
      </c>
      <c r="DU209">
        <f>IF(ISNA(DV209),NA(),DU143)</f>
        <v>0</v>
      </c>
      <c r="DV209">
        <f>IF(OR(DV143="",AND(DV143=DV142,DV143=DV144)),NA(), DV143)</f>
        <v>0</v>
      </c>
      <c r="DW209">
        <f>IF(ISNA(DX209),NA(),DW143)</f>
        <v>0</v>
      </c>
      <c r="DX209">
        <f>IF(OR(DX143="",AND(DX143=DX142,DX143=DX144)),NA(), DX143)</f>
        <v>0</v>
      </c>
      <c r="DY209">
        <f>IF(ISNA(DZ209),NA(),DY143)</f>
        <v>0</v>
      </c>
      <c r="DZ209">
        <f>IF(OR(DZ143="",AND(DZ143=DZ142,DZ143=DZ144)),NA(), DZ143)</f>
        <v>0</v>
      </c>
      <c r="EA209">
        <f>IF(ISNA(EB209),NA(),EA143)</f>
        <v>0</v>
      </c>
      <c r="EB209">
        <f>IF(OR(EB143="",AND(EB143=EB142,EB143=EB144)),NA(), EB143)</f>
        <v>0</v>
      </c>
      <c r="EC209">
        <f>IF(ISNA(ED209),NA(),EC143)</f>
        <v>0</v>
      </c>
      <c r="ED209">
        <f>IF(OR(ED143="",AND(ED143=ED142,ED143=ED144)),NA(), ED143)</f>
        <v>0</v>
      </c>
    </row>
    <row r="210" spans="5:134">
      <c r="E210">
        <f>IF(ISNA(F210),NA(),E144)</f>
        <v>0</v>
      </c>
      <c r="F210">
        <f>IF(OR(F144="",AND(F144=F143,F144=F145)),NA(), F144)</f>
        <v>0</v>
      </c>
      <c r="G210">
        <f>IF(ISNA(H210),NA(),G144)</f>
        <v>0</v>
      </c>
      <c r="H210">
        <f>IF(OR(H144="",AND(H144=H143,H144=H145)),NA(), H144)</f>
        <v>0</v>
      </c>
      <c r="I210">
        <f>IF(ISNA(J210),NA(),I144)</f>
        <v>0</v>
      </c>
      <c r="J210">
        <f>IF(OR(J144="",AND(J144=J143,J144=J145)),NA(), J144)</f>
        <v>0</v>
      </c>
      <c r="K210">
        <f>IF(ISNA(L210),NA(),K144)</f>
        <v>0</v>
      </c>
      <c r="L210">
        <f>IF(OR(L144="",AND(L144=L143,L144=L145)),NA(), L144)</f>
        <v>0</v>
      </c>
      <c r="M210">
        <f>IF(ISNA(N210),NA(),M144)</f>
        <v>0</v>
      </c>
      <c r="N210">
        <f>IF(OR(N144="",AND(N144=N143,N144=N145)),NA(), N144)</f>
        <v>0</v>
      </c>
      <c r="O210">
        <f>IF(ISNA(P210),NA(),O144)</f>
        <v>0</v>
      </c>
      <c r="P210">
        <f>IF(OR(P144="",AND(P144=P143,P144=P145)),NA(), P144)</f>
        <v>0</v>
      </c>
      <c r="Q210">
        <f>IF(ISNA(R210),NA(),Q144)</f>
        <v>0</v>
      </c>
      <c r="R210">
        <f>IF(OR(R144="",AND(R144=R143,R144=R145)),NA(), R144)</f>
        <v>0</v>
      </c>
      <c r="S210">
        <f>IF(ISNA(T210),NA(),S144)</f>
        <v>0</v>
      </c>
      <c r="T210">
        <f>IF(OR(T144="",AND(T144=T143,T144=T145)),NA(), T144)</f>
        <v>0</v>
      </c>
      <c r="U210">
        <f>IF(ISNA(V210),NA(),U144)</f>
        <v>0</v>
      </c>
      <c r="V210">
        <f>IF(OR(V144="",AND(V144=V143,V144=V145)),NA(), V144)</f>
        <v>0</v>
      </c>
      <c r="W210">
        <f>IF(ISNA(X210),NA(),W144)</f>
        <v>0</v>
      </c>
      <c r="X210">
        <f>IF(OR(X144="",AND(X144=X143,X144=X145)),NA(), X144)</f>
        <v>0</v>
      </c>
      <c r="Y210">
        <f>IF(ISNA(Z210),NA(),Y144)</f>
        <v>0</v>
      </c>
      <c r="Z210">
        <f>IF(OR(Z144="",AND(Z144=Z143,Z144=Z145)),NA(), Z144)</f>
        <v>0</v>
      </c>
      <c r="AA210">
        <f>IF(ISNA(AB210),NA(),AA144)</f>
        <v>0</v>
      </c>
      <c r="AB210">
        <f>IF(OR(AB144="",AND(AB144=AB143,AB144=AB145)),NA(), AB144)</f>
        <v>0</v>
      </c>
      <c r="AC210">
        <f>IF(ISNA(AD210),NA(),AC144)</f>
        <v>0</v>
      </c>
      <c r="AD210">
        <f>IF(OR(AD144="",AND(AD144=AD143,AD144=AD145)),NA(), AD144)</f>
        <v>0</v>
      </c>
      <c r="AE210">
        <f>IF(ISNA(AF210),NA(),AE144)</f>
        <v>0</v>
      </c>
      <c r="AF210">
        <f>IF(OR(AF144="",AND(AF144=AF143,AF144=AF145)),NA(), AF144)</f>
        <v>0</v>
      </c>
      <c r="AG210">
        <f>IF(ISNA(AH210),NA(),AG144)</f>
        <v>0</v>
      </c>
      <c r="AH210">
        <f>IF(OR(AH144="",AND(AH144=AH143,AH144=AH145)),NA(), AH144)</f>
        <v>0</v>
      </c>
      <c r="AI210">
        <f>IF(ISNA(AJ210),NA(),AI144)</f>
        <v>0</v>
      </c>
      <c r="AJ210">
        <f>IF(OR(AJ144="",AND(AJ144=AJ143,AJ144=AJ145)),NA(), AJ144)</f>
        <v>0</v>
      </c>
      <c r="AK210">
        <f>IF(ISNA(AL210),NA(),AK144)</f>
        <v>0</v>
      </c>
      <c r="AL210">
        <f>IF(OR(AL144="",AND(AL144=AL143,AL144=AL145)),NA(), AL144)</f>
        <v>0</v>
      </c>
      <c r="AM210">
        <f>IF(ISNA(AN210),NA(),AM144)</f>
        <v>0</v>
      </c>
      <c r="AN210">
        <f>IF(OR(AN144="",AND(AN144=AN143,AN144=AN145)),NA(), AN144)</f>
        <v>0</v>
      </c>
      <c r="AO210">
        <f>IF(ISNA(AP210),NA(),AO144)</f>
        <v>0</v>
      </c>
      <c r="AP210">
        <f>IF(OR(AP144="",AND(AP144=AP143,AP144=AP145)),NA(), AP144)</f>
        <v>0</v>
      </c>
      <c r="AQ210">
        <f>IF(ISNA(AR210),NA(),AQ144)</f>
        <v>0</v>
      </c>
      <c r="AR210">
        <f>IF(OR(AR144="",AND(AR144=AR143,AR144=AR145)),NA(), AR144)</f>
        <v>0</v>
      </c>
      <c r="AS210">
        <f>IF(ISNA(AT210),NA(),AS144)</f>
        <v>0</v>
      </c>
      <c r="AT210">
        <f>IF(OR(AT144="",AND(AT144=AT143,AT144=AT145)),NA(), AT144)</f>
        <v>0</v>
      </c>
      <c r="AU210">
        <f>IF(ISNA(AV210),NA(),AU144)</f>
        <v>0</v>
      </c>
      <c r="AV210">
        <f>IF(OR(AV144="",AND(AV144=AV143,AV144=AV145)),NA(), AV144)</f>
        <v>0</v>
      </c>
      <c r="AW210">
        <f>IF(ISNA(AX210),NA(),AW144)</f>
        <v>0</v>
      </c>
      <c r="AX210">
        <f>IF(OR(AX144="",AND(AX144=AX143,AX144=AX145)),NA(), AX144)</f>
        <v>0</v>
      </c>
      <c r="AY210">
        <f>IF(ISNA(AZ210),NA(),AY144)</f>
        <v>0</v>
      </c>
      <c r="AZ210">
        <f>IF(OR(AZ144="",AND(AZ144=AZ143,AZ144=AZ145)),NA(), AZ144)</f>
        <v>0</v>
      </c>
      <c r="BA210">
        <f>IF(ISNA(BB210),NA(),BA144)</f>
        <v>0</v>
      </c>
      <c r="BB210">
        <f>IF(OR(BB144="",AND(BB144=BB143,BB144=BB145)),NA(), BB144)</f>
        <v>0</v>
      </c>
      <c r="BC210">
        <f>IF(ISNA(BD210),NA(),BC144)</f>
        <v>0</v>
      </c>
      <c r="BD210">
        <f>IF(OR(BD144="",AND(BD144=BD143,BD144=BD145)),NA(), BD144)</f>
        <v>0</v>
      </c>
      <c r="BE210">
        <f>IF(ISNA(BF210),NA(),BE144)</f>
        <v>0</v>
      </c>
      <c r="BF210">
        <f>IF(OR(BF144="",AND(BF144=BF143,BF144=BF145)),NA(), BF144)</f>
        <v>0</v>
      </c>
      <c r="BG210">
        <f>IF(ISNA(BH210),NA(),BG144)</f>
        <v>0</v>
      </c>
      <c r="BH210">
        <f>IF(OR(BH144="",AND(BH144=BH143,BH144=BH145)),NA(), BH144)</f>
        <v>0</v>
      </c>
      <c r="BI210">
        <f>IF(ISNA(BJ210),NA(),BI144)</f>
        <v>0</v>
      </c>
      <c r="BJ210">
        <f>IF(OR(BJ144="",AND(BJ144=BJ143,BJ144=BJ145)),NA(), BJ144)</f>
        <v>0</v>
      </c>
      <c r="BK210">
        <f>IF(ISNA(BL210),NA(),BK144)</f>
        <v>0</v>
      </c>
      <c r="BL210">
        <f>IF(OR(BL144="",AND(BL144=BL143,BL144=BL145)),NA(), BL144)</f>
        <v>0</v>
      </c>
      <c r="BM210">
        <f>IF(ISNA(BN210),NA(),BM144)</f>
        <v>0</v>
      </c>
      <c r="BN210">
        <f>IF(OR(BN144="",AND(BN144=BN143,BN144=BN145)),NA(), BN144)</f>
        <v>0</v>
      </c>
      <c r="BO210">
        <f>IF(ISNA(BP210),NA(),BO144)</f>
        <v>0</v>
      </c>
      <c r="BP210">
        <f>IF(OR(BP144="",AND(BP144=BP143,BP144=BP145)),NA(), BP144)</f>
        <v>0</v>
      </c>
      <c r="BS210">
        <f>IF(ISNA(BT210),NA(),BS144)</f>
        <v>0</v>
      </c>
      <c r="BT210">
        <f>IF(OR(BT144="",AND(BT144=BT143,BT144=BT145)),NA(), BT144)</f>
        <v>0</v>
      </c>
      <c r="BU210">
        <f>IF(ISNA(BV210),NA(),BU144)</f>
        <v>0</v>
      </c>
      <c r="BV210">
        <f>IF(OR(BV144="",AND(BV144=BV143,BV144=BV145)),NA(), BV144)</f>
        <v>0</v>
      </c>
      <c r="BW210">
        <f>IF(ISNA(BX210),NA(),BW144)</f>
        <v>0</v>
      </c>
      <c r="BX210">
        <f>IF(OR(BX144="",AND(BX144=BX143,BX144=BX145)),NA(), BX144)</f>
        <v>0</v>
      </c>
      <c r="BY210">
        <f>IF(ISNA(BZ210),NA(),BY144)</f>
        <v>0</v>
      </c>
      <c r="BZ210">
        <f>IF(OR(BZ144="",AND(BZ144=BZ143,BZ144=BZ145)),NA(), BZ144)</f>
        <v>0</v>
      </c>
      <c r="CA210">
        <f>IF(ISNA(CB210),NA(),CA144)</f>
        <v>0</v>
      </c>
      <c r="CB210">
        <f>IF(OR(CB144="",AND(CB144=CB143,CB144=CB145)),NA(), CB144)</f>
        <v>0</v>
      </c>
      <c r="CC210">
        <f>IF(ISNA(CD210),NA(),CC144)</f>
        <v>0</v>
      </c>
      <c r="CD210">
        <f>IF(OR(CD144="",AND(CD144=CD143,CD144=CD145)),NA(), CD144)</f>
        <v>0</v>
      </c>
      <c r="CE210">
        <f>IF(ISNA(CF210),NA(),CE144)</f>
        <v>0</v>
      </c>
      <c r="CF210">
        <f>IF(OR(CF144="",AND(CF144=CF143,CF144=CF145)),NA(), CF144)</f>
        <v>0</v>
      </c>
      <c r="CG210">
        <f>IF(ISNA(CH210),NA(),CG144)</f>
        <v>0</v>
      </c>
      <c r="CH210">
        <f>IF(OR(CH144="",AND(CH144=CH143,CH144=CH145)),NA(), CH144)</f>
        <v>0</v>
      </c>
      <c r="CI210">
        <f>IF(ISNA(CJ210),NA(),CI144)</f>
        <v>0</v>
      </c>
      <c r="CJ210">
        <f>IF(OR(CJ144="",AND(CJ144=CJ143,CJ144=CJ145)),NA(), CJ144)</f>
        <v>0</v>
      </c>
      <c r="CK210">
        <f>IF(ISNA(CL210),NA(),CK144)</f>
        <v>0</v>
      </c>
      <c r="CL210">
        <f>IF(OR(CL144="",AND(CL144=CL143,CL144=CL145)),NA(), CL144)</f>
        <v>0</v>
      </c>
      <c r="CM210">
        <f>IF(ISNA(CN210),NA(),CM144)</f>
        <v>0</v>
      </c>
      <c r="CN210">
        <f>IF(OR(CN144="",AND(CN144=CN143,CN144=CN145)),NA(), CN144)</f>
        <v>0</v>
      </c>
      <c r="CO210">
        <f>IF(ISNA(CP210),NA(),CO144)</f>
        <v>0</v>
      </c>
      <c r="CP210">
        <f>IF(OR(CP144="",AND(CP144=CP143,CP144=CP145)),NA(), CP144)</f>
        <v>0</v>
      </c>
      <c r="CQ210">
        <f>IF(ISNA(CR210),NA(),CQ144)</f>
        <v>0</v>
      </c>
      <c r="CR210">
        <f>IF(OR(CR144="",AND(CR144=CR143,CR144=CR145)),NA(), CR144)</f>
        <v>0</v>
      </c>
      <c r="CS210">
        <f>IF(ISNA(CT210),NA(),CS144)</f>
        <v>0</v>
      </c>
      <c r="CT210">
        <f>IF(OR(CT144="",AND(CT144=CT143,CT144=CT145)),NA(), CT144)</f>
        <v>0</v>
      </c>
      <c r="CU210">
        <f>IF(ISNA(CV210),NA(),CU144)</f>
        <v>0</v>
      </c>
      <c r="CV210">
        <f>IF(OR(CV144="",AND(CV144=CV143,CV144=CV145)),NA(), CV144)</f>
        <v>0</v>
      </c>
      <c r="CW210">
        <f>IF(ISNA(CX210),NA(),CW144)</f>
        <v>0</v>
      </c>
      <c r="CX210">
        <f>IF(OR(CX144="",AND(CX144=CX143,CX144=CX145)),NA(), CX144)</f>
        <v>0</v>
      </c>
      <c r="CY210">
        <f>IF(ISNA(CZ210),NA(),CY144)</f>
        <v>0</v>
      </c>
      <c r="CZ210">
        <f>IF(OR(CZ144="",AND(CZ144=CZ143,CZ144=CZ145)),NA(), CZ144)</f>
        <v>0</v>
      </c>
      <c r="DA210">
        <f>IF(ISNA(DB210),NA(),DA144)</f>
        <v>0</v>
      </c>
      <c r="DB210">
        <f>IF(OR(DB144="",AND(DB144=DB143,DB144=DB145)),NA(), DB144)</f>
        <v>0</v>
      </c>
      <c r="DC210">
        <f>IF(ISNA(DD210),NA(),DC144)</f>
        <v>0</v>
      </c>
      <c r="DD210">
        <f>IF(OR(DD144="",AND(DD144=DD143,DD144=DD145)),NA(), DD144)</f>
        <v>0</v>
      </c>
      <c r="DE210">
        <f>IF(ISNA(DF210),NA(),DE144)</f>
        <v>0</v>
      </c>
      <c r="DF210">
        <f>IF(OR(DF144="",AND(DF144=DF143,DF144=DF145)),NA(), DF144)</f>
        <v>0</v>
      </c>
      <c r="DG210">
        <f>IF(ISNA(DH210),NA(),DG144)</f>
        <v>0</v>
      </c>
      <c r="DH210">
        <f>IF(OR(DH144="",AND(DH144=DH143,DH144=DH145)),NA(), DH144)</f>
        <v>0</v>
      </c>
      <c r="DI210">
        <f>IF(ISNA(DJ210),NA(),DI144)</f>
        <v>0</v>
      </c>
      <c r="DJ210">
        <f>IF(OR(DJ144="",AND(DJ144=DJ143,DJ144=DJ145)),NA(), DJ144)</f>
        <v>0</v>
      </c>
      <c r="DK210">
        <f>IF(ISNA(DL210),NA(),DK144)</f>
        <v>0</v>
      </c>
      <c r="DL210">
        <f>IF(OR(DL144="",AND(DL144=DL143,DL144=DL145)),NA(), DL144)</f>
        <v>0</v>
      </c>
      <c r="DM210">
        <f>IF(ISNA(DN210),NA(),DM144)</f>
        <v>0</v>
      </c>
      <c r="DN210">
        <f>IF(OR(DN144="",AND(DN144=DN143,DN144=DN145)),NA(), DN144)</f>
        <v>0</v>
      </c>
      <c r="DO210">
        <f>IF(ISNA(DP210),NA(),DO144)</f>
        <v>0</v>
      </c>
      <c r="DP210">
        <f>IF(OR(DP144="",AND(DP144=DP143,DP144=DP145)),NA(), DP144)</f>
        <v>0</v>
      </c>
      <c r="DQ210">
        <f>IF(ISNA(DR210),NA(),DQ144)</f>
        <v>0</v>
      </c>
      <c r="DR210">
        <f>IF(OR(DR144="",AND(DR144=DR143,DR144=DR145)),NA(), DR144)</f>
        <v>0</v>
      </c>
      <c r="DS210">
        <f>IF(ISNA(DT210),NA(),DS144)</f>
        <v>0</v>
      </c>
      <c r="DT210">
        <f>IF(OR(DT144="",AND(DT144=DT143,DT144=DT145)),NA(), DT144)</f>
        <v>0</v>
      </c>
      <c r="DU210">
        <f>IF(ISNA(DV210),NA(),DU144)</f>
        <v>0</v>
      </c>
      <c r="DV210">
        <f>IF(OR(DV144="",AND(DV144=DV143,DV144=DV145)),NA(), DV144)</f>
        <v>0</v>
      </c>
      <c r="DW210">
        <f>IF(ISNA(DX210),NA(),DW144)</f>
        <v>0</v>
      </c>
      <c r="DX210">
        <f>IF(OR(DX144="",AND(DX144=DX143,DX144=DX145)),NA(), DX144)</f>
        <v>0</v>
      </c>
      <c r="DY210">
        <f>IF(ISNA(DZ210),NA(),DY144)</f>
        <v>0</v>
      </c>
      <c r="DZ210">
        <f>IF(OR(DZ144="",AND(DZ144=DZ143,DZ144=DZ145)),NA(), DZ144)</f>
        <v>0</v>
      </c>
      <c r="EA210">
        <f>IF(ISNA(EB210),NA(),EA144)</f>
        <v>0</v>
      </c>
      <c r="EB210">
        <f>IF(OR(EB144="",AND(EB144=EB143,EB144=EB145)),NA(), EB144)</f>
        <v>0</v>
      </c>
      <c r="EC210">
        <f>IF(ISNA(ED210),NA(),EC144)</f>
        <v>0</v>
      </c>
      <c r="ED210">
        <f>IF(OR(ED144="",AND(ED144=ED143,ED144=ED145)),NA(), ED144)</f>
        <v>0</v>
      </c>
    </row>
    <row r="211" spans="5:134">
      <c r="E211">
        <f>IF(ISNA(F211),NA(),E145)</f>
        <v>0</v>
      </c>
      <c r="F211">
        <f>IF(OR(F145="",AND(F145=F144,F145=F146)),NA(), F145)</f>
        <v>0</v>
      </c>
      <c r="G211">
        <f>IF(ISNA(H211),NA(),G145)</f>
        <v>0</v>
      </c>
      <c r="H211">
        <f>IF(OR(H145="",AND(H145=H144,H145=H146)),NA(), H145)</f>
        <v>0</v>
      </c>
      <c r="I211">
        <f>IF(ISNA(J211),NA(),I145)</f>
        <v>0</v>
      </c>
      <c r="J211">
        <f>IF(OR(J145="",AND(J145=J144,J145=J146)),NA(), J145)</f>
        <v>0</v>
      </c>
      <c r="K211">
        <f>IF(ISNA(L211),NA(),K145)</f>
        <v>0</v>
      </c>
      <c r="L211">
        <f>IF(OR(L145="",AND(L145=L144,L145=L146)),NA(), L145)</f>
        <v>0</v>
      </c>
      <c r="M211">
        <f>IF(ISNA(N211),NA(),M145)</f>
        <v>0</v>
      </c>
      <c r="N211">
        <f>IF(OR(N145="",AND(N145=N144,N145=N146)),NA(), N145)</f>
        <v>0</v>
      </c>
      <c r="O211">
        <f>IF(ISNA(P211),NA(),O145)</f>
        <v>0</v>
      </c>
      <c r="P211">
        <f>IF(OR(P145="",AND(P145=P144,P145=P146)),NA(), P145)</f>
        <v>0</v>
      </c>
      <c r="Q211">
        <f>IF(ISNA(R211),NA(),Q145)</f>
        <v>0</v>
      </c>
      <c r="R211">
        <f>IF(OR(R145="",AND(R145=R144,R145=R146)),NA(), R145)</f>
        <v>0</v>
      </c>
      <c r="S211">
        <f>IF(ISNA(T211),NA(),S145)</f>
        <v>0</v>
      </c>
      <c r="T211">
        <f>IF(OR(T145="",AND(T145=T144,T145=T146)),NA(), T145)</f>
        <v>0</v>
      </c>
      <c r="U211">
        <f>IF(ISNA(V211),NA(),U145)</f>
        <v>0</v>
      </c>
      <c r="V211">
        <f>IF(OR(V145="",AND(V145=V144,V145=V146)),NA(), V145)</f>
        <v>0</v>
      </c>
      <c r="W211">
        <f>IF(ISNA(X211),NA(),W145)</f>
        <v>0</v>
      </c>
      <c r="X211">
        <f>IF(OR(X145="",AND(X145=X144,X145=X146)),NA(), X145)</f>
        <v>0</v>
      </c>
      <c r="Y211">
        <f>IF(ISNA(Z211),NA(),Y145)</f>
        <v>0</v>
      </c>
      <c r="Z211">
        <f>IF(OR(Z145="",AND(Z145=Z144,Z145=Z146)),NA(), Z145)</f>
        <v>0</v>
      </c>
      <c r="AA211">
        <f>IF(ISNA(AB211),NA(),AA145)</f>
        <v>0</v>
      </c>
      <c r="AB211">
        <f>IF(OR(AB145="",AND(AB145=AB144,AB145=AB146)),NA(), AB145)</f>
        <v>0</v>
      </c>
      <c r="AC211">
        <f>IF(ISNA(AD211),NA(),AC145)</f>
        <v>0</v>
      </c>
      <c r="AD211">
        <f>IF(OR(AD145="",AND(AD145=AD144,AD145=AD146)),NA(), AD145)</f>
        <v>0</v>
      </c>
      <c r="AE211">
        <f>IF(ISNA(AF211),NA(),AE145)</f>
        <v>0</v>
      </c>
      <c r="AF211">
        <f>IF(OR(AF145="",AND(AF145=AF144,AF145=AF146)),NA(), AF145)</f>
        <v>0</v>
      </c>
      <c r="AG211">
        <f>IF(ISNA(AH211),NA(),AG145)</f>
        <v>0</v>
      </c>
      <c r="AH211">
        <f>IF(OR(AH145="",AND(AH145=AH144,AH145=AH146)),NA(), AH145)</f>
        <v>0</v>
      </c>
      <c r="AI211">
        <f>IF(ISNA(AJ211),NA(),AI145)</f>
        <v>0</v>
      </c>
      <c r="AJ211">
        <f>IF(OR(AJ145="",AND(AJ145=AJ144,AJ145=AJ146)),NA(), AJ145)</f>
        <v>0</v>
      </c>
      <c r="AK211">
        <f>IF(ISNA(AL211),NA(),AK145)</f>
        <v>0</v>
      </c>
      <c r="AL211">
        <f>IF(OR(AL145="",AND(AL145=AL144,AL145=AL146)),NA(), AL145)</f>
        <v>0</v>
      </c>
      <c r="AM211">
        <f>IF(ISNA(AN211),NA(),AM145)</f>
        <v>0</v>
      </c>
      <c r="AN211">
        <f>IF(OR(AN145="",AND(AN145=AN144,AN145=AN146)),NA(), AN145)</f>
        <v>0</v>
      </c>
      <c r="AO211">
        <f>IF(ISNA(AP211),NA(),AO145)</f>
        <v>0</v>
      </c>
      <c r="AP211">
        <f>IF(OR(AP145="",AND(AP145=AP144,AP145=AP146)),NA(), AP145)</f>
        <v>0</v>
      </c>
      <c r="AQ211">
        <f>IF(ISNA(AR211),NA(),AQ145)</f>
        <v>0</v>
      </c>
      <c r="AR211">
        <f>IF(OR(AR145="",AND(AR145=AR144,AR145=AR146)),NA(), AR145)</f>
        <v>0</v>
      </c>
      <c r="AS211">
        <f>IF(ISNA(AT211),NA(),AS145)</f>
        <v>0</v>
      </c>
      <c r="AT211">
        <f>IF(OR(AT145="",AND(AT145=AT144,AT145=AT146)),NA(), AT145)</f>
        <v>0</v>
      </c>
      <c r="AU211">
        <f>IF(ISNA(AV211),NA(),AU145)</f>
        <v>0</v>
      </c>
      <c r="AV211">
        <f>IF(OR(AV145="",AND(AV145=AV144,AV145=AV146)),NA(), AV145)</f>
        <v>0</v>
      </c>
      <c r="AW211">
        <f>IF(ISNA(AX211),NA(),AW145)</f>
        <v>0</v>
      </c>
      <c r="AX211">
        <f>IF(OR(AX145="",AND(AX145=AX144,AX145=AX146)),NA(), AX145)</f>
        <v>0</v>
      </c>
      <c r="AY211">
        <f>IF(ISNA(AZ211),NA(),AY145)</f>
        <v>0</v>
      </c>
      <c r="AZ211">
        <f>IF(OR(AZ145="",AND(AZ145=AZ144,AZ145=AZ146)),NA(), AZ145)</f>
        <v>0</v>
      </c>
      <c r="BA211">
        <f>IF(ISNA(BB211),NA(),BA145)</f>
        <v>0</v>
      </c>
      <c r="BB211">
        <f>IF(OR(BB145="",AND(BB145=BB144,BB145=BB146)),NA(), BB145)</f>
        <v>0</v>
      </c>
      <c r="BC211">
        <f>IF(ISNA(BD211),NA(),BC145)</f>
        <v>0</v>
      </c>
      <c r="BD211">
        <f>IF(OR(BD145="",AND(BD145=BD144,BD145=BD146)),NA(), BD145)</f>
        <v>0</v>
      </c>
      <c r="BE211">
        <f>IF(ISNA(BF211),NA(),BE145)</f>
        <v>0</v>
      </c>
      <c r="BF211">
        <f>IF(OR(BF145="",AND(BF145=BF144,BF145=BF146)),NA(), BF145)</f>
        <v>0</v>
      </c>
      <c r="BG211">
        <f>IF(ISNA(BH211),NA(),BG145)</f>
        <v>0</v>
      </c>
      <c r="BH211">
        <f>IF(OR(BH145="",AND(BH145=BH144,BH145=BH146)),NA(), BH145)</f>
        <v>0</v>
      </c>
      <c r="BI211">
        <f>IF(ISNA(BJ211),NA(),BI145)</f>
        <v>0</v>
      </c>
      <c r="BJ211">
        <f>IF(OR(BJ145="",AND(BJ145=BJ144,BJ145=BJ146)),NA(), BJ145)</f>
        <v>0</v>
      </c>
      <c r="BK211">
        <f>IF(ISNA(BL211),NA(),BK145)</f>
        <v>0</v>
      </c>
      <c r="BL211">
        <f>IF(OR(BL145="",AND(BL145=BL144,BL145=BL146)),NA(), BL145)</f>
        <v>0</v>
      </c>
      <c r="BM211">
        <f>IF(ISNA(BN211),NA(),BM145)</f>
        <v>0</v>
      </c>
      <c r="BN211">
        <f>IF(OR(BN145="",AND(BN145=BN144,BN145=BN146)),NA(), BN145)</f>
        <v>0</v>
      </c>
      <c r="BO211">
        <f>IF(ISNA(BP211),NA(),BO145)</f>
        <v>0</v>
      </c>
      <c r="BP211">
        <f>IF(OR(BP145="",AND(BP145=BP144,BP145=BP146)),NA(), BP145)</f>
        <v>0</v>
      </c>
      <c r="BS211">
        <f>IF(ISNA(BT211),NA(),BS145)</f>
        <v>0</v>
      </c>
      <c r="BT211">
        <f>IF(OR(BT145="",AND(BT145=BT144,BT145=BT146)),NA(), BT145)</f>
        <v>0</v>
      </c>
      <c r="BU211">
        <f>IF(ISNA(BV211),NA(),BU145)</f>
        <v>0</v>
      </c>
      <c r="BV211">
        <f>IF(OR(BV145="",AND(BV145=BV144,BV145=BV146)),NA(), BV145)</f>
        <v>0</v>
      </c>
      <c r="BW211">
        <f>IF(ISNA(BX211),NA(),BW145)</f>
        <v>0</v>
      </c>
      <c r="BX211">
        <f>IF(OR(BX145="",AND(BX145=BX144,BX145=BX146)),NA(), BX145)</f>
        <v>0</v>
      </c>
      <c r="BY211">
        <f>IF(ISNA(BZ211),NA(),BY145)</f>
        <v>0</v>
      </c>
      <c r="BZ211">
        <f>IF(OR(BZ145="",AND(BZ145=BZ144,BZ145=BZ146)),NA(), BZ145)</f>
        <v>0</v>
      </c>
      <c r="CA211">
        <f>IF(ISNA(CB211),NA(),CA145)</f>
        <v>0</v>
      </c>
      <c r="CB211">
        <f>IF(OR(CB145="",AND(CB145=CB144,CB145=CB146)),NA(), CB145)</f>
        <v>0</v>
      </c>
      <c r="CC211">
        <f>IF(ISNA(CD211),NA(),CC145)</f>
        <v>0</v>
      </c>
      <c r="CD211">
        <f>IF(OR(CD145="",AND(CD145=CD144,CD145=CD146)),NA(), CD145)</f>
        <v>0</v>
      </c>
      <c r="CE211">
        <f>IF(ISNA(CF211),NA(),CE145)</f>
        <v>0</v>
      </c>
      <c r="CF211">
        <f>IF(OR(CF145="",AND(CF145=CF144,CF145=CF146)),NA(), CF145)</f>
        <v>0</v>
      </c>
      <c r="CG211">
        <f>IF(ISNA(CH211),NA(),CG145)</f>
        <v>0</v>
      </c>
      <c r="CH211">
        <f>IF(OR(CH145="",AND(CH145=CH144,CH145=CH146)),NA(), CH145)</f>
        <v>0</v>
      </c>
      <c r="CI211">
        <f>IF(ISNA(CJ211),NA(),CI145)</f>
        <v>0</v>
      </c>
      <c r="CJ211">
        <f>IF(OR(CJ145="",AND(CJ145=CJ144,CJ145=CJ146)),NA(), CJ145)</f>
        <v>0</v>
      </c>
      <c r="CK211">
        <f>IF(ISNA(CL211),NA(),CK145)</f>
        <v>0</v>
      </c>
      <c r="CL211">
        <f>IF(OR(CL145="",AND(CL145=CL144,CL145=CL146)),NA(), CL145)</f>
        <v>0</v>
      </c>
      <c r="CM211">
        <f>IF(ISNA(CN211),NA(),CM145)</f>
        <v>0</v>
      </c>
      <c r="CN211">
        <f>IF(OR(CN145="",AND(CN145=CN144,CN145=CN146)),NA(), CN145)</f>
        <v>0</v>
      </c>
      <c r="CO211">
        <f>IF(ISNA(CP211),NA(),CO145)</f>
        <v>0</v>
      </c>
      <c r="CP211">
        <f>IF(OR(CP145="",AND(CP145=CP144,CP145=CP146)),NA(), CP145)</f>
        <v>0</v>
      </c>
      <c r="CQ211">
        <f>IF(ISNA(CR211),NA(),CQ145)</f>
        <v>0</v>
      </c>
      <c r="CR211">
        <f>IF(OR(CR145="",AND(CR145=CR144,CR145=CR146)),NA(), CR145)</f>
        <v>0</v>
      </c>
      <c r="CS211">
        <f>IF(ISNA(CT211),NA(),CS145)</f>
        <v>0</v>
      </c>
      <c r="CT211">
        <f>IF(OR(CT145="",AND(CT145=CT144,CT145=CT146)),NA(), CT145)</f>
        <v>0</v>
      </c>
      <c r="CU211">
        <f>IF(ISNA(CV211),NA(),CU145)</f>
        <v>0</v>
      </c>
      <c r="CV211">
        <f>IF(OR(CV145="",AND(CV145=CV144,CV145=CV146)),NA(), CV145)</f>
        <v>0</v>
      </c>
      <c r="CW211">
        <f>IF(ISNA(CX211),NA(),CW145)</f>
        <v>0</v>
      </c>
      <c r="CX211">
        <f>IF(OR(CX145="",AND(CX145=CX144,CX145=CX146)),NA(), CX145)</f>
        <v>0</v>
      </c>
      <c r="CY211">
        <f>IF(ISNA(CZ211),NA(),CY145)</f>
        <v>0</v>
      </c>
      <c r="CZ211">
        <f>IF(OR(CZ145="",AND(CZ145=CZ144,CZ145=CZ146)),NA(), CZ145)</f>
        <v>0</v>
      </c>
      <c r="DA211">
        <f>IF(ISNA(DB211),NA(),DA145)</f>
        <v>0</v>
      </c>
      <c r="DB211">
        <f>IF(OR(DB145="",AND(DB145=DB144,DB145=DB146)),NA(), DB145)</f>
        <v>0</v>
      </c>
      <c r="DC211">
        <f>IF(ISNA(DD211),NA(),DC145)</f>
        <v>0</v>
      </c>
      <c r="DD211">
        <f>IF(OR(DD145="",AND(DD145=DD144,DD145=DD146)),NA(), DD145)</f>
        <v>0</v>
      </c>
      <c r="DE211">
        <f>IF(ISNA(DF211),NA(),DE145)</f>
        <v>0</v>
      </c>
      <c r="DF211">
        <f>IF(OR(DF145="",AND(DF145=DF144,DF145=DF146)),NA(), DF145)</f>
        <v>0</v>
      </c>
      <c r="DG211">
        <f>IF(ISNA(DH211),NA(),DG145)</f>
        <v>0</v>
      </c>
      <c r="DH211">
        <f>IF(OR(DH145="",AND(DH145=DH144,DH145=DH146)),NA(), DH145)</f>
        <v>0</v>
      </c>
      <c r="DI211">
        <f>IF(ISNA(DJ211),NA(),DI145)</f>
        <v>0</v>
      </c>
      <c r="DJ211">
        <f>IF(OR(DJ145="",AND(DJ145=DJ144,DJ145=DJ146)),NA(), DJ145)</f>
        <v>0</v>
      </c>
      <c r="DK211">
        <f>IF(ISNA(DL211),NA(),DK145)</f>
        <v>0</v>
      </c>
      <c r="DL211">
        <f>IF(OR(DL145="",AND(DL145=DL144,DL145=DL146)),NA(), DL145)</f>
        <v>0</v>
      </c>
      <c r="DM211">
        <f>IF(ISNA(DN211),NA(),DM145)</f>
        <v>0</v>
      </c>
      <c r="DN211">
        <f>IF(OR(DN145="",AND(DN145=DN144,DN145=DN146)),NA(), DN145)</f>
        <v>0</v>
      </c>
      <c r="DO211">
        <f>IF(ISNA(DP211),NA(),DO145)</f>
        <v>0</v>
      </c>
      <c r="DP211">
        <f>IF(OR(DP145="",AND(DP145=DP144,DP145=DP146)),NA(), DP145)</f>
        <v>0</v>
      </c>
      <c r="DQ211">
        <f>IF(ISNA(DR211),NA(),DQ145)</f>
        <v>0</v>
      </c>
      <c r="DR211">
        <f>IF(OR(DR145="",AND(DR145=DR144,DR145=DR146)),NA(), DR145)</f>
        <v>0</v>
      </c>
      <c r="DS211">
        <f>IF(ISNA(DT211),NA(),DS145)</f>
        <v>0</v>
      </c>
      <c r="DT211">
        <f>IF(OR(DT145="",AND(DT145=DT144,DT145=DT146)),NA(), DT145)</f>
        <v>0</v>
      </c>
      <c r="DU211">
        <f>IF(ISNA(DV211),NA(),DU145)</f>
        <v>0</v>
      </c>
      <c r="DV211">
        <f>IF(OR(DV145="",AND(DV145=DV144,DV145=DV146)),NA(), DV145)</f>
        <v>0</v>
      </c>
      <c r="DW211">
        <f>IF(ISNA(DX211),NA(),DW145)</f>
        <v>0</v>
      </c>
      <c r="DX211">
        <f>IF(OR(DX145="",AND(DX145=DX144,DX145=DX146)),NA(), DX145)</f>
        <v>0</v>
      </c>
      <c r="DY211">
        <f>IF(ISNA(DZ211),NA(),DY145)</f>
        <v>0</v>
      </c>
      <c r="DZ211">
        <f>IF(OR(DZ145="",AND(DZ145=DZ144,DZ145=DZ146)),NA(), DZ145)</f>
        <v>0</v>
      </c>
      <c r="EA211">
        <f>IF(ISNA(EB211),NA(),EA145)</f>
        <v>0</v>
      </c>
      <c r="EB211">
        <f>IF(OR(EB145="",AND(EB145=EB144,EB145=EB146)),NA(), EB145)</f>
        <v>0</v>
      </c>
      <c r="EC211">
        <f>IF(ISNA(ED211),NA(),EC145)</f>
        <v>0</v>
      </c>
      <c r="ED211">
        <f>IF(OR(ED145="",AND(ED145=ED144,ED145=ED146)),NA(), ED145)</f>
        <v>0</v>
      </c>
    </row>
    <row r="212" spans="5:134">
      <c r="E212">
        <f>IF(ISNA(F212),NA(),E146)</f>
        <v>0</v>
      </c>
      <c r="F212">
        <f>IF(OR(F146="",AND(F146=F145,F146=F147)),NA(), F146)</f>
        <v>0</v>
      </c>
      <c r="G212">
        <f>IF(ISNA(H212),NA(),G146)</f>
        <v>0</v>
      </c>
      <c r="H212">
        <f>IF(OR(H146="",AND(H146=H145,H146=H147)),NA(), H146)</f>
        <v>0</v>
      </c>
      <c r="I212">
        <f>IF(ISNA(J212),NA(),I146)</f>
        <v>0</v>
      </c>
      <c r="J212">
        <f>IF(OR(J146="",AND(J146=J145,J146=J147)),NA(), J146)</f>
        <v>0</v>
      </c>
      <c r="K212">
        <f>IF(ISNA(L212),NA(),K146)</f>
        <v>0</v>
      </c>
      <c r="L212">
        <f>IF(OR(L146="",AND(L146=L145,L146=L147)),NA(), L146)</f>
        <v>0</v>
      </c>
      <c r="M212">
        <f>IF(ISNA(N212),NA(),M146)</f>
        <v>0</v>
      </c>
      <c r="N212">
        <f>IF(OR(N146="",AND(N146=N145,N146=N147)),NA(), N146)</f>
        <v>0</v>
      </c>
      <c r="O212">
        <f>IF(ISNA(P212),NA(),O146)</f>
        <v>0</v>
      </c>
      <c r="P212">
        <f>IF(OR(P146="",AND(P146=P145,P146=P147)),NA(), P146)</f>
        <v>0</v>
      </c>
      <c r="Q212">
        <f>IF(ISNA(R212),NA(),Q146)</f>
        <v>0</v>
      </c>
      <c r="R212">
        <f>IF(OR(R146="",AND(R146=R145,R146=R147)),NA(), R146)</f>
        <v>0</v>
      </c>
      <c r="S212">
        <f>IF(ISNA(T212),NA(),S146)</f>
        <v>0</v>
      </c>
      <c r="T212">
        <f>IF(OR(T146="",AND(T146=T145,T146=T147)),NA(), T146)</f>
        <v>0</v>
      </c>
      <c r="U212">
        <f>IF(ISNA(V212),NA(),U146)</f>
        <v>0</v>
      </c>
      <c r="V212">
        <f>IF(OR(V146="",AND(V146=V145,V146=V147)),NA(), V146)</f>
        <v>0</v>
      </c>
      <c r="W212">
        <f>IF(ISNA(X212),NA(),W146)</f>
        <v>0</v>
      </c>
      <c r="X212">
        <f>IF(OR(X146="",AND(X146=X145,X146=X147)),NA(), X146)</f>
        <v>0</v>
      </c>
      <c r="Y212">
        <f>IF(ISNA(Z212),NA(),Y146)</f>
        <v>0</v>
      </c>
      <c r="Z212">
        <f>IF(OR(Z146="",AND(Z146=Z145,Z146=Z147)),NA(), Z146)</f>
        <v>0</v>
      </c>
      <c r="AA212">
        <f>IF(ISNA(AB212),NA(),AA146)</f>
        <v>0</v>
      </c>
      <c r="AB212">
        <f>IF(OR(AB146="",AND(AB146=AB145,AB146=AB147)),NA(), AB146)</f>
        <v>0</v>
      </c>
      <c r="AC212">
        <f>IF(ISNA(AD212),NA(),AC146)</f>
        <v>0</v>
      </c>
      <c r="AD212">
        <f>IF(OR(AD146="",AND(AD146=AD145,AD146=AD147)),NA(), AD146)</f>
        <v>0</v>
      </c>
      <c r="AE212">
        <f>IF(ISNA(AF212),NA(),AE146)</f>
        <v>0</v>
      </c>
      <c r="AF212">
        <f>IF(OR(AF146="",AND(AF146=AF145,AF146=AF147)),NA(), AF146)</f>
        <v>0</v>
      </c>
      <c r="AG212">
        <f>IF(ISNA(AH212),NA(),AG146)</f>
        <v>0</v>
      </c>
      <c r="AH212">
        <f>IF(OR(AH146="",AND(AH146=AH145,AH146=AH147)),NA(), AH146)</f>
        <v>0</v>
      </c>
      <c r="AI212">
        <f>IF(ISNA(AJ212),NA(),AI146)</f>
        <v>0</v>
      </c>
      <c r="AJ212">
        <f>IF(OR(AJ146="",AND(AJ146=AJ145,AJ146=AJ147)),NA(), AJ146)</f>
        <v>0</v>
      </c>
      <c r="AK212">
        <f>IF(ISNA(AL212),NA(),AK146)</f>
        <v>0</v>
      </c>
      <c r="AL212">
        <f>IF(OR(AL146="",AND(AL146=AL145,AL146=AL147)),NA(), AL146)</f>
        <v>0</v>
      </c>
      <c r="AM212">
        <f>IF(ISNA(AN212),NA(),AM146)</f>
        <v>0</v>
      </c>
      <c r="AN212">
        <f>IF(OR(AN146="",AND(AN146=AN145,AN146=AN147)),NA(), AN146)</f>
        <v>0</v>
      </c>
      <c r="AO212">
        <f>IF(ISNA(AP212),NA(),AO146)</f>
        <v>0</v>
      </c>
      <c r="AP212">
        <f>IF(OR(AP146="",AND(AP146=AP145,AP146=AP147)),NA(), AP146)</f>
        <v>0</v>
      </c>
      <c r="AQ212">
        <f>IF(ISNA(AR212),NA(),AQ146)</f>
        <v>0</v>
      </c>
      <c r="AR212">
        <f>IF(OR(AR146="",AND(AR146=AR145,AR146=AR147)),NA(), AR146)</f>
        <v>0</v>
      </c>
      <c r="AS212">
        <f>IF(ISNA(AT212),NA(),AS146)</f>
        <v>0</v>
      </c>
      <c r="AT212">
        <f>IF(OR(AT146="",AND(AT146=AT145,AT146=AT147)),NA(), AT146)</f>
        <v>0</v>
      </c>
      <c r="AU212">
        <f>IF(ISNA(AV212),NA(),AU146)</f>
        <v>0</v>
      </c>
      <c r="AV212">
        <f>IF(OR(AV146="",AND(AV146=AV145,AV146=AV147)),NA(), AV146)</f>
        <v>0</v>
      </c>
      <c r="AW212">
        <f>IF(ISNA(AX212),NA(),AW146)</f>
        <v>0</v>
      </c>
      <c r="AX212">
        <f>IF(OR(AX146="",AND(AX146=AX145,AX146=AX147)),NA(), AX146)</f>
        <v>0</v>
      </c>
      <c r="AY212">
        <f>IF(ISNA(AZ212),NA(),AY146)</f>
        <v>0</v>
      </c>
      <c r="AZ212">
        <f>IF(OR(AZ146="",AND(AZ146=AZ145,AZ146=AZ147)),NA(), AZ146)</f>
        <v>0</v>
      </c>
      <c r="BA212">
        <f>IF(ISNA(BB212),NA(),BA146)</f>
        <v>0</v>
      </c>
      <c r="BB212">
        <f>IF(OR(BB146="",AND(BB146=BB145,BB146=BB147)),NA(), BB146)</f>
        <v>0</v>
      </c>
      <c r="BC212">
        <f>IF(ISNA(BD212),NA(),BC146)</f>
        <v>0</v>
      </c>
      <c r="BD212">
        <f>IF(OR(BD146="",AND(BD146=BD145,BD146=BD147)),NA(), BD146)</f>
        <v>0</v>
      </c>
      <c r="BE212">
        <f>IF(ISNA(BF212),NA(),BE146)</f>
        <v>0</v>
      </c>
      <c r="BF212">
        <f>IF(OR(BF146="",AND(BF146=BF145,BF146=BF147)),NA(), BF146)</f>
        <v>0</v>
      </c>
      <c r="BG212">
        <f>IF(ISNA(BH212),NA(),BG146)</f>
        <v>0</v>
      </c>
      <c r="BH212">
        <f>IF(OR(BH146="",AND(BH146=BH145,BH146=BH147)),NA(), BH146)</f>
        <v>0</v>
      </c>
      <c r="BI212">
        <f>IF(ISNA(BJ212),NA(),BI146)</f>
        <v>0</v>
      </c>
      <c r="BJ212">
        <f>IF(OR(BJ146="",AND(BJ146=BJ145,BJ146=BJ147)),NA(), BJ146)</f>
        <v>0</v>
      </c>
      <c r="BK212">
        <f>IF(ISNA(BL212),NA(),BK146)</f>
        <v>0</v>
      </c>
      <c r="BL212">
        <f>IF(OR(BL146="",AND(BL146=BL145,BL146=BL147)),NA(), BL146)</f>
        <v>0</v>
      </c>
      <c r="BM212">
        <f>IF(ISNA(BN212),NA(),BM146)</f>
        <v>0</v>
      </c>
      <c r="BN212">
        <f>IF(OR(BN146="",AND(BN146=BN145,BN146=BN147)),NA(), BN146)</f>
        <v>0</v>
      </c>
      <c r="BO212">
        <f>IF(ISNA(BP212),NA(),BO146)</f>
        <v>0</v>
      </c>
      <c r="BP212">
        <f>IF(OR(BP146="",AND(BP146=BP145,BP146=BP147)),NA(), BP146)</f>
        <v>0</v>
      </c>
      <c r="BS212">
        <f>IF(ISNA(BT212),NA(),BS146)</f>
        <v>0</v>
      </c>
      <c r="BT212">
        <f>IF(OR(BT146="",AND(BT146=BT145,BT146=BT147)),NA(), BT146)</f>
        <v>0</v>
      </c>
      <c r="BU212">
        <f>IF(ISNA(BV212),NA(),BU146)</f>
        <v>0</v>
      </c>
      <c r="BV212">
        <f>IF(OR(BV146="",AND(BV146=BV145,BV146=BV147)),NA(), BV146)</f>
        <v>0</v>
      </c>
      <c r="BW212">
        <f>IF(ISNA(BX212),NA(),BW146)</f>
        <v>0</v>
      </c>
      <c r="BX212">
        <f>IF(OR(BX146="",AND(BX146=BX145,BX146=BX147)),NA(), BX146)</f>
        <v>0</v>
      </c>
      <c r="BY212">
        <f>IF(ISNA(BZ212),NA(),BY146)</f>
        <v>0</v>
      </c>
      <c r="BZ212">
        <f>IF(OR(BZ146="",AND(BZ146=BZ145,BZ146=BZ147)),NA(), BZ146)</f>
        <v>0</v>
      </c>
      <c r="CA212">
        <f>IF(ISNA(CB212),NA(),CA146)</f>
        <v>0</v>
      </c>
      <c r="CB212">
        <f>IF(OR(CB146="",AND(CB146=CB145,CB146=CB147)),NA(), CB146)</f>
        <v>0</v>
      </c>
      <c r="CC212">
        <f>IF(ISNA(CD212),NA(),CC146)</f>
        <v>0</v>
      </c>
      <c r="CD212">
        <f>IF(OR(CD146="",AND(CD146=CD145,CD146=CD147)),NA(), CD146)</f>
        <v>0</v>
      </c>
      <c r="CE212">
        <f>IF(ISNA(CF212),NA(),CE146)</f>
        <v>0</v>
      </c>
      <c r="CF212">
        <f>IF(OR(CF146="",AND(CF146=CF145,CF146=CF147)),NA(), CF146)</f>
        <v>0</v>
      </c>
      <c r="CG212">
        <f>IF(ISNA(CH212),NA(),CG146)</f>
        <v>0</v>
      </c>
      <c r="CH212">
        <f>IF(OR(CH146="",AND(CH146=CH145,CH146=CH147)),NA(), CH146)</f>
        <v>0</v>
      </c>
      <c r="CI212">
        <f>IF(ISNA(CJ212),NA(),CI146)</f>
        <v>0</v>
      </c>
      <c r="CJ212">
        <f>IF(OR(CJ146="",AND(CJ146=CJ145,CJ146=CJ147)),NA(), CJ146)</f>
        <v>0</v>
      </c>
      <c r="CK212">
        <f>IF(ISNA(CL212),NA(),CK146)</f>
        <v>0</v>
      </c>
      <c r="CL212">
        <f>IF(OR(CL146="",AND(CL146=CL145,CL146=CL147)),NA(), CL146)</f>
        <v>0</v>
      </c>
      <c r="CM212">
        <f>IF(ISNA(CN212),NA(),CM146)</f>
        <v>0</v>
      </c>
      <c r="CN212">
        <f>IF(OR(CN146="",AND(CN146=CN145,CN146=CN147)),NA(), CN146)</f>
        <v>0</v>
      </c>
      <c r="CO212">
        <f>IF(ISNA(CP212),NA(),CO146)</f>
        <v>0</v>
      </c>
      <c r="CP212">
        <f>IF(OR(CP146="",AND(CP146=CP145,CP146=CP147)),NA(), CP146)</f>
        <v>0</v>
      </c>
      <c r="CQ212">
        <f>IF(ISNA(CR212),NA(),CQ146)</f>
        <v>0</v>
      </c>
      <c r="CR212">
        <f>IF(OR(CR146="",AND(CR146=CR145,CR146=CR147)),NA(), CR146)</f>
        <v>0</v>
      </c>
      <c r="CS212">
        <f>IF(ISNA(CT212),NA(),CS146)</f>
        <v>0</v>
      </c>
      <c r="CT212">
        <f>IF(OR(CT146="",AND(CT146=CT145,CT146=CT147)),NA(), CT146)</f>
        <v>0</v>
      </c>
      <c r="CU212">
        <f>IF(ISNA(CV212),NA(),CU146)</f>
        <v>0</v>
      </c>
      <c r="CV212">
        <f>IF(OR(CV146="",AND(CV146=CV145,CV146=CV147)),NA(), CV146)</f>
        <v>0</v>
      </c>
      <c r="CW212">
        <f>IF(ISNA(CX212),NA(),CW146)</f>
        <v>0</v>
      </c>
      <c r="CX212">
        <f>IF(OR(CX146="",AND(CX146=CX145,CX146=CX147)),NA(), CX146)</f>
        <v>0</v>
      </c>
      <c r="CY212">
        <f>IF(ISNA(CZ212),NA(),CY146)</f>
        <v>0</v>
      </c>
      <c r="CZ212">
        <f>IF(OR(CZ146="",AND(CZ146=CZ145,CZ146=CZ147)),NA(), CZ146)</f>
        <v>0</v>
      </c>
      <c r="DA212">
        <f>IF(ISNA(DB212),NA(),DA146)</f>
        <v>0</v>
      </c>
      <c r="DB212">
        <f>IF(OR(DB146="",AND(DB146=DB145,DB146=DB147)),NA(), DB146)</f>
        <v>0</v>
      </c>
      <c r="DC212">
        <f>IF(ISNA(DD212),NA(),DC146)</f>
        <v>0</v>
      </c>
      <c r="DD212">
        <f>IF(OR(DD146="",AND(DD146=DD145,DD146=DD147)),NA(), DD146)</f>
        <v>0</v>
      </c>
      <c r="DE212">
        <f>IF(ISNA(DF212),NA(),DE146)</f>
        <v>0</v>
      </c>
      <c r="DF212">
        <f>IF(OR(DF146="",AND(DF146=DF145,DF146=DF147)),NA(), DF146)</f>
        <v>0</v>
      </c>
      <c r="DG212">
        <f>IF(ISNA(DH212),NA(),DG146)</f>
        <v>0</v>
      </c>
      <c r="DH212">
        <f>IF(OR(DH146="",AND(DH146=DH145,DH146=DH147)),NA(), DH146)</f>
        <v>0</v>
      </c>
      <c r="DI212">
        <f>IF(ISNA(DJ212),NA(),DI146)</f>
        <v>0</v>
      </c>
      <c r="DJ212">
        <f>IF(OR(DJ146="",AND(DJ146=DJ145,DJ146=DJ147)),NA(), DJ146)</f>
        <v>0</v>
      </c>
      <c r="DK212">
        <f>IF(ISNA(DL212),NA(),DK146)</f>
        <v>0</v>
      </c>
      <c r="DL212">
        <f>IF(OR(DL146="",AND(DL146=DL145,DL146=DL147)),NA(), DL146)</f>
        <v>0</v>
      </c>
      <c r="DM212">
        <f>IF(ISNA(DN212),NA(),DM146)</f>
        <v>0</v>
      </c>
      <c r="DN212">
        <f>IF(OR(DN146="",AND(DN146=DN145,DN146=DN147)),NA(), DN146)</f>
        <v>0</v>
      </c>
      <c r="DO212">
        <f>IF(ISNA(DP212),NA(),DO146)</f>
        <v>0</v>
      </c>
      <c r="DP212">
        <f>IF(OR(DP146="",AND(DP146=DP145,DP146=DP147)),NA(), DP146)</f>
        <v>0</v>
      </c>
      <c r="DQ212">
        <f>IF(ISNA(DR212),NA(),DQ146)</f>
        <v>0</v>
      </c>
      <c r="DR212">
        <f>IF(OR(DR146="",AND(DR146=DR145,DR146=DR147)),NA(), DR146)</f>
        <v>0</v>
      </c>
      <c r="DS212">
        <f>IF(ISNA(DT212),NA(),DS146)</f>
        <v>0</v>
      </c>
      <c r="DT212">
        <f>IF(OR(DT146="",AND(DT146=DT145,DT146=DT147)),NA(), DT146)</f>
        <v>0</v>
      </c>
      <c r="DU212">
        <f>IF(ISNA(DV212),NA(),DU146)</f>
        <v>0</v>
      </c>
      <c r="DV212">
        <f>IF(OR(DV146="",AND(DV146=DV145,DV146=DV147)),NA(), DV146)</f>
        <v>0</v>
      </c>
      <c r="DW212">
        <f>IF(ISNA(DX212),NA(),DW146)</f>
        <v>0</v>
      </c>
      <c r="DX212">
        <f>IF(OR(DX146="",AND(DX146=DX145,DX146=DX147)),NA(), DX146)</f>
        <v>0</v>
      </c>
      <c r="DY212">
        <f>IF(ISNA(DZ212),NA(),DY146)</f>
        <v>0</v>
      </c>
      <c r="DZ212">
        <f>IF(OR(DZ146="",AND(DZ146=DZ145,DZ146=DZ147)),NA(), DZ146)</f>
        <v>0</v>
      </c>
      <c r="EA212">
        <f>IF(ISNA(EB212),NA(),EA146)</f>
        <v>0</v>
      </c>
      <c r="EB212">
        <f>IF(OR(EB146="",AND(EB146=EB145,EB146=EB147)),NA(), EB146)</f>
        <v>0</v>
      </c>
      <c r="EC212">
        <f>IF(ISNA(ED212),NA(),EC146)</f>
        <v>0</v>
      </c>
      <c r="ED212">
        <f>IF(OR(ED146="",AND(ED146=ED145,ED146=ED147)),NA(), ED146)</f>
        <v>0</v>
      </c>
    </row>
    <row r="213" spans="5:134">
      <c r="E213">
        <f>IF(ISNA(F213),NA(),E147)</f>
        <v>0</v>
      </c>
      <c r="F213">
        <f>IF(OR(F147="",AND(F147=F146,F147=F148)),NA(), F147)</f>
        <v>0</v>
      </c>
      <c r="G213">
        <f>IF(ISNA(H213),NA(),G147)</f>
        <v>0</v>
      </c>
      <c r="H213">
        <f>IF(OR(H147="",AND(H147=H146,H147=H148)),NA(), H147)</f>
        <v>0</v>
      </c>
      <c r="I213">
        <f>IF(ISNA(J213),NA(),I147)</f>
        <v>0</v>
      </c>
      <c r="J213">
        <f>IF(OR(J147="",AND(J147=J146,J147=J148)),NA(), J147)</f>
        <v>0</v>
      </c>
      <c r="K213">
        <f>IF(ISNA(L213),NA(),K147)</f>
        <v>0</v>
      </c>
      <c r="L213">
        <f>IF(OR(L147="",AND(L147=L146,L147=L148)),NA(), L147)</f>
        <v>0</v>
      </c>
      <c r="M213">
        <f>IF(ISNA(N213),NA(),M147)</f>
        <v>0</v>
      </c>
      <c r="N213">
        <f>IF(OR(N147="",AND(N147=N146,N147=N148)),NA(), N147)</f>
        <v>0</v>
      </c>
      <c r="O213">
        <f>IF(ISNA(P213),NA(),O147)</f>
        <v>0</v>
      </c>
      <c r="P213">
        <f>IF(OR(P147="",AND(P147=P146,P147=P148)),NA(), P147)</f>
        <v>0</v>
      </c>
      <c r="Q213">
        <f>IF(ISNA(R213),NA(),Q147)</f>
        <v>0</v>
      </c>
      <c r="R213">
        <f>IF(OR(R147="",AND(R147=R146,R147=R148)),NA(), R147)</f>
        <v>0</v>
      </c>
      <c r="S213">
        <f>IF(ISNA(T213),NA(),S147)</f>
        <v>0</v>
      </c>
      <c r="T213">
        <f>IF(OR(T147="",AND(T147=T146,T147=T148)),NA(), T147)</f>
        <v>0</v>
      </c>
      <c r="U213">
        <f>IF(ISNA(V213),NA(),U147)</f>
        <v>0</v>
      </c>
      <c r="V213">
        <f>IF(OR(V147="",AND(V147=V146,V147=V148)),NA(), V147)</f>
        <v>0</v>
      </c>
      <c r="W213">
        <f>IF(ISNA(X213),NA(),W147)</f>
        <v>0</v>
      </c>
      <c r="X213">
        <f>IF(OR(X147="",AND(X147=X146,X147=X148)),NA(), X147)</f>
        <v>0</v>
      </c>
      <c r="Y213">
        <f>IF(ISNA(Z213),NA(),Y147)</f>
        <v>0</v>
      </c>
      <c r="Z213">
        <f>IF(OR(Z147="",AND(Z147=Z146,Z147=Z148)),NA(), Z147)</f>
        <v>0</v>
      </c>
      <c r="AA213">
        <f>IF(ISNA(AB213),NA(),AA147)</f>
        <v>0</v>
      </c>
      <c r="AB213">
        <f>IF(OR(AB147="",AND(AB147=AB146,AB147=AB148)),NA(), AB147)</f>
        <v>0</v>
      </c>
      <c r="AC213">
        <f>IF(ISNA(AD213),NA(),AC147)</f>
        <v>0</v>
      </c>
      <c r="AD213">
        <f>IF(OR(AD147="",AND(AD147=AD146,AD147=AD148)),NA(), AD147)</f>
        <v>0</v>
      </c>
      <c r="AE213">
        <f>IF(ISNA(AF213),NA(),AE147)</f>
        <v>0</v>
      </c>
      <c r="AF213">
        <f>IF(OR(AF147="",AND(AF147=AF146,AF147=AF148)),NA(), AF147)</f>
        <v>0</v>
      </c>
      <c r="AG213">
        <f>IF(ISNA(AH213),NA(),AG147)</f>
        <v>0</v>
      </c>
      <c r="AH213">
        <f>IF(OR(AH147="",AND(AH147=AH146,AH147=AH148)),NA(), AH147)</f>
        <v>0</v>
      </c>
      <c r="AI213">
        <f>IF(ISNA(AJ213),NA(),AI147)</f>
        <v>0</v>
      </c>
      <c r="AJ213">
        <f>IF(OR(AJ147="",AND(AJ147=AJ146,AJ147=AJ148)),NA(), AJ147)</f>
        <v>0</v>
      </c>
      <c r="AK213">
        <f>IF(ISNA(AL213),NA(),AK147)</f>
        <v>0</v>
      </c>
      <c r="AL213">
        <f>IF(OR(AL147="",AND(AL147=AL146,AL147=AL148)),NA(), AL147)</f>
        <v>0</v>
      </c>
      <c r="AM213">
        <f>IF(ISNA(AN213),NA(),AM147)</f>
        <v>0</v>
      </c>
      <c r="AN213">
        <f>IF(OR(AN147="",AND(AN147=AN146,AN147=AN148)),NA(), AN147)</f>
        <v>0</v>
      </c>
      <c r="AO213">
        <f>IF(ISNA(AP213),NA(),AO147)</f>
        <v>0</v>
      </c>
      <c r="AP213">
        <f>IF(OR(AP147="",AND(AP147=AP146,AP147=AP148)),NA(), AP147)</f>
        <v>0</v>
      </c>
      <c r="AQ213">
        <f>IF(ISNA(AR213),NA(),AQ147)</f>
        <v>0</v>
      </c>
      <c r="AR213">
        <f>IF(OR(AR147="",AND(AR147=AR146,AR147=AR148)),NA(), AR147)</f>
        <v>0</v>
      </c>
      <c r="AS213">
        <f>IF(ISNA(AT213),NA(),AS147)</f>
        <v>0</v>
      </c>
      <c r="AT213">
        <f>IF(OR(AT147="",AND(AT147=AT146,AT147=AT148)),NA(), AT147)</f>
        <v>0</v>
      </c>
      <c r="AU213">
        <f>IF(ISNA(AV213),NA(),AU147)</f>
        <v>0</v>
      </c>
      <c r="AV213">
        <f>IF(OR(AV147="",AND(AV147=AV146,AV147=AV148)),NA(), AV147)</f>
        <v>0</v>
      </c>
      <c r="AW213">
        <f>IF(ISNA(AX213),NA(),AW147)</f>
        <v>0</v>
      </c>
      <c r="AX213">
        <f>IF(OR(AX147="",AND(AX147=AX146,AX147=AX148)),NA(), AX147)</f>
        <v>0</v>
      </c>
      <c r="AY213">
        <f>IF(ISNA(AZ213),NA(),AY147)</f>
        <v>0</v>
      </c>
      <c r="AZ213">
        <f>IF(OR(AZ147="",AND(AZ147=AZ146,AZ147=AZ148)),NA(), AZ147)</f>
        <v>0</v>
      </c>
      <c r="BA213">
        <f>IF(ISNA(BB213),NA(),BA147)</f>
        <v>0</v>
      </c>
      <c r="BB213">
        <f>IF(OR(BB147="",AND(BB147=BB146,BB147=BB148)),NA(), BB147)</f>
        <v>0</v>
      </c>
      <c r="BC213">
        <f>IF(ISNA(BD213),NA(),BC147)</f>
        <v>0</v>
      </c>
      <c r="BD213">
        <f>IF(OR(BD147="",AND(BD147=BD146,BD147=BD148)),NA(), BD147)</f>
        <v>0</v>
      </c>
      <c r="BE213">
        <f>IF(ISNA(BF213),NA(),BE147)</f>
        <v>0</v>
      </c>
      <c r="BF213">
        <f>IF(OR(BF147="",AND(BF147=BF146,BF147=BF148)),NA(), BF147)</f>
        <v>0</v>
      </c>
      <c r="BG213">
        <f>IF(ISNA(BH213),NA(),BG147)</f>
        <v>0</v>
      </c>
      <c r="BH213">
        <f>IF(OR(BH147="",AND(BH147=BH146,BH147=BH148)),NA(), BH147)</f>
        <v>0</v>
      </c>
      <c r="BI213">
        <f>IF(ISNA(BJ213),NA(),BI147)</f>
        <v>0</v>
      </c>
      <c r="BJ213">
        <f>IF(OR(BJ147="",AND(BJ147=BJ146,BJ147=BJ148)),NA(), BJ147)</f>
        <v>0</v>
      </c>
      <c r="BK213">
        <f>IF(ISNA(BL213),NA(),BK147)</f>
        <v>0</v>
      </c>
      <c r="BL213">
        <f>IF(OR(BL147="",AND(BL147=BL146,BL147=BL148)),NA(), BL147)</f>
        <v>0</v>
      </c>
      <c r="BM213">
        <f>IF(ISNA(BN213),NA(),BM147)</f>
        <v>0</v>
      </c>
      <c r="BN213">
        <f>IF(OR(BN147="",AND(BN147=BN146,BN147=BN148)),NA(), BN147)</f>
        <v>0</v>
      </c>
      <c r="BO213">
        <f>IF(ISNA(BP213),NA(),BO147)</f>
        <v>0</v>
      </c>
      <c r="BP213">
        <f>IF(OR(BP147="",AND(BP147=BP146,BP147=BP148)),NA(), BP147)</f>
        <v>0</v>
      </c>
      <c r="BS213">
        <f>IF(ISNA(BT213),NA(),BS147)</f>
        <v>0</v>
      </c>
      <c r="BT213">
        <f>IF(OR(BT147="",AND(BT147=BT146,BT147=BT148)),NA(), BT147)</f>
        <v>0</v>
      </c>
      <c r="BU213">
        <f>IF(ISNA(BV213),NA(),BU147)</f>
        <v>0</v>
      </c>
      <c r="BV213">
        <f>IF(OR(BV147="",AND(BV147=BV146,BV147=BV148)),NA(), BV147)</f>
        <v>0</v>
      </c>
      <c r="BW213">
        <f>IF(ISNA(BX213),NA(),BW147)</f>
        <v>0</v>
      </c>
      <c r="BX213">
        <f>IF(OR(BX147="",AND(BX147=BX146,BX147=BX148)),NA(), BX147)</f>
        <v>0</v>
      </c>
      <c r="BY213">
        <f>IF(ISNA(BZ213),NA(),BY147)</f>
        <v>0</v>
      </c>
      <c r="BZ213">
        <f>IF(OR(BZ147="",AND(BZ147=BZ146,BZ147=BZ148)),NA(), BZ147)</f>
        <v>0</v>
      </c>
      <c r="CA213">
        <f>IF(ISNA(CB213),NA(),CA147)</f>
        <v>0</v>
      </c>
      <c r="CB213">
        <f>IF(OR(CB147="",AND(CB147=CB146,CB147=CB148)),NA(), CB147)</f>
        <v>0</v>
      </c>
      <c r="CC213">
        <f>IF(ISNA(CD213),NA(),CC147)</f>
        <v>0</v>
      </c>
      <c r="CD213">
        <f>IF(OR(CD147="",AND(CD147=CD146,CD147=CD148)),NA(), CD147)</f>
        <v>0</v>
      </c>
      <c r="CE213">
        <f>IF(ISNA(CF213),NA(),CE147)</f>
        <v>0</v>
      </c>
      <c r="CF213">
        <f>IF(OR(CF147="",AND(CF147=CF146,CF147=CF148)),NA(), CF147)</f>
        <v>0</v>
      </c>
      <c r="CG213">
        <f>IF(ISNA(CH213),NA(),CG147)</f>
        <v>0</v>
      </c>
      <c r="CH213">
        <f>IF(OR(CH147="",AND(CH147=CH146,CH147=CH148)),NA(), CH147)</f>
        <v>0</v>
      </c>
      <c r="CI213">
        <f>IF(ISNA(CJ213),NA(),CI147)</f>
        <v>0</v>
      </c>
      <c r="CJ213">
        <f>IF(OR(CJ147="",AND(CJ147=CJ146,CJ147=CJ148)),NA(), CJ147)</f>
        <v>0</v>
      </c>
      <c r="CK213">
        <f>IF(ISNA(CL213),NA(),CK147)</f>
        <v>0</v>
      </c>
      <c r="CL213">
        <f>IF(OR(CL147="",AND(CL147=CL146,CL147=CL148)),NA(), CL147)</f>
        <v>0</v>
      </c>
      <c r="CM213">
        <f>IF(ISNA(CN213),NA(),CM147)</f>
        <v>0</v>
      </c>
      <c r="CN213">
        <f>IF(OR(CN147="",AND(CN147=CN146,CN147=CN148)),NA(), CN147)</f>
        <v>0</v>
      </c>
      <c r="CO213">
        <f>IF(ISNA(CP213),NA(),CO147)</f>
        <v>0</v>
      </c>
      <c r="CP213">
        <f>IF(OR(CP147="",AND(CP147=CP146,CP147=CP148)),NA(), CP147)</f>
        <v>0</v>
      </c>
      <c r="CQ213">
        <f>IF(ISNA(CR213),NA(),CQ147)</f>
        <v>0</v>
      </c>
      <c r="CR213">
        <f>IF(OR(CR147="",AND(CR147=CR146,CR147=CR148)),NA(), CR147)</f>
        <v>0</v>
      </c>
      <c r="CS213">
        <f>IF(ISNA(CT213),NA(),CS147)</f>
        <v>0</v>
      </c>
      <c r="CT213">
        <f>IF(OR(CT147="",AND(CT147=CT146,CT147=CT148)),NA(), CT147)</f>
        <v>0</v>
      </c>
      <c r="CU213">
        <f>IF(ISNA(CV213),NA(),CU147)</f>
        <v>0</v>
      </c>
      <c r="CV213">
        <f>IF(OR(CV147="",AND(CV147=CV146,CV147=CV148)),NA(), CV147)</f>
        <v>0</v>
      </c>
      <c r="CW213">
        <f>IF(ISNA(CX213),NA(),CW147)</f>
        <v>0</v>
      </c>
      <c r="CX213">
        <f>IF(OR(CX147="",AND(CX147=CX146,CX147=CX148)),NA(), CX147)</f>
        <v>0</v>
      </c>
      <c r="CY213">
        <f>IF(ISNA(CZ213),NA(),CY147)</f>
        <v>0</v>
      </c>
      <c r="CZ213">
        <f>IF(OR(CZ147="",AND(CZ147=CZ146,CZ147=CZ148)),NA(), CZ147)</f>
        <v>0</v>
      </c>
      <c r="DA213">
        <f>IF(ISNA(DB213),NA(),DA147)</f>
        <v>0</v>
      </c>
      <c r="DB213">
        <f>IF(OR(DB147="",AND(DB147=DB146,DB147=DB148)),NA(), DB147)</f>
        <v>0</v>
      </c>
      <c r="DC213">
        <f>IF(ISNA(DD213),NA(),DC147)</f>
        <v>0</v>
      </c>
      <c r="DD213">
        <f>IF(OR(DD147="",AND(DD147=DD146,DD147=DD148)),NA(), DD147)</f>
        <v>0</v>
      </c>
      <c r="DE213">
        <f>IF(ISNA(DF213),NA(),DE147)</f>
        <v>0</v>
      </c>
      <c r="DF213">
        <f>IF(OR(DF147="",AND(DF147=DF146,DF147=DF148)),NA(), DF147)</f>
        <v>0</v>
      </c>
      <c r="DG213">
        <f>IF(ISNA(DH213),NA(),DG147)</f>
        <v>0</v>
      </c>
      <c r="DH213">
        <f>IF(OR(DH147="",AND(DH147=DH146,DH147=DH148)),NA(), DH147)</f>
        <v>0</v>
      </c>
      <c r="DI213">
        <f>IF(ISNA(DJ213),NA(),DI147)</f>
        <v>0</v>
      </c>
      <c r="DJ213">
        <f>IF(OR(DJ147="",AND(DJ147=DJ146,DJ147=DJ148)),NA(), DJ147)</f>
        <v>0</v>
      </c>
      <c r="DK213">
        <f>IF(ISNA(DL213),NA(),DK147)</f>
        <v>0</v>
      </c>
      <c r="DL213">
        <f>IF(OR(DL147="",AND(DL147=DL146,DL147=DL148)),NA(), DL147)</f>
        <v>0</v>
      </c>
      <c r="DM213">
        <f>IF(ISNA(DN213),NA(),DM147)</f>
        <v>0</v>
      </c>
      <c r="DN213">
        <f>IF(OR(DN147="",AND(DN147=DN146,DN147=DN148)),NA(), DN147)</f>
        <v>0</v>
      </c>
      <c r="DO213">
        <f>IF(ISNA(DP213),NA(),DO147)</f>
        <v>0</v>
      </c>
      <c r="DP213">
        <f>IF(OR(DP147="",AND(DP147=DP146,DP147=DP148)),NA(), DP147)</f>
        <v>0</v>
      </c>
      <c r="DQ213">
        <f>IF(ISNA(DR213),NA(),DQ147)</f>
        <v>0</v>
      </c>
      <c r="DR213">
        <f>IF(OR(DR147="",AND(DR147=DR146,DR147=DR148)),NA(), DR147)</f>
        <v>0</v>
      </c>
      <c r="DS213">
        <f>IF(ISNA(DT213),NA(),DS147)</f>
        <v>0</v>
      </c>
      <c r="DT213">
        <f>IF(OR(DT147="",AND(DT147=DT146,DT147=DT148)),NA(), DT147)</f>
        <v>0</v>
      </c>
      <c r="DU213">
        <f>IF(ISNA(DV213),NA(),DU147)</f>
        <v>0</v>
      </c>
      <c r="DV213">
        <f>IF(OR(DV147="",AND(DV147=DV146,DV147=DV148)),NA(), DV147)</f>
        <v>0</v>
      </c>
      <c r="DW213">
        <f>IF(ISNA(DX213),NA(),DW147)</f>
        <v>0</v>
      </c>
      <c r="DX213">
        <f>IF(OR(DX147="",AND(DX147=DX146,DX147=DX148)),NA(), DX147)</f>
        <v>0</v>
      </c>
      <c r="DY213">
        <f>IF(ISNA(DZ213),NA(),DY147)</f>
        <v>0</v>
      </c>
      <c r="DZ213">
        <f>IF(OR(DZ147="",AND(DZ147=DZ146,DZ147=DZ148)),NA(), DZ147)</f>
        <v>0</v>
      </c>
      <c r="EA213">
        <f>IF(ISNA(EB213),NA(),EA147)</f>
        <v>0</v>
      </c>
      <c r="EB213">
        <f>IF(OR(EB147="",AND(EB147=EB146,EB147=EB148)),NA(), EB147)</f>
        <v>0</v>
      </c>
      <c r="EC213">
        <f>IF(ISNA(ED213),NA(),EC147)</f>
        <v>0</v>
      </c>
      <c r="ED213">
        <f>IF(OR(ED147="",AND(ED147=ED146,ED147=ED148)),NA(), ED147)</f>
        <v>0</v>
      </c>
    </row>
    <row r="214" spans="5:134">
      <c r="E214">
        <f>IF(ISNA(F214),NA(),E148)</f>
        <v>0</v>
      </c>
      <c r="F214">
        <f>IF(OR(F148="",AND(F148=F147,F148=F149)),NA(), F148)</f>
        <v>0</v>
      </c>
      <c r="G214">
        <f>IF(ISNA(H214),NA(),G148)</f>
        <v>0</v>
      </c>
      <c r="H214">
        <f>IF(OR(H148="",AND(H148=H147,H148=H149)),NA(), H148)</f>
        <v>0</v>
      </c>
      <c r="I214">
        <f>IF(ISNA(J214),NA(),I148)</f>
        <v>0</v>
      </c>
      <c r="J214">
        <f>IF(OR(J148="",AND(J148=J147,J148=J149)),NA(), J148)</f>
        <v>0</v>
      </c>
      <c r="K214">
        <f>IF(ISNA(L214),NA(),K148)</f>
        <v>0</v>
      </c>
      <c r="L214">
        <f>IF(OR(L148="",AND(L148=L147,L148=L149)),NA(), L148)</f>
        <v>0</v>
      </c>
      <c r="M214">
        <f>IF(ISNA(N214),NA(),M148)</f>
        <v>0</v>
      </c>
      <c r="N214">
        <f>IF(OR(N148="",AND(N148=N147,N148=N149)),NA(), N148)</f>
        <v>0</v>
      </c>
      <c r="O214">
        <f>IF(ISNA(P214),NA(),O148)</f>
        <v>0</v>
      </c>
      <c r="P214">
        <f>IF(OR(P148="",AND(P148=P147,P148=P149)),NA(), P148)</f>
        <v>0</v>
      </c>
      <c r="Q214">
        <f>IF(ISNA(R214),NA(),Q148)</f>
        <v>0</v>
      </c>
      <c r="R214">
        <f>IF(OR(R148="",AND(R148=R147,R148=R149)),NA(), R148)</f>
        <v>0</v>
      </c>
      <c r="S214">
        <f>IF(ISNA(T214),NA(),S148)</f>
        <v>0</v>
      </c>
      <c r="T214">
        <f>IF(OR(T148="",AND(T148=T147,T148=T149)),NA(), T148)</f>
        <v>0</v>
      </c>
      <c r="U214">
        <f>IF(ISNA(V214),NA(),U148)</f>
        <v>0</v>
      </c>
      <c r="V214">
        <f>IF(OR(V148="",AND(V148=V147,V148=V149)),NA(), V148)</f>
        <v>0</v>
      </c>
      <c r="W214">
        <f>IF(ISNA(X214),NA(),W148)</f>
        <v>0</v>
      </c>
      <c r="X214">
        <f>IF(OR(X148="",AND(X148=X147,X148=X149)),NA(), X148)</f>
        <v>0</v>
      </c>
      <c r="Y214">
        <f>IF(ISNA(Z214),NA(),Y148)</f>
        <v>0</v>
      </c>
      <c r="Z214">
        <f>IF(OR(Z148="",AND(Z148=Z147,Z148=Z149)),NA(), Z148)</f>
        <v>0</v>
      </c>
      <c r="AA214">
        <f>IF(ISNA(AB214),NA(),AA148)</f>
        <v>0</v>
      </c>
      <c r="AB214">
        <f>IF(OR(AB148="",AND(AB148=AB147,AB148=AB149)),NA(), AB148)</f>
        <v>0</v>
      </c>
      <c r="AC214">
        <f>IF(ISNA(AD214),NA(),AC148)</f>
        <v>0</v>
      </c>
      <c r="AD214">
        <f>IF(OR(AD148="",AND(AD148=AD147,AD148=AD149)),NA(), AD148)</f>
        <v>0</v>
      </c>
      <c r="AE214">
        <f>IF(ISNA(AF214),NA(),AE148)</f>
        <v>0</v>
      </c>
      <c r="AF214">
        <f>IF(OR(AF148="",AND(AF148=AF147,AF148=AF149)),NA(), AF148)</f>
        <v>0</v>
      </c>
      <c r="AG214">
        <f>IF(ISNA(AH214),NA(),AG148)</f>
        <v>0</v>
      </c>
      <c r="AH214">
        <f>IF(OR(AH148="",AND(AH148=AH147,AH148=AH149)),NA(), AH148)</f>
        <v>0</v>
      </c>
      <c r="AI214">
        <f>IF(ISNA(AJ214),NA(),AI148)</f>
        <v>0</v>
      </c>
      <c r="AJ214">
        <f>IF(OR(AJ148="",AND(AJ148=AJ147,AJ148=AJ149)),NA(), AJ148)</f>
        <v>0</v>
      </c>
      <c r="AK214">
        <f>IF(ISNA(AL214),NA(),AK148)</f>
        <v>0</v>
      </c>
      <c r="AL214">
        <f>IF(OR(AL148="",AND(AL148=AL147,AL148=AL149)),NA(), AL148)</f>
        <v>0</v>
      </c>
      <c r="AM214">
        <f>IF(ISNA(AN214),NA(),AM148)</f>
        <v>0</v>
      </c>
      <c r="AN214">
        <f>IF(OR(AN148="",AND(AN148=AN147,AN148=AN149)),NA(), AN148)</f>
        <v>0</v>
      </c>
      <c r="AO214">
        <f>IF(ISNA(AP214),NA(),AO148)</f>
        <v>0</v>
      </c>
      <c r="AP214">
        <f>IF(OR(AP148="",AND(AP148=AP147,AP148=AP149)),NA(), AP148)</f>
        <v>0</v>
      </c>
      <c r="AQ214">
        <f>IF(ISNA(AR214),NA(),AQ148)</f>
        <v>0</v>
      </c>
      <c r="AR214">
        <f>IF(OR(AR148="",AND(AR148=AR147,AR148=AR149)),NA(), AR148)</f>
        <v>0</v>
      </c>
      <c r="AS214">
        <f>IF(ISNA(AT214),NA(),AS148)</f>
        <v>0</v>
      </c>
      <c r="AT214">
        <f>IF(OR(AT148="",AND(AT148=AT147,AT148=AT149)),NA(), AT148)</f>
        <v>0</v>
      </c>
      <c r="AU214">
        <f>IF(ISNA(AV214),NA(),AU148)</f>
        <v>0</v>
      </c>
      <c r="AV214">
        <f>IF(OR(AV148="",AND(AV148=AV147,AV148=AV149)),NA(), AV148)</f>
        <v>0</v>
      </c>
      <c r="AW214">
        <f>IF(ISNA(AX214),NA(),AW148)</f>
        <v>0</v>
      </c>
      <c r="AX214">
        <f>IF(OR(AX148="",AND(AX148=AX147,AX148=AX149)),NA(), AX148)</f>
        <v>0</v>
      </c>
      <c r="AY214">
        <f>IF(ISNA(AZ214),NA(),AY148)</f>
        <v>0</v>
      </c>
      <c r="AZ214">
        <f>IF(OR(AZ148="",AND(AZ148=AZ147,AZ148=AZ149)),NA(), AZ148)</f>
        <v>0</v>
      </c>
      <c r="BA214">
        <f>IF(ISNA(BB214),NA(),BA148)</f>
        <v>0</v>
      </c>
      <c r="BB214">
        <f>IF(OR(BB148="",AND(BB148=BB147,BB148=BB149)),NA(), BB148)</f>
        <v>0</v>
      </c>
      <c r="BC214">
        <f>IF(ISNA(BD214),NA(),BC148)</f>
        <v>0</v>
      </c>
      <c r="BD214">
        <f>IF(OR(BD148="",AND(BD148=BD147,BD148=BD149)),NA(), BD148)</f>
        <v>0</v>
      </c>
      <c r="BE214">
        <f>IF(ISNA(BF214),NA(),BE148)</f>
        <v>0</v>
      </c>
      <c r="BF214">
        <f>IF(OR(BF148="",AND(BF148=BF147,BF148=BF149)),NA(), BF148)</f>
        <v>0</v>
      </c>
      <c r="BG214">
        <f>IF(ISNA(BH214),NA(),BG148)</f>
        <v>0</v>
      </c>
      <c r="BH214">
        <f>IF(OR(BH148="",AND(BH148=BH147,BH148=BH149)),NA(), BH148)</f>
        <v>0</v>
      </c>
      <c r="BI214">
        <f>IF(ISNA(BJ214),NA(),BI148)</f>
        <v>0</v>
      </c>
      <c r="BJ214">
        <f>IF(OR(BJ148="",AND(BJ148=BJ147,BJ148=BJ149)),NA(), BJ148)</f>
        <v>0</v>
      </c>
      <c r="BK214">
        <f>IF(ISNA(BL214),NA(),BK148)</f>
        <v>0</v>
      </c>
      <c r="BL214">
        <f>IF(OR(BL148="",AND(BL148=BL147,BL148=BL149)),NA(), BL148)</f>
        <v>0</v>
      </c>
      <c r="BM214">
        <f>IF(ISNA(BN214),NA(),BM148)</f>
        <v>0</v>
      </c>
      <c r="BN214">
        <f>IF(OR(BN148="",AND(BN148=BN147,BN148=BN149)),NA(), BN148)</f>
        <v>0</v>
      </c>
      <c r="BO214">
        <f>IF(ISNA(BP214),NA(),BO148)</f>
        <v>0</v>
      </c>
      <c r="BP214">
        <f>IF(OR(BP148="",AND(BP148=BP147,BP148=BP149)),NA(), BP148)</f>
        <v>0</v>
      </c>
      <c r="BS214">
        <f>IF(ISNA(BT214),NA(),BS148)</f>
        <v>0</v>
      </c>
      <c r="BT214">
        <f>IF(OR(BT148="",AND(BT148=BT147,BT148=BT149)),NA(), BT148)</f>
        <v>0</v>
      </c>
      <c r="BU214">
        <f>IF(ISNA(BV214),NA(),BU148)</f>
        <v>0</v>
      </c>
      <c r="BV214">
        <f>IF(OR(BV148="",AND(BV148=BV147,BV148=BV149)),NA(), BV148)</f>
        <v>0</v>
      </c>
      <c r="BW214">
        <f>IF(ISNA(BX214),NA(),BW148)</f>
        <v>0</v>
      </c>
      <c r="BX214">
        <f>IF(OR(BX148="",AND(BX148=BX147,BX148=BX149)),NA(), BX148)</f>
        <v>0</v>
      </c>
      <c r="BY214">
        <f>IF(ISNA(BZ214),NA(),BY148)</f>
        <v>0</v>
      </c>
      <c r="BZ214">
        <f>IF(OR(BZ148="",AND(BZ148=BZ147,BZ148=BZ149)),NA(), BZ148)</f>
        <v>0</v>
      </c>
      <c r="CA214">
        <f>IF(ISNA(CB214),NA(),CA148)</f>
        <v>0</v>
      </c>
      <c r="CB214">
        <f>IF(OR(CB148="",AND(CB148=CB147,CB148=CB149)),NA(), CB148)</f>
        <v>0</v>
      </c>
      <c r="CC214">
        <f>IF(ISNA(CD214),NA(),CC148)</f>
        <v>0</v>
      </c>
      <c r="CD214">
        <f>IF(OR(CD148="",AND(CD148=CD147,CD148=CD149)),NA(), CD148)</f>
        <v>0</v>
      </c>
      <c r="CE214">
        <f>IF(ISNA(CF214),NA(),CE148)</f>
        <v>0</v>
      </c>
      <c r="CF214">
        <f>IF(OR(CF148="",AND(CF148=CF147,CF148=CF149)),NA(), CF148)</f>
        <v>0</v>
      </c>
      <c r="CG214">
        <f>IF(ISNA(CH214),NA(),CG148)</f>
        <v>0</v>
      </c>
      <c r="CH214">
        <f>IF(OR(CH148="",AND(CH148=CH147,CH148=CH149)),NA(), CH148)</f>
        <v>0</v>
      </c>
      <c r="CI214">
        <f>IF(ISNA(CJ214),NA(),CI148)</f>
        <v>0</v>
      </c>
      <c r="CJ214">
        <f>IF(OR(CJ148="",AND(CJ148=CJ147,CJ148=CJ149)),NA(), CJ148)</f>
        <v>0</v>
      </c>
      <c r="CK214">
        <f>IF(ISNA(CL214),NA(),CK148)</f>
        <v>0</v>
      </c>
      <c r="CL214">
        <f>IF(OR(CL148="",AND(CL148=CL147,CL148=CL149)),NA(), CL148)</f>
        <v>0</v>
      </c>
      <c r="CM214">
        <f>IF(ISNA(CN214),NA(),CM148)</f>
        <v>0</v>
      </c>
      <c r="CN214">
        <f>IF(OR(CN148="",AND(CN148=CN147,CN148=CN149)),NA(), CN148)</f>
        <v>0</v>
      </c>
      <c r="CO214">
        <f>IF(ISNA(CP214),NA(),CO148)</f>
        <v>0</v>
      </c>
      <c r="CP214">
        <f>IF(OR(CP148="",AND(CP148=CP147,CP148=CP149)),NA(), CP148)</f>
        <v>0</v>
      </c>
      <c r="CQ214">
        <f>IF(ISNA(CR214),NA(),CQ148)</f>
        <v>0</v>
      </c>
      <c r="CR214">
        <f>IF(OR(CR148="",AND(CR148=CR147,CR148=CR149)),NA(), CR148)</f>
        <v>0</v>
      </c>
      <c r="CS214">
        <f>IF(ISNA(CT214),NA(),CS148)</f>
        <v>0</v>
      </c>
      <c r="CT214">
        <f>IF(OR(CT148="",AND(CT148=CT147,CT148=CT149)),NA(), CT148)</f>
        <v>0</v>
      </c>
      <c r="CU214">
        <f>IF(ISNA(CV214),NA(),CU148)</f>
        <v>0</v>
      </c>
      <c r="CV214">
        <f>IF(OR(CV148="",AND(CV148=CV147,CV148=CV149)),NA(), CV148)</f>
        <v>0</v>
      </c>
      <c r="CW214">
        <f>IF(ISNA(CX214),NA(),CW148)</f>
        <v>0</v>
      </c>
      <c r="CX214">
        <f>IF(OR(CX148="",AND(CX148=CX147,CX148=CX149)),NA(), CX148)</f>
        <v>0</v>
      </c>
      <c r="CY214">
        <f>IF(ISNA(CZ214),NA(),CY148)</f>
        <v>0</v>
      </c>
      <c r="CZ214">
        <f>IF(OR(CZ148="",AND(CZ148=CZ147,CZ148=CZ149)),NA(), CZ148)</f>
        <v>0</v>
      </c>
      <c r="DA214">
        <f>IF(ISNA(DB214),NA(),DA148)</f>
        <v>0</v>
      </c>
      <c r="DB214">
        <f>IF(OR(DB148="",AND(DB148=DB147,DB148=DB149)),NA(), DB148)</f>
        <v>0</v>
      </c>
      <c r="DC214">
        <f>IF(ISNA(DD214),NA(),DC148)</f>
        <v>0</v>
      </c>
      <c r="DD214">
        <f>IF(OR(DD148="",AND(DD148=DD147,DD148=DD149)),NA(), DD148)</f>
        <v>0</v>
      </c>
      <c r="DE214">
        <f>IF(ISNA(DF214),NA(),DE148)</f>
        <v>0</v>
      </c>
      <c r="DF214">
        <f>IF(OR(DF148="",AND(DF148=DF147,DF148=DF149)),NA(), DF148)</f>
        <v>0</v>
      </c>
      <c r="DG214">
        <f>IF(ISNA(DH214),NA(),DG148)</f>
        <v>0</v>
      </c>
      <c r="DH214">
        <f>IF(OR(DH148="",AND(DH148=DH147,DH148=DH149)),NA(), DH148)</f>
        <v>0</v>
      </c>
      <c r="DI214">
        <f>IF(ISNA(DJ214),NA(),DI148)</f>
        <v>0</v>
      </c>
      <c r="DJ214">
        <f>IF(OR(DJ148="",AND(DJ148=DJ147,DJ148=DJ149)),NA(), DJ148)</f>
        <v>0</v>
      </c>
      <c r="DK214">
        <f>IF(ISNA(DL214),NA(),DK148)</f>
        <v>0</v>
      </c>
      <c r="DL214">
        <f>IF(OR(DL148="",AND(DL148=DL147,DL148=DL149)),NA(), DL148)</f>
        <v>0</v>
      </c>
      <c r="DM214">
        <f>IF(ISNA(DN214),NA(),DM148)</f>
        <v>0</v>
      </c>
      <c r="DN214">
        <f>IF(OR(DN148="",AND(DN148=DN147,DN148=DN149)),NA(), DN148)</f>
        <v>0</v>
      </c>
      <c r="DO214">
        <f>IF(ISNA(DP214),NA(),DO148)</f>
        <v>0</v>
      </c>
      <c r="DP214">
        <f>IF(OR(DP148="",AND(DP148=DP147,DP148=DP149)),NA(), DP148)</f>
        <v>0</v>
      </c>
      <c r="DQ214">
        <f>IF(ISNA(DR214),NA(),DQ148)</f>
        <v>0</v>
      </c>
      <c r="DR214">
        <f>IF(OR(DR148="",AND(DR148=DR147,DR148=DR149)),NA(), DR148)</f>
        <v>0</v>
      </c>
      <c r="DS214">
        <f>IF(ISNA(DT214),NA(),DS148)</f>
        <v>0</v>
      </c>
      <c r="DT214">
        <f>IF(OR(DT148="",AND(DT148=DT147,DT148=DT149)),NA(), DT148)</f>
        <v>0</v>
      </c>
      <c r="DU214">
        <f>IF(ISNA(DV214),NA(),DU148)</f>
        <v>0</v>
      </c>
      <c r="DV214">
        <f>IF(OR(DV148="",AND(DV148=DV147,DV148=DV149)),NA(), DV148)</f>
        <v>0</v>
      </c>
      <c r="DW214">
        <f>IF(ISNA(DX214),NA(),DW148)</f>
        <v>0</v>
      </c>
      <c r="DX214">
        <f>IF(OR(DX148="",AND(DX148=DX147,DX148=DX149)),NA(), DX148)</f>
        <v>0</v>
      </c>
      <c r="DY214">
        <f>IF(ISNA(DZ214),NA(),DY148)</f>
        <v>0</v>
      </c>
      <c r="DZ214">
        <f>IF(OR(DZ148="",AND(DZ148=DZ147,DZ148=DZ149)),NA(), DZ148)</f>
        <v>0</v>
      </c>
      <c r="EA214">
        <f>IF(ISNA(EB214),NA(),EA148)</f>
        <v>0</v>
      </c>
      <c r="EB214">
        <f>IF(OR(EB148="",AND(EB148=EB147,EB148=EB149)),NA(), EB148)</f>
        <v>0</v>
      </c>
      <c r="EC214">
        <f>IF(ISNA(ED214),NA(),EC148)</f>
        <v>0</v>
      </c>
      <c r="ED214">
        <f>IF(OR(ED148="",AND(ED148=ED147,ED148=ED149)),NA(), ED148)</f>
        <v>0</v>
      </c>
    </row>
    <row r="215" spans="5:134">
      <c r="E215">
        <f>IF(ISNA(F215),NA(),E149)</f>
        <v>0</v>
      </c>
      <c r="F215">
        <f>IF(OR(F149="",AND(F149=F148,F149=F150)),NA(), F149)</f>
        <v>0</v>
      </c>
      <c r="G215">
        <f>IF(ISNA(H215),NA(),G149)</f>
        <v>0</v>
      </c>
      <c r="H215">
        <f>IF(OR(H149="",AND(H149=H148,H149=H150)),NA(), H149)</f>
        <v>0</v>
      </c>
      <c r="I215">
        <f>IF(ISNA(J215),NA(),I149)</f>
        <v>0</v>
      </c>
      <c r="J215">
        <f>IF(OR(J149="",AND(J149=J148,J149=J150)),NA(), J149)</f>
        <v>0</v>
      </c>
      <c r="K215">
        <f>IF(ISNA(L215),NA(),K149)</f>
        <v>0</v>
      </c>
      <c r="L215">
        <f>IF(OR(L149="",AND(L149=L148,L149=L150)),NA(), L149)</f>
        <v>0</v>
      </c>
      <c r="M215">
        <f>IF(ISNA(N215),NA(),M149)</f>
        <v>0</v>
      </c>
      <c r="N215">
        <f>IF(OR(N149="",AND(N149=N148,N149=N150)),NA(), N149)</f>
        <v>0</v>
      </c>
      <c r="O215">
        <f>IF(ISNA(P215),NA(),O149)</f>
        <v>0</v>
      </c>
      <c r="P215">
        <f>IF(OR(P149="",AND(P149=P148,P149=P150)),NA(), P149)</f>
        <v>0</v>
      </c>
      <c r="Q215">
        <f>IF(ISNA(R215),NA(),Q149)</f>
        <v>0</v>
      </c>
      <c r="R215">
        <f>IF(OR(R149="",AND(R149=R148,R149=R150)),NA(), R149)</f>
        <v>0</v>
      </c>
      <c r="S215">
        <f>IF(ISNA(T215),NA(),S149)</f>
        <v>0</v>
      </c>
      <c r="T215">
        <f>IF(OR(T149="",AND(T149=T148,T149=T150)),NA(), T149)</f>
        <v>0</v>
      </c>
      <c r="U215">
        <f>IF(ISNA(V215),NA(),U149)</f>
        <v>0</v>
      </c>
      <c r="V215">
        <f>IF(OR(V149="",AND(V149=V148,V149=V150)),NA(), V149)</f>
        <v>0</v>
      </c>
      <c r="W215">
        <f>IF(ISNA(X215),NA(),W149)</f>
        <v>0</v>
      </c>
      <c r="X215">
        <f>IF(OR(X149="",AND(X149=X148,X149=X150)),NA(), X149)</f>
        <v>0</v>
      </c>
      <c r="Y215">
        <f>IF(ISNA(Z215),NA(),Y149)</f>
        <v>0</v>
      </c>
      <c r="Z215">
        <f>IF(OR(Z149="",AND(Z149=Z148,Z149=Z150)),NA(), Z149)</f>
        <v>0</v>
      </c>
      <c r="AA215">
        <f>IF(ISNA(AB215),NA(),AA149)</f>
        <v>0</v>
      </c>
      <c r="AB215">
        <f>IF(OR(AB149="",AND(AB149=AB148,AB149=AB150)),NA(), AB149)</f>
        <v>0</v>
      </c>
      <c r="AC215">
        <f>IF(ISNA(AD215),NA(),AC149)</f>
        <v>0</v>
      </c>
      <c r="AD215">
        <f>IF(OR(AD149="",AND(AD149=AD148,AD149=AD150)),NA(), AD149)</f>
        <v>0</v>
      </c>
      <c r="AE215">
        <f>IF(ISNA(AF215),NA(),AE149)</f>
        <v>0</v>
      </c>
      <c r="AF215">
        <f>IF(OR(AF149="",AND(AF149=AF148,AF149=AF150)),NA(), AF149)</f>
        <v>0</v>
      </c>
      <c r="AG215">
        <f>IF(ISNA(AH215),NA(),AG149)</f>
        <v>0</v>
      </c>
      <c r="AH215">
        <f>IF(OR(AH149="",AND(AH149=AH148,AH149=AH150)),NA(), AH149)</f>
        <v>0</v>
      </c>
      <c r="AI215">
        <f>IF(ISNA(AJ215),NA(),AI149)</f>
        <v>0</v>
      </c>
      <c r="AJ215">
        <f>IF(OR(AJ149="",AND(AJ149=AJ148,AJ149=AJ150)),NA(), AJ149)</f>
        <v>0</v>
      </c>
      <c r="AK215">
        <f>IF(ISNA(AL215),NA(),AK149)</f>
        <v>0</v>
      </c>
      <c r="AL215">
        <f>IF(OR(AL149="",AND(AL149=AL148,AL149=AL150)),NA(), AL149)</f>
        <v>0</v>
      </c>
      <c r="AM215">
        <f>IF(ISNA(AN215),NA(),AM149)</f>
        <v>0</v>
      </c>
      <c r="AN215">
        <f>IF(OR(AN149="",AND(AN149=AN148,AN149=AN150)),NA(), AN149)</f>
        <v>0</v>
      </c>
      <c r="AO215">
        <f>IF(ISNA(AP215),NA(),AO149)</f>
        <v>0</v>
      </c>
      <c r="AP215">
        <f>IF(OR(AP149="",AND(AP149=AP148,AP149=AP150)),NA(), AP149)</f>
        <v>0</v>
      </c>
      <c r="AQ215">
        <f>IF(ISNA(AR215),NA(),AQ149)</f>
        <v>0</v>
      </c>
      <c r="AR215">
        <f>IF(OR(AR149="",AND(AR149=AR148,AR149=AR150)),NA(), AR149)</f>
        <v>0</v>
      </c>
      <c r="AS215">
        <f>IF(ISNA(AT215),NA(),AS149)</f>
        <v>0</v>
      </c>
      <c r="AT215">
        <f>IF(OR(AT149="",AND(AT149=AT148,AT149=AT150)),NA(), AT149)</f>
        <v>0</v>
      </c>
      <c r="AU215">
        <f>IF(ISNA(AV215),NA(),AU149)</f>
        <v>0</v>
      </c>
      <c r="AV215">
        <f>IF(OR(AV149="",AND(AV149=AV148,AV149=AV150)),NA(), AV149)</f>
        <v>0</v>
      </c>
      <c r="AW215">
        <f>IF(ISNA(AX215),NA(),AW149)</f>
        <v>0</v>
      </c>
      <c r="AX215">
        <f>IF(OR(AX149="",AND(AX149=AX148,AX149=AX150)),NA(), AX149)</f>
        <v>0</v>
      </c>
      <c r="AY215">
        <f>IF(ISNA(AZ215),NA(),AY149)</f>
        <v>0</v>
      </c>
      <c r="AZ215">
        <f>IF(OR(AZ149="",AND(AZ149=AZ148,AZ149=AZ150)),NA(), AZ149)</f>
        <v>0</v>
      </c>
      <c r="BA215">
        <f>IF(ISNA(BB215),NA(),BA149)</f>
        <v>0</v>
      </c>
      <c r="BB215">
        <f>IF(OR(BB149="",AND(BB149=BB148,BB149=BB150)),NA(), BB149)</f>
        <v>0</v>
      </c>
      <c r="BC215">
        <f>IF(ISNA(BD215),NA(),BC149)</f>
        <v>0</v>
      </c>
      <c r="BD215">
        <f>IF(OR(BD149="",AND(BD149=BD148,BD149=BD150)),NA(), BD149)</f>
        <v>0</v>
      </c>
      <c r="BE215">
        <f>IF(ISNA(BF215),NA(),BE149)</f>
        <v>0</v>
      </c>
      <c r="BF215">
        <f>IF(OR(BF149="",AND(BF149=BF148,BF149=BF150)),NA(), BF149)</f>
        <v>0</v>
      </c>
      <c r="BG215">
        <f>IF(ISNA(BH215),NA(),BG149)</f>
        <v>0</v>
      </c>
      <c r="BH215">
        <f>IF(OR(BH149="",AND(BH149=BH148,BH149=BH150)),NA(), BH149)</f>
        <v>0</v>
      </c>
      <c r="BI215">
        <f>IF(ISNA(BJ215),NA(),BI149)</f>
        <v>0</v>
      </c>
      <c r="BJ215">
        <f>IF(OR(BJ149="",AND(BJ149=BJ148,BJ149=BJ150)),NA(), BJ149)</f>
        <v>0</v>
      </c>
      <c r="BK215">
        <f>IF(ISNA(BL215),NA(),BK149)</f>
        <v>0</v>
      </c>
      <c r="BL215">
        <f>IF(OR(BL149="",AND(BL149=BL148,BL149=BL150)),NA(), BL149)</f>
        <v>0</v>
      </c>
      <c r="BM215">
        <f>IF(ISNA(BN215),NA(),BM149)</f>
        <v>0</v>
      </c>
      <c r="BN215">
        <f>IF(OR(BN149="",AND(BN149=BN148,BN149=BN150)),NA(), BN149)</f>
        <v>0</v>
      </c>
      <c r="BO215">
        <f>IF(ISNA(BP215),NA(),BO149)</f>
        <v>0</v>
      </c>
      <c r="BP215">
        <f>IF(OR(BP149="",AND(BP149=BP148,BP149=BP150)),NA(), BP149)</f>
        <v>0</v>
      </c>
      <c r="BS215">
        <f>IF(ISNA(BT215),NA(),BS149)</f>
        <v>0</v>
      </c>
      <c r="BT215">
        <f>IF(OR(BT149="",AND(BT149=BT148,BT149=BT150)),NA(), BT149)</f>
        <v>0</v>
      </c>
      <c r="BU215">
        <f>IF(ISNA(BV215),NA(),BU149)</f>
        <v>0</v>
      </c>
      <c r="BV215">
        <f>IF(OR(BV149="",AND(BV149=BV148,BV149=BV150)),NA(), BV149)</f>
        <v>0</v>
      </c>
      <c r="BW215">
        <f>IF(ISNA(BX215),NA(),BW149)</f>
        <v>0</v>
      </c>
      <c r="BX215">
        <f>IF(OR(BX149="",AND(BX149=BX148,BX149=BX150)),NA(), BX149)</f>
        <v>0</v>
      </c>
      <c r="BY215">
        <f>IF(ISNA(BZ215),NA(),BY149)</f>
        <v>0</v>
      </c>
      <c r="BZ215">
        <f>IF(OR(BZ149="",AND(BZ149=BZ148,BZ149=BZ150)),NA(), BZ149)</f>
        <v>0</v>
      </c>
      <c r="CA215">
        <f>IF(ISNA(CB215),NA(),CA149)</f>
        <v>0</v>
      </c>
      <c r="CB215">
        <f>IF(OR(CB149="",AND(CB149=CB148,CB149=CB150)),NA(), CB149)</f>
        <v>0</v>
      </c>
      <c r="CC215">
        <f>IF(ISNA(CD215),NA(),CC149)</f>
        <v>0</v>
      </c>
      <c r="CD215">
        <f>IF(OR(CD149="",AND(CD149=CD148,CD149=CD150)),NA(), CD149)</f>
        <v>0</v>
      </c>
      <c r="CE215">
        <f>IF(ISNA(CF215),NA(),CE149)</f>
        <v>0</v>
      </c>
      <c r="CF215">
        <f>IF(OR(CF149="",AND(CF149=CF148,CF149=CF150)),NA(), CF149)</f>
        <v>0</v>
      </c>
      <c r="CG215">
        <f>IF(ISNA(CH215),NA(),CG149)</f>
        <v>0</v>
      </c>
      <c r="CH215">
        <f>IF(OR(CH149="",AND(CH149=CH148,CH149=CH150)),NA(), CH149)</f>
        <v>0</v>
      </c>
      <c r="CI215">
        <f>IF(ISNA(CJ215),NA(),CI149)</f>
        <v>0</v>
      </c>
      <c r="CJ215">
        <f>IF(OR(CJ149="",AND(CJ149=CJ148,CJ149=CJ150)),NA(), CJ149)</f>
        <v>0</v>
      </c>
      <c r="CK215">
        <f>IF(ISNA(CL215),NA(),CK149)</f>
        <v>0</v>
      </c>
      <c r="CL215">
        <f>IF(OR(CL149="",AND(CL149=CL148,CL149=CL150)),NA(), CL149)</f>
        <v>0</v>
      </c>
      <c r="CM215">
        <f>IF(ISNA(CN215),NA(),CM149)</f>
        <v>0</v>
      </c>
      <c r="CN215">
        <f>IF(OR(CN149="",AND(CN149=CN148,CN149=CN150)),NA(), CN149)</f>
        <v>0</v>
      </c>
      <c r="CO215">
        <f>IF(ISNA(CP215),NA(),CO149)</f>
        <v>0</v>
      </c>
      <c r="CP215">
        <f>IF(OR(CP149="",AND(CP149=CP148,CP149=CP150)),NA(), CP149)</f>
        <v>0</v>
      </c>
      <c r="CQ215">
        <f>IF(ISNA(CR215),NA(),CQ149)</f>
        <v>0</v>
      </c>
      <c r="CR215">
        <f>IF(OR(CR149="",AND(CR149=CR148,CR149=CR150)),NA(), CR149)</f>
        <v>0</v>
      </c>
      <c r="CS215">
        <f>IF(ISNA(CT215),NA(),CS149)</f>
        <v>0</v>
      </c>
      <c r="CT215">
        <f>IF(OR(CT149="",AND(CT149=CT148,CT149=CT150)),NA(), CT149)</f>
        <v>0</v>
      </c>
      <c r="CU215">
        <f>IF(ISNA(CV215),NA(),CU149)</f>
        <v>0</v>
      </c>
      <c r="CV215">
        <f>IF(OR(CV149="",AND(CV149=CV148,CV149=CV150)),NA(), CV149)</f>
        <v>0</v>
      </c>
      <c r="CW215">
        <f>IF(ISNA(CX215),NA(),CW149)</f>
        <v>0</v>
      </c>
      <c r="CX215">
        <f>IF(OR(CX149="",AND(CX149=CX148,CX149=CX150)),NA(), CX149)</f>
        <v>0</v>
      </c>
      <c r="CY215">
        <f>IF(ISNA(CZ215),NA(),CY149)</f>
        <v>0</v>
      </c>
      <c r="CZ215">
        <f>IF(OR(CZ149="",AND(CZ149=CZ148,CZ149=CZ150)),NA(), CZ149)</f>
        <v>0</v>
      </c>
      <c r="DA215">
        <f>IF(ISNA(DB215),NA(),DA149)</f>
        <v>0</v>
      </c>
      <c r="DB215">
        <f>IF(OR(DB149="",AND(DB149=DB148,DB149=DB150)),NA(), DB149)</f>
        <v>0</v>
      </c>
      <c r="DC215">
        <f>IF(ISNA(DD215),NA(),DC149)</f>
        <v>0</v>
      </c>
      <c r="DD215">
        <f>IF(OR(DD149="",AND(DD149=DD148,DD149=DD150)),NA(), DD149)</f>
        <v>0</v>
      </c>
      <c r="DE215">
        <f>IF(ISNA(DF215),NA(),DE149)</f>
        <v>0</v>
      </c>
      <c r="DF215">
        <f>IF(OR(DF149="",AND(DF149=DF148,DF149=DF150)),NA(), DF149)</f>
        <v>0</v>
      </c>
      <c r="DG215">
        <f>IF(ISNA(DH215),NA(),DG149)</f>
        <v>0</v>
      </c>
      <c r="DH215">
        <f>IF(OR(DH149="",AND(DH149=DH148,DH149=DH150)),NA(), DH149)</f>
        <v>0</v>
      </c>
      <c r="DI215">
        <f>IF(ISNA(DJ215),NA(),DI149)</f>
        <v>0</v>
      </c>
      <c r="DJ215">
        <f>IF(OR(DJ149="",AND(DJ149=DJ148,DJ149=DJ150)),NA(), DJ149)</f>
        <v>0</v>
      </c>
      <c r="DK215">
        <f>IF(ISNA(DL215),NA(),DK149)</f>
        <v>0</v>
      </c>
      <c r="DL215">
        <f>IF(OR(DL149="",AND(DL149=DL148,DL149=DL150)),NA(), DL149)</f>
        <v>0</v>
      </c>
      <c r="DM215">
        <f>IF(ISNA(DN215),NA(),DM149)</f>
        <v>0</v>
      </c>
      <c r="DN215">
        <f>IF(OR(DN149="",AND(DN149=DN148,DN149=DN150)),NA(), DN149)</f>
        <v>0</v>
      </c>
      <c r="DO215">
        <f>IF(ISNA(DP215),NA(),DO149)</f>
        <v>0</v>
      </c>
      <c r="DP215">
        <f>IF(OR(DP149="",AND(DP149=DP148,DP149=DP150)),NA(), DP149)</f>
        <v>0</v>
      </c>
      <c r="DQ215">
        <f>IF(ISNA(DR215),NA(),DQ149)</f>
        <v>0</v>
      </c>
      <c r="DR215">
        <f>IF(OR(DR149="",AND(DR149=DR148,DR149=DR150)),NA(), DR149)</f>
        <v>0</v>
      </c>
      <c r="DS215">
        <f>IF(ISNA(DT215),NA(),DS149)</f>
        <v>0</v>
      </c>
      <c r="DT215">
        <f>IF(OR(DT149="",AND(DT149=DT148,DT149=DT150)),NA(), DT149)</f>
        <v>0</v>
      </c>
      <c r="DU215">
        <f>IF(ISNA(DV215),NA(),DU149)</f>
        <v>0</v>
      </c>
      <c r="DV215">
        <f>IF(OR(DV149="",AND(DV149=DV148,DV149=DV150)),NA(), DV149)</f>
        <v>0</v>
      </c>
      <c r="DW215">
        <f>IF(ISNA(DX215),NA(),DW149)</f>
        <v>0</v>
      </c>
      <c r="DX215">
        <f>IF(OR(DX149="",AND(DX149=DX148,DX149=DX150)),NA(), DX149)</f>
        <v>0</v>
      </c>
      <c r="DY215">
        <f>IF(ISNA(DZ215),NA(),DY149)</f>
        <v>0</v>
      </c>
      <c r="DZ215">
        <f>IF(OR(DZ149="",AND(DZ149=DZ148,DZ149=DZ150)),NA(), DZ149)</f>
        <v>0</v>
      </c>
      <c r="EA215">
        <f>IF(ISNA(EB215),NA(),EA149)</f>
        <v>0</v>
      </c>
      <c r="EB215">
        <f>IF(OR(EB149="",AND(EB149=EB148,EB149=EB150)),NA(), EB149)</f>
        <v>0</v>
      </c>
      <c r="EC215">
        <f>IF(ISNA(ED215),NA(),EC149)</f>
        <v>0</v>
      </c>
      <c r="ED215">
        <f>IF(OR(ED149="",AND(ED149=ED148,ED149=ED150)),NA(), ED149)</f>
        <v>0</v>
      </c>
    </row>
    <row r="216" spans="5:134">
      <c r="E216">
        <f>IF(ISNA(F216),NA(),E150)</f>
        <v>0</v>
      </c>
      <c r="F216">
        <f>IF(OR(F150="",AND(F150=F149,F150=F151)),NA(), F150)</f>
        <v>0</v>
      </c>
      <c r="G216">
        <f>IF(ISNA(H216),NA(),G150)</f>
        <v>0</v>
      </c>
      <c r="H216">
        <f>IF(OR(H150="",AND(H150=H149,H150=H151)),NA(), H150)</f>
        <v>0</v>
      </c>
      <c r="I216">
        <f>IF(ISNA(J216),NA(),I150)</f>
        <v>0</v>
      </c>
      <c r="J216">
        <f>IF(OR(J150="",AND(J150=J149,J150=J151)),NA(), J150)</f>
        <v>0</v>
      </c>
      <c r="K216">
        <f>IF(ISNA(L216),NA(),K150)</f>
        <v>0</v>
      </c>
      <c r="L216">
        <f>IF(OR(L150="",AND(L150=L149,L150=L151)),NA(), L150)</f>
        <v>0</v>
      </c>
      <c r="M216">
        <f>IF(ISNA(N216),NA(),M150)</f>
        <v>0</v>
      </c>
      <c r="N216">
        <f>IF(OR(N150="",AND(N150=N149,N150=N151)),NA(), N150)</f>
        <v>0</v>
      </c>
      <c r="O216">
        <f>IF(ISNA(P216),NA(),O150)</f>
        <v>0</v>
      </c>
      <c r="P216">
        <f>IF(OR(P150="",AND(P150=P149,P150=P151)),NA(), P150)</f>
        <v>0</v>
      </c>
      <c r="Q216">
        <f>IF(ISNA(R216),NA(),Q150)</f>
        <v>0</v>
      </c>
      <c r="R216">
        <f>IF(OR(R150="",AND(R150=R149,R150=R151)),NA(), R150)</f>
        <v>0</v>
      </c>
      <c r="S216">
        <f>IF(ISNA(T216),NA(),S150)</f>
        <v>0</v>
      </c>
      <c r="T216">
        <f>IF(OR(T150="",AND(T150=T149,T150=T151)),NA(), T150)</f>
        <v>0</v>
      </c>
      <c r="U216">
        <f>IF(ISNA(V216),NA(),U150)</f>
        <v>0</v>
      </c>
      <c r="V216">
        <f>IF(OR(V150="",AND(V150=V149,V150=V151)),NA(), V150)</f>
        <v>0</v>
      </c>
      <c r="W216">
        <f>IF(ISNA(X216),NA(),W150)</f>
        <v>0</v>
      </c>
      <c r="X216">
        <f>IF(OR(X150="",AND(X150=X149,X150=X151)),NA(), X150)</f>
        <v>0</v>
      </c>
      <c r="Y216">
        <f>IF(ISNA(Z216),NA(),Y150)</f>
        <v>0</v>
      </c>
      <c r="Z216">
        <f>IF(OR(Z150="",AND(Z150=Z149,Z150=Z151)),NA(), Z150)</f>
        <v>0</v>
      </c>
      <c r="AA216">
        <f>IF(ISNA(AB216),NA(),AA150)</f>
        <v>0</v>
      </c>
      <c r="AB216">
        <f>IF(OR(AB150="",AND(AB150=AB149,AB150=AB151)),NA(), AB150)</f>
        <v>0</v>
      </c>
      <c r="AC216">
        <f>IF(ISNA(AD216),NA(),AC150)</f>
        <v>0</v>
      </c>
      <c r="AD216">
        <f>IF(OR(AD150="",AND(AD150=AD149,AD150=AD151)),NA(), AD150)</f>
        <v>0</v>
      </c>
      <c r="AE216">
        <f>IF(ISNA(AF216),NA(),AE150)</f>
        <v>0</v>
      </c>
      <c r="AF216">
        <f>IF(OR(AF150="",AND(AF150=AF149,AF150=AF151)),NA(), AF150)</f>
        <v>0</v>
      </c>
      <c r="AG216">
        <f>IF(ISNA(AH216),NA(),AG150)</f>
        <v>0</v>
      </c>
      <c r="AH216">
        <f>IF(OR(AH150="",AND(AH150=AH149,AH150=AH151)),NA(), AH150)</f>
        <v>0</v>
      </c>
      <c r="AI216">
        <f>IF(ISNA(AJ216),NA(),AI150)</f>
        <v>0</v>
      </c>
      <c r="AJ216">
        <f>IF(OR(AJ150="",AND(AJ150=AJ149,AJ150=AJ151)),NA(), AJ150)</f>
        <v>0</v>
      </c>
      <c r="AK216">
        <f>IF(ISNA(AL216),NA(),AK150)</f>
        <v>0</v>
      </c>
      <c r="AL216">
        <f>IF(OR(AL150="",AND(AL150=AL149,AL150=AL151)),NA(), AL150)</f>
        <v>0</v>
      </c>
      <c r="AM216">
        <f>IF(ISNA(AN216),NA(),AM150)</f>
        <v>0</v>
      </c>
      <c r="AN216">
        <f>IF(OR(AN150="",AND(AN150=AN149,AN150=AN151)),NA(), AN150)</f>
        <v>0</v>
      </c>
      <c r="AO216">
        <f>IF(ISNA(AP216),NA(),AO150)</f>
        <v>0</v>
      </c>
      <c r="AP216">
        <f>IF(OR(AP150="",AND(AP150=AP149,AP150=AP151)),NA(), AP150)</f>
        <v>0</v>
      </c>
      <c r="AQ216">
        <f>IF(ISNA(AR216),NA(),AQ150)</f>
        <v>0</v>
      </c>
      <c r="AR216">
        <f>IF(OR(AR150="",AND(AR150=AR149,AR150=AR151)),NA(), AR150)</f>
        <v>0</v>
      </c>
      <c r="AS216">
        <f>IF(ISNA(AT216),NA(),AS150)</f>
        <v>0</v>
      </c>
      <c r="AT216">
        <f>IF(OR(AT150="",AND(AT150=AT149,AT150=AT151)),NA(), AT150)</f>
        <v>0</v>
      </c>
      <c r="AU216">
        <f>IF(ISNA(AV216),NA(),AU150)</f>
        <v>0</v>
      </c>
      <c r="AV216">
        <f>IF(OR(AV150="",AND(AV150=AV149,AV150=AV151)),NA(), AV150)</f>
        <v>0</v>
      </c>
      <c r="AW216">
        <f>IF(ISNA(AX216),NA(),AW150)</f>
        <v>0</v>
      </c>
      <c r="AX216">
        <f>IF(OR(AX150="",AND(AX150=AX149,AX150=AX151)),NA(), AX150)</f>
        <v>0</v>
      </c>
      <c r="AY216">
        <f>IF(ISNA(AZ216),NA(),AY150)</f>
        <v>0</v>
      </c>
      <c r="AZ216">
        <f>IF(OR(AZ150="",AND(AZ150=AZ149,AZ150=AZ151)),NA(), AZ150)</f>
        <v>0</v>
      </c>
      <c r="BA216">
        <f>IF(ISNA(BB216),NA(),BA150)</f>
        <v>0</v>
      </c>
      <c r="BB216">
        <f>IF(OR(BB150="",AND(BB150=BB149,BB150=BB151)),NA(), BB150)</f>
        <v>0</v>
      </c>
      <c r="BC216">
        <f>IF(ISNA(BD216),NA(),BC150)</f>
        <v>0</v>
      </c>
      <c r="BD216">
        <f>IF(OR(BD150="",AND(BD150=BD149,BD150=BD151)),NA(), BD150)</f>
        <v>0</v>
      </c>
      <c r="BE216">
        <f>IF(ISNA(BF216),NA(),BE150)</f>
        <v>0</v>
      </c>
      <c r="BF216">
        <f>IF(OR(BF150="",AND(BF150=BF149,BF150=BF151)),NA(), BF150)</f>
        <v>0</v>
      </c>
      <c r="BG216">
        <f>IF(ISNA(BH216),NA(),BG150)</f>
        <v>0</v>
      </c>
      <c r="BH216">
        <f>IF(OR(BH150="",AND(BH150=BH149,BH150=BH151)),NA(), BH150)</f>
        <v>0</v>
      </c>
      <c r="BI216">
        <f>IF(ISNA(BJ216),NA(),BI150)</f>
        <v>0</v>
      </c>
      <c r="BJ216">
        <f>IF(OR(BJ150="",AND(BJ150=BJ149,BJ150=BJ151)),NA(), BJ150)</f>
        <v>0</v>
      </c>
      <c r="BK216">
        <f>IF(ISNA(BL216),NA(),BK150)</f>
        <v>0</v>
      </c>
      <c r="BL216">
        <f>IF(OR(BL150="",AND(BL150=BL149,BL150=BL151)),NA(), BL150)</f>
        <v>0</v>
      </c>
      <c r="BM216">
        <f>IF(ISNA(BN216),NA(),BM150)</f>
        <v>0</v>
      </c>
      <c r="BN216">
        <f>IF(OR(BN150="",AND(BN150=BN149,BN150=BN151)),NA(), BN150)</f>
        <v>0</v>
      </c>
      <c r="BO216">
        <f>IF(ISNA(BP216),NA(),BO150)</f>
        <v>0</v>
      </c>
      <c r="BP216">
        <f>IF(OR(BP150="",AND(BP150=BP149,BP150=BP151)),NA(), BP150)</f>
        <v>0</v>
      </c>
      <c r="BS216">
        <f>IF(ISNA(BT216),NA(),BS150)</f>
        <v>0</v>
      </c>
      <c r="BT216">
        <f>IF(OR(BT150="",AND(BT150=BT149,BT150=BT151)),NA(), BT150)</f>
        <v>0</v>
      </c>
      <c r="BU216">
        <f>IF(ISNA(BV216),NA(),BU150)</f>
        <v>0</v>
      </c>
      <c r="BV216">
        <f>IF(OR(BV150="",AND(BV150=BV149,BV150=BV151)),NA(), BV150)</f>
        <v>0</v>
      </c>
      <c r="BW216">
        <f>IF(ISNA(BX216),NA(),BW150)</f>
        <v>0</v>
      </c>
      <c r="BX216">
        <f>IF(OR(BX150="",AND(BX150=BX149,BX150=BX151)),NA(), BX150)</f>
        <v>0</v>
      </c>
      <c r="BY216">
        <f>IF(ISNA(BZ216),NA(),BY150)</f>
        <v>0</v>
      </c>
      <c r="BZ216">
        <f>IF(OR(BZ150="",AND(BZ150=BZ149,BZ150=BZ151)),NA(), BZ150)</f>
        <v>0</v>
      </c>
      <c r="CA216">
        <f>IF(ISNA(CB216),NA(),CA150)</f>
        <v>0</v>
      </c>
      <c r="CB216">
        <f>IF(OR(CB150="",AND(CB150=CB149,CB150=CB151)),NA(), CB150)</f>
        <v>0</v>
      </c>
      <c r="CC216">
        <f>IF(ISNA(CD216),NA(),CC150)</f>
        <v>0</v>
      </c>
      <c r="CD216">
        <f>IF(OR(CD150="",AND(CD150=CD149,CD150=CD151)),NA(), CD150)</f>
        <v>0</v>
      </c>
      <c r="CE216">
        <f>IF(ISNA(CF216),NA(),CE150)</f>
        <v>0</v>
      </c>
      <c r="CF216">
        <f>IF(OR(CF150="",AND(CF150=CF149,CF150=CF151)),NA(), CF150)</f>
        <v>0</v>
      </c>
      <c r="CG216">
        <f>IF(ISNA(CH216),NA(),CG150)</f>
        <v>0</v>
      </c>
      <c r="CH216">
        <f>IF(OR(CH150="",AND(CH150=CH149,CH150=CH151)),NA(), CH150)</f>
        <v>0</v>
      </c>
      <c r="CI216">
        <f>IF(ISNA(CJ216),NA(),CI150)</f>
        <v>0</v>
      </c>
      <c r="CJ216">
        <f>IF(OR(CJ150="",AND(CJ150=CJ149,CJ150=CJ151)),NA(), CJ150)</f>
        <v>0</v>
      </c>
      <c r="CK216">
        <f>IF(ISNA(CL216),NA(),CK150)</f>
        <v>0</v>
      </c>
      <c r="CL216">
        <f>IF(OR(CL150="",AND(CL150=CL149,CL150=CL151)),NA(), CL150)</f>
        <v>0</v>
      </c>
      <c r="CM216">
        <f>IF(ISNA(CN216),NA(),CM150)</f>
        <v>0</v>
      </c>
      <c r="CN216">
        <f>IF(OR(CN150="",AND(CN150=CN149,CN150=CN151)),NA(), CN150)</f>
        <v>0</v>
      </c>
      <c r="CO216">
        <f>IF(ISNA(CP216),NA(),CO150)</f>
        <v>0</v>
      </c>
      <c r="CP216">
        <f>IF(OR(CP150="",AND(CP150=CP149,CP150=CP151)),NA(), CP150)</f>
        <v>0</v>
      </c>
      <c r="CQ216">
        <f>IF(ISNA(CR216),NA(),CQ150)</f>
        <v>0</v>
      </c>
      <c r="CR216">
        <f>IF(OR(CR150="",AND(CR150=CR149,CR150=CR151)),NA(), CR150)</f>
        <v>0</v>
      </c>
      <c r="CS216">
        <f>IF(ISNA(CT216),NA(),CS150)</f>
        <v>0</v>
      </c>
      <c r="CT216">
        <f>IF(OR(CT150="",AND(CT150=CT149,CT150=CT151)),NA(), CT150)</f>
        <v>0</v>
      </c>
      <c r="CU216">
        <f>IF(ISNA(CV216),NA(),CU150)</f>
        <v>0</v>
      </c>
      <c r="CV216">
        <f>IF(OR(CV150="",AND(CV150=CV149,CV150=CV151)),NA(), CV150)</f>
        <v>0</v>
      </c>
      <c r="CW216">
        <f>IF(ISNA(CX216),NA(),CW150)</f>
        <v>0</v>
      </c>
      <c r="CX216">
        <f>IF(OR(CX150="",AND(CX150=CX149,CX150=CX151)),NA(), CX150)</f>
        <v>0</v>
      </c>
      <c r="CY216">
        <f>IF(ISNA(CZ216),NA(),CY150)</f>
        <v>0</v>
      </c>
      <c r="CZ216">
        <f>IF(OR(CZ150="",AND(CZ150=CZ149,CZ150=CZ151)),NA(), CZ150)</f>
        <v>0</v>
      </c>
      <c r="DA216">
        <f>IF(ISNA(DB216),NA(),DA150)</f>
        <v>0</v>
      </c>
      <c r="DB216">
        <f>IF(OR(DB150="",AND(DB150=DB149,DB150=DB151)),NA(), DB150)</f>
        <v>0</v>
      </c>
      <c r="DC216">
        <f>IF(ISNA(DD216),NA(),DC150)</f>
        <v>0</v>
      </c>
      <c r="DD216">
        <f>IF(OR(DD150="",AND(DD150=DD149,DD150=DD151)),NA(), DD150)</f>
        <v>0</v>
      </c>
      <c r="DE216">
        <f>IF(ISNA(DF216),NA(),DE150)</f>
        <v>0</v>
      </c>
      <c r="DF216">
        <f>IF(OR(DF150="",AND(DF150=DF149,DF150=DF151)),NA(), DF150)</f>
        <v>0</v>
      </c>
      <c r="DG216">
        <f>IF(ISNA(DH216),NA(),DG150)</f>
        <v>0</v>
      </c>
      <c r="DH216">
        <f>IF(OR(DH150="",AND(DH150=DH149,DH150=DH151)),NA(), DH150)</f>
        <v>0</v>
      </c>
      <c r="DI216">
        <f>IF(ISNA(DJ216),NA(),DI150)</f>
        <v>0</v>
      </c>
      <c r="DJ216">
        <f>IF(OR(DJ150="",AND(DJ150=DJ149,DJ150=DJ151)),NA(), DJ150)</f>
        <v>0</v>
      </c>
      <c r="DK216">
        <f>IF(ISNA(DL216),NA(),DK150)</f>
        <v>0</v>
      </c>
      <c r="DL216">
        <f>IF(OR(DL150="",AND(DL150=DL149,DL150=DL151)),NA(), DL150)</f>
        <v>0</v>
      </c>
      <c r="DM216">
        <f>IF(ISNA(DN216),NA(),DM150)</f>
        <v>0</v>
      </c>
      <c r="DN216">
        <f>IF(OR(DN150="",AND(DN150=DN149,DN150=DN151)),NA(), DN150)</f>
        <v>0</v>
      </c>
      <c r="DO216">
        <f>IF(ISNA(DP216),NA(),DO150)</f>
        <v>0</v>
      </c>
      <c r="DP216">
        <f>IF(OR(DP150="",AND(DP150=DP149,DP150=DP151)),NA(), DP150)</f>
        <v>0</v>
      </c>
      <c r="DQ216">
        <f>IF(ISNA(DR216),NA(),DQ150)</f>
        <v>0</v>
      </c>
      <c r="DR216">
        <f>IF(OR(DR150="",AND(DR150=DR149,DR150=DR151)),NA(), DR150)</f>
        <v>0</v>
      </c>
      <c r="DS216">
        <f>IF(ISNA(DT216),NA(),DS150)</f>
        <v>0</v>
      </c>
      <c r="DT216">
        <f>IF(OR(DT150="",AND(DT150=DT149,DT150=DT151)),NA(), DT150)</f>
        <v>0</v>
      </c>
      <c r="DU216">
        <f>IF(ISNA(DV216),NA(),DU150)</f>
        <v>0</v>
      </c>
      <c r="DV216">
        <f>IF(OR(DV150="",AND(DV150=DV149,DV150=DV151)),NA(), DV150)</f>
        <v>0</v>
      </c>
      <c r="DW216">
        <f>IF(ISNA(DX216),NA(),DW150)</f>
        <v>0</v>
      </c>
      <c r="DX216">
        <f>IF(OR(DX150="",AND(DX150=DX149,DX150=DX151)),NA(), DX150)</f>
        <v>0</v>
      </c>
      <c r="DY216">
        <f>IF(ISNA(DZ216),NA(),DY150)</f>
        <v>0</v>
      </c>
      <c r="DZ216">
        <f>IF(OR(DZ150="",AND(DZ150=DZ149,DZ150=DZ151)),NA(), DZ150)</f>
        <v>0</v>
      </c>
      <c r="EA216">
        <f>IF(ISNA(EB216),NA(),EA150)</f>
        <v>0</v>
      </c>
      <c r="EB216">
        <f>IF(OR(EB150="",AND(EB150=EB149,EB150=EB151)),NA(), EB150)</f>
        <v>0</v>
      </c>
      <c r="EC216">
        <f>IF(ISNA(ED216),NA(),EC150)</f>
        <v>0</v>
      </c>
      <c r="ED216">
        <f>IF(OR(ED150="",AND(ED150=ED149,ED150=ED151)),NA(), ED150)</f>
        <v>0</v>
      </c>
    </row>
    <row r="217" spans="5:134">
      <c r="E217">
        <f>IF(ISNA(F217),NA(),E151)</f>
        <v>0</v>
      </c>
      <c r="F217">
        <f>IF(OR(F151="",AND(F151=F150,F151=F152)),NA(), F151)</f>
        <v>0</v>
      </c>
      <c r="G217">
        <f>IF(ISNA(H217),NA(),G151)</f>
        <v>0</v>
      </c>
      <c r="H217">
        <f>IF(OR(H151="",AND(H151=H150,H151=H152)),NA(), H151)</f>
        <v>0</v>
      </c>
      <c r="I217">
        <f>IF(ISNA(J217),NA(),I151)</f>
        <v>0</v>
      </c>
      <c r="J217">
        <f>IF(OR(J151="",AND(J151=J150,J151=J152)),NA(), J151)</f>
        <v>0</v>
      </c>
      <c r="K217">
        <f>IF(ISNA(L217),NA(),K151)</f>
        <v>0</v>
      </c>
      <c r="L217">
        <f>IF(OR(L151="",AND(L151=L150,L151=L152)),NA(), L151)</f>
        <v>0</v>
      </c>
      <c r="M217">
        <f>IF(ISNA(N217),NA(),M151)</f>
        <v>0</v>
      </c>
      <c r="N217">
        <f>IF(OR(N151="",AND(N151=N150,N151=N152)),NA(), N151)</f>
        <v>0</v>
      </c>
      <c r="O217">
        <f>IF(ISNA(P217),NA(),O151)</f>
        <v>0</v>
      </c>
      <c r="P217">
        <f>IF(OR(P151="",AND(P151=P150,P151=P152)),NA(), P151)</f>
        <v>0</v>
      </c>
      <c r="Q217">
        <f>IF(ISNA(R217),NA(),Q151)</f>
        <v>0</v>
      </c>
      <c r="R217">
        <f>IF(OR(R151="",AND(R151=R150,R151=R152)),NA(), R151)</f>
        <v>0</v>
      </c>
      <c r="S217">
        <f>IF(ISNA(T217),NA(),S151)</f>
        <v>0</v>
      </c>
      <c r="T217">
        <f>IF(OR(T151="",AND(T151=T150,T151=T152)),NA(), T151)</f>
        <v>0</v>
      </c>
      <c r="U217">
        <f>IF(ISNA(V217),NA(),U151)</f>
        <v>0</v>
      </c>
      <c r="V217">
        <f>IF(OR(V151="",AND(V151=V150,V151=V152)),NA(), V151)</f>
        <v>0</v>
      </c>
      <c r="W217">
        <f>IF(ISNA(X217),NA(),W151)</f>
        <v>0</v>
      </c>
      <c r="X217">
        <f>IF(OR(X151="",AND(X151=X150,X151=X152)),NA(), X151)</f>
        <v>0</v>
      </c>
      <c r="Y217">
        <f>IF(ISNA(Z217),NA(),Y151)</f>
        <v>0</v>
      </c>
      <c r="Z217">
        <f>IF(OR(Z151="",AND(Z151=Z150,Z151=Z152)),NA(), Z151)</f>
        <v>0</v>
      </c>
      <c r="AA217">
        <f>IF(ISNA(AB217),NA(),AA151)</f>
        <v>0</v>
      </c>
      <c r="AB217">
        <f>IF(OR(AB151="",AND(AB151=AB150,AB151=AB152)),NA(), AB151)</f>
        <v>0</v>
      </c>
      <c r="AC217">
        <f>IF(ISNA(AD217),NA(),AC151)</f>
        <v>0</v>
      </c>
      <c r="AD217">
        <f>IF(OR(AD151="",AND(AD151=AD150,AD151=AD152)),NA(), AD151)</f>
        <v>0</v>
      </c>
      <c r="AE217">
        <f>IF(ISNA(AF217),NA(),AE151)</f>
        <v>0</v>
      </c>
      <c r="AF217">
        <f>IF(OR(AF151="",AND(AF151=AF150,AF151=AF152)),NA(), AF151)</f>
        <v>0</v>
      </c>
      <c r="AG217">
        <f>IF(ISNA(AH217),NA(),AG151)</f>
        <v>0</v>
      </c>
      <c r="AH217">
        <f>IF(OR(AH151="",AND(AH151=AH150,AH151=AH152)),NA(), AH151)</f>
        <v>0</v>
      </c>
      <c r="AI217">
        <f>IF(ISNA(AJ217),NA(),AI151)</f>
        <v>0</v>
      </c>
      <c r="AJ217">
        <f>IF(OR(AJ151="",AND(AJ151=AJ150,AJ151=AJ152)),NA(), AJ151)</f>
        <v>0</v>
      </c>
      <c r="AK217">
        <f>IF(ISNA(AL217),NA(),AK151)</f>
        <v>0</v>
      </c>
      <c r="AL217">
        <f>IF(OR(AL151="",AND(AL151=AL150,AL151=AL152)),NA(), AL151)</f>
        <v>0</v>
      </c>
      <c r="AM217">
        <f>IF(ISNA(AN217),NA(),AM151)</f>
        <v>0</v>
      </c>
      <c r="AN217">
        <f>IF(OR(AN151="",AND(AN151=AN150,AN151=AN152)),NA(), AN151)</f>
        <v>0</v>
      </c>
      <c r="AO217">
        <f>IF(ISNA(AP217),NA(),AO151)</f>
        <v>0</v>
      </c>
      <c r="AP217">
        <f>IF(OR(AP151="",AND(AP151=AP150,AP151=AP152)),NA(), AP151)</f>
        <v>0</v>
      </c>
      <c r="AQ217">
        <f>IF(ISNA(AR217),NA(),AQ151)</f>
        <v>0</v>
      </c>
      <c r="AR217">
        <f>IF(OR(AR151="",AND(AR151=AR150,AR151=AR152)),NA(), AR151)</f>
        <v>0</v>
      </c>
      <c r="AS217">
        <f>IF(ISNA(AT217),NA(),AS151)</f>
        <v>0</v>
      </c>
      <c r="AT217">
        <f>IF(OR(AT151="",AND(AT151=AT150,AT151=AT152)),NA(), AT151)</f>
        <v>0</v>
      </c>
      <c r="AU217">
        <f>IF(ISNA(AV217),NA(),AU151)</f>
        <v>0</v>
      </c>
      <c r="AV217">
        <f>IF(OR(AV151="",AND(AV151=AV150,AV151=AV152)),NA(), AV151)</f>
        <v>0</v>
      </c>
      <c r="AW217">
        <f>IF(ISNA(AX217),NA(),AW151)</f>
        <v>0</v>
      </c>
      <c r="AX217">
        <f>IF(OR(AX151="",AND(AX151=AX150,AX151=AX152)),NA(), AX151)</f>
        <v>0</v>
      </c>
      <c r="AY217">
        <f>IF(ISNA(AZ217),NA(),AY151)</f>
        <v>0</v>
      </c>
      <c r="AZ217">
        <f>IF(OR(AZ151="",AND(AZ151=AZ150,AZ151=AZ152)),NA(), AZ151)</f>
        <v>0</v>
      </c>
      <c r="BA217">
        <f>IF(ISNA(BB217),NA(),BA151)</f>
        <v>0</v>
      </c>
      <c r="BB217">
        <f>IF(OR(BB151="",AND(BB151=BB150,BB151=BB152)),NA(), BB151)</f>
        <v>0</v>
      </c>
      <c r="BC217">
        <f>IF(ISNA(BD217),NA(),BC151)</f>
        <v>0</v>
      </c>
      <c r="BD217">
        <f>IF(OR(BD151="",AND(BD151=BD150,BD151=BD152)),NA(), BD151)</f>
        <v>0</v>
      </c>
      <c r="BE217">
        <f>IF(ISNA(BF217),NA(),BE151)</f>
        <v>0</v>
      </c>
      <c r="BF217">
        <f>IF(OR(BF151="",AND(BF151=BF150,BF151=BF152)),NA(), BF151)</f>
        <v>0</v>
      </c>
      <c r="BG217">
        <f>IF(ISNA(BH217),NA(),BG151)</f>
        <v>0</v>
      </c>
      <c r="BH217">
        <f>IF(OR(BH151="",AND(BH151=BH150,BH151=BH152)),NA(), BH151)</f>
        <v>0</v>
      </c>
      <c r="BI217">
        <f>IF(ISNA(BJ217),NA(),BI151)</f>
        <v>0</v>
      </c>
      <c r="BJ217">
        <f>IF(OR(BJ151="",AND(BJ151=BJ150,BJ151=BJ152)),NA(), BJ151)</f>
        <v>0</v>
      </c>
      <c r="BK217">
        <f>IF(ISNA(BL217),NA(),BK151)</f>
        <v>0</v>
      </c>
      <c r="BL217">
        <f>IF(OR(BL151="",AND(BL151=BL150,BL151=BL152)),NA(), BL151)</f>
        <v>0</v>
      </c>
      <c r="BM217">
        <f>IF(ISNA(BN217),NA(),BM151)</f>
        <v>0</v>
      </c>
      <c r="BN217">
        <f>IF(OR(BN151="",AND(BN151=BN150,BN151=BN152)),NA(), BN151)</f>
        <v>0</v>
      </c>
      <c r="BO217">
        <f>IF(ISNA(BP217),NA(),BO151)</f>
        <v>0</v>
      </c>
      <c r="BP217">
        <f>IF(OR(BP151="",AND(BP151=BP150,BP151=BP152)),NA(), BP151)</f>
        <v>0</v>
      </c>
      <c r="BS217">
        <f>IF(ISNA(BT217),NA(),BS151)</f>
        <v>0</v>
      </c>
      <c r="BT217">
        <f>IF(OR(BT151="",AND(BT151=BT150,BT151=BT152)),NA(), BT151)</f>
        <v>0</v>
      </c>
      <c r="BU217">
        <f>IF(ISNA(BV217),NA(),BU151)</f>
        <v>0</v>
      </c>
      <c r="BV217">
        <f>IF(OR(BV151="",AND(BV151=BV150,BV151=BV152)),NA(), BV151)</f>
        <v>0</v>
      </c>
      <c r="BW217">
        <f>IF(ISNA(BX217),NA(),BW151)</f>
        <v>0</v>
      </c>
      <c r="BX217">
        <f>IF(OR(BX151="",AND(BX151=BX150,BX151=BX152)),NA(), BX151)</f>
        <v>0</v>
      </c>
      <c r="BY217">
        <f>IF(ISNA(BZ217),NA(),BY151)</f>
        <v>0</v>
      </c>
      <c r="BZ217">
        <f>IF(OR(BZ151="",AND(BZ151=BZ150,BZ151=BZ152)),NA(), BZ151)</f>
        <v>0</v>
      </c>
      <c r="CA217">
        <f>IF(ISNA(CB217),NA(),CA151)</f>
        <v>0</v>
      </c>
      <c r="CB217">
        <f>IF(OR(CB151="",AND(CB151=CB150,CB151=CB152)),NA(), CB151)</f>
        <v>0</v>
      </c>
      <c r="CC217">
        <f>IF(ISNA(CD217),NA(),CC151)</f>
        <v>0</v>
      </c>
      <c r="CD217">
        <f>IF(OR(CD151="",AND(CD151=CD150,CD151=CD152)),NA(), CD151)</f>
        <v>0</v>
      </c>
      <c r="CE217">
        <f>IF(ISNA(CF217),NA(),CE151)</f>
        <v>0</v>
      </c>
      <c r="CF217">
        <f>IF(OR(CF151="",AND(CF151=CF150,CF151=CF152)),NA(), CF151)</f>
        <v>0</v>
      </c>
      <c r="CG217">
        <f>IF(ISNA(CH217),NA(),CG151)</f>
        <v>0</v>
      </c>
      <c r="CH217">
        <f>IF(OR(CH151="",AND(CH151=CH150,CH151=CH152)),NA(), CH151)</f>
        <v>0</v>
      </c>
      <c r="CI217">
        <f>IF(ISNA(CJ217),NA(),CI151)</f>
        <v>0</v>
      </c>
      <c r="CJ217">
        <f>IF(OR(CJ151="",AND(CJ151=CJ150,CJ151=CJ152)),NA(), CJ151)</f>
        <v>0</v>
      </c>
      <c r="CK217">
        <f>IF(ISNA(CL217),NA(),CK151)</f>
        <v>0</v>
      </c>
      <c r="CL217">
        <f>IF(OR(CL151="",AND(CL151=CL150,CL151=CL152)),NA(), CL151)</f>
        <v>0</v>
      </c>
      <c r="CM217">
        <f>IF(ISNA(CN217),NA(),CM151)</f>
        <v>0</v>
      </c>
      <c r="CN217">
        <f>IF(OR(CN151="",AND(CN151=CN150,CN151=CN152)),NA(), CN151)</f>
        <v>0</v>
      </c>
      <c r="CO217">
        <f>IF(ISNA(CP217),NA(),CO151)</f>
        <v>0</v>
      </c>
      <c r="CP217">
        <f>IF(OR(CP151="",AND(CP151=CP150,CP151=CP152)),NA(), CP151)</f>
        <v>0</v>
      </c>
      <c r="CQ217">
        <f>IF(ISNA(CR217),NA(),CQ151)</f>
        <v>0</v>
      </c>
      <c r="CR217">
        <f>IF(OR(CR151="",AND(CR151=CR150,CR151=CR152)),NA(), CR151)</f>
        <v>0</v>
      </c>
      <c r="CS217">
        <f>IF(ISNA(CT217),NA(),CS151)</f>
        <v>0</v>
      </c>
      <c r="CT217">
        <f>IF(OR(CT151="",AND(CT151=CT150,CT151=CT152)),NA(), CT151)</f>
        <v>0</v>
      </c>
      <c r="CU217">
        <f>IF(ISNA(CV217),NA(),CU151)</f>
        <v>0</v>
      </c>
      <c r="CV217">
        <f>IF(OR(CV151="",AND(CV151=CV150,CV151=CV152)),NA(), CV151)</f>
        <v>0</v>
      </c>
      <c r="CW217">
        <f>IF(ISNA(CX217),NA(),CW151)</f>
        <v>0</v>
      </c>
      <c r="CX217">
        <f>IF(OR(CX151="",AND(CX151=CX150,CX151=CX152)),NA(), CX151)</f>
        <v>0</v>
      </c>
      <c r="CY217">
        <f>IF(ISNA(CZ217),NA(),CY151)</f>
        <v>0</v>
      </c>
      <c r="CZ217">
        <f>IF(OR(CZ151="",AND(CZ151=CZ150,CZ151=CZ152)),NA(), CZ151)</f>
        <v>0</v>
      </c>
      <c r="DA217">
        <f>IF(ISNA(DB217),NA(),DA151)</f>
        <v>0</v>
      </c>
      <c r="DB217">
        <f>IF(OR(DB151="",AND(DB151=DB150,DB151=DB152)),NA(), DB151)</f>
        <v>0</v>
      </c>
      <c r="DC217">
        <f>IF(ISNA(DD217),NA(),DC151)</f>
        <v>0</v>
      </c>
      <c r="DD217">
        <f>IF(OR(DD151="",AND(DD151=DD150,DD151=DD152)),NA(), DD151)</f>
        <v>0</v>
      </c>
      <c r="DE217">
        <f>IF(ISNA(DF217),NA(),DE151)</f>
        <v>0</v>
      </c>
      <c r="DF217">
        <f>IF(OR(DF151="",AND(DF151=DF150,DF151=DF152)),NA(), DF151)</f>
        <v>0</v>
      </c>
      <c r="DG217">
        <f>IF(ISNA(DH217),NA(),DG151)</f>
        <v>0</v>
      </c>
      <c r="DH217">
        <f>IF(OR(DH151="",AND(DH151=DH150,DH151=DH152)),NA(), DH151)</f>
        <v>0</v>
      </c>
      <c r="DI217">
        <f>IF(ISNA(DJ217),NA(),DI151)</f>
        <v>0</v>
      </c>
      <c r="DJ217">
        <f>IF(OR(DJ151="",AND(DJ151=DJ150,DJ151=DJ152)),NA(), DJ151)</f>
        <v>0</v>
      </c>
      <c r="DK217">
        <f>IF(ISNA(DL217),NA(),DK151)</f>
        <v>0</v>
      </c>
      <c r="DL217">
        <f>IF(OR(DL151="",AND(DL151=DL150,DL151=DL152)),NA(), DL151)</f>
        <v>0</v>
      </c>
      <c r="DM217">
        <f>IF(ISNA(DN217),NA(),DM151)</f>
        <v>0</v>
      </c>
      <c r="DN217">
        <f>IF(OR(DN151="",AND(DN151=DN150,DN151=DN152)),NA(), DN151)</f>
        <v>0</v>
      </c>
      <c r="DO217">
        <f>IF(ISNA(DP217),NA(),DO151)</f>
        <v>0</v>
      </c>
      <c r="DP217">
        <f>IF(OR(DP151="",AND(DP151=DP150,DP151=DP152)),NA(), DP151)</f>
        <v>0</v>
      </c>
      <c r="DQ217">
        <f>IF(ISNA(DR217),NA(),DQ151)</f>
        <v>0</v>
      </c>
      <c r="DR217">
        <f>IF(OR(DR151="",AND(DR151=DR150,DR151=DR152)),NA(), DR151)</f>
        <v>0</v>
      </c>
      <c r="DS217">
        <f>IF(ISNA(DT217),NA(),DS151)</f>
        <v>0</v>
      </c>
      <c r="DT217">
        <f>IF(OR(DT151="",AND(DT151=DT150,DT151=DT152)),NA(), DT151)</f>
        <v>0</v>
      </c>
      <c r="DU217">
        <f>IF(ISNA(DV217),NA(),DU151)</f>
        <v>0</v>
      </c>
      <c r="DV217">
        <f>IF(OR(DV151="",AND(DV151=DV150,DV151=DV152)),NA(), DV151)</f>
        <v>0</v>
      </c>
      <c r="DW217">
        <f>IF(ISNA(DX217),NA(),DW151)</f>
        <v>0</v>
      </c>
      <c r="DX217">
        <f>IF(OR(DX151="",AND(DX151=DX150,DX151=DX152)),NA(), DX151)</f>
        <v>0</v>
      </c>
      <c r="DY217">
        <f>IF(ISNA(DZ217),NA(),DY151)</f>
        <v>0</v>
      </c>
      <c r="DZ217">
        <f>IF(OR(DZ151="",AND(DZ151=DZ150,DZ151=DZ152)),NA(), DZ151)</f>
        <v>0</v>
      </c>
      <c r="EA217">
        <f>IF(ISNA(EB217),NA(),EA151)</f>
        <v>0</v>
      </c>
      <c r="EB217">
        <f>IF(OR(EB151="",AND(EB151=EB150,EB151=EB152)),NA(), EB151)</f>
        <v>0</v>
      </c>
      <c r="EC217">
        <f>IF(ISNA(ED217),NA(),EC151)</f>
        <v>0</v>
      </c>
      <c r="ED217">
        <f>IF(OR(ED151="",AND(ED151=ED150,ED151=ED152)),NA(), ED151)</f>
        <v>0</v>
      </c>
    </row>
    <row r="218" spans="5:134">
      <c r="E218">
        <f>IF(ISNA(F218),NA(),E152)</f>
        <v>0</v>
      </c>
      <c r="F218">
        <f>IF(OR(F152="",AND(F152=F151,F152=F153)),NA(), F152)</f>
        <v>0</v>
      </c>
      <c r="G218">
        <f>IF(ISNA(H218),NA(),G152)</f>
        <v>0</v>
      </c>
      <c r="H218">
        <f>IF(OR(H152="",AND(H152=H151,H152=H153)),NA(), H152)</f>
        <v>0</v>
      </c>
      <c r="I218">
        <f>IF(ISNA(J218),NA(),I152)</f>
        <v>0</v>
      </c>
      <c r="J218">
        <f>IF(OR(J152="",AND(J152=J151,J152=J153)),NA(), J152)</f>
        <v>0</v>
      </c>
      <c r="K218">
        <f>IF(ISNA(L218),NA(),K152)</f>
        <v>0</v>
      </c>
      <c r="L218">
        <f>IF(OR(L152="",AND(L152=L151,L152=L153)),NA(), L152)</f>
        <v>0</v>
      </c>
      <c r="M218">
        <f>IF(ISNA(N218),NA(),M152)</f>
        <v>0</v>
      </c>
      <c r="N218">
        <f>IF(OR(N152="",AND(N152=N151,N152=N153)),NA(), N152)</f>
        <v>0</v>
      </c>
      <c r="O218">
        <f>IF(ISNA(P218),NA(),O152)</f>
        <v>0</v>
      </c>
      <c r="P218">
        <f>IF(OR(P152="",AND(P152=P151,P152=P153)),NA(), P152)</f>
        <v>0</v>
      </c>
      <c r="Q218">
        <f>IF(ISNA(R218),NA(),Q152)</f>
        <v>0</v>
      </c>
      <c r="R218">
        <f>IF(OR(R152="",AND(R152=R151,R152=R153)),NA(), R152)</f>
        <v>0</v>
      </c>
      <c r="S218">
        <f>IF(ISNA(T218),NA(),S152)</f>
        <v>0</v>
      </c>
      <c r="T218">
        <f>IF(OR(T152="",AND(T152=T151,T152=T153)),NA(), T152)</f>
        <v>0</v>
      </c>
      <c r="U218">
        <f>IF(ISNA(V218),NA(),U152)</f>
        <v>0</v>
      </c>
      <c r="V218">
        <f>IF(OR(V152="",AND(V152=V151,V152=V153)),NA(), V152)</f>
        <v>0</v>
      </c>
      <c r="W218">
        <f>IF(ISNA(X218),NA(),W152)</f>
        <v>0</v>
      </c>
      <c r="X218">
        <f>IF(OR(X152="",AND(X152=X151,X152=X153)),NA(), X152)</f>
        <v>0</v>
      </c>
      <c r="Y218">
        <f>IF(ISNA(Z218),NA(),Y152)</f>
        <v>0</v>
      </c>
      <c r="Z218">
        <f>IF(OR(Z152="",AND(Z152=Z151,Z152=Z153)),NA(), Z152)</f>
        <v>0</v>
      </c>
      <c r="AA218">
        <f>IF(ISNA(AB218),NA(),AA152)</f>
        <v>0</v>
      </c>
      <c r="AB218">
        <f>IF(OR(AB152="",AND(AB152=AB151,AB152=AB153)),NA(), AB152)</f>
        <v>0</v>
      </c>
      <c r="AC218">
        <f>IF(ISNA(AD218),NA(),AC152)</f>
        <v>0</v>
      </c>
      <c r="AD218">
        <f>IF(OR(AD152="",AND(AD152=AD151,AD152=AD153)),NA(), AD152)</f>
        <v>0</v>
      </c>
      <c r="AE218">
        <f>IF(ISNA(AF218),NA(),AE152)</f>
        <v>0</v>
      </c>
      <c r="AF218">
        <f>IF(OR(AF152="",AND(AF152=AF151,AF152=AF153)),NA(), AF152)</f>
        <v>0</v>
      </c>
      <c r="AG218">
        <f>IF(ISNA(AH218),NA(),AG152)</f>
        <v>0</v>
      </c>
      <c r="AH218">
        <f>IF(OR(AH152="",AND(AH152=AH151,AH152=AH153)),NA(), AH152)</f>
        <v>0</v>
      </c>
      <c r="AI218">
        <f>IF(ISNA(AJ218),NA(),AI152)</f>
        <v>0</v>
      </c>
      <c r="AJ218">
        <f>IF(OR(AJ152="",AND(AJ152=AJ151,AJ152=AJ153)),NA(), AJ152)</f>
        <v>0</v>
      </c>
      <c r="AK218">
        <f>IF(ISNA(AL218),NA(),AK152)</f>
        <v>0</v>
      </c>
      <c r="AL218">
        <f>IF(OR(AL152="",AND(AL152=AL151,AL152=AL153)),NA(), AL152)</f>
        <v>0</v>
      </c>
      <c r="AM218">
        <f>IF(ISNA(AN218),NA(),AM152)</f>
        <v>0</v>
      </c>
      <c r="AN218">
        <f>IF(OR(AN152="",AND(AN152=AN151,AN152=AN153)),NA(), AN152)</f>
        <v>0</v>
      </c>
      <c r="AO218">
        <f>IF(ISNA(AP218),NA(),AO152)</f>
        <v>0</v>
      </c>
      <c r="AP218">
        <f>IF(OR(AP152="",AND(AP152=AP151,AP152=AP153)),NA(), AP152)</f>
        <v>0</v>
      </c>
      <c r="AQ218">
        <f>IF(ISNA(AR218),NA(),AQ152)</f>
        <v>0</v>
      </c>
      <c r="AR218">
        <f>IF(OR(AR152="",AND(AR152=AR151,AR152=AR153)),NA(), AR152)</f>
        <v>0</v>
      </c>
      <c r="AS218">
        <f>IF(ISNA(AT218),NA(),AS152)</f>
        <v>0</v>
      </c>
      <c r="AT218">
        <f>IF(OR(AT152="",AND(AT152=AT151,AT152=AT153)),NA(), AT152)</f>
        <v>0</v>
      </c>
      <c r="AU218">
        <f>IF(ISNA(AV218),NA(),AU152)</f>
        <v>0</v>
      </c>
      <c r="AV218">
        <f>IF(OR(AV152="",AND(AV152=AV151,AV152=AV153)),NA(), AV152)</f>
        <v>0</v>
      </c>
      <c r="AW218">
        <f>IF(ISNA(AX218),NA(),AW152)</f>
        <v>0</v>
      </c>
      <c r="AX218">
        <f>IF(OR(AX152="",AND(AX152=AX151,AX152=AX153)),NA(), AX152)</f>
        <v>0</v>
      </c>
      <c r="AY218">
        <f>IF(ISNA(AZ218),NA(),AY152)</f>
        <v>0</v>
      </c>
      <c r="AZ218">
        <f>IF(OR(AZ152="",AND(AZ152=AZ151,AZ152=AZ153)),NA(), AZ152)</f>
        <v>0</v>
      </c>
      <c r="BA218">
        <f>IF(ISNA(BB218),NA(),BA152)</f>
        <v>0</v>
      </c>
      <c r="BB218">
        <f>IF(OR(BB152="",AND(BB152=BB151,BB152=BB153)),NA(), BB152)</f>
        <v>0</v>
      </c>
      <c r="BC218">
        <f>IF(ISNA(BD218),NA(),BC152)</f>
        <v>0</v>
      </c>
      <c r="BD218">
        <f>IF(OR(BD152="",AND(BD152=BD151,BD152=BD153)),NA(), BD152)</f>
        <v>0</v>
      </c>
      <c r="BE218">
        <f>IF(ISNA(BF218),NA(),BE152)</f>
        <v>0</v>
      </c>
      <c r="BF218">
        <f>IF(OR(BF152="",AND(BF152=BF151,BF152=BF153)),NA(), BF152)</f>
        <v>0</v>
      </c>
      <c r="BG218">
        <f>IF(ISNA(BH218),NA(),BG152)</f>
        <v>0</v>
      </c>
      <c r="BH218">
        <f>IF(OR(BH152="",AND(BH152=BH151,BH152=BH153)),NA(), BH152)</f>
        <v>0</v>
      </c>
      <c r="BI218">
        <f>IF(ISNA(BJ218),NA(),BI152)</f>
        <v>0</v>
      </c>
      <c r="BJ218">
        <f>IF(OR(BJ152="",AND(BJ152=BJ151,BJ152=BJ153)),NA(), BJ152)</f>
        <v>0</v>
      </c>
      <c r="BK218">
        <f>IF(ISNA(BL218),NA(),BK152)</f>
        <v>0</v>
      </c>
      <c r="BL218">
        <f>IF(OR(BL152="",AND(BL152=BL151,BL152=BL153)),NA(), BL152)</f>
        <v>0</v>
      </c>
      <c r="BM218">
        <f>IF(ISNA(BN218),NA(),BM152)</f>
        <v>0</v>
      </c>
      <c r="BN218">
        <f>IF(OR(BN152="",AND(BN152=BN151,BN152=BN153)),NA(), BN152)</f>
        <v>0</v>
      </c>
      <c r="BO218">
        <f>IF(ISNA(BP218),NA(),BO152)</f>
        <v>0</v>
      </c>
      <c r="BP218">
        <f>IF(OR(BP152="",AND(BP152=BP151,BP152=BP153)),NA(), BP152)</f>
        <v>0</v>
      </c>
      <c r="BS218">
        <f>IF(ISNA(BT218),NA(),BS152)</f>
        <v>0</v>
      </c>
      <c r="BT218">
        <f>IF(OR(BT152="",AND(BT152=BT151,BT152=BT153)),NA(), BT152)</f>
        <v>0</v>
      </c>
      <c r="BU218">
        <f>IF(ISNA(BV218),NA(),BU152)</f>
        <v>0</v>
      </c>
      <c r="BV218">
        <f>IF(OR(BV152="",AND(BV152=BV151,BV152=BV153)),NA(), BV152)</f>
        <v>0</v>
      </c>
      <c r="BW218">
        <f>IF(ISNA(BX218),NA(),BW152)</f>
        <v>0</v>
      </c>
      <c r="BX218">
        <f>IF(OR(BX152="",AND(BX152=BX151,BX152=BX153)),NA(), BX152)</f>
        <v>0</v>
      </c>
      <c r="BY218">
        <f>IF(ISNA(BZ218),NA(),BY152)</f>
        <v>0</v>
      </c>
      <c r="BZ218">
        <f>IF(OR(BZ152="",AND(BZ152=BZ151,BZ152=BZ153)),NA(), BZ152)</f>
        <v>0</v>
      </c>
      <c r="CA218">
        <f>IF(ISNA(CB218),NA(),CA152)</f>
        <v>0</v>
      </c>
      <c r="CB218">
        <f>IF(OR(CB152="",AND(CB152=CB151,CB152=CB153)),NA(), CB152)</f>
        <v>0</v>
      </c>
      <c r="CC218">
        <f>IF(ISNA(CD218),NA(),CC152)</f>
        <v>0</v>
      </c>
      <c r="CD218">
        <f>IF(OR(CD152="",AND(CD152=CD151,CD152=CD153)),NA(), CD152)</f>
        <v>0</v>
      </c>
      <c r="CE218">
        <f>IF(ISNA(CF218),NA(),CE152)</f>
        <v>0</v>
      </c>
      <c r="CF218">
        <f>IF(OR(CF152="",AND(CF152=CF151,CF152=CF153)),NA(), CF152)</f>
        <v>0</v>
      </c>
      <c r="CG218">
        <f>IF(ISNA(CH218),NA(),CG152)</f>
        <v>0</v>
      </c>
      <c r="CH218">
        <f>IF(OR(CH152="",AND(CH152=CH151,CH152=CH153)),NA(), CH152)</f>
        <v>0</v>
      </c>
      <c r="CI218">
        <f>IF(ISNA(CJ218),NA(),CI152)</f>
        <v>0</v>
      </c>
      <c r="CJ218">
        <f>IF(OR(CJ152="",AND(CJ152=CJ151,CJ152=CJ153)),NA(), CJ152)</f>
        <v>0</v>
      </c>
      <c r="CK218">
        <f>IF(ISNA(CL218),NA(),CK152)</f>
        <v>0</v>
      </c>
      <c r="CL218">
        <f>IF(OR(CL152="",AND(CL152=CL151,CL152=CL153)),NA(), CL152)</f>
        <v>0</v>
      </c>
      <c r="CM218">
        <f>IF(ISNA(CN218),NA(),CM152)</f>
        <v>0</v>
      </c>
      <c r="CN218">
        <f>IF(OR(CN152="",AND(CN152=CN151,CN152=CN153)),NA(), CN152)</f>
        <v>0</v>
      </c>
      <c r="CO218">
        <f>IF(ISNA(CP218),NA(),CO152)</f>
        <v>0</v>
      </c>
      <c r="CP218">
        <f>IF(OR(CP152="",AND(CP152=CP151,CP152=CP153)),NA(), CP152)</f>
        <v>0</v>
      </c>
      <c r="CQ218">
        <f>IF(ISNA(CR218),NA(),CQ152)</f>
        <v>0</v>
      </c>
      <c r="CR218">
        <f>IF(OR(CR152="",AND(CR152=CR151,CR152=CR153)),NA(), CR152)</f>
        <v>0</v>
      </c>
      <c r="CS218">
        <f>IF(ISNA(CT218),NA(),CS152)</f>
        <v>0</v>
      </c>
      <c r="CT218">
        <f>IF(OR(CT152="",AND(CT152=CT151,CT152=CT153)),NA(), CT152)</f>
        <v>0</v>
      </c>
      <c r="CU218">
        <f>IF(ISNA(CV218),NA(),CU152)</f>
        <v>0</v>
      </c>
      <c r="CV218">
        <f>IF(OR(CV152="",AND(CV152=CV151,CV152=CV153)),NA(), CV152)</f>
        <v>0</v>
      </c>
      <c r="CW218">
        <f>IF(ISNA(CX218),NA(),CW152)</f>
        <v>0</v>
      </c>
      <c r="CX218">
        <f>IF(OR(CX152="",AND(CX152=CX151,CX152=CX153)),NA(), CX152)</f>
        <v>0</v>
      </c>
      <c r="CY218">
        <f>IF(ISNA(CZ218),NA(),CY152)</f>
        <v>0</v>
      </c>
      <c r="CZ218">
        <f>IF(OR(CZ152="",AND(CZ152=CZ151,CZ152=CZ153)),NA(), CZ152)</f>
        <v>0</v>
      </c>
      <c r="DA218">
        <f>IF(ISNA(DB218),NA(),DA152)</f>
        <v>0</v>
      </c>
      <c r="DB218">
        <f>IF(OR(DB152="",AND(DB152=DB151,DB152=DB153)),NA(), DB152)</f>
        <v>0</v>
      </c>
      <c r="DC218">
        <f>IF(ISNA(DD218),NA(),DC152)</f>
        <v>0</v>
      </c>
      <c r="DD218">
        <f>IF(OR(DD152="",AND(DD152=DD151,DD152=DD153)),NA(), DD152)</f>
        <v>0</v>
      </c>
      <c r="DE218">
        <f>IF(ISNA(DF218),NA(),DE152)</f>
        <v>0</v>
      </c>
      <c r="DF218">
        <f>IF(OR(DF152="",AND(DF152=DF151,DF152=DF153)),NA(), DF152)</f>
        <v>0</v>
      </c>
      <c r="DG218">
        <f>IF(ISNA(DH218),NA(),DG152)</f>
        <v>0</v>
      </c>
      <c r="DH218">
        <f>IF(OR(DH152="",AND(DH152=DH151,DH152=DH153)),NA(), DH152)</f>
        <v>0</v>
      </c>
      <c r="DI218">
        <f>IF(ISNA(DJ218),NA(),DI152)</f>
        <v>0</v>
      </c>
      <c r="DJ218">
        <f>IF(OR(DJ152="",AND(DJ152=DJ151,DJ152=DJ153)),NA(), DJ152)</f>
        <v>0</v>
      </c>
      <c r="DK218">
        <f>IF(ISNA(DL218),NA(),DK152)</f>
        <v>0</v>
      </c>
      <c r="DL218">
        <f>IF(OR(DL152="",AND(DL152=DL151,DL152=DL153)),NA(), DL152)</f>
        <v>0</v>
      </c>
      <c r="DM218">
        <f>IF(ISNA(DN218),NA(),DM152)</f>
        <v>0</v>
      </c>
      <c r="DN218">
        <f>IF(OR(DN152="",AND(DN152=DN151,DN152=DN153)),NA(), DN152)</f>
        <v>0</v>
      </c>
      <c r="DO218">
        <f>IF(ISNA(DP218),NA(),DO152)</f>
        <v>0</v>
      </c>
      <c r="DP218">
        <f>IF(OR(DP152="",AND(DP152=DP151,DP152=DP153)),NA(), DP152)</f>
        <v>0</v>
      </c>
      <c r="DQ218">
        <f>IF(ISNA(DR218),NA(),DQ152)</f>
        <v>0</v>
      </c>
      <c r="DR218">
        <f>IF(OR(DR152="",AND(DR152=DR151,DR152=DR153)),NA(), DR152)</f>
        <v>0</v>
      </c>
      <c r="DS218">
        <f>IF(ISNA(DT218),NA(),DS152)</f>
        <v>0</v>
      </c>
      <c r="DT218">
        <f>IF(OR(DT152="",AND(DT152=DT151,DT152=DT153)),NA(), DT152)</f>
        <v>0</v>
      </c>
      <c r="DU218">
        <f>IF(ISNA(DV218),NA(),DU152)</f>
        <v>0</v>
      </c>
      <c r="DV218">
        <f>IF(OR(DV152="",AND(DV152=DV151,DV152=DV153)),NA(), DV152)</f>
        <v>0</v>
      </c>
      <c r="DW218">
        <f>IF(ISNA(DX218),NA(),DW152)</f>
        <v>0</v>
      </c>
      <c r="DX218">
        <f>IF(OR(DX152="",AND(DX152=DX151,DX152=DX153)),NA(), DX152)</f>
        <v>0</v>
      </c>
      <c r="DY218">
        <f>IF(ISNA(DZ218),NA(),DY152)</f>
        <v>0</v>
      </c>
      <c r="DZ218">
        <f>IF(OR(DZ152="",AND(DZ152=DZ151,DZ152=DZ153)),NA(), DZ152)</f>
        <v>0</v>
      </c>
      <c r="EA218">
        <f>IF(ISNA(EB218),NA(),EA152)</f>
        <v>0</v>
      </c>
      <c r="EB218">
        <f>IF(OR(EB152="",AND(EB152=EB151,EB152=EB153)),NA(), EB152)</f>
        <v>0</v>
      </c>
      <c r="EC218">
        <f>IF(ISNA(ED218),NA(),EC152)</f>
        <v>0</v>
      </c>
      <c r="ED218">
        <f>IF(OR(ED152="",AND(ED152=ED151,ED152=ED153)),NA(), ED152)</f>
        <v>0</v>
      </c>
    </row>
    <row r="219" spans="5:134">
      <c r="E219">
        <f>IF(ISNA(F219),NA(),E153)</f>
        <v>0</v>
      </c>
      <c r="F219">
        <f>IF(OR(F153="",AND(F153=F152,F153=F154)),NA(), F153)</f>
        <v>0</v>
      </c>
      <c r="G219">
        <f>IF(ISNA(H219),NA(),G153)</f>
        <v>0</v>
      </c>
      <c r="H219">
        <f>IF(OR(H153="",AND(H153=H152,H153=H154)),NA(), H153)</f>
        <v>0</v>
      </c>
      <c r="I219">
        <f>IF(ISNA(J219),NA(),I153)</f>
        <v>0</v>
      </c>
      <c r="J219">
        <f>IF(OR(J153="",AND(J153=J152,J153=J154)),NA(), J153)</f>
        <v>0</v>
      </c>
      <c r="K219">
        <f>IF(ISNA(L219),NA(),K153)</f>
        <v>0</v>
      </c>
      <c r="L219">
        <f>IF(OR(L153="",AND(L153=L152,L153=L154)),NA(), L153)</f>
        <v>0</v>
      </c>
      <c r="M219">
        <f>IF(ISNA(N219),NA(),M153)</f>
        <v>0</v>
      </c>
      <c r="N219">
        <f>IF(OR(N153="",AND(N153=N152,N153=N154)),NA(), N153)</f>
        <v>0</v>
      </c>
      <c r="O219">
        <f>IF(ISNA(P219),NA(),O153)</f>
        <v>0</v>
      </c>
      <c r="P219">
        <f>IF(OR(P153="",AND(P153=P152,P153=P154)),NA(), P153)</f>
        <v>0</v>
      </c>
      <c r="Q219">
        <f>IF(ISNA(R219),NA(),Q153)</f>
        <v>0</v>
      </c>
      <c r="R219">
        <f>IF(OR(R153="",AND(R153=R152,R153=R154)),NA(), R153)</f>
        <v>0</v>
      </c>
      <c r="S219">
        <f>IF(ISNA(T219),NA(),S153)</f>
        <v>0</v>
      </c>
      <c r="T219">
        <f>IF(OR(T153="",AND(T153=T152,T153=T154)),NA(), T153)</f>
        <v>0</v>
      </c>
      <c r="U219">
        <f>IF(ISNA(V219),NA(),U153)</f>
        <v>0</v>
      </c>
      <c r="V219">
        <f>IF(OR(V153="",AND(V153=V152,V153=V154)),NA(), V153)</f>
        <v>0</v>
      </c>
      <c r="W219">
        <f>IF(ISNA(X219),NA(),W153)</f>
        <v>0</v>
      </c>
      <c r="X219">
        <f>IF(OR(X153="",AND(X153=X152,X153=X154)),NA(), X153)</f>
        <v>0</v>
      </c>
      <c r="Y219">
        <f>IF(ISNA(Z219),NA(),Y153)</f>
        <v>0</v>
      </c>
      <c r="Z219">
        <f>IF(OR(Z153="",AND(Z153=Z152,Z153=Z154)),NA(), Z153)</f>
        <v>0</v>
      </c>
      <c r="AA219">
        <f>IF(ISNA(AB219),NA(),AA153)</f>
        <v>0</v>
      </c>
      <c r="AB219">
        <f>IF(OR(AB153="",AND(AB153=AB152,AB153=AB154)),NA(), AB153)</f>
        <v>0</v>
      </c>
      <c r="AC219">
        <f>IF(ISNA(AD219),NA(),AC153)</f>
        <v>0</v>
      </c>
      <c r="AD219">
        <f>IF(OR(AD153="",AND(AD153=AD152,AD153=AD154)),NA(), AD153)</f>
        <v>0</v>
      </c>
      <c r="AE219">
        <f>IF(ISNA(AF219),NA(),AE153)</f>
        <v>0</v>
      </c>
      <c r="AF219">
        <f>IF(OR(AF153="",AND(AF153=AF152,AF153=AF154)),NA(), AF153)</f>
        <v>0</v>
      </c>
      <c r="AG219">
        <f>IF(ISNA(AH219),NA(),AG153)</f>
        <v>0</v>
      </c>
      <c r="AH219">
        <f>IF(OR(AH153="",AND(AH153=AH152,AH153=AH154)),NA(), AH153)</f>
        <v>0</v>
      </c>
      <c r="AI219">
        <f>IF(ISNA(AJ219),NA(),AI153)</f>
        <v>0</v>
      </c>
      <c r="AJ219">
        <f>IF(OR(AJ153="",AND(AJ153=AJ152,AJ153=AJ154)),NA(), AJ153)</f>
        <v>0</v>
      </c>
      <c r="AK219">
        <f>IF(ISNA(AL219),NA(),AK153)</f>
        <v>0</v>
      </c>
      <c r="AL219">
        <f>IF(OR(AL153="",AND(AL153=AL152,AL153=AL154)),NA(), AL153)</f>
        <v>0</v>
      </c>
      <c r="AM219">
        <f>IF(ISNA(AN219),NA(),AM153)</f>
        <v>0</v>
      </c>
      <c r="AN219">
        <f>IF(OR(AN153="",AND(AN153=AN152,AN153=AN154)),NA(), AN153)</f>
        <v>0</v>
      </c>
      <c r="AO219">
        <f>IF(ISNA(AP219),NA(),AO153)</f>
        <v>0</v>
      </c>
      <c r="AP219">
        <f>IF(OR(AP153="",AND(AP153=AP152,AP153=AP154)),NA(), AP153)</f>
        <v>0</v>
      </c>
      <c r="AQ219">
        <f>IF(ISNA(AR219),NA(),AQ153)</f>
        <v>0</v>
      </c>
      <c r="AR219">
        <f>IF(OR(AR153="",AND(AR153=AR152,AR153=AR154)),NA(), AR153)</f>
        <v>0</v>
      </c>
      <c r="AS219">
        <f>IF(ISNA(AT219),NA(),AS153)</f>
        <v>0</v>
      </c>
      <c r="AT219">
        <f>IF(OR(AT153="",AND(AT153=AT152,AT153=AT154)),NA(), AT153)</f>
        <v>0</v>
      </c>
      <c r="AU219">
        <f>IF(ISNA(AV219),NA(),AU153)</f>
        <v>0</v>
      </c>
      <c r="AV219">
        <f>IF(OR(AV153="",AND(AV153=AV152,AV153=AV154)),NA(), AV153)</f>
        <v>0</v>
      </c>
      <c r="AW219">
        <f>IF(ISNA(AX219),NA(),AW153)</f>
        <v>0</v>
      </c>
      <c r="AX219">
        <f>IF(OR(AX153="",AND(AX153=AX152,AX153=AX154)),NA(), AX153)</f>
        <v>0</v>
      </c>
      <c r="AY219">
        <f>IF(ISNA(AZ219),NA(),AY153)</f>
        <v>0</v>
      </c>
      <c r="AZ219">
        <f>IF(OR(AZ153="",AND(AZ153=AZ152,AZ153=AZ154)),NA(), AZ153)</f>
        <v>0</v>
      </c>
      <c r="BA219">
        <f>IF(ISNA(BB219),NA(),BA153)</f>
        <v>0</v>
      </c>
      <c r="BB219">
        <f>IF(OR(BB153="",AND(BB153=BB152,BB153=BB154)),NA(), BB153)</f>
        <v>0</v>
      </c>
      <c r="BC219">
        <f>IF(ISNA(BD219),NA(),BC153)</f>
        <v>0</v>
      </c>
      <c r="BD219">
        <f>IF(OR(BD153="",AND(BD153=BD152,BD153=BD154)),NA(), BD153)</f>
        <v>0</v>
      </c>
      <c r="BE219">
        <f>IF(ISNA(BF219),NA(),BE153)</f>
        <v>0</v>
      </c>
      <c r="BF219">
        <f>IF(OR(BF153="",AND(BF153=BF152,BF153=BF154)),NA(), BF153)</f>
        <v>0</v>
      </c>
      <c r="BG219">
        <f>IF(ISNA(BH219),NA(),BG153)</f>
        <v>0</v>
      </c>
      <c r="BH219">
        <f>IF(OR(BH153="",AND(BH153=BH152,BH153=BH154)),NA(), BH153)</f>
        <v>0</v>
      </c>
      <c r="BI219">
        <f>IF(ISNA(BJ219),NA(),BI153)</f>
        <v>0</v>
      </c>
      <c r="BJ219">
        <f>IF(OR(BJ153="",AND(BJ153=BJ152,BJ153=BJ154)),NA(), BJ153)</f>
        <v>0</v>
      </c>
      <c r="BK219">
        <f>IF(ISNA(BL219),NA(),BK153)</f>
        <v>0</v>
      </c>
      <c r="BL219">
        <f>IF(OR(BL153="",AND(BL153=BL152,BL153=BL154)),NA(), BL153)</f>
        <v>0</v>
      </c>
      <c r="BM219">
        <f>IF(ISNA(BN219),NA(),BM153)</f>
        <v>0</v>
      </c>
      <c r="BN219">
        <f>IF(OR(BN153="",AND(BN153=BN152,BN153=BN154)),NA(), BN153)</f>
        <v>0</v>
      </c>
      <c r="BO219">
        <f>IF(ISNA(BP219),NA(),BO153)</f>
        <v>0</v>
      </c>
      <c r="BP219">
        <f>IF(OR(BP153="",AND(BP153=BP152,BP153=BP154)),NA(), BP153)</f>
        <v>0</v>
      </c>
      <c r="BS219">
        <f>IF(ISNA(BT219),NA(),BS153)</f>
        <v>0</v>
      </c>
      <c r="BT219">
        <f>IF(OR(BT153="",AND(BT153=BT152,BT153=BT154)),NA(), BT153)</f>
        <v>0</v>
      </c>
      <c r="BU219">
        <f>IF(ISNA(BV219),NA(),BU153)</f>
        <v>0</v>
      </c>
      <c r="BV219">
        <f>IF(OR(BV153="",AND(BV153=BV152,BV153=BV154)),NA(), BV153)</f>
        <v>0</v>
      </c>
      <c r="BW219">
        <f>IF(ISNA(BX219),NA(),BW153)</f>
        <v>0</v>
      </c>
      <c r="BX219">
        <f>IF(OR(BX153="",AND(BX153=BX152,BX153=BX154)),NA(), BX153)</f>
        <v>0</v>
      </c>
      <c r="BY219">
        <f>IF(ISNA(BZ219),NA(),BY153)</f>
        <v>0</v>
      </c>
      <c r="BZ219">
        <f>IF(OR(BZ153="",AND(BZ153=BZ152,BZ153=BZ154)),NA(), BZ153)</f>
        <v>0</v>
      </c>
      <c r="CA219">
        <f>IF(ISNA(CB219),NA(),CA153)</f>
        <v>0</v>
      </c>
      <c r="CB219">
        <f>IF(OR(CB153="",AND(CB153=CB152,CB153=CB154)),NA(), CB153)</f>
        <v>0</v>
      </c>
      <c r="CC219">
        <f>IF(ISNA(CD219),NA(),CC153)</f>
        <v>0</v>
      </c>
      <c r="CD219">
        <f>IF(OR(CD153="",AND(CD153=CD152,CD153=CD154)),NA(), CD153)</f>
        <v>0</v>
      </c>
      <c r="CE219">
        <f>IF(ISNA(CF219),NA(),CE153)</f>
        <v>0</v>
      </c>
      <c r="CF219">
        <f>IF(OR(CF153="",AND(CF153=CF152,CF153=CF154)),NA(), CF153)</f>
        <v>0</v>
      </c>
      <c r="CG219">
        <f>IF(ISNA(CH219),NA(),CG153)</f>
        <v>0</v>
      </c>
      <c r="CH219">
        <f>IF(OR(CH153="",AND(CH153=CH152,CH153=CH154)),NA(), CH153)</f>
        <v>0</v>
      </c>
      <c r="CI219">
        <f>IF(ISNA(CJ219),NA(),CI153)</f>
        <v>0</v>
      </c>
      <c r="CJ219">
        <f>IF(OR(CJ153="",AND(CJ153=CJ152,CJ153=CJ154)),NA(), CJ153)</f>
        <v>0</v>
      </c>
      <c r="CK219">
        <f>IF(ISNA(CL219),NA(),CK153)</f>
        <v>0</v>
      </c>
      <c r="CL219">
        <f>IF(OR(CL153="",AND(CL153=CL152,CL153=CL154)),NA(), CL153)</f>
        <v>0</v>
      </c>
      <c r="CM219">
        <f>IF(ISNA(CN219),NA(),CM153)</f>
        <v>0</v>
      </c>
      <c r="CN219">
        <f>IF(OR(CN153="",AND(CN153=CN152,CN153=CN154)),NA(), CN153)</f>
        <v>0</v>
      </c>
      <c r="CO219">
        <f>IF(ISNA(CP219),NA(),CO153)</f>
        <v>0</v>
      </c>
      <c r="CP219">
        <f>IF(OR(CP153="",AND(CP153=CP152,CP153=CP154)),NA(), CP153)</f>
        <v>0</v>
      </c>
      <c r="CQ219">
        <f>IF(ISNA(CR219),NA(),CQ153)</f>
        <v>0</v>
      </c>
      <c r="CR219">
        <f>IF(OR(CR153="",AND(CR153=CR152,CR153=CR154)),NA(), CR153)</f>
        <v>0</v>
      </c>
      <c r="CS219">
        <f>IF(ISNA(CT219),NA(),CS153)</f>
        <v>0</v>
      </c>
      <c r="CT219">
        <f>IF(OR(CT153="",AND(CT153=CT152,CT153=CT154)),NA(), CT153)</f>
        <v>0</v>
      </c>
      <c r="CU219">
        <f>IF(ISNA(CV219),NA(),CU153)</f>
        <v>0</v>
      </c>
      <c r="CV219">
        <f>IF(OR(CV153="",AND(CV153=CV152,CV153=CV154)),NA(), CV153)</f>
        <v>0</v>
      </c>
      <c r="CW219">
        <f>IF(ISNA(CX219),NA(),CW153)</f>
        <v>0</v>
      </c>
      <c r="CX219">
        <f>IF(OR(CX153="",AND(CX153=CX152,CX153=CX154)),NA(), CX153)</f>
        <v>0</v>
      </c>
      <c r="CY219">
        <f>IF(ISNA(CZ219),NA(),CY153)</f>
        <v>0</v>
      </c>
      <c r="CZ219">
        <f>IF(OR(CZ153="",AND(CZ153=CZ152,CZ153=CZ154)),NA(), CZ153)</f>
        <v>0</v>
      </c>
      <c r="DA219">
        <f>IF(ISNA(DB219),NA(),DA153)</f>
        <v>0</v>
      </c>
      <c r="DB219">
        <f>IF(OR(DB153="",AND(DB153=DB152,DB153=DB154)),NA(), DB153)</f>
        <v>0</v>
      </c>
      <c r="DC219">
        <f>IF(ISNA(DD219),NA(),DC153)</f>
        <v>0</v>
      </c>
      <c r="DD219">
        <f>IF(OR(DD153="",AND(DD153=DD152,DD153=DD154)),NA(), DD153)</f>
        <v>0</v>
      </c>
      <c r="DE219">
        <f>IF(ISNA(DF219),NA(),DE153)</f>
        <v>0</v>
      </c>
      <c r="DF219">
        <f>IF(OR(DF153="",AND(DF153=DF152,DF153=DF154)),NA(), DF153)</f>
        <v>0</v>
      </c>
      <c r="DG219">
        <f>IF(ISNA(DH219),NA(),DG153)</f>
        <v>0</v>
      </c>
      <c r="DH219">
        <f>IF(OR(DH153="",AND(DH153=DH152,DH153=DH154)),NA(), DH153)</f>
        <v>0</v>
      </c>
      <c r="DI219">
        <f>IF(ISNA(DJ219),NA(),DI153)</f>
        <v>0</v>
      </c>
      <c r="DJ219">
        <f>IF(OR(DJ153="",AND(DJ153=DJ152,DJ153=DJ154)),NA(), DJ153)</f>
        <v>0</v>
      </c>
      <c r="DK219">
        <f>IF(ISNA(DL219),NA(),DK153)</f>
        <v>0</v>
      </c>
      <c r="DL219">
        <f>IF(OR(DL153="",AND(DL153=DL152,DL153=DL154)),NA(), DL153)</f>
        <v>0</v>
      </c>
      <c r="DM219">
        <f>IF(ISNA(DN219),NA(),DM153)</f>
        <v>0</v>
      </c>
      <c r="DN219">
        <f>IF(OR(DN153="",AND(DN153=DN152,DN153=DN154)),NA(), DN153)</f>
        <v>0</v>
      </c>
      <c r="DO219">
        <f>IF(ISNA(DP219),NA(),DO153)</f>
        <v>0</v>
      </c>
      <c r="DP219">
        <f>IF(OR(DP153="",AND(DP153=DP152,DP153=DP154)),NA(), DP153)</f>
        <v>0</v>
      </c>
      <c r="DQ219">
        <f>IF(ISNA(DR219),NA(),DQ153)</f>
        <v>0</v>
      </c>
      <c r="DR219">
        <f>IF(OR(DR153="",AND(DR153=DR152,DR153=DR154)),NA(), DR153)</f>
        <v>0</v>
      </c>
      <c r="DS219">
        <f>IF(ISNA(DT219),NA(),DS153)</f>
        <v>0</v>
      </c>
      <c r="DT219">
        <f>IF(OR(DT153="",AND(DT153=DT152,DT153=DT154)),NA(), DT153)</f>
        <v>0</v>
      </c>
      <c r="DU219">
        <f>IF(ISNA(DV219),NA(),DU153)</f>
        <v>0</v>
      </c>
      <c r="DV219">
        <f>IF(OR(DV153="",AND(DV153=DV152,DV153=DV154)),NA(), DV153)</f>
        <v>0</v>
      </c>
      <c r="DW219">
        <f>IF(ISNA(DX219),NA(),DW153)</f>
        <v>0</v>
      </c>
      <c r="DX219">
        <f>IF(OR(DX153="",AND(DX153=DX152,DX153=DX154)),NA(), DX153)</f>
        <v>0</v>
      </c>
      <c r="DY219">
        <f>IF(ISNA(DZ219),NA(),DY153)</f>
        <v>0</v>
      </c>
      <c r="DZ219">
        <f>IF(OR(DZ153="",AND(DZ153=DZ152,DZ153=DZ154)),NA(), DZ153)</f>
        <v>0</v>
      </c>
      <c r="EA219">
        <f>IF(ISNA(EB219),NA(),EA153)</f>
        <v>0</v>
      </c>
      <c r="EB219">
        <f>IF(OR(EB153="",AND(EB153=EB152,EB153=EB154)),NA(), EB153)</f>
        <v>0</v>
      </c>
      <c r="EC219">
        <f>IF(ISNA(ED219),NA(),EC153)</f>
        <v>0</v>
      </c>
      <c r="ED219">
        <f>IF(OR(ED153="",AND(ED153=ED152,ED153=ED154)),NA(), ED153)</f>
        <v>0</v>
      </c>
    </row>
    <row r="220" spans="5:134">
      <c r="E220">
        <f>IF(ISNA(F220),NA(),E154)</f>
        <v>0</v>
      </c>
      <c r="F220">
        <f>IF(OR(F154="",AND(F154=F153,F154=F155)),NA(), F154)</f>
        <v>0</v>
      </c>
      <c r="G220">
        <f>IF(ISNA(H220),NA(),G154)</f>
        <v>0</v>
      </c>
      <c r="H220">
        <f>IF(OR(H154="",AND(H154=H153,H154=H155)),NA(), H154)</f>
        <v>0</v>
      </c>
      <c r="I220">
        <f>IF(ISNA(J220),NA(),I154)</f>
        <v>0</v>
      </c>
      <c r="J220">
        <f>IF(OR(J154="",AND(J154=J153,J154=J155)),NA(), J154)</f>
        <v>0</v>
      </c>
      <c r="K220">
        <f>IF(ISNA(L220),NA(),K154)</f>
        <v>0</v>
      </c>
      <c r="L220">
        <f>IF(OR(L154="",AND(L154=L153,L154=L155)),NA(), L154)</f>
        <v>0</v>
      </c>
      <c r="M220">
        <f>IF(ISNA(N220),NA(),M154)</f>
        <v>0</v>
      </c>
      <c r="N220">
        <f>IF(OR(N154="",AND(N154=N153,N154=N155)),NA(), N154)</f>
        <v>0</v>
      </c>
      <c r="O220">
        <f>IF(ISNA(P220),NA(),O154)</f>
        <v>0</v>
      </c>
      <c r="P220">
        <f>IF(OR(P154="",AND(P154=P153,P154=P155)),NA(), P154)</f>
        <v>0</v>
      </c>
      <c r="Q220">
        <f>IF(ISNA(R220),NA(),Q154)</f>
        <v>0</v>
      </c>
      <c r="R220">
        <f>IF(OR(R154="",AND(R154=R153,R154=R155)),NA(), R154)</f>
        <v>0</v>
      </c>
      <c r="S220">
        <f>IF(ISNA(T220),NA(),S154)</f>
        <v>0</v>
      </c>
      <c r="T220">
        <f>IF(OR(T154="",AND(T154=T153,T154=T155)),NA(), T154)</f>
        <v>0</v>
      </c>
      <c r="U220">
        <f>IF(ISNA(V220),NA(),U154)</f>
        <v>0</v>
      </c>
      <c r="V220">
        <f>IF(OR(V154="",AND(V154=V153,V154=V155)),NA(), V154)</f>
        <v>0</v>
      </c>
      <c r="W220">
        <f>IF(ISNA(X220),NA(),W154)</f>
        <v>0</v>
      </c>
      <c r="X220">
        <f>IF(OR(X154="",AND(X154=X153,X154=X155)),NA(), X154)</f>
        <v>0</v>
      </c>
      <c r="Y220">
        <f>IF(ISNA(Z220),NA(),Y154)</f>
        <v>0</v>
      </c>
      <c r="Z220">
        <f>IF(OR(Z154="",AND(Z154=Z153,Z154=Z155)),NA(), Z154)</f>
        <v>0</v>
      </c>
      <c r="AA220">
        <f>IF(ISNA(AB220),NA(),AA154)</f>
        <v>0</v>
      </c>
      <c r="AB220">
        <f>IF(OR(AB154="",AND(AB154=AB153,AB154=AB155)),NA(), AB154)</f>
        <v>0</v>
      </c>
      <c r="AC220">
        <f>IF(ISNA(AD220),NA(),AC154)</f>
        <v>0</v>
      </c>
      <c r="AD220">
        <f>IF(OR(AD154="",AND(AD154=AD153,AD154=AD155)),NA(), AD154)</f>
        <v>0</v>
      </c>
      <c r="AE220">
        <f>IF(ISNA(AF220),NA(),AE154)</f>
        <v>0</v>
      </c>
      <c r="AF220">
        <f>IF(OR(AF154="",AND(AF154=AF153,AF154=AF155)),NA(), AF154)</f>
        <v>0</v>
      </c>
      <c r="AG220">
        <f>IF(ISNA(AH220),NA(),AG154)</f>
        <v>0</v>
      </c>
      <c r="AH220">
        <f>IF(OR(AH154="",AND(AH154=AH153,AH154=AH155)),NA(), AH154)</f>
        <v>0</v>
      </c>
      <c r="AI220">
        <f>IF(ISNA(AJ220),NA(),AI154)</f>
        <v>0</v>
      </c>
      <c r="AJ220">
        <f>IF(OR(AJ154="",AND(AJ154=AJ153,AJ154=AJ155)),NA(), AJ154)</f>
        <v>0</v>
      </c>
      <c r="AK220">
        <f>IF(ISNA(AL220),NA(),AK154)</f>
        <v>0</v>
      </c>
      <c r="AL220">
        <f>IF(OR(AL154="",AND(AL154=AL153,AL154=AL155)),NA(), AL154)</f>
        <v>0</v>
      </c>
      <c r="AM220">
        <f>IF(ISNA(AN220),NA(),AM154)</f>
        <v>0</v>
      </c>
      <c r="AN220">
        <f>IF(OR(AN154="",AND(AN154=AN153,AN154=AN155)),NA(), AN154)</f>
        <v>0</v>
      </c>
      <c r="AO220">
        <f>IF(ISNA(AP220),NA(),AO154)</f>
        <v>0</v>
      </c>
      <c r="AP220">
        <f>IF(OR(AP154="",AND(AP154=AP153,AP154=AP155)),NA(), AP154)</f>
        <v>0</v>
      </c>
      <c r="AQ220">
        <f>IF(ISNA(AR220),NA(),AQ154)</f>
        <v>0</v>
      </c>
      <c r="AR220">
        <f>IF(OR(AR154="",AND(AR154=AR153,AR154=AR155)),NA(), AR154)</f>
        <v>0</v>
      </c>
      <c r="AS220">
        <f>IF(ISNA(AT220),NA(),AS154)</f>
        <v>0</v>
      </c>
      <c r="AT220">
        <f>IF(OR(AT154="",AND(AT154=AT153,AT154=AT155)),NA(), AT154)</f>
        <v>0</v>
      </c>
      <c r="AU220">
        <f>IF(ISNA(AV220),NA(),AU154)</f>
        <v>0</v>
      </c>
      <c r="AV220">
        <f>IF(OR(AV154="",AND(AV154=AV153,AV154=AV155)),NA(), AV154)</f>
        <v>0</v>
      </c>
      <c r="AW220">
        <f>IF(ISNA(AX220),NA(),AW154)</f>
        <v>0</v>
      </c>
      <c r="AX220">
        <f>IF(OR(AX154="",AND(AX154=AX153,AX154=AX155)),NA(), AX154)</f>
        <v>0</v>
      </c>
      <c r="AY220">
        <f>IF(ISNA(AZ220),NA(),AY154)</f>
        <v>0</v>
      </c>
      <c r="AZ220">
        <f>IF(OR(AZ154="",AND(AZ154=AZ153,AZ154=AZ155)),NA(), AZ154)</f>
        <v>0</v>
      </c>
      <c r="BA220">
        <f>IF(ISNA(BB220),NA(),BA154)</f>
        <v>0</v>
      </c>
      <c r="BB220">
        <f>IF(OR(BB154="",AND(BB154=BB153,BB154=BB155)),NA(), BB154)</f>
        <v>0</v>
      </c>
      <c r="BC220">
        <f>IF(ISNA(BD220),NA(),BC154)</f>
        <v>0</v>
      </c>
      <c r="BD220">
        <f>IF(OR(BD154="",AND(BD154=BD153,BD154=BD155)),NA(), BD154)</f>
        <v>0</v>
      </c>
      <c r="BE220">
        <f>IF(ISNA(BF220),NA(),BE154)</f>
        <v>0</v>
      </c>
      <c r="BF220">
        <f>IF(OR(BF154="",AND(BF154=BF153,BF154=BF155)),NA(), BF154)</f>
        <v>0</v>
      </c>
      <c r="BG220">
        <f>IF(ISNA(BH220),NA(),BG154)</f>
        <v>0</v>
      </c>
      <c r="BH220">
        <f>IF(OR(BH154="",AND(BH154=BH153,BH154=BH155)),NA(), BH154)</f>
        <v>0</v>
      </c>
      <c r="BI220">
        <f>IF(ISNA(BJ220),NA(),BI154)</f>
        <v>0</v>
      </c>
      <c r="BJ220">
        <f>IF(OR(BJ154="",AND(BJ154=BJ153,BJ154=BJ155)),NA(), BJ154)</f>
        <v>0</v>
      </c>
      <c r="BK220">
        <f>IF(ISNA(BL220),NA(),BK154)</f>
        <v>0</v>
      </c>
      <c r="BL220">
        <f>IF(OR(BL154="",AND(BL154=BL153,BL154=BL155)),NA(), BL154)</f>
        <v>0</v>
      </c>
      <c r="BM220">
        <f>IF(ISNA(BN220),NA(),BM154)</f>
        <v>0</v>
      </c>
      <c r="BN220">
        <f>IF(OR(BN154="",AND(BN154=BN153,BN154=BN155)),NA(), BN154)</f>
        <v>0</v>
      </c>
      <c r="BO220">
        <f>IF(ISNA(BP220),NA(),BO154)</f>
        <v>0</v>
      </c>
      <c r="BP220">
        <f>IF(OR(BP154="",AND(BP154=BP153,BP154=BP155)),NA(), BP154)</f>
        <v>0</v>
      </c>
      <c r="BS220">
        <f>IF(ISNA(BT220),NA(),BS154)</f>
        <v>0</v>
      </c>
      <c r="BT220">
        <f>IF(OR(BT154="",AND(BT154=BT153,BT154=BT155)),NA(), BT154)</f>
        <v>0</v>
      </c>
      <c r="BU220">
        <f>IF(ISNA(BV220),NA(),BU154)</f>
        <v>0</v>
      </c>
      <c r="BV220">
        <f>IF(OR(BV154="",AND(BV154=BV153,BV154=BV155)),NA(), BV154)</f>
        <v>0</v>
      </c>
      <c r="BW220">
        <f>IF(ISNA(BX220),NA(),BW154)</f>
        <v>0</v>
      </c>
      <c r="BX220">
        <f>IF(OR(BX154="",AND(BX154=BX153,BX154=BX155)),NA(), BX154)</f>
        <v>0</v>
      </c>
      <c r="BY220">
        <f>IF(ISNA(BZ220),NA(),BY154)</f>
        <v>0</v>
      </c>
      <c r="BZ220">
        <f>IF(OR(BZ154="",AND(BZ154=BZ153,BZ154=BZ155)),NA(), BZ154)</f>
        <v>0</v>
      </c>
      <c r="CA220">
        <f>IF(ISNA(CB220),NA(),CA154)</f>
        <v>0</v>
      </c>
      <c r="CB220">
        <f>IF(OR(CB154="",AND(CB154=CB153,CB154=CB155)),NA(), CB154)</f>
        <v>0</v>
      </c>
      <c r="CC220">
        <f>IF(ISNA(CD220),NA(),CC154)</f>
        <v>0</v>
      </c>
      <c r="CD220">
        <f>IF(OR(CD154="",AND(CD154=CD153,CD154=CD155)),NA(), CD154)</f>
        <v>0</v>
      </c>
      <c r="CE220">
        <f>IF(ISNA(CF220),NA(),CE154)</f>
        <v>0</v>
      </c>
      <c r="CF220">
        <f>IF(OR(CF154="",AND(CF154=CF153,CF154=CF155)),NA(), CF154)</f>
        <v>0</v>
      </c>
      <c r="CG220">
        <f>IF(ISNA(CH220),NA(),CG154)</f>
        <v>0</v>
      </c>
      <c r="CH220">
        <f>IF(OR(CH154="",AND(CH154=CH153,CH154=CH155)),NA(), CH154)</f>
        <v>0</v>
      </c>
      <c r="CI220">
        <f>IF(ISNA(CJ220),NA(),CI154)</f>
        <v>0</v>
      </c>
      <c r="CJ220">
        <f>IF(OR(CJ154="",AND(CJ154=CJ153,CJ154=CJ155)),NA(), CJ154)</f>
        <v>0</v>
      </c>
      <c r="CK220">
        <f>IF(ISNA(CL220),NA(),CK154)</f>
        <v>0</v>
      </c>
      <c r="CL220">
        <f>IF(OR(CL154="",AND(CL154=CL153,CL154=CL155)),NA(), CL154)</f>
        <v>0</v>
      </c>
      <c r="CM220">
        <f>IF(ISNA(CN220),NA(),CM154)</f>
        <v>0</v>
      </c>
      <c r="CN220">
        <f>IF(OR(CN154="",AND(CN154=CN153,CN154=CN155)),NA(), CN154)</f>
        <v>0</v>
      </c>
      <c r="CO220">
        <f>IF(ISNA(CP220),NA(),CO154)</f>
        <v>0</v>
      </c>
      <c r="CP220">
        <f>IF(OR(CP154="",AND(CP154=CP153,CP154=CP155)),NA(), CP154)</f>
        <v>0</v>
      </c>
      <c r="CQ220">
        <f>IF(ISNA(CR220),NA(),CQ154)</f>
        <v>0</v>
      </c>
      <c r="CR220">
        <f>IF(OR(CR154="",AND(CR154=CR153,CR154=CR155)),NA(), CR154)</f>
        <v>0</v>
      </c>
      <c r="CS220">
        <f>IF(ISNA(CT220),NA(),CS154)</f>
        <v>0</v>
      </c>
      <c r="CT220">
        <f>IF(OR(CT154="",AND(CT154=CT153,CT154=CT155)),NA(), CT154)</f>
        <v>0</v>
      </c>
      <c r="CU220">
        <f>IF(ISNA(CV220),NA(),CU154)</f>
        <v>0</v>
      </c>
      <c r="CV220">
        <f>IF(OR(CV154="",AND(CV154=CV153,CV154=CV155)),NA(), CV154)</f>
        <v>0</v>
      </c>
      <c r="CW220">
        <f>IF(ISNA(CX220),NA(),CW154)</f>
        <v>0</v>
      </c>
      <c r="CX220">
        <f>IF(OR(CX154="",AND(CX154=CX153,CX154=CX155)),NA(), CX154)</f>
        <v>0</v>
      </c>
      <c r="CY220">
        <f>IF(ISNA(CZ220),NA(),CY154)</f>
        <v>0</v>
      </c>
      <c r="CZ220">
        <f>IF(OR(CZ154="",AND(CZ154=CZ153,CZ154=CZ155)),NA(), CZ154)</f>
        <v>0</v>
      </c>
      <c r="DA220">
        <f>IF(ISNA(DB220),NA(),DA154)</f>
        <v>0</v>
      </c>
      <c r="DB220">
        <f>IF(OR(DB154="",AND(DB154=DB153,DB154=DB155)),NA(), DB154)</f>
        <v>0</v>
      </c>
      <c r="DC220">
        <f>IF(ISNA(DD220),NA(),DC154)</f>
        <v>0</v>
      </c>
      <c r="DD220">
        <f>IF(OR(DD154="",AND(DD154=DD153,DD154=DD155)),NA(), DD154)</f>
        <v>0</v>
      </c>
      <c r="DE220">
        <f>IF(ISNA(DF220),NA(),DE154)</f>
        <v>0</v>
      </c>
      <c r="DF220">
        <f>IF(OR(DF154="",AND(DF154=DF153,DF154=DF155)),NA(), DF154)</f>
        <v>0</v>
      </c>
      <c r="DG220">
        <f>IF(ISNA(DH220),NA(),DG154)</f>
        <v>0</v>
      </c>
      <c r="DH220">
        <f>IF(OR(DH154="",AND(DH154=DH153,DH154=DH155)),NA(), DH154)</f>
        <v>0</v>
      </c>
      <c r="DI220">
        <f>IF(ISNA(DJ220),NA(),DI154)</f>
        <v>0</v>
      </c>
      <c r="DJ220">
        <f>IF(OR(DJ154="",AND(DJ154=DJ153,DJ154=DJ155)),NA(), DJ154)</f>
        <v>0</v>
      </c>
      <c r="DK220">
        <f>IF(ISNA(DL220),NA(),DK154)</f>
        <v>0</v>
      </c>
      <c r="DL220">
        <f>IF(OR(DL154="",AND(DL154=DL153,DL154=DL155)),NA(), DL154)</f>
        <v>0</v>
      </c>
      <c r="DM220">
        <f>IF(ISNA(DN220),NA(),DM154)</f>
        <v>0</v>
      </c>
      <c r="DN220">
        <f>IF(OR(DN154="",AND(DN154=DN153,DN154=DN155)),NA(), DN154)</f>
        <v>0</v>
      </c>
      <c r="DO220">
        <f>IF(ISNA(DP220),NA(),DO154)</f>
        <v>0</v>
      </c>
      <c r="DP220">
        <f>IF(OR(DP154="",AND(DP154=DP153,DP154=DP155)),NA(), DP154)</f>
        <v>0</v>
      </c>
      <c r="DQ220">
        <f>IF(ISNA(DR220),NA(),DQ154)</f>
        <v>0</v>
      </c>
      <c r="DR220">
        <f>IF(OR(DR154="",AND(DR154=DR153,DR154=DR155)),NA(), DR154)</f>
        <v>0</v>
      </c>
      <c r="DS220">
        <f>IF(ISNA(DT220),NA(),DS154)</f>
        <v>0</v>
      </c>
      <c r="DT220">
        <f>IF(OR(DT154="",AND(DT154=DT153,DT154=DT155)),NA(), DT154)</f>
        <v>0</v>
      </c>
      <c r="DU220">
        <f>IF(ISNA(DV220),NA(),DU154)</f>
        <v>0</v>
      </c>
      <c r="DV220">
        <f>IF(OR(DV154="",AND(DV154=DV153,DV154=DV155)),NA(), DV154)</f>
        <v>0</v>
      </c>
      <c r="DW220">
        <f>IF(ISNA(DX220),NA(),DW154)</f>
        <v>0</v>
      </c>
      <c r="DX220">
        <f>IF(OR(DX154="",AND(DX154=DX153,DX154=DX155)),NA(), DX154)</f>
        <v>0</v>
      </c>
      <c r="DY220">
        <f>IF(ISNA(DZ220),NA(),DY154)</f>
        <v>0</v>
      </c>
      <c r="DZ220">
        <f>IF(OR(DZ154="",AND(DZ154=DZ153,DZ154=DZ155)),NA(), DZ154)</f>
        <v>0</v>
      </c>
      <c r="EA220">
        <f>IF(ISNA(EB220),NA(),EA154)</f>
        <v>0</v>
      </c>
      <c r="EB220">
        <f>IF(OR(EB154="",AND(EB154=EB153,EB154=EB155)),NA(), EB154)</f>
        <v>0</v>
      </c>
      <c r="EC220">
        <f>IF(ISNA(ED220),NA(),EC154)</f>
        <v>0</v>
      </c>
      <c r="ED220">
        <f>IF(OR(ED154="",AND(ED154=ED153,ED154=ED155)),NA(), ED154)</f>
        <v>0</v>
      </c>
    </row>
    <row r="221" spans="5:134">
      <c r="E221">
        <f>IF(ISNA(F221),NA(),E155)</f>
        <v>0</v>
      </c>
      <c r="F221">
        <f>IF(OR(F155="",AND(F155=F154,F155=F156)),NA(), F155)</f>
        <v>0</v>
      </c>
      <c r="G221">
        <f>IF(ISNA(H221),NA(),G155)</f>
        <v>0</v>
      </c>
      <c r="H221">
        <f>IF(OR(H155="",AND(H155=H154,H155=H156)),NA(), H155)</f>
        <v>0</v>
      </c>
      <c r="I221">
        <f>IF(ISNA(J221),NA(),I155)</f>
        <v>0</v>
      </c>
      <c r="J221">
        <f>IF(OR(J155="",AND(J155=J154,J155=J156)),NA(), J155)</f>
        <v>0</v>
      </c>
      <c r="K221">
        <f>IF(ISNA(L221),NA(),K155)</f>
        <v>0</v>
      </c>
      <c r="L221">
        <f>IF(OR(L155="",AND(L155=L154,L155=L156)),NA(), L155)</f>
        <v>0</v>
      </c>
      <c r="M221">
        <f>IF(ISNA(N221),NA(),M155)</f>
        <v>0</v>
      </c>
      <c r="N221">
        <f>IF(OR(N155="",AND(N155=N154,N155=N156)),NA(), N155)</f>
        <v>0</v>
      </c>
      <c r="O221">
        <f>IF(ISNA(P221),NA(),O155)</f>
        <v>0</v>
      </c>
      <c r="P221">
        <f>IF(OR(P155="",AND(P155=P154,P155=P156)),NA(), P155)</f>
        <v>0</v>
      </c>
      <c r="Q221">
        <f>IF(ISNA(R221),NA(),Q155)</f>
        <v>0</v>
      </c>
      <c r="R221">
        <f>IF(OR(R155="",AND(R155=R154,R155=R156)),NA(), R155)</f>
        <v>0</v>
      </c>
      <c r="S221">
        <f>IF(ISNA(T221),NA(),S155)</f>
        <v>0</v>
      </c>
      <c r="T221">
        <f>IF(OR(T155="",AND(T155=T154,T155=T156)),NA(), T155)</f>
        <v>0</v>
      </c>
      <c r="U221">
        <f>IF(ISNA(V221),NA(),U155)</f>
        <v>0</v>
      </c>
      <c r="V221">
        <f>IF(OR(V155="",AND(V155=V154,V155=V156)),NA(), V155)</f>
        <v>0</v>
      </c>
      <c r="W221">
        <f>IF(ISNA(X221),NA(),W155)</f>
        <v>0</v>
      </c>
      <c r="X221">
        <f>IF(OR(X155="",AND(X155=X154,X155=X156)),NA(), X155)</f>
        <v>0</v>
      </c>
      <c r="Y221">
        <f>IF(ISNA(Z221),NA(),Y155)</f>
        <v>0</v>
      </c>
      <c r="Z221">
        <f>IF(OR(Z155="",AND(Z155=Z154,Z155=Z156)),NA(), Z155)</f>
        <v>0</v>
      </c>
      <c r="AA221">
        <f>IF(ISNA(AB221),NA(),AA155)</f>
        <v>0</v>
      </c>
      <c r="AB221">
        <f>IF(OR(AB155="",AND(AB155=AB154,AB155=AB156)),NA(), AB155)</f>
        <v>0</v>
      </c>
      <c r="AC221">
        <f>IF(ISNA(AD221),NA(),AC155)</f>
        <v>0</v>
      </c>
      <c r="AD221">
        <f>IF(OR(AD155="",AND(AD155=AD154,AD155=AD156)),NA(), AD155)</f>
        <v>0</v>
      </c>
      <c r="AE221">
        <f>IF(ISNA(AF221),NA(),AE155)</f>
        <v>0</v>
      </c>
      <c r="AF221">
        <f>IF(OR(AF155="",AND(AF155=AF154,AF155=AF156)),NA(), AF155)</f>
        <v>0</v>
      </c>
      <c r="AG221">
        <f>IF(ISNA(AH221),NA(),AG155)</f>
        <v>0</v>
      </c>
      <c r="AH221">
        <f>IF(OR(AH155="",AND(AH155=AH154,AH155=AH156)),NA(), AH155)</f>
        <v>0</v>
      </c>
      <c r="AI221">
        <f>IF(ISNA(AJ221),NA(),AI155)</f>
        <v>0</v>
      </c>
      <c r="AJ221">
        <f>IF(OR(AJ155="",AND(AJ155=AJ154,AJ155=AJ156)),NA(), AJ155)</f>
        <v>0</v>
      </c>
      <c r="AK221">
        <f>IF(ISNA(AL221),NA(),AK155)</f>
        <v>0</v>
      </c>
      <c r="AL221">
        <f>IF(OR(AL155="",AND(AL155=AL154,AL155=AL156)),NA(), AL155)</f>
        <v>0</v>
      </c>
      <c r="AM221">
        <f>IF(ISNA(AN221),NA(),AM155)</f>
        <v>0</v>
      </c>
      <c r="AN221">
        <f>IF(OR(AN155="",AND(AN155=AN154,AN155=AN156)),NA(), AN155)</f>
        <v>0</v>
      </c>
      <c r="AO221">
        <f>IF(ISNA(AP221),NA(),AO155)</f>
        <v>0</v>
      </c>
      <c r="AP221">
        <f>IF(OR(AP155="",AND(AP155=AP154,AP155=AP156)),NA(), AP155)</f>
        <v>0</v>
      </c>
      <c r="AQ221">
        <f>IF(ISNA(AR221),NA(),AQ155)</f>
        <v>0</v>
      </c>
      <c r="AR221">
        <f>IF(OR(AR155="",AND(AR155=AR154,AR155=AR156)),NA(), AR155)</f>
        <v>0</v>
      </c>
      <c r="AS221">
        <f>IF(ISNA(AT221),NA(),AS155)</f>
        <v>0</v>
      </c>
      <c r="AT221">
        <f>IF(OR(AT155="",AND(AT155=AT154,AT155=AT156)),NA(), AT155)</f>
        <v>0</v>
      </c>
      <c r="AU221">
        <f>IF(ISNA(AV221),NA(),AU155)</f>
        <v>0</v>
      </c>
      <c r="AV221">
        <f>IF(OR(AV155="",AND(AV155=AV154,AV155=AV156)),NA(), AV155)</f>
        <v>0</v>
      </c>
      <c r="AW221">
        <f>IF(ISNA(AX221),NA(),AW155)</f>
        <v>0</v>
      </c>
      <c r="AX221">
        <f>IF(OR(AX155="",AND(AX155=AX154,AX155=AX156)),NA(), AX155)</f>
        <v>0</v>
      </c>
      <c r="AY221">
        <f>IF(ISNA(AZ221),NA(),AY155)</f>
        <v>0</v>
      </c>
      <c r="AZ221">
        <f>IF(OR(AZ155="",AND(AZ155=AZ154,AZ155=AZ156)),NA(), AZ155)</f>
        <v>0</v>
      </c>
      <c r="BA221">
        <f>IF(ISNA(BB221),NA(),BA155)</f>
        <v>0</v>
      </c>
      <c r="BB221">
        <f>IF(OR(BB155="",AND(BB155=BB154,BB155=BB156)),NA(), BB155)</f>
        <v>0</v>
      </c>
      <c r="BC221">
        <f>IF(ISNA(BD221),NA(),BC155)</f>
        <v>0</v>
      </c>
      <c r="BD221">
        <f>IF(OR(BD155="",AND(BD155=BD154,BD155=BD156)),NA(), BD155)</f>
        <v>0</v>
      </c>
      <c r="BE221">
        <f>IF(ISNA(BF221),NA(),BE155)</f>
        <v>0</v>
      </c>
      <c r="BF221">
        <f>IF(OR(BF155="",AND(BF155=BF154,BF155=BF156)),NA(), BF155)</f>
        <v>0</v>
      </c>
      <c r="BG221">
        <f>IF(ISNA(BH221),NA(),BG155)</f>
        <v>0</v>
      </c>
      <c r="BH221">
        <f>IF(OR(BH155="",AND(BH155=BH154,BH155=BH156)),NA(), BH155)</f>
        <v>0</v>
      </c>
      <c r="BI221">
        <f>IF(ISNA(BJ221),NA(),BI155)</f>
        <v>0</v>
      </c>
      <c r="BJ221">
        <f>IF(OR(BJ155="",AND(BJ155=BJ154,BJ155=BJ156)),NA(), BJ155)</f>
        <v>0</v>
      </c>
      <c r="BK221">
        <f>IF(ISNA(BL221),NA(),BK155)</f>
        <v>0</v>
      </c>
      <c r="BL221">
        <f>IF(OR(BL155="",AND(BL155=BL154,BL155=BL156)),NA(), BL155)</f>
        <v>0</v>
      </c>
      <c r="BM221">
        <f>IF(ISNA(BN221),NA(),BM155)</f>
        <v>0</v>
      </c>
      <c r="BN221">
        <f>IF(OR(BN155="",AND(BN155=BN154,BN155=BN156)),NA(), BN155)</f>
        <v>0</v>
      </c>
      <c r="BO221">
        <f>IF(ISNA(BP221),NA(),BO155)</f>
        <v>0</v>
      </c>
      <c r="BP221">
        <f>IF(OR(BP155="",AND(BP155=BP154,BP155=BP156)),NA(), BP155)</f>
        <v>0</v>
      </c>
      <c r="BS221">
        <f>IF(ISNA(BT221),NA(),BS155)</f>
        <v>0</v>
      </c>
      <c r="BT221">
        <f>IF(OR(BT155="",AND(BT155=BT154,BT155=BT156)),NA(), BT155)</f>
        <v>0</v>
      </c>
      <c r="BU221">
        <f>IF(ISNA(BV221),NA(),BU155)</f>
        <v>0</v>
      </c>
      <c r="BV221">
        <f>IF(OR(BV155="",AND(BV155=BV154,BV155=BV156)),NA(), BV155)</f>
        <v>0</v>
      </c>
      <c r="BW221">
        <f>IF(ISNA(BX221),NA(),BW155)</f>
        <v>0</v>
      </c>
      <c r="BX221">
        <f>IF(OR(BX155="",AND(BX155=BX154,BX155=BX156)),NA(), BX155)</f>
        <v>0</v>
      </c>
      <c r="BY221">
        <f>IF(ISNA(BZ221),NA(),BY155)</f>
        <v>0</v>
      </c>
      <c r="BZ221">
        <f>IF(OR(BZ155="",AND(BZ155=BZ154,BZ155=BZ156)),NA(), BZ155)</f>
        <v>0</v>
      </c>
      <c r="CA221">
        <f>IF(ISNA(CB221),NA(),CA155)</f>
        <v>0</v>
      </c>
      <c r="CB221">
        <f>IF(OR(CB155="",AND(CB155=CB154,CB155=CB156)),NA(), CB155)</f>
        <v>0</v>
      </c>
      <c r="CC221">
        <f>IF(ISNA(CD221),NA(),CC155)</f>
        <v>0</v>
      </c>
      <c r="CD221">
        <f>IF(OR(CD155="",AND(CD155=CD154,CD155=CD156)),NA(), CD155)</f>
        <v>0</v>
      </c>
      <c r="CE221">
        <f>IF(ISNA(CF221),NA(),CE155)</f>
        <v>0</v>
      </c>
      <c r="CF221">
        <f>IF(OR(CF155="",AND(CF155=CF154,CF155=CF156)),NA(), CF155)</f>
        <v>0</v>
      </c>
      <c r="CG221">
        <f>IF(ISNA(CH221),NA(),CG155)</f>
        <v>0</v>
      </c>
      <c r="CH221">
        <f>IF(OR(CH155="",AND(CH155=CH154,CH155=CH156)),NA(), CH155)</f>
        <v>0</v>
      </c>
      <c r="CI221">
        <f>IF(ISNA(CJ221),NA(),CI155)</f>
        <v>0</v>
      </c>
      <c r="CJ221">
        <f>IF(OR(CJ155="",AND(CJ155=CJ154,CJ155=CJ156)),NA(), CJ155)</f>
        <v>0</v>
      </c>
      <c r="CK221">
        <f>IF(ISNA(CL221),NA(),CK155)</f>
        <v>0</v>
      </c>
      <c r="CL221">
        <f>IF(OR(CL155="",AND(CL155=CL154,CL155=CL156)),NA(), CL155)</f>
        <v>0</v>
      </c>
      <c r="CM221">
        <f>IF(ISNA(CN221),NA(),CM155)</f>
        <v>0</v>
      </c>
      <c r="CN221">
        <f>IF(OR(CN155="",AND(CN155=CN154,CN155=CN156)),NA(), CN155)</f>
        <v>0</v>
      </c>
      <c r="CO221">
        <f>IF(ISNA(CP221),NA(),CO155)</f>
        <v>0</v>
      </c>
      <c r="CP221">
        <f>IF(OR(CP155="",AND(CP155=CP154,CP155=CP156)),NA(), CP155)</f>
        <v>0</v>
      </c>
      <c r="CQ221">
        <f>IF(ISNA(CR221),NA(),CQ155)</f>
        <v>0</v>
      </c>
      <c r="CR221">
        <f>IF(OR(CR155="",AND(CR155=CR154,CR155=CR156)),NA(), CR155)</f>
        <v>0</v>
      </c>
      <c r="CS221">
        <f>IF(ISNA(CT221),NA(),CS155)</f>
        <v>0</v>
      </c>
      <c r="CT221">
        <f>IF(OR(CT155="",AND(CT155=CT154,CT155=CT156)),NA(), CT155)</f>
        <v>0</v>
      </c>
      <c r="CU221">
        <f>IF(ISNA(CV221),NA(),CU155)</f>
        <v>0</v>
      </c>
      <c r="CV221">
        <f>IF(OR(CV155="",AND(CV155=CV154,CV155=CV156)),NA(), CV155)</f>
        <v>0</v>
      </c>
      <c r="CW221">
        <f>IF(ISNA(CX221),NA(),CW155)</f>
        <v>0</v>
      </c>
      <c r="CX221">
        <f>IF(OR(CX155="",AND(CX155=CX154,CX155=CX156)),NA(), CX155)</f>
        <v>0</v>
      </c>
      <c r="CY221">
        <f>IF(ISNA(CZ221),NA(),CY155)</f>
        <v>0</v>
      </c>
      <c r="CZ221">
        <f>IF(OR(CZ155="",AND(CZ155=CZ154,CZ155=CZ156)),NA(), CZ155)</f>
        <v>0</v>
      </c>
      <c r="DA221">
        <f>IF(ISNA(DB221),NA(),DA155)</f>
        <v>0</v>
      </c>
      <c r="DB221">
        <f>IF(OR(DB155="",AND(DB155=DB154,DB155=DB156)),NA(), DB155)</f>
        <v>0</v>
      </c>
      <c r="DC221">
        <f>IF(ISNA(DD221),NA(),DC155)</f>
        <v>0</v>
      </c>
      <c r="DD221">
        <f>IF(OR(DD155="",AND(DD155=DD154,DD155=DD156)),NA(), DD155)</f>
        <v>0</v>
      </c>
      <c r="DE221">
        <f>IF(ISNA(DF221),NA(),DE155)</f>
        <v>0</v>
      </c>
      <c r="DF221">
        <f>IF(OR(DF155="",AND(DF155=DF154,DF155=DF156)),NA(), DF155)</f>
        <v>0</v>
      </c>
      <c r="DG221">
        <f>IF(ISNA(DH221),NA(),DG155)</f>
        <v>0</v>
      </c>
      <c r="DH221">
        <f>IF(OR(DH155="",AND(DH155=DH154,DH155=DH156)),NA(), DH155)</f>
        <v>0</v>
      </c>
      <c r="DI221">
        <f>IF(ISNA(DJ221),NA(),DI155)</f>
        <v>0</v>
      </c>
      <c r="DJ221">
        <f>IF(OR(DJ155="",AND(DJ155=DJ154,DJ155=DJ156)),NA(), DJ155)</f>
        <v>0</v>
      </c>
      <c r="DK221">
        <f>IF(ISNA(DL221),NA(),DK155)</f>
        <v>0</v>
      </c>
      <c r="DL221">
        <f>IF(OR(DL155="",AND(DL155=DL154,DL155=DL156)),NA(), DL155)</f>
        <v>0</v>
      </c>
      <c r="DM221">
        <f>IF(ISNA(DN221),NA(),DM155)</f>
        <v>0</v>
      </c>
      <c r="DN221">
        <f>IF(OR(DN155="",AND(DN155=DN154,DN155=DN156)),NA(), DN155)</f>
        <v>0</v>
      </c>
      <c r="DO221">
        <f>IF(ISNA(DP221),NA(),DO155)</f>
        <v>0</v>
      </c>
      <c r="DP221">
        <f>IF(OR(DP155="",AND(DP155=DP154,DP155=DP156)),NA(), DP155)</f>
        <v>0</v>
      </c>
      <c r="DQ221">
        <f>IF(ISNA(DR221),NA(),DQ155)</f>
        <v>0</v>
      </c>
      <c r="DR221">
        <f>IF(OR(DR155="",AND(DR155=DR154,DR155=DR156)),NA(), DR155)</f>
        <v>0</v>
      </c>
      <c r="DS221">
        <f>IF(ISNA(DT221),NA(),DS155)</f>
        <v>0</v>
      </c>
      <c r="DT221">
        <f>IF(OR(DT155="",AND(DT155=DT154,DT155=DT156)),NA(), DT155)</f>
        <v>0</v>
      </c>
      <c r="DU221">
        <f>IF(ISNA(DV221),NA(),DU155)</f>
        <v>0</v>
      </c>
      <c r="DV221">
        <f>IF(OR(DV155="",AND(DV155=DV154,DV155=DV156)),NA(), DV155)</f>
        <v>0</v>
      </c>
      <c r="DW221">
        <f>IF(ISNA(DX221),NA(),DW155)</f>
        <v>0</v>
      </c>
      <c r="DX221">
        <f>IF(OR(DX155="",AND(DX155=DX154,DX155=DX156)),NA(), DX155)</f>
        <v>0</v>
      </c>
      <c r="DY221">
        <f>IF(ISNA(DZ221),NA(),DY155)</f>
        <v>0</v>
      </c>
      <c r="DZ221">
        <f>IF(OR(DZ155="",AND(DZ155=DZ154,DZ155=DZ156)),NA(), DZ155)</f>
        <v>0</v>
      </c>
      <c r="EA221">
        <f>IF(ISNA(EB221),NA(),EA155)</f>
        <v>0</v>
      </c>
      <c r="EB221">
        <f>IF(OR(EB155="",AND(EB155=EB154,EB155=EB156)),NA(), EB155)</f>
        <v>0</v>
      </c>
      <c r="EC221">
        <f>IF(ISNA(ED221),NA(),EC155)</f>
        <v>0</v>
      </c>
      <c r="ED221">
        <f>IF(OR(ED155="",AND(ED155=ED154,ED155=ED156)),NA(), ED155)</f>
        <v>0</v>
      </c>
    </row>
    <row r="222" spans="5:134">
      <c r="E222">
        <f>IF(ISNA(F222),NA(),E156)</f>
        <v>0</v>
      </c>
      <c r="F222">
        <f>IF(OR(F156="",AND(F156=F155,F156=F157)),NA(), F156)</f>
        <v>0</v>
      </c>
      <c r="G222">
        <f>IF(ISNA(H222),NA(),G156)</f>
        <v>0</v>
      </c>
      <c r="H222">
        <f>IF(OR(H156="",AND(H156=H155,H156=H157)),NA(), H156)</f>
        <v>0</v>
      </c>
      <c r="I222">
        <f>IF(ISNA(J222),NA(),I156)</f>
        <v>0</v>
      </c>
      <c r="J222">
        <f>IF(OR(J156="",AND(J156=J155,J156=J157)),NA(), J156)</f>
        <v>0</v>
      </c>
      <c r="K222">
        <f>IF(ISNA(L222),NA(),K156)</f>
        <v>0</v>
      </c>
      <c r="L222">
        <f>IF(OR(L156="",AND(L156=L155,L156=L157)),NA(), L156)</f>
        <v>0</v>
      </c>
      <c r="M222">
        <f>IF(ISNA(N222),NA(),M156)</f>
        <v>0</v>
      </c>
      <c r="N222">
        <f>IF(OR(N156="",AND(N156=N155,N156=N157)),NA(), N156)</f>
        <v>0</v>
      </c>
      <c r="O222">
        <f>IF(ISNA(P222),NA(),O156)</f>
        <v>0</v>
      </c>
      <c r="P222">
        <f>IF(OR(P156="",AND(P156=P155,P156=P157)),NA(), P156)</f>
        <v>0</v>
      </c>
      <c r="Q222">
        <f>IF(ISNA(R222),NA(),Q156)</f>
        <v>0</v>
      </c>
      <c r="R222">
        <f>IF(OR(R156="",AND(R156=R155,R156=R157)),NA(), R156)</f>
        <v>0</v>
      </c>
      <c r="S222">
        <f>IF(ISNA(T222),NA(),S156)</f>
        <v>0</v>
      </c>
      <c r="T222">
        <f>IF(OR(T156="",AND(T156=T155,T156=T157)),NA(), T156)</f>
        <v>0</v>
      </c>
      <c r="U222">
        <f>IF(ISNA(V222),NA(),U156)</f>
        <v>0</v>
      </c>
      <c r="V222">
        <f>IF(OR(V156="",AND(V156=V155,V156=V157)),NA(), V156)</f>
        <v>0</v>
      </c>
      <c r="W222">
        <f>IF(ISNA(X222),NA(),W156)</f>
        <v>0</v>
      </c>
      <c r="X222">
        <f>IF(OR(X156="",AND(X156=X155,X156=X157)),NA(), X156)</f>
        <v>0</v>
      </c>
      <c r="Y222">
        <f>IF(ISNA(Z222),NA(),Y156)</f>
        <v>0</v>
      </c>
      <c r="Z222">
        <f>IF(OR(Z156="",AND(Z156=Z155,Z156=Z157)),NA(), Z156)</f>
        <v>0</v>
      </c>
      <c r="AA222">
        <f>IF(ISNA(AB222),NA(),AA156)</f>
        <v>0</v>
      </c>
      <c r="AB222">
        <f>IF(OR(AB156="",AND(AB156=AB155,AB156=AB157)),NA(), AB156)</f>
        <v>0</v>
      </c>
      <c r="AC222">
        <f>IF(ISNA(AD222),NA(),AC156)</f>
        <v>0</v>
      </c>
      <c r="AD222">
        <f>IF(OR(AD156="",AND(AD156=AD155,AD156=AD157)),NA(), AD156)</f>
        <v>0</v>
      </c>
      <c r="AE222">
        <f>IF(ISNA(AF222),NA(),AE156)</f>
        <v>0</v>
      </c>
      <c r="AF222">
        <f>IF(OR(AF156="",AND(AF156=AF155,AF156=AF157)),NA(), AF156)</f>
        <v>0</v>
      </c>
      <c r="AG222">
        <f>IF(ISNA(AH222),NA(),AG156)</f>
        <v>0</v>
      </c>
      <c r="AH222">
        <f>IF(OR(AH156="",AND(AH156=AH155,AH156=AH157)),NA(), AH156)</f>
        <v>0</v>
      </c>
      <c r="AI222">
        <f>IF(ISNA(AJ222),NA(),AI156)</f>
        <v>0</v>
      </c>
      <c r="AJ222">
        <f>IF(OR(AJ156="",AND(AJ156=AJ155,AJ156=AJ157)),NA(), AJ156)</f>
        <v>0</v>
      </c>
      <c r="AK222">
        <f>IF(ISNA(AL222),NA(),AK156)</f>
        <v>0</v>
      </c>
      <c r="AL222">
        <f>IF(OR(AL156="",AND(AL156=AL155,AL156=AL157)),NA(), AL156)</f>
        <v>0</v>
      </c>
      <c r="AM222">
        <f>IF(ISNA(AN222),NA(),AM156)</f>
        <v>0</v>
      </c>
      <c r="AN222">
        <f>IF(OR(AN156="",AND(AN156=AN155,AN156=AN157)),NA(), AN156)</f>
        <v>0</v>
      </c>
      <c r="AO222">
        <f>IF(ISNA(AP222),NA(),AO156)</f>
        <v>0</v>
      </c>
      <c r="AP222">
        <f>IF(OR(AP156="",AND(AP156=AP155,AP156=AP157)),NA(), AP156)</f>
        <v>0</v>
      </c>
      <c r="AQ222">
        <f>IF(ISNA(AR222),NA(),AQ156)</f>
        <v>0</v>
      </c>
      <c r="AR222">
        <f>IF(OR(AR156="",AND(AR156=AR155,AR156=AR157)),NA(), AR156)</f>
        <v>0</v>
      </c>
      <c r="AS222">
        <f>IF(ISNA(AT222),NA(),AS156)</f>
        <v>0</v>
      </c>
      <c r="AT222">
        <f>IF(OR(AT156="",AND(AT156=AT155,AT156=AT157)),NA(), AT156)</f>
        <v>0</v>
      </c>
      <c r="AU222">
        <f>IF(ISNA(AV222),NA(),AU156)</f>
        <v>0</v>
      </c>
      <c r="AV222">
        <f>IF(OR(AV156="",AND(AV156=AV155,AV156=AV157)),NA(), AV156)</f>
        <v>0</v>
      </c>
      <c r="AW222">
        <f>IF(ISNA(AX222),NA(),AW156)</f>
        <v>0</v>
      </c>
      <c r="AX222">
        <f>IF(OR(AX156="",AND(AX156=AX155,AX156=AX157)),NA(), AX156)</f>
        <v>0</v>
      </c>
      <c r="AY222">
        <f>IF(ISNA(AZ222),NA(),AY156)</f>
        <v>0</v>
      </c>
      <c r="AZ222">
        <f>IF(OR(AZ156="",AND(AZ156=AZ155,AZ156=AZ157)),NA(), AZ156)</f>
        <v>0</v>
      </c>
      <c r="BA222">
        <f>IF(ISNA(BB222),NA(),BA156)</f>
        <v>0</v>
      </c>
      <c r="BB222">
        <f>IF(OR(BB156="",AND(BB156=BB155,BB156=BB157)),NA(), BB156)</f>
        <v>0</v>
      </c>
      <c r="BC222">
        <f>IF(ISNA(BD222),NA(),BC156)</f>
        <v>0</v>
      </c>
      <c r="BD222">
        <f>IF(OR(BD156="",AND(BD156=BD155,BD156=BD157)),NA(), BD156)</f>
        <v>0</v>
      </c>
      <c r="BE222">
        <f>IF(ISNA(BF222),NA(),BE156)</f>
        <v>0</v>
      </c>
      <c r="BF222">
        <f>IF(OR(BF156="",AND(BF156=BF155,BF156=BF157)),NA(), BF156)</f>
        <v>0</v>
      </c>
      <c r="BG222">
        <f>IF(ISNA(BH222),NA(),BG156)</f>
        <v>0</v>
      </c>
      <c r="BH222">
        <f>IF(OR(BH156="",AND(BH156=BH155,BH156=BH157)),NA(), BH156)</f>
        <v>0</v>
      </c>
      <c r="BI222">
        <f>IF(ISNA(BJ222),NA(),BI156)</f>
        <v>0</v>
      </c>
      <c r="BJ222">
        <f>IF(OR(BJ156="",AND(BJ156=BJ155,BJ156=BJ157)),NA(), BJ156)</f>
        <v>0</v>
      </c>
      <c r="BK222">
        <f>IF(ISNA(BL222),NA(),BK156)</f>
        <v>0</v>
      </c>
      <c r="BL222">
        <f>IF(OR(BL156="",AND(BL156=BL155,BL156=BL157)),NA(), BL156)</f>
        <v>0</v>
      </c>
      <c r="BM222">
        <f>IF(ISNA(BN222),NA(),BM156)</f>
        <v>0</v>
      </c>
      <c r="BN222">
        <f>IF(OR(BN156="",AND(BN156=BN155,BN156=BN157)),NA(), BN156)</f>
        <v>0</v>
      </c>
      <c r="BO222">
        <f>IF(ISNA(BP222),NA(),BO156)</f>
        <v>0</v>
      </c>
      <c r="BP222">
        <f>IF(OR(BP156="",AND(BP156=BP155,BP156=BP157)),NA(), BP156)</f>
        <v>0</v>
      </c>
      <c r="BS222">
        <f>IF(ISNA(BT222),NA(),BS156)</f>
        <v>0</v>
      </c>
      <c r="BT222">
        <f>IF(OR(BT156="",AND(BT156=BT155,BT156=BT157)),NA(), BT156)</f>
        <v>0</v>
      </c>
      <c r="BU222">
        <f>IF(ISNA(BV222),NA(),BU156)</f>
        <v>0</v>
      </c>
      <c r="BV222">
        <f>IF(OR(BV156="",AND(BV156=BV155,BV156=BV157)),NA(), BV156)</f>
        <v>0</v>
      </c>
      <c r="BW222">
        <f>IF(ISNA(BX222),NA(),BW156)</f>
        <v>0</v>
      </c>
      <c r="BX222">
        <f>IF(OR(BX156="",AND(BX156=BX155,BX156=BX157)),NA(), BX156)</f>
        <v>0</v>
      </c>
      <c r="BY222">
        <f>IF(ISNA(BZ222),NA(),BY156)</f>
        <v>0</v>
      </c>
      <c r="BZ222">
        <f>IF(OR(BZ156="",AND(BZ156=BZ155,BZ156=BZ157)),NA(), BZ156)</f>
        <v>0</v>
      </c>
      <c r="CA222">
        <f>IF(ISNA(CB222),NA(),CA156)</f>
        <v>0</v>
      </c>
      <c r="CB222">
        <f>IF(OR(CB156="",AND(CB156=CB155,CB156=CB157)),NA(), CB156)</f>
        <v>0</v>
      </c>
      <c r="CC222">
        <f>IF(ISNA(CD222),NA(),CC156)</f>
        <v>0</v>
      </c>
      <c r="CD222">
        <f>IF(OR(CD156="",AND(CD156=CD155,CD156=CD157)),NA(), CD156)</f>
        <v>0</v>
      </c>
      <c r="CE222">
        <f>IF(ISNA(CF222),NA(),CE156)</f>
        <v>0</v>
      </c>
      <c r="CF222">
        <f>IF(OR(CF156="",AND(CF156=CF155,CF156=CF157)),NA(), CF156)</f>
        <v>0</v>
      </c>
      <c r="CG222">
        <f>IF(ISNA(CH222),NA(),CG156)</f>
        <v>0</v>
      </c>
      <c r="CH222">
        <f>IF(OR(CH156="",AND(CH156=CH155,CH156=CH157)),NA(), CH156)</f>
        <v>0</v>
      </c>
      <c r="CI222">
        <f>IF(ISNA(CJ222),NA(),CI156)</f>
        <v>0</v>
      </c>
      <c r="CJ222">
        <f>IF(OR(CJ156="",AND(CJ156=CJ155,CJ156=CJ157)),NA(), CJ156)</f>
        <v>0</v>
      </c>
      <c r="CK222">
        <f>IF(ISNA(CL222),NA(),CK156)</f>
        <v>0</v>
      </c>
      <c r="CL222">
        <f>IF(OR(CL156="",AND(CL156=CL155,CL156=CL157)),NA(), CL156)</f>
        <v>0</v>
      </c>
      <c r="CM222">
        <f>IF(ISNA(CN222),NA(),CM156)</f>
        <v>0</v>
      </c>
      <c r="CN222">
        <f>IF(OR(CN156="",AND(CN156=CN155,CN156=CN157)),NA(), CN156)</f>
        <v>0</v>
      </c>
      <c r="CO222">
        <f>IF(ISNA(CP222),NA(),CO156)</f>
        <v>0</v>
      </c>
      <c r="CP222">
        <f>IF(OR(CP156="",AND(CP156=CP155,CP156=CP157)),NA(), CP156)</f>
        <v>0</v>
      </c>
      <c r="CQ222">
        <f>IF(ISNA(CR222),NA(),CQ156)</f>
        <v>0</v>
      </c>
      <c r="CR222">
        <f>IF(OR(CR156="",AND(CR156=CR155,CR156=CR157)),NA(), CR156)</f>
        <v>0</v>
      </c>
      <c r="CS222">
        <f>IF(ISNA(CT222),NA(),CS156)</f>
        <v>0</v>
      </c>
      <c r="CT222">
        <f>IF(OR(CT156="",AND(CT156=CT155,CT156=CT157)),NA(), CT156)</f>
        <v>0</v>
      </c>
      <c r="CU222">
        <f>IF(ISNA(CV222),NA(),CU156)</f>
        <v>0</v>
      </c>
      <c r="CV222">
        <f>IF(OR(CV156="",AND(CV156=CV155,CV156=CV157)),NA(), CV156)</f>
        <v>0</v>
      </c>
      <c r="CW222">
        <f>IF(ISNA(CX222),NA(),CW156)</f>
        <v>0</v>
      </c>
      <c r="CX222">
        <f>IF(OR(CX156="",AND(CX156=CX155,CX156=CX157)),NA(), CX156)</f>
        <v>0</v>
      </c>
      <c r="CY222">
        <f>IF(ISNA(CZ222),NA(),CY156)</f>
        <v>0</v>
      </c>
      <c r="CZ222">
        <f>IF(OR(CZ156="",AND(CZ156=CZ155,CZ156=CZ157)),NA(), CZ156)</f>
        <v>0</v>
      </c>
      <c r="DA222">
        <f>IF(ISNA(DB222),NA(),DA156)</f>
        <v>0</v>
      </c>
      <c r="DB222">
        <f>IF(OR(DB156="",AND(DB156=DB155,DB156=DB157)),NA(), DB156)</f>
        <v>0</v>
      </c>
      <c r="DC222">
        <f>IF(ISNA(DD222),NA(),DC156)</f>
        <v>0</v>
      </c>
      <c r="DD222">
        <f>IF(OR(DD156="",AND(DD156=DD155,DD156=DD157)),NA(), DD156)</f>
        <v>0</v>
      </c>
      <c r="DE222">
        <f>IF(ISNA(DF222),NA(),DE156)</f>
        <v>0</v>
      </c>
      <c r="DF222">
        <f>IF(OR(DF156="",AND(DF156=DF155,DF156=DF157)),NA(), DF156)</f>
        <v>0</v>
      </c>
      <c r="DG222">
        <f>IF(ISNA(DH222),NA(),DG156)</f>
        <v>0</v>
      </c>
      <c r="DH222">
        <f>IF(OR(DH156="",AND(DH156=DH155,DH156=DH157)),NA(), DH156)</f>
        <v>0</v>
      </c>
      <c r="DI222">
        <f>IF(ISNA(DJ222),NA(),DI156)</f>
        <v>0</v>
      </c>
      <c r="DJ222">
        <f>IF(OR(DJ156="",AND(DJ156=DJ155,DJ156=DJ157)),NA(), DJ156)</f>
        <v>0</v>
      </c>
      <c r="DK222">
        <f>IF(ISNA(DL222),NA(),DK156)</f>
        <v>0</v>
      </c>
      <c r="DL222">
        <f>IF(OR(DL156="",AND(DL156=DL155,DL156=DL157)),NA(), DL156)</f>
        <v>0</v>
      </c>
      <c r="DM222">
        <f>IF(ISNA(DN222),NA(),DM156)</f>
        <v>0</v>
      </c>
      <c r="DN222">
        <f>IF(OR(DN156="",AND(DN156=DN155,DN156=DN157)),NA(), DN156)</f>
        <v>0</v>
      </c>
      <c r="DO222">
        <f>IF(ISNA(DP222),NA(),DO156)</f>
        <v>0</v>
      </c>
      <c r="DP222">
        <f>IF(OR(DP156="",AND(DP156=DP155,DP156=DP157)),NA(), DP156)</f>
        <v>0</v>
      </c>
      <c r="DQ222">
        <f>IF(ISNA(DR222),NA(),DQ156)</f>
        <v>0</v>
      </c>
      <c r="DR222">
        <f>IF(OR(DR156="",AND(DR156=DR155,DR156=DR157)),NA(), DR156)</f>
        <v>0</v>
      </c>
      <c r="DS222">
        <f>IF(ISNA(DT222),NA(),DS156)</f>
        <v>0</v>
      </c>
      <c r="DT222">
        <f>IF(OR(DT156="",AND(DT156=DT155,DT156=DT157)),NA(), DT156)</f>
        <v>0</v>
      </c>
      <c r="DU222">
        <f>IF(ISNA(DV222),NA(),DU156)</f>
        <v>0</v>
      </c>
      <c r="DV222">
        <f>IF(OR(DV156="",AND(DV156=DV155,DV156=DV157)),NA(), DV156)</f>
        <v>0</v>
      </c>
      <c r="DW222">
        <f>IF(ISNA(DX222),NA(),DW156)</f>
        <v>0</v>
      </c>
      <c r="DX222">
        <f>IF(OR(DX156="",AND(DX156=DX155,DX156=DX157)),NA(), DX156)</f>
        <v>0</v>
      </c>
      <c r="DY222">
        <f>IF(ISNA(DZ222),NA(),DY156)</f>
        <v>0</v>
      </c>
      <c r="DZ222">
        <f>IF(OR(DZ156="",AND(DZ156=DZ155,DZ156=DZ157)),NA(), DZ156)</f>
        <v>0</v>
      </c>
      <c r="EA222">
        <f>IF(ISNA(EB222),NA(),EA156)</f>
        <v>0</v>
      </c>
      <c r="EB222">
        <f>IF(OR(EB156="",AND(EB156=EB155,EB156=EB157)),NA(), EB156)</f>
        <v>0</v>
      </c>
      <c r="EC222">
        <f>IF(ISNA(ED222),NA(),EC156)</f>
        <v>0</v>
      </c>
      <c r="ED222">
        <f>IF(OR(ED156="",AND(ED156=ED155,ED156=ED157)),NA(), ED156)</f>
        <v>0</v>
      </c>
    </row>
    <row r="223" spans="5:134">
      <c r="E223">
        <f>IF(ISNA(F223),NA(),E157)</f>
        <v>0</v>
      </c>
      <c r="F223">
        <f>IF(OR(F157="",AND(F157=F156,F157=F158)),NA(), F157)</f>
        <v>0</v>
      </c>
      <c r="G223">
        <f>IF(ISNA(H223),NA(),G157)</f>
        <v>0</v>
      </c>
      <c r="H223">
        <f>IF(OR(H157="",AND(H157=H156,H157=H158)),NA(), H157)</f>
        <v>0</v>
      </c>
      <c r="I223">
        <f>IF(ISNA(J223),NA(),I157)</f>
        <v>0</v>
      </c>
      <c r="J223">
        <f>IF(OR(J157="",AND(J157=J156,J157=J158)),NA(), J157)</f>
        <v>0</v>
      </c>
      <c r="K223">
        <f>IF(ISNA(L223),NA(),K157)</f>
        <v>0</v>
      </c>
      <c r="L223">
        <f>IF(OR(L157="",AND(L157=L156,L157=L158)),NA(), L157)</f>
        <v>0</v>
      </c>
      <c r="M223">
        <f>IF(ISNA(N223),NA(),M157)</f>
        <v>0</v>
      </c>
      <c r="N223">
        <f>IF(OR(N157="",AND(N157=N156,N157=N158)),NA(), N157)</f>
        <v>0</v>
      </c>
      <c r="O223">
        <f>IF(ISNA(P223),NA(),O157)</f>
        <v>0</v>
      </c>
      <c r="P223">
        <f>IF(OR(P157="",AND(P157=P156,P157=P158)),NA(), P157)</f>
        <v>0</v>
      </c>
      <c r="Q223">
        <f>IF(ISNA(R223),NA(),Q157)</f>
        <v>0</v>
      </c>
      <c r="R223">
        <f>IF(OR(R157="",AND(R157=R156,R157=R158)),NA(), R157)</f>
        <v>0</v>
      </c>
      <c r="S223">
        <f>IF(ISNA(T223),NA(),S157)</f>
        <v>0</v>
      </c>
      <c r="T223">
        <f>IF(OR(T157="",AND(T157=T156,T157=T158)),NA(), T157)</f>
        <v>0</v>
      </c>
      <c r="U223">
        <f>IF(ISNA(V223),NA(),U157)</f>
        <v>0</v>
      </c>
      <c r="V223">
        <f>IF(OR(V157="",AND(V157=V156,V157=V158)),NA(), V157)</f>
        <v>0</v>
      </c>
      <c r="W223">
        <f>IF(ISNA(X223),NA(),W157)</f>
        <v>0</v>
      </c>
      <c r="X223">
        <f>IF(OR(X157="",AND(X157=X156,X157=X158)),NA(), X157)</f>
        <v>0</v>
      </c>
      <c r="Y223">
        <f>IF(ISNA(Z223),NA(),Y157)</f>
        <v>0</v>
      </c>
      <c r="Z223">
        <f>IF(OR(Z157="",AND(Z157=Z156,Z157=Z158)),NA(), Z157)</f>
        <v>0</v>
      </c>
      <c r="AA223">
        <f>IF(ISNA(AB223),NA(),AA157)</f>
        <v>0</v>
      </c>
      <c r="AB223">
        <f>IF(OR(AB157="",AND(AB157=AB156,AB157=AB158)),NA(), AB157)</f>
        <v>0</v>
      </c>
      <c r="AC223">
        <f>IF(ISNA(AD223),NA(),AC157)</f>
        <v>0</v>
      </c>
      <c r="AD223">
        <f>IF(OR(AD157="",AND(AD157=AD156,AD157=AD158)),NA(), AD157)</f>
        <v>0</v>
      </c>
      <c r="AE223">
        <f>IF(ISNA(AF223),NA(),AE157)</f>
        <v>0</v>
      </c>
      <c r="AF223">
        <f>IF(OR(AF157="",AND(AF157=AF156,AF157=AF158)),NA(), AF157)</f>
        <v>0</v>
      </c>
      <c r="AG223">
        <f>IF(ISNA(AH223),NA(),AG157)</f>
        <v>0</v>
      </c>
      <c r="AH223">
        <f>IF(OR(AH157="",AND(AH157=AH156,AH157=AH158)),NA(), AH157)</f>
        <v>0</v>
      </c>
      <c r="AI223">
        <f>IF(ISNA(AJ223),NA(),AI157)</f>
        <v>0</v>
      </c>
      <c r="AJ223">
        <f>IF(OR(AJ157="",AND(AJ157=AJ156,AJ157=AJ158)),NA(), AJ157)</f>
        <v>0</v>
      </c>
      <c r="AK223">
        <f>IF(ISNA(AL223),NA(),AK157)</f>
        <v>0</v>
      </c>
      <c r="AL223">
        <f>IF(OR(AL157="",AND(AL157=AL156,AL157=AL158)),NA(), AL157)</f>
        <v>0</v>
      </c>
      <c r="AM223">
        <f>IF(ISNA(AN223),NA(),AM157)</f>
        <v>0</v>
      </c>
      <c r="AN223">
        <f>IF(OR(AN157="",AND(AN157=AN156,AN157=AN158)),NA(), AN157)</f>
        <v>0</v>
      </c>
      <c r="AO223">
        <f>IF(ISNA(AP223),NA(),AO157)</f>
        <v>0</v>
      </c>
      <c r="AP223">
        <f>IF(OR(AP157="",AND(AP157=AP156,AP157=AP158)),NA(), AP157)</f>
        <v>0</v>
      </c>
      <c r="AQ223">
        <f>IF(ISNA(AR223),NA(),AQ157)</f>
        <v>0</v>
      </c>
      <c r="AR223">
        <f>IF(OR(AR157="",AND(AR157=AR156,AR157=AR158)),NA(), AR157)</f>
        <v>0</v>
      </c>
      <c r="AS223">
        <f>IF(ISNA(AT223),NA(),AS157)</f>
        <v>0</v>
      </c>
      <c r="AT223">
        <f>IF(OR(AT157="",AND(AT157=AT156,AT157=AT158)),NA(), AT157)</f>
        <v>0</v>
      </c>
      <c r="AU223">
        <f>IF(ISNA(AV223),NA(),AU157)</f>
        <v>0</v>
      </c>
      <c r="AV223">
        <f>IF(OR(AV157="",AND(AV157=AV156,AV157=AV158)),NA(), AV157)</f>
        <v>0</v>
      </c>
      <c r="AW223">
        <f>IF(ISNA(AX223),NA(),AW157)</f>
        <v>0</v>
      </c>
      <c r="AX223">
        <f>IF(OR(AX157="",AND(AX157=AX156,AX157=AX158)),NA(), AX157)</f>
        <v>0</v>
      </c>
      <c r="AY223">
        <f>IF(ISNA(AZ223),NA(),AY157)</f>
        <v>0</v>
      </c>
      <c r="AZ223">
        <f>IF(OR(AZ157="",AND(AZ157=AZ156,AZ157=AZ158)),NA(), AZ157)</f>
        <v>0</v>
      </c>
      <c r="BA223">
        <f>IF(ISNA(BB223),NA(),BA157)</f>
        <v>0</v>
      </c>
      <c r="BB223">
        <f>IF(OR(BB157="",AND(BB157=BB156,BB157=BB158)),NA(), BB157)</f>
        <v>0</v>
      </c>
      <c r="BC223">
        <f>IF(ISNA(BD223),NA(),BC157)</f>
        <v>0</v>
      </c>
      <c r="BD223">
        <f>IF(OR(BD157="",AND(BD157=BD156,BD157=BD158)),NA(), BD157)</f>
        <v>0</v>
      </c>
      <c r="BE223">
        <f>IF(ISNA(BF223),NA(),BE157)</f>
        <v>0</v>
      </c>
      <c r="BF223">
        <f>IF(OR(BF157="",AND(BF157=BF156,BF157=BF158)),NA(), BF157)</f>
        <v>0</v>
      </c>
      <c r="BG223">
        <f>IF(ISNA(BH223),NA(),BG157)</f>
        <v>0</v>
      </c>
      <c r="BH223">
        <f>IF(OR(BH157="",AND(BH157=BH156,BH157=BH158)),NA(), BH157)</f>
        <v>0</v>
      </c>
      <c r="BI223">
        <f>IF(ISNA(BJ223),NA(),BI157)</f>
        <v>0</v>
      </c>
      <c r="BJ223">
        <f>IF(OR(BJ157="",AND(BJ157=BJ156,BJ157=BJ158)),NA(), BJ157)</f>
        <v>0</v>
      </c>
      <c r="BK223">
        <f>IF(ISNA(BL223),NA(),BK157)</f>
        <v>0</v>
      </c>
      <c r="BL223">
        <f>IF(OR(BL157="",AND(BL157=BL156,BL157=BL158)),NA(), BL157)</f>
        <v>0</v>
      </c>
      <c r="BM223">
        <f>IF(ISNA(BN223),NA(),BM157)</f>
        <v>0</v>
      </c>
      <c r="BN223">
        <f>IF(OR(BN157="",AND(BN157=BN156,BN157=BN158)),NA(), BN157)</f>
        <v>0</v>
      </c>
      <c r="BO223">
        <f>IF(ISNA(BP223),NA(),BO157)</f>
        <v>0</v>
      </c>
      <c r="BP223">
        <f>IF(OR(BP157="",AND(BP157=BP156,BP157=BP158)),NA(), BP157)</f>
        <v>0</v>
      </c>
      <c r="BS223">
        <f>IF(ISNA(BT223),NA(),BS157)</f>
        <v>0</v>
      </c>
      <c r="BT223">
        <f>IF(OR(BT157="",AND(BT157=BT156,BT157=BT158)),NA(), BT157)</f>
        <v>0</v>
      </c>
      <c r="BU223">
        <f>IF(ISNA(BV223),NA(),BU157)</f>
        <v>0</v>
      </c>
      <c r="BV223">
        <f>IF(OR(BV157="",AND(BV157=BV156,BV157=BV158)),NA(), BV157)</f>
        <v>0</v>
      </c>
      <c r="BW223">
        <f>IF(ISNA(BX223),NA(),BW157)</f>
        <v>0</v>
      </c>
      <c r="BX223">
        <f>IF(OR(BX157="",AND(BX157=BX156,BX157=BX158)),NA(), BX157)</f>
        <v>0</v>
      </c>
      <c r="BY223">
        <f>IF(ISNA(BZ223),NA(),BY157)</f>
        <v>0</v>
      </c>
      <c r="BZ223">
        <f>IF(OR(BZ157="",AND(BZ157=BZ156,BZ157=BZ158)),NA(), BZ157)</f>
        <v>0</v>
      </c>
      <c r="CA223">
        <f>IF(ISNA(CB223),NA(),CA157)</f>
        <v>0</v>
      </c>
      <c r="CB223">
        <f>IF(OR(CB157="",AND(CB157=CB156,CB157=CB158)),NA(), CB157)</f>
        <v>0</v>
      </c>
      <c r="CC223">
        <f>IF(ISNA(CD223),NA(),CC157)</f>
        <v>0</v>
      </c>
      <c r="CD223">
        <f>IF(OR(CD157="",AND(CD157=CD156,CD157=CD158)),NA(), CD157)</f>
        <v>0</v>
      </c>
      <c r="CE223">
        <f>IF(ISNA(CF223),NA(),CE157)</f>
        <v>0</v>
      </c>
      <c r="CF223">
        <f>IF(OR(CF157="",AND(CF157=CF156,CF157=CF158)),NA(), CF157)</f>
        <v>0</v>
      </c>
      <c r="CG223">
        <f>IF(ISNA(CH223),NA(),CG157)</f>
        <v>0</v>
      </c>
      <c r="CH223">
        <f>IF(OR(CH157="",AND(CH157=CH156,CH157=CH158)),NA(), CH157)</f>
        <v>0</v>
      </c>
      <c r="CI223">
        <f>IF(ISNA(CJ223),NA(),CI157)</f>
        <v>0</v>
      </c>
      <c r="CJ223">
        <f>IF(OR(CJ157="",AND(CJ157=CJ156,CJ157=CJ158)),NA(), CJ157)</f>
        <v>0</v>
      </c>
      <c r="CK223">
        <f>IF(ISNA(CL223),NA(),CK157)</f>
        <v>0</v>
      </c>
      <c r="CL223">
        <f>IF(OR(CL157="",AND(CL157=CL156,CL157=CL158)),NA(), CL157)</f>
        <v>0</v>
      </c>
      <c r="CM223">
        <f>IF(ISNA(CN223),NA(),CM157)</f>
        <v>0</v>
      </c>
      <c r="CN223">
        <f>IF(OR(CN157="",AND(CN157=CN156,CN157=CN158)),NA(), CN157)</f>
        <v>0</v>
      </c>
      <c r="CO223">
        <f>IF(ISNA(CP223),NA(),CO157)</f>
        <v>0</v>
      </c>
      <c r="CP223">
        <f>IF(OR(CP157="",AND(CP157=CP156,CP157=CP158)),NA(), CP157)</f>
        <v>0</v>
      </c>
      <c r="CQ223">
        <f>IF(ISNA(CR223),NA(),CQ157)</f>
        <v>0</v>
      </c>
      <c r="CR223">
        <f>IF(OR(CR157="",AND(CR157=CR156,CR157=CR158)),NA(), CR157)</f>
        <v>0</v>
      </c>
      <c r="CS223">
        <f>IF(ISNA(CT223),NA(),CS157)</f>
        <v>0</v>
      </c>
      <c r="CT223">
        <f>IF(OR(CT157="",AND(CT157=CT156,CT157=CT158)),NA(), CT157)</f>
        <v>0</v>
      </c>
      <c r="CU223">
        <f>IF(ISNA(CV223),NA(),CU157)</f>
        <v>0</v>
      </c>
      <c r="CV223">
        <f>IF(OR(CV157="",AND(CV157=CV156,CV157=CV158)),NA(), CV157)</f>
        <v>0</v>
      </c>
      <c r="CW223">
        <f>IF(ISNA(CX223),NA(),CW157)</f>
        <v>0</v>
      </c>
      <c r="CX223">
        <f>IF(OR(CX157="",AND(CX157=CX156,CX157=CX158)),NA(), CX157)</f>
        <v>0</v>
      </c>
      <c r="CY223">
        <f>IF(ISNA(CZ223),NA(),CY157)</f>
        <v>0</v>
      </c>
      <c r="CZ223">
        <f>IF(OR(CZ157="",AND(CZ157=CZ156,CZ157=CZ158)),NA(), CZ157)</f>
        <v>0</v>
      </c>
      <c r="DA223">
        <f>IF(ISNA(DB223),NA(),DA157)</f>
        <v>0</v>
      </c>
      <c r="DB223">
        <f>IF(OR(DB157="",AND(DB157=DB156,DB157=DB158)),NA(), DB157)</f>
        <v>0</v>
      </c>
      <c r="DC223">
        <f>IF(ISNA(DD223),NA(),DC157)</f>
        <v>0</v>
      </c>
      <c r="DD223">
        <f>IF(OR(DD157="",AND(DD157=DD156,DD157=DD158)),NA(), DD157)</f>
        <v>0</v>
      </c>
      <c r="DE223">
        <f>IF(ISNA(DF223),NA(),DE157)</f>
        <v>0</v>
      </c>
      <c r="DF223">
        <f>IF(OR(DF157="",AND(DF157=DF156,DF157=DF158)),NA(), DF157)</f>
        <v>0</v>
      </c>
      <c r="DG223">
        <f>IF(ISNA(DH223),NA(),DG157)</f>
        <v>0</v>
      </c>
      <c r="DH223">
        <f>IF(OR(DH157="",AND(DH157=DH156,DH157=DH158)),NA(), DH157)</f>
        <v>0</v>
      </c>
      <c r="DI223">
        <f>IF(ISNA(DJ223),NA(),DI157)</f>
        <v>0</v>
      </c>
      <c r="DJ223">
        <f>IF(OR(DJ157="",AND(DJ157=DJ156,DJ157=DJ158)),NA(), DJ157)</f>
        <v>0</v>
      </c>
      <c r="DK223">
        <f>IF(ISNA(DL223),NA(),DK157)</f>
        <v>0</v>
      </c>
      <c r="DL223">
        <f>IF(OR(DL157="",AND(DL157=DL156,DL157=DL158)),NA(), DL157)</f>
        <v>0</v>
      </c>
      <c r="DM223">
        <f>IF(ISNA(DN223),NA(),DM157)</f>
        <v>0</v>
      </c>
      <c r="DN223">
        <f>IF(OR(DN157="",AND(DN157=DN156,DN157=DN158)),NA(), DN157)</f>
        <v>0</v>
      </c>
      <c r="DO223">
        <f>IF(ISNA(DP223),NA(),DO157)</f>
        <v>0</v>
      </c>
      <c r="DP223">
        <f>IF(OR(DP157="",AND(DP157=DP156,DP157=DP158)),NA(), DP157)</f>
        <v>0</v>
      </c>
      <c r="DQ223">
        <f>IF(ISNA(DR223),NA(),DQ157)</f>
        <v>0</v>
      </c>
      <c r="DR223">
        <f>IF(OR(DR157="",AND(DR157=DR156,DR157=DR158)),NA(), DR157)</f>
        <v>0</v>
      </c>
      <c r="DS223">
        <f>IF(ISNA(DT223),NA(),DS157)</f>
        <v>0</v>
      </c>
      <c r="DT223">
        <f>IF(OR(DT157="",AND(DT157=DT156,DT157=DT158)),NA(), DT157)</f>
        <v>0</v>
      </c>
      <c r="DU223">
        <f>IF(ISNA(DV223),NA(),DU157)</f>
        <v>0</v>
      </c>
      <c r="DV223">
        <f>IF(OR(DV157="",AND(DV157=DV156,DV157=DV158)),NA(), DV157)</f>
        <v>0</v>
      </c>
      <c r="DW223">
        <f>IF(ISNA(DX223),NA(),DW157)</f>
        <v>0</v>
      </c>
      <c r="DX223">
        <f>IF(OR(DX157="",AND(DX157=DX156,DX157=DX158)),NA(), DX157)</f>
        <v>0</v>
      </c>
      <c r="DY223">
        <f>IF(ISNA(DZ223),NA(),DY157)</f>
        <v>0</v>
      </c>
      <c r="DZ223">
        <f>IF(OR(DZ157="",AND(DZ157=DZ156,DZ157=DZ158)),NA(), DZ157)</f>
        <v>0</v>
      </c>
      <c r="EA223">
        <f>IF(ISNA(EB223),NA(),EA157)</f>
        <v>0</v>
      </c>
      <c r="EB223">
        <f>IF(OR(EB157="",AND(EB157=EB156,EB157=EB158)),NA(), EB157)</f>
        <v>0</v>
      </c>
      <c r="EC223">
        <f>IF(ISNA(ED223),NA(),EC157)</f>
        <v>0</v>
      </c>
      <c r="ED223">
        <f>IF(OR(ED157="",AND(ED157=ED156,ED157=ED158)),NA(), ED157)</f>
        <v>0</v>
      </c>
    </row>
    <row r="224" spans="5:134">
      <c r="E224">
        <f>IF(ISNA(F224),NA(),E158)</f>
        <v>0</v>
      </c>
      <c r="F224">
        <f>IF(OR(F158="",AND(F158=F157,F158=F159)),NA(), F158)</f>
        <v>0</v>
      </c>
      <c r="G224">
        <f>IF(ISNA(H224),NA(),G158)</f>
        <v>0</v>
      </c>
      <c r="H224">
        <f>IF(OR(H158="",AND(H158=H157,H158=H159)),NA(), H158)</f>
        <v>0</v>
      </c>
      <c r="I224">
        <f>IF(ISNA(J224),NA(),I158)</f>
        <v>0</v>
      </c>
      <c r="J224">
        <f>IF(OR(J158="",AND(J158=J157,J158=J159)),NA(), J158)</f>
        <v>0</v>
      </c>
      <c r="K224">
        <f>IF(ISNA(L224),NA(),K158)</f>
        <v>0</v>
      </c>
      <c r="L224">
        <f>IF(OR(L158="",AND(L158=L157,L158=L159)),NA(), L158)</f>
        <v>0</v>
      </c>
      <c r="M224">
        <f>IF(ISNA(N224),NA(),M158)</f>
        <v>0</v>
      </c>
      <c r="N224">
        <f>IF(OR(N158="",AND(N158=N157,N158=N159)),NA(), N158)</f>
        <v>0</v>
      </c>
      <c r="O224">
        <f>IF(ISNA(P224),NA(),O158)</f>
        <v>0</v>
      </c>
      <c r="P224">
        <f>IF(OR(P158="",AND(P158=P157,P158=P159)),NA(), P158)</f>
        <v>0</v>
      </c>
      <c r="Q224">
        <f>IF(ISNA(R224),NA(),Q158)</f>
        <v>0</v>
      </c>
      <c r="R224">
        <f>IF(OR(R158="",AND(R158=R157,R158=R159)),NA(), R158)</f>
        <v>0</v>
      </c>
      <c r="S224">
        <f>IF(ISNA(T224),NA(),S158)</f>
        <v>0</v>
      </c>
      <c r="T224">
        <f>IF(OR(T158="",AND(T158=T157,T158=T159)),NA(), T158)</f>
        <v>0</v>
      </c>
      <c r="U224">
        <f>IF(ISNA(V224),NA(),U158)</f>
        <v>0</v>
      </c>
      <c r="V224">
        <f>IF(OR(V158="",AND(V158=V157,V158=V159)),NA(), V158)</f>
        <v>0</v>
      </c>
      <c r="W224">
        <f>IF(ISNA(X224),NA(),W158)</f>
        <v>0</v>
      </c>
      <c r="X224">
        <f>IF(OR(X158="",AND(X158=X157,X158=X159)),NA(), X158)</f>
        <v>0</v>
      </c>
      <c r="Y224">
        <f>IF(ISNA(Z224),NA(),Y158)</f>
        <v>0</v>
      </c>
      <c r="Z224">
        <f>IF(OR(Z158="",AND(Z158=Z157,Z158=Z159)),NA(), Z158)</f>
        <v>0</v>
      </c>
      <c r="AA224">
        <f>IF(ISNA(AB224),NA(),AA158)</f>
        <v>0</v>
      </c>
      <c r="AB224">
        <f>IF(OR(AB158="",AND(AB158=AB157,AB158=AB159)),NA(), AB158)</f>
        <v>0</v>
      </c>
      <c r="AC224">
        <f>IF(ISNA(AD224),NA(),AC158)</f>
        <v>0</v>
      </c>
      <c r="AD224">
        <f>IF(OR(AD158="",AND(AD158=AD157,AD158=AD159)),NA(), AD158)</f>
        <v>0</v>
      </c>
      <c r="AE224">
        <f>IF(ISNA(AF224),NA(),AE158)</f>
        <v>0</v>
      </c>
      <c r="AF224">
        <f>IF(OR(AF158="",AND(AF158=AF157,AF158=AF159)),NA(), AF158)</f>
        <v>0</v>
      </c>
      <c r="AG224">
        <f>IF(ISNA(AH224),NA(),AG158)</f>
        <v>0</v>
      </c>
      <c r="AH224">
        <f>IF(OR(AH158="",AND(AH158=AH157,AH158=AH159)),NA(), AH158)</f>
        <v>0</v>
      </c>
      <c r="AI224">
        <f>IF(ISNA(AJ224),NA(),AI158)</f>
        <v>0</v>
      </c>
      <c r="AJ224">
        <f>IF(OR(AJ158="",AND(AJ158=AJ157,AJ158=AJ159)),NA(), AJ158)</f>
        <v>0</v>
      </c>
      <c r="AK224">
        <f>IF(ISNA(AL224),NA(),AK158)</f>
        <v>0</v>
      </c>
      <c r="AL224">
        <f>IF(OR(AL158="",AND(AL158=AL157,AL158=AL159)),NA(), AL158)</f>
        <v>0</v>
      </c>
      <c r="AM224">
        <f>IF(ISNA(AN224),NA(),AM158)</f>
        <v>0</v>
      </c>
      <c r="AN224">
        <f>IF(OR(AN158="",AND(AN158=AN157,AN158=AN159)),NA(), AN158)</f>
        <v>0</v>
      </c>
      <c r="AO224">
        <f>IF(ISNA(AP224),NA(),AO158)</f>
        <v>0</v>
      </c>
      <c r="AP224">
        <f>IF(OR(AP158="",AND(AP158=AP157,AP158=AP159)),NA(), AP158)</f>
        <v>0</v>
      </c>
      <c r="AQ224">
        <f>IF(ISNA(AR224),NA(),AQ158)</f>
        <v>0</v>
      </c>
      <c r="AR224">
        <f>IF(OR(AR158="",AND(AR158=AR157,AR158=AR159)),NA(), AR158)</f>
        <v>0</v>
      </c>
      <c r="AS224">
        <f>IF(ISNA(AT224),NA(),AS158)</f>
        <v>0</v>
      </c>
      <c r="AT224">
        <f>IF(OR(AT158="",AND(AT158=AT157,AT158=AT159)),NA(), AT158)</f>
        <v>0</v>
      </c>
      <c r="AU224">
        <f>IF(ISNA(AV224),NA(),AU158)</f>
        <v>0</v>
      </c>
      <c r="AV224">
        <f>IF(OR(AV158="",AND(AV158=AV157,AV158=AV159)),NA(), AV158)</f>
        <v>0</v>
      </c>
      <c r="AW224">
        <f>IF(ISNA(AX224),NA(),AW158)</f>
        <v>0</v>
      </c>
      <c r="AX224">
        <f>IF(OR(AX158="",AND(AX158=AX157,AX158=AX159)),NA(), AX158)</f>
        <v>0</v>
      </c>
      <c r="AY224">
        <f>IF(ISNA(AZ224),NA(),AY158)</f>
        <v>0</v>
      </c>
      <c r="AZ224">
        <f>IF(OR(AZ158="",AND(AZ158=AZ157,AZ158=AZ159)),NA(), AZ158)</f>
        <v>0</v>
      </c>
      <c r="BA224">
        <f>IF(ISNA(BB224),NA(),BA158)</f>
        <v>0</v>
      </c>
      <c r="BB224">
        <f>IF(OR(BB158="",AND(BB158=BB157,BB158=BB159)),NA(), BB158)</f>
        <v>0</v>
      </c>
      <c r="BC224">
        <f>IF(ISNA(BD224),NA(),BC158)</f>
        <v>0</v>
      </c>
      <c r="BD224">
        <f>IF(OR(BD158="",AND(BD158=BD157,BD158=BD159)),NA(), BD158)</f>
        <v>0</v>
      </c>
      <c r="BE224">
        <f>IF(ISNA(BF224),NA(),BE158)</f>
        <v>0</v>
      </c>
      <c r="BF224">
        <f>IF(OR(BF158="",AND(BF158=BF157,BF158=BF159)),NA(), BF158)</f>
        <v>0</v>
      </c>
      <c r="BG224">
        <f>IF(ISNA(BH224),NA(),BG158)</f>
        <v>0</v>
      </c>
      <c r="BH224">
        <f>IF(OR(BH158="",AND(BH158=BH157,BH158=BH159)),NA(), BH158)</f>
        <v>0</v>
      </c>
      <c r="BI224">
        <f>IF(ISNA(BJ224),NA(),BI158)</f>
        <v>0</v>
      </c>
      <c r="BJ224">
        <f>IF(OR(BJ158="",AND(BJ158=BJ157,BJ158=BJ159)),NA(), BJ158)</f>
        <v>0</v>
      </c>
      <c r="BK224">
        <f>IF(ISNA(BL224),NA(),BK158)</f>
        <v>0</v>
      </c>
      <c r="BL224">
        <f>IF(OR(BL158="",AND(BL158=BL157,BL158=BL159)),NA(), BL158)</f>
        <v>0</v>
      </c>
      <c r="BM224">
        <f>IF(ISNA(BN224),NA(),BM158)</f>
        <v>0</v>
      </c>
      <c r="BN224">
        <f>IF(OR(BN158="",AND(BN158=BN157,BN158=BN159)),NA(), BN158)</f>
        <v>0</v>
      </c>
      <c r="BO224">
        <f>IF(ISNA(BP224),NA(),BO158)</f>
        <v>0</v>
      </c>
      <c r="BP224">
        <f>IF(OR(BP158="",AND(BP158=BP157,BP158=BP159)),NA(), BP158)</f>
        <v>0</v>
      </c>
      <c r="BS224">
        <f>IF(ISNA(BT224),NA(),BS158)</f>
        <v>0</v>
      </c>
      <c r="BT224">
        <f>IF(OR(BT158="",AND(BT158=BT157,BT158=BT159)),NA(), BT158)</f>
        <v>0</v>
      </c>
      <c r="BU224">
        <f>IF(ISNA(BV224),NA(),BU158)</f>
        <v>0</v>
      </c>
      <c r="BV224">
        <f>IF(OR(BV158="",AND(BV158=BV157,BV158=BV159)),NA(), BV158)</f>
        <v>0</v>
      </c>
      <c r="BW224">
        <f>IF(ISNA(BX224),NA(),BW158)</f>
        <v>0</v>
      </c>
      <c r="BX224">
        <f>IF(OR(BX158="",AND(BX158=BX157,BX158=BX159)),NA(), BX158)</f>
        <v>0</v>
      </c>
      <c r="BY224">
        <f>IF(ISNA(BZ224),NA(),BY158)</f>
        <v>0</v>
      </c>
      <c r="BZ224">
        <f>IF(OR(BZ158="",AND(BZ158=BZ157,BZ158=BZ159)),NA(), BZ158)</f>
        <v>0</v>
      </c>
      <c r="CA224">
        <f>IF(ISNA(CB224),NA(),CA158)</f>
        <v>0</v>
      </c>
      <c r="CB224">
        <f>IF(OR(CB158="",AND(CB158=CB157,CB158=CB159)),NA(), CB158)</f>
        <v>0</v>
      </c>
      <c r="CC224">
        <f>IF(ISNA(CD224),NA(),CC158)</f>
        <v>0</v>
      </c>
      <c r="CD224">
        <f>IF(OR(CD158="",AND(CD158=CD157,CD158=CD159)),NA(), CD158)</f>
        <v>0</v>
      </c>
      <c r="CE224">
        <f>IF(ISNA(CF224),NA(),CE158)</f>
        <v>0</v>
      </c>
      <c r="CF224">
        <f>IF(OR(CF158="",AND(CF158=CF157,CF158=CF159)),NA(), CF158)</f>
        <v>0</v>
      </c>
      <c r="CG224">
        <f>IF(ISNA(CH224),NA(),CG158)</f>
        <v>0</v>
      </c>
      <c r="CH224">
        <f>IF(OR(CH158="",AND(CH158=CH157,CH158=CH159)),NA(), CH158)</f>
        <v>0</v>
      </c>
      <c r="CI224">
        <f>IF(ISNA(CJ224),NA(),CI158)</f>
        <v>0</v>
      </c>
      <c r="CJ224">
        <f>IF(OR(CJ158="",AND(CJ158=CJ157,CJ158=CJ159)),NA(), CJ158)</f>
        <v>0</v>
      </c>
      <c r="CK224">
        <f>IF(ISNA(CL224),NA(),CK158)</f>
        <v>0</v>
      </c>
      <c r="CL224">
        <f>IF(OR(CL158="",AND(CL158=CL157,CL158=CL159)),NA(), CL158)</f>
        <v>0</v>
      </c>
      <c r="CM224">
        <f>IF(ISNA(CN224),NA(),CM158)</f>
        <v>0</v>
      </c>
      <c r="CN224">
        <f>IF(OR(CN158="",AND(CN158=CN157,CN158=CN159)),NA(), CN158)</f>
        <v>0</v>
      </c>
      <c r="CO224">
        <f>IF(ISNA(CP224),NA(),CO158)</f>
        <v>0</v>
      </c>
      <c r="CP224">
        <f>IF(OR(CP158="",AND(CP158=CP157,CP158=CP159)),NA(), CP158)</f>
        <v>0</v>
      </c>
      <c r="CQ224">
        <f>IF(ISNA(CR224),NA(),CQ158)</f>
        <v>0</v>
      </c>
      <c r="CR224">
        <f>IF(OR(CR158="",AND(CR158=CR157,CR158=CR159)),NA(), CR158)</f>
        <v>0</v>
      </c>
      <c r="CS224">
        <f>IF(ISNA(CT224),NA(),CS158)</f>
        <v>0</v>
      </c>
      <c r="CT224">
        <f>IF(OR(CT158="",AND(CT158=CT157,CT158=CT159)),NA(), CT158)</f>
        <v>0</v>
      </c>
      <c r="CU224">
        <f>IF(ISNA(CV224),NA(),CU158)</f>
        <v>0</v>
      </c>
      <c r="CV224">
        <f>IF(OR(CV158="",AND(CV158=CV157,CV158=CV159)),NA(), CV158)</f>
        <v>0</v>
      </c>
      <c r="CW224">
        <f>IF(ISNA(CX224),NA(),CW158)</f>
        <v>0</v>
      </c>
      <c r="CX224">
        <f>IF(OR(CX158="",AND(CX158=CX157,CX158=CX159)),NA(), CX158)</f>
        <v>0</v>
      </c>
      <c r="CY224">
        <f>IF(ISNA(CZ224),NA(),CY158)</f>
        <v>0</v>
      </c>
      <c r="CZ224">
        <f>IF(OR(CZ158="",AND(CZ158=CZ157,CZ158=CZ159)),NA(), CZ158)</f>
        <v>0</v>
      </c>
      <c r="DA224">
        <f>IF(ISNA(DB224),NA(),DA158)</f>
        <v>0</v>
      </c>
      <c r="DB224">
        <f>IF(OR(DB158="",AND(DB158=DB157,DB158=DB159)),NA(), DB158)</f>
        <v>0</v>
      </c>
      <c r="DC224">
        <f>IF(ISNA(DD224),NA(),DC158)</f>
        <v>0</v>
      </c>
      <c r="DD224">
        <f>IF(OR(DD158="",AND(DD158=DD157,DD158=DD159)),NA(), DD158)</f>
        <v>0</v>
      </c>
      <c r="DE224">
        <f>IF(ISNA(DF224),NA(),DE158)</f>
        <v>0</v>
      </c>
      <c r="DF224">
        <f>IF(OR(DF158="",AND(DF158=DF157,DF158=DF159)),NA(), DF158)</f>
        <v>0</v>
      </c>
      <c r="DG224">
        <f>IF(ISNA(DH224),NA(),DG158)</f>
        <v>0</v>
      </c>
      <c r="DH224">
        <f>IF(OR(DH158="",AND(DH158=DH157,DH158=DH159)),NA(), DH158)</f>
        <v>0</v>
      </c>
      <c r="DI224">
        <f>IF(ISNA(DJ224),NA(),DI158)</f>
        <v>0</v>
      </c>
      <c r="DJ224">
        <f>IF(OR(DJ158="",AND(DJ158=DJ157,DJ158=DJ159)),NA(), DJ158)</f>
        <v>0</v>
      </c>
      <c r="DK224">
        <f>IF(ISNA(DL224),NA(),DK158)</f>
        <v>0</v>
      </c>
      <c r="DL224">
        <f>IF(OR(DL158="",AND(DL158=DL157,DL158=DL159)),NA(), DL158)</f>
        <v>0</v>
      </c>
      <c r="DM224">
        <f>IF(ISNA(DN224),NA(),DM158)</f>
        <v>0</v>
      </c>
      <c r="DN224">
        <f>IF(OR(DN158="",AND(DN158=DN157,DN158=DN159)),NA(), DN158)</f>
        <v>0</v>
      </c>
      <c r="DO224">
        <f>IF(ISNA(DP224),NA(),DO158)</f>
        <v>0</v>
      </c>
      <c r="DP224">
        <f>IF(OR(DP158="",AND(DP158=DP157,DP158=DP159)),NA(), DP158)</f>
        <v>0</v>
      </c>
      <c r="DQ224">
        <f>IF(ISNA(DR224),NA(),DQ158)</f>
        <v>0</v>
      </c>
      <c r="DR224">
        <f>IF(OR(DR158="",AND(DR158=DR157,DR158=DR159)),NA(), DR158)</f>
        <v>0</v>
      </c>
      <c r="DS224">
        <f>IF(ISNA(DT224),NA(),DS158)</f>
        <v>0</v>
      </c>
      <c r="DT224">
        <f>IF(OR(DT158="",AND(DT158=DT157,DT158=DT159)),NA(), DT158)</f>
        <v>0</v>
      </c>
      <c r="DU224">
        <f>IF(ISNA(DV224),NA(),DU158)</f>
        <v>0</v>
      </c>
      <c r="DV224">
        <f>IF(OR(DV158="",AND(DV158=DV157,DV158=DV159)),NA(), DV158)</f>
        <v>0</v>
      </c>
      <c r="DW224">
        <f>IF(ISNA(DX224),NA(),DW158)</f>
        <v>0</v>
      </c>
      <c r="DX224">
        <f>IF(OR(DX158="",AND(DX158=DX157,DX158=DX159)),NA(), DX158)</f>
        <v>0</v>
      </c>
      <c r="DY224">
        <f>IF(ISNA(DZ224),NA(),DY158)</f>
        <v>0</v>
      </c>
      <c r="DZ224">
        <f>IF(OR(DZ158="",AND(DZ158=DZ157,DZ158=DZ159)),NA(), DZ158)</f>
        <v>0</v>
      </c>
      <c r="EA224">
        <f>IF(ISNA(EB224),NA(),EA158)</f>
        <v>0</v>
      </c>
      <c r="EB224">
        <f>IF(OR(EB158="",AND(EB158=EB157,EB158=EB159)),NA(), EB158)</f>
        <v>0</v>
      </c>
      <c r="EC224">
        <f>IF(ISNA(ED224),NA(),EC158)</f>
        <v>0</v>
      </c>
      <c r="ED224">
        <f>IF(OR(ED158="",AND(ED158=ED157,ED158=ED159)),NA(), ED158)</f>
        <v>0</v>
      </c>
    </row>
    <row r="225" spans="5:134">
      <c r="E225">
        <f>IF(ISNA(F225),NA(),E159)</f>
        <v>0</v>
      </c>
      <c r="F225">
        <f>IF(OR(F159="",AND(F159=F158,F159=F160)),NA(), F159)</f>
        <v>0</v>
      </c>
      <c r="G225">
        <f>IF(ISNA(H225),NA(),G159)</f>
        <v>0</v>
      </c>
      <c r="H225">
        <f>IF(OR(H159="",AND(H159=H158,H159=H160)),NA(), H159)</f>
        <v>0</v>
      </c>
      <c r="I225">
        <f>IF(ISNA(J225),NA(),I159)</f>
        <v>0</v>
      </c>
      <c r="J225">
        <f>IF(OR(J159="",AND(J159=J158,J159=J160)),NA(), J159)</f>
        <v>0</v>
      </c>
      <c r="K225">
        <f>IF(ISNA(L225),NA(),K159)</f>
        <v>0</v>
      </c>
      <c r="L225">
        <f>IF(OR(L159="",AND(L159=L158,L159=L160)),NA(), L159)</f>
        <v>0</v>
      </c>
      <c r="M225">
        <f>IF(ISNA(N225),NA(),M159)</f>
        <v>0</v>
      </c>
      <c r="N225">
        <f>IF(OR(N159="",AND(N159=N158,N159=N160)),NA(), N159)</f>
        <v>0</v>
      </c>
      <c r="O225">
        <f>IF(ISNA(P225),NA(),O159)</f>
        <v>0</v>
      </c>
      <c r="P225">
        <f>IF(OR(P159="",AND(P159=P158,P159=P160)),NA(), P159)</f>
        <v>0</v>
      </c>
      <c r="Q225">
        <f>IF(ISNA(R225),NA(),Q159)</f>
        <v>0</v>
      </c>
      <c r="R225">
        <f>IF(OR(R159="",AND(R159=R158,R159=R160)),NA(), R159)</f>
        <v>0</v>
      </c>
      <c r="S225">
        <f>IF(ISNA(T225),NA(),S159)</f>
        <v>0</v>
      </c>
      <c r="T225">
        <f>IF(OR(T159="",AND(T159=T158,T159=T160)),NA(), T159)</f>
        <v>0</v>
      </c>
      <c r="U225">
        <f>IF(ISNA(V225),NA(),U159)</f>
        <v>0</v>
      </c>
      <c r="V225">
        <f>IF(OR(V159="",AND(V159=V158,V159=V160)),NA(), V159)</f>
        <v>0</v>
      </c>
      <c r="W225">
        <f>IF(ISNA(X225),NA(),W159)</f>
        <v>0</v>
      </c>
      <c r="X225">
        <f>IF(OR(X159="",AND(X159=X158,X159=X160)),NA(), X159)</f>
        <v>0</v>
      </c>
      <c r="Y225">
        <f>IF(ISNA(Z225),NA(),Y159)</f>
        <v>0</v>
      </c>
      <c r="Z225">
        <f>IF(OR(Z159="",AND(Z159=Z158,Z159=Z160)),NA(), Z159)</f>
        <v>0</v>
      </c>
      <c r="AA225">
        <f>IF(ISNA(AB225),NA(),AA159)</f>
        <v>0</v>
      </c>
      <c r="AB225">
        <f>IF(OR(AB159="",AND(AB159=AB158,AB159=AB160)),NA(), AB159)</f>
        <v>0</v>
      </c>
      <c r="AC225">
        <f>IF(ISNA(AD225),NA(),AC159)</f>
        <v>0</v>
      </c>
      <c r="AD225">
        <f>IF(OR(AD159="",AND(AD159=AD158,AD159=AD160)),NA(), AD159)</f>
        <v>0</v>
      </c>
      <c r="AE225">
        <f>IF(ISNA(AF225),NA(),AE159)</f>
        <v>0</v>
      </c>
      <c r="AF225">
        <f>IF(OR(AF159="",AND(AF159=AF158,AF159=AF160)),NA(), AF159)</f>
        <v>0</v>
      </c>
      <c r="AG225">
        <f>IF(ISNA(AH225),NA(),AG159)</f>
        <v>0</v>
      </c>
      <c r="AH225">
        <f>IF(OR(AH159="",AND(AH159=AH158,AH159=AH160)),NA(), AH159)</f>
        <v>0</v>
      </c>
      <c r="AI225">
        <f>IF(ISNA(AJ225),NA(),AI159)</f>
        <v>0</v>
      </c>
      <c r="AJ225">
        <f>IF(OR(AJ159="",AND(AJ159=AJ158,AJ159=AJ160)),NA(), AJ159)</f>
        <v>0</v>
      </c>
      <c r="AK225">
        <f>IF(ISNA(AL225),NA(),AK159)</f>
        <v>0</v>
      </c>
      <c r="AL225">
        <f>IF(OR(AL159="",AND(AL159=AL158,AL159=AL160)),NA(), AL159)</f>
        <v>0</v>
      </c>
      <c r="AM225">
        <f>IF(ISNA(AN225),NA(),AM159)</f>
        <v>0</v>
      </c>
      <c r="AN225">
        <f>IF(OR(AN159="",AND(AN159=AN158,AN159=AN160)),NA(), AN159)</f>
        <v>0</v>
      </c>
      <c r="AO225">
        <f>IF(ISNA(AP225),NA(),AO159)</f>
        <v>0</v>
      </c>
      <c r="AP225">
        <f>IF(OR(AP159="",AND(AP159=AP158,AP159=AP160)),NA(), AP159)</f>
        <v>0</v>
      </c>
      <c r="AQ225">
        <f>IF(ISNA(AR225),NA(),AQ159)</f>
        <v>0</v>
      </c>
      <c r="AR225">
        <f>IF(OR(AR159="",AND(AR159=AR158,AR159=AR160)),NA(), AR159)</f>
        <v>0</v>
      </c>
      <c r="AS225">
        <f>IF(ISNA(AT225),NA(),AS159)</f>
        <v>0</v>
      </c>
      <c r="AT225">
        <f>IF(OR(AT159="",AND(AT159=AT158,AT159=AT160)),NA(), AT159)</f>
        <v>0</v>
      </c>
      <c r="AU225">
        <f>IF(ISNA(AV225),NA(),AU159)</f>
        <v>0</v>
      </c>
      <c r="AV225">
        <f>IF(OR(AV159="",AND(AV159=AV158,AV159=AV160)),NA(), AV159)</f>
        <v>0</v>
      </c>
      <c r="AW225">
        <f>IF(ISNA(AX225),NA(),AW159)</f>
        <v>0</v>
      </c>
      <c r="AX225">
        <f>IF(OR(AX159="",AND(AX159=AX158,AX159=AX160)),NA(), AX159)</f>
        <v>0</v>
      </c>
      <c r="AY225">
        <f>IF(ISNA(AZ225),NA(),AY159)</f>
        <v>0</v>
      </c>
      <c r="AZ225">
        <f>IF(OR(AZ159="",AND(AZ159=AZ158,AZ159=AZ160)),NA(), AZ159)</f>
        <v>0</v>
      </c>
      <c r="BA225">
        <f>IF(ISNA(BB225),NA(),BA159)</f>
        <v>0</v>
      </c>
      <c r="BB225">
        <f>IF(OR(BB159="",AND(BB159=BB158,BB159=BB160)),NA(), BB159)</f>
        <v>0</v>
      </c>
      <c r="BC225">
        <f>IF(ISNA(BD225),NA(),BC159)</f>
        <v>0</v>
      </c>
      <c r="BD225">
        <f>IF(OR(BD159="",AND(BD159=BD158,BD159=BD160)),NA(), BD159)</f>
        <v>0</v>
      </c>
      <c r="BE225">
        <f>IF(ISNA(BF225),NA(),BE159)</f>
        <v>0</v>
      </c>
      <c r="BF225">
        <f>IF(OR(BF159="",AND(BF159=BF158,BF159=BF160)),NA(), BF159)</f>
        <v>0</v>
      </c>
      <c r="BG225">
        <f>IF(ISNA(BH225),NA(),BG159)</f>
        <v>0</v>
      </c>
      <c r="BH225">
        <f>IF(OR(BH159="",AND(BH159=BH158,BH159=BH160)),NA(), BH159)</f>
        <v>0</v>
      </c>
      <c r="BI225">
        <f>IF(ISNA(BJ225),NA(),BI159)</f>
        <v>0</v>
      </c>
      <c r="BJ225">
        <f>IF(OR(BJ159="",AND(BJ159=BJ158,BJ159=BJ160)),NA(), BJ159)</f>
        <v>0</v>
      </c>
      <c r="BK225">
        <f>IF(ISNA(BL225),NA(),BK159)</f>
        <v>0</v>
      </c>
      <c r="BL225">
        <f>IF(OR(BL159="",AND(BL159=BL158,BL159=BL160)),NA(), BL159)</f>
        <v>0</v>
      </c>
      <c r="BM225">
        <f>IF(ISNA(BN225),NA(),BM159)</f>
        <v>0</v>
      </c>
      <c r="BN225">
        <f>IF(OR(BN159="",AND(BN159=BN158,BN159=BN160)),NA(), BN159)</f>
        <v>0</v>
      </c>
      <c r="BO225">
        <f>IF(ISNA(BP225),NA(),BO159)</f>
        <v>0</v>
      </c>
      <c r="BP225">
        <f>IF(OR(BP159="",AND(BP159=BP158,BP159=BP160)),NA(), BP159)</f>
        <v>0</v>
      </c>
      <c r="BS225">
        <f>IF(ISNA(BT225),NA(),BS159)</f>
        <v>0</v>
      </c>
      <c r="BT225">
        <f>IF(OR(BT159="",AND(BT159=BT158,BT159=BT160)),NA(), BT159)</f>
        <v>0</v>
      </c>
      <c r="BU225">
        <f>IF(ISNA(BV225),NA(),BU159)</f>
        <v>0</v>
      </c>
      <c r="BV225">
        <f>IF(OR(BV159="",AND(BV159=BV158,BV159=BV160)),NA(), BV159)</f>
        <v>0</v>
      </c>
      <c r="BW225">
        <f>IF(ISNA(BX225),NA(),BW159)</f>
        <v>0</v>
      </c>
      <c r="BX225">
        <f>IF(OR(BX159="",AND(BX159=BX158,BX159=BX160)),NA(), BX159)</f>
        <v>0</v>
      </c>
      <c r="BY225">
        <f>IF(ISNA(BZ225),NA(),BY159)</f>
        <v>0</v>
      </c>
      <c r="BZ225">
        <f>IF(OR(BZ159="",AND(BZ159=BZ158,BZ159=BZ160)),NA(), BZ159)</f>
        <v>0</v>
      </c>
      <c r="CA225">
        <f>IF(ISNA(CB225),NA(),CA159)</f>
        <v>0</v>
      </c>
      <c r="CB225">
        <f>IF(OR(CB159="",AND(CB159=CB158,CB159=CB160)),NA(), CB159)</f>
        <v>0</v>
      </c>
      <c r="CC225">
        <f>IF(ISNA(CD225),NA(),CC159)</f>
        <v>0</v>
      </c>
      <c r="CD225">
        <f>IF(OR(CD159="",AND(CD159=CD158,CD159=CD160)),NA(), CD159)</f>
        <v>0</v>
      </c>
      <c r="CE225">
        <f>IF(ISNA(CF225),NA(),CE159)</f>
        <v>0</v>
      </c>
      <c r="CF225">
        <f>IF(OR(CF159="",AND(CF159=CF158,CF159=CF160)),NA(), CF159)</f>
        <v>0</v>
      </c>
      <c r="CG225">
        <f>IF(ISNA(CH225),NA(),CG159)</f>
        <v>0</v>
      </c>
      <c r="CH225">
        <f>IF(OR(CH159="",AND(CH159=CH158,CH159=CH160)),NA(), CH159)</f>
        <v>0</v>
      </c>
      <c r="CI225">
        <f>IF(ISNA(CJ225),NA(),CI159)</f>
        <v>0</v>
      </c>
      <c r="CJ225">
        <f>IF(OR(CJ159="",AND(CJ159=CJ158,CJ159=CJ160)),NA(), CJ159)</f>
        <v>0</v>
      </c>
      <c r="CK225">
        <f>IF(ISNA(CL225),NA(),CK159)</f>
        <v>0</v>
      </c>
      <c r="CL225">
        <f>IF(OR(CL159="",AND(CL159=CL158,CL159=CL160)),NA(), CL159)</f>
        <v>0</v>
      </c>
      <c r="CM225">
        <f>IF(ISNA(CN225),NA(),CM159)</f>
        <v>0</v>
      </c>
      <c r="CN225">
        <f>IF(OR(CN159="",AND(CN159=CN158,CN159=CN160)),NA(), CN159)</f>
        <v>0</v>
      </c>
      <c r="CO225">
        <f>IF(ISNA(CP225),NA(),CO159)</f>
        <v>0</v>
      </c>
      <c r="CP225">
        <f>IF(OR(CP159="",AND(CP159=CP158,CP159=CP160)),NA(), CP159)</f>
        <v>0</v>
      </c>
      <c r="CQ225">
        <f>IF(ISNA(CR225),NA(),CQ159)</f>
        <v>0</v>
      </c>
      <c r="CR225">
        <f>IF(OR(CR159="",AND(CR159=CR158,CR159=CR160)),NA(), CR159)</f>
        <v>0</v>
      </c>
      <c r="CS225">
        <f>IF(ISNA(CT225),NA(),CS159)</f>
        <v>0</v>
      </c>
      <c r="CT225">
        <f>IF(OR(CT159="",AND(CT159=CT158,CT159=CT160)),NA(), CT159)</f>
        <v>0</v>
      </c>
      <c r="CU225">
        <f>IF(ISNA(CV225),NA(),CU159)</f>
        <v>0</v>
      </c>
      <c r="CV225">
        <f>IF(OR(CV159="",AND(CV159=CV158,CV159=CV160)),NA(), CV159)</f>
        <v>0</v>
      </c>
      <c r="CW225">
        <f>IF(ISNA(CX225),NA(),CW159)</f>
        <v>0</v>
      </c>
      <c r="CX225">
        <f>IF(OR(CX159="",AND(CX159=CX158,CX159=CX160)),NA(), CX159)</f>
        <v>0</v>
      </c>
      <c r="CY225">
        <f>IF(ISNA(CZ225),NA(),CY159)</f>
        <v>0</v>
      </c>
      <c r="CZ225">
        <f>IF(OR(CZ159="",AND(CZ159=CZ158,CZ159=CZ160)),NA(), CZ159)</f>
        <v>0</v>
      </c>
      <c r="DA225">
        <f>IF(ISNA(DB225),NA(),DA159)</f>
        <v>0</v>
      </c>
      <c r="DB225">
        <f>IF(OR(DB159="",AND(DB159=DB158,DB159=DB160)),NA(), DB159)</f>
        <v>0</v>
      </c>
      <c r="DC225">
        <f>IF(ISNA(DD225),NA(),DC159)</f>
        <v>0</v>
      </c>
      <c r="DD225">
        <f>IF(OR(DD159="",AND(DD159=DD158,DD159=DD160)),NA(), DD159)</f>
        <v>0</v>
      </c>
      <c r="DE225">
        <f>IF(ISNA(DF225),NA(),DE159)</f>
        <v>0</v>
      </c>
      <c r="DF225">
        <f>IF(OR(DF159="",AND(DF159=DF158,DF159=DF160)),NA(), DF159)</f>
        <v>0</v>
      </c>
      <c r="DG225">
        <f>IF(ISNA(DH225),NA(),DG159)</f>
        <v>0</v>
      </c>
      <c r="DH225">
        <f>IF(OR(DH159="",AND(DH159=DH158,DH159=DH160)),NA(), DH159)</f>
        <v>0</v>
      </c>
      <c r="DI225">
        <f>IF(ISNA(DJ225),NA(),DI159)</f>
        <v>0</v>
      </c>
      <c r="DJ225">
        <f>IF(OR(DJ159="",AND(DJ159=DJ158,DJ159=DJ160)),NA(), DJ159)</f>
        <v>0</v>
      </c>
      <c r="DK225">
        <f>IF(ISNA(DL225),NA(),DK159)</f>
        <v>0</v>
      </c>
      <c r="DL225">
        <f>IF(OR(DL159="",AND(DL159=DL158,DL159=DL160)),NA(), DL159)</f>
        <v>0</v>
      </c>
      <c r="DM225">
        <f>IF(ISNA(DN225),NA(),DM159)</f>
        <v>0</v>
      </c>
      <c r="DN225">
        <f>IF(OR(DN159="",AND(DN159=DN158,DN159=DN160)),NA(), DN159)</f>
        <v>0</v>
      </c>
      <c r="DO225">
        <f>IF(ISNA(DP225),NA(),DO159)</f>
        <v>0</v>
      </c>
      <c r="DP225">
        <f>IF(OR(DP159="",AND(DP159=DP158,DP159=DP160)),NA(), DP159)</f>
        <v>0</v>
      </c>
      <c r="DQ225">
        <f>IF(ISNA(DR225),NA(),DQ159)</f>
        <v>0</v>
      </c>
      <c r="DR225">
        <f>IF(OR(DR159="",AND(DR159=DR158,DR159=DR160)),NA(), DR159)</f>
        <v>0</v>
      </c>
      <c r="DS225">
        <f>IF(ISNA(DT225),NA(),DS159)</f>
        <v>0</v>
      </c>
      <c r="DT225">
        <f>IF(OR(DT159="",AND(DT159=DT158,DT159=DT160)),NA(), DT159)</f>
        <v>0</v>
      </c>
      <c r="DU225">
        <f>IF(ISNA(DV225),NA(),DU159)</f>
        <v>0</v>
      </c>
      <c r="DV225">
        <f>IF(OR(DV159="",AND(DV159=DV158,DV159=DV160)),NA(), DV159)</f>
        <v>0</v>
      </c>
      <c r="DW225">
        <f>IF(ISNA(DX225),NA(),DW159)</f>
        <v>0</v>
      </c>
      <c r="DX225">
        <f>IF(OR(DX159="",AND(DX159=DX158,DX159=DX160)),NA(), DX159)</f>
        <v>0</v>
      </c>
      <c r="DY225">
        <f>IF(ISNA(DZ225),NA(),DY159)</f>
        <v>0</v>
      </c>
      <c r="DZ225">
        <f>IF(OR(DZ159="",AND(DZ159=DZ158,DZ159=DZ160)),NA(), DZ159)</f>
        <v>0</v>
      </c>
      <c r="EA225">
        <f>IF(ISNA(EB225),NA(),EA159)</f>
        <v>0</v>
      </c>
      <c r="EB225">
        <f>IF(OR(EB159="",AND(EB159=EB158,EB159=EB160)),NA(), EB159)</f>
        <v>0</v>
      </c>
      <c r="EC225">
        <f>IF(ISNA(ED225),NA(),EC159)</f>
        <v>0</v>
      </c>
      <c r="ED225">
        <f>IF(OR(ED159="",AND(ED159=ED158,ED159=ED160)),NA(), ED159)</f>
        <v>0</v>
      </c>
    </row>
    <row r="226" spans="5:134">
      <c r="E226">
        <f>IF(ISNA(F226),NA(),E160)</f>
        <v>0</v>
      </c>
      <c r="F226">
        <f>IF(OR(F160="",AND(F160=F159,F160=F161)),NA(), F160)</f>
        <v>0</v>
      </c>
      <c r="G226">
        <f>IF(ISNA(H226),NA(),G160)</f>
        <v>0</v>
      </c>
      <c r="H226">
        <f>IF(OR(H160="",AND(H160=H159,H160=H161)),NA(), H160)</f>
        <v>0</v>
      </c>
      <c r="I226">
        <f>IF(ISNA(J226),NA(),I160)</f>
        <v>0</v>
      </c>
      <c r="J226">
        <f>IF(OR(J160="",AND(J160=J159,J160=J161)),NA(), J160)</f>
        <v>0</v>
      </c>
      <c r="K226">
        <f>IF(ISNA(L226),NA(),K160)</f>
        <v>0</v>
      </c>
      <c r="L226">
        <f>IF(OR(L160="",AND(L160=L159,L160=L161)),NA(), L160)</f>
        <v>0</v>
      </c>
      <c r="M226">
        <f>IF(ISNA(N226),NA(),M160)</f>
        <v>0</v>
      </c>
      <c r="N226">
        <f>IF(OR(N160="",AND(N160=N159,N160=N161)),NA(), N160)</f>
        <v>0</v>
      </c>
      <c r="O226">
        <f>IF(ISNA(P226),NA(),O160)</f>
        <v>0</v>
      </c>
      <c r="P226">
        <f>IF(OR(P160="",AND(P160=P159,P160=P161)),NA(), P160)</f>
        <v>0</v>
      </c>
      <c r="Q226">
        <f>IF(ISNA(R226),NA(),Q160)</f>
        <v>0</v>
      </c>
      <c r="R226">
        <f>IF(OR(R160="",AND(R160=R159,R160=R161)),NA(), R160)</f>
        <v>0</v>
      </c>
      <c r="S226">
        <f>IF(ISNA(T226),NA(),S160)</f>
        <v>0</v>
      </c>
      <c r="T226">
        <f>IF(OR(T160="",AND(T160=T159,T160=T161)),NA(), T160)</f>
        <v>0</v>
      </c>
      <c r="U226">
        <f>IF(ISNA(V226),NA(),U160)</f>
        <v>0</v>
      </c>
      <c r="V226">
        <f>IF(OR(V160="",AND(V160=V159,V160=V161)),NA(), V160)</f>
        <v>0</v>
      </c>
      <c r="W226">
        <f>IF(ISNA(X226),NA(),W160)</f>
        <v>0</v>
      </c>
      <c r="X226">
        <f>IF(OR(X160="",AND(X160=X159,X160=X161)),NA(), X160)</f>
        <v>0</v>
      </c>
      <c r="Y226">
        <f>IF(ISNA(Z226),NA(),Y160)</f>
        <v>0</v>
      </c>
      <c r="Z226">
        <f>IF(OR(Z160="",AND(Z160=Z159,Z160=Z161)),NA(), Z160)</f>
        <v>0</v>
      </c>
      <c r="AA226">
        <f>IF(ISNA(AB226),NA(),AA160)</f>
        <v>0</v>
      </c>
      <c r="AB226">
        <f>IF(OR(AB160="",AND(AB160=AB159,AB160=AB161)),NA(), AB160)</f>
        <v>0</v>
      </c>
      <c r="AC226">
        <f>IF(ISNA(AD226),NA(),AC160)</f>
        <v>0</v>
      </c>
      <c r="AD226">
        <f>IF(OR(AD160="",AND(AD160=AD159,AD160=AD161)),NA(), AD160)</f>
        <v>0</v>
      </c>
      <c r="AE226">
        <f>IF(ISNA(AF226),NA(),AE160)</f>
        <v>0</v>
      </c>
      <c r="AF226">
        <f>IF(OR(AF160="",AND(AF160=AF159,AF160=AF161)),NA(), AF160)</f>
        <v>0</v>
      </c>
      <c r="AG226">
        <f>IF(ISNA(AH226),NA(),AG160)</f>
        <v>0</v>
      </c>
      <c r="AH226">
        <f>IF(OR(AH160="",AND(AH160=AH159,AH160=AH161)),NA(), AH160)</f>
        <v>0</v>
      </c>
      <c r="AI226">
        <f>IF(ISNA(AJ226),NA(),AI160)</f>
        <v>0</v>
      </c>
      <c r="AJ226">
        <f>IF(OR(AJ160="",AND(AJ160=AJ159,AJ160=AJ161)),NA(), AJ160)</f>
        <v>0</v>
      </c>
      <c r="AK226">
        <f>IF(ISNA(AL226),NA(),AK160)</f>
        <v>0</v>
      </c>
      <c r="AL226">
        <f>IF(OR(AL160="",AND(AL160=AL159,AL160=AL161)),NA(), AL160)</f>
        <v>0</v>
      </c>
      <c r="AM226">
        <f>IF(ISNA(AN226),NA(),AM160)</f>
        <v>0</v>
      </c>
      <c r="AN226">
        <f>IF(OR(AN160="",AND(AN160=AN159,AN160=AN161)),NA(), AN160)</f>
        <v>0</v>
      </c>
      <c r="AO226">
        <f>IF(ISNA(AP226),NA(),AO160)</f>
        <v>0</v>
      </c>
      <c r="AP226">
        <f>IF(OR(AP160="",AND(AP160=AP159,AP160=AP161)),NA(), AP160)</f>
        <v>0</v>
      </c>
      <c r="AQ226">
        <f>IF(ISNA(AR226),NA(),AQ160)</f>
        <v>0</v>
      </c>
      <c r="AR226">
        <f>IF(OR(AR160="",AND(AR160=AR159,AR160=AR161)),NA(), AR160)</f>
        <v>0</v>
      </c>
      <c r="AS226">
        <f>IF(ISNA(AT226),NA(),AS160)</f>
        <v>0</v>
      </c>
      <c r="AT226">
        <f>IF(OR(AT160="",AND(AT160=AT159,AT160=AT161)),NA(), AT160)</f>
        <v>0</v>
      </c>
      <c r="AU226">
        <f>IF(ISNA(AV226),NA(),AU160)</f>
        <v>0</v>
      </c>
      <c r="AV226">
        <f>IF(OR(AV160="",AND(AV160=AV159,AV160=AV161)),NA(), AV160)</f>
        <v>0</v>
      </c>
      <c r="AW226">
        <f>IF(ISNA(AX226),NA(),AW160)</f>
        <v>0</v>
      </c>
      <c r="AX226">
        <f>IF(OR(AX160="",AND(AX160=AX159,AX160=AX161)),NA(), AX160)</f>
        <v>0</v>
      </c>
      <c r="AY226">
        <f>IF(ISNA(AZ226),NA(),AY160)</f>
        <v>0</v>
      </c>
      <c r="AZ226">
        <f>IF(OR(AZ160="",AND(AZ160=AZ159,AZ160=AZ161)),NA(), AZ160)</f>
        <v>0</v>
      </c>
      <c r="BA226">
        <f>IF(ISNA(BB226),NA(),BA160)</f>
        <v>0</v>
      </c>
      <c r="BB226">
        <f>IF(OR(BB160="",AND(BB160=BB159,BB160=BB161)),NA(), BB160)</f>
        <v>0</v>
      </c>
      <c r="BC226">
        <f>IF(ISNA(BD226),NA(),BC160)</f>
        <v>0</v>
      </c>
      <c r="BD226">
        <f>IF(OR(BD160="",AND(BD160=BD159,BD160=BD161)),NA(), BD160)</f>
        <v>0</v>
      </c>
      <c r="BE226">
        <f>IF(ISNA(BF226),NA(),BE160)</f>
        <v>0</v>
      </c>
      <c r="BF226">
        <f>IF(OR(BF160="",AND(BF160=BF159,BF160=BF161)),NA(), BF160)</f>
        <v>0</v>
      </c>
      <c r="BG226">
        <f>IF(ISNA(BH226),NA(),BG160)</f>
        <v>0</v>
      </c>
      <c r="BH226">
        <f>IF(OR(BH160="",AND(BH160=BH159,BH160=BH161)),NA(), BH160)</f>
        <v>0</v>
      </c>
      <c r="BI226">
        <f>IF(ISNA(BJ226),NA(),BI160)</f>
        <v>0</v>
      </c>
      <c r="BJ226">
        <f>IF(OR(BJ160="",AND(BJ160=BJ159,BJ160=BJ161)),NA(), BJ160)</f>
        <v>0</v>
      </c>
      <c r="BK226">
        <f>IF(ISNA(BL226),NA(),BK160)</f>
        <v>0</v>
      </c>
      <c r="BL226">
        <f>IF(OR(BL160="",AND(BL160=BL159,BL160=BL161)),NA(), BL160)</f>
        <v>0</v>
      </c>
      <c r="BM226">
        <f>IF(ISNA(BN226),NA(),BM160)</f>
        <v>0</v>
      </c>
      <c r="BN226">
        <f>IF(OR(BN160="",AND(BN160=BN159,BN160=BN161)),NA(), BN160)</f>
        <v>0</v>
      </c>
      <c r="BO226">
        <f>IF(ISNA(BP226),NA(),BO160)</f>
        <v>0</v>
      </c>
      <c r="BP226">
        <f>IF(OR(BP160="",AND(BP160=BP159,BP160=BP161)),NA(), BP160)</f>
        <v>0</v>
      </c>
      <c r="BS226">
        <f>IF(ISNA(BT226),NA(),BS160)</f>
        <v>0</v>
      </c>
      <c r="BT226">
        <f>IF(OR(BT160="",AND(BT160=BT159,BT160=BT161)),NA(), BT160)</f>
        <v>0</v>
      </c>
      <c r="BU226">
        <f>IF(ISNA(BV226),NA(),BU160)</f>
        <v>0</v>
      </c>
      <c r="BV226">
        <f>IF(OR(BV160="",AND(BV160=BV159,BV160=BV161)),NA(), BV160)</f>
        <v>0</v>
      </c>
      <c r="BW226">
        <f>IF(ISNA(BX226),NA(),BW160)</f>
        <v>0</v>
      </c>
      <c r="BX226">
        <f>IF(OR(BX160="",AND(BX160=BX159,BX160=BX161)),NA(), BX160)</f>
        <v>0</v>
      </c>
      <c r="BY226">
        <f>IF(ISNA(BZ226),NA(),BY160)</f>
        <v>0</v>
      </c>
      <c r="BZ226">
        <f>IF(OR(BZ160="",AND(BZ160=BZ159,BZ160=BZ161)),NA(), BZ160)</f>
        <v>0</v>
      </c>
      <c r="CA226">
        <f>IF(ISNA(CB226),NA(),CA160)</f>
        <v>0</v>
      </c>
      <c r="CB226">
        <f>IF(OR(CB160="",AND(CB160=CB159,CB160=CB161)),NA(), CB160)</f>
        <v>0</v>
      </c>
      <c r="CC226">
        <f>IF(ISNA(CD226),NA(),CC160)</f>
        <v>0</v>
      </c>
      <c r="CD226">
        <f>IF(OR(CD160="",AND(CD160=CD159,CD160=CD161)),NA(), CD160)</f>
        <v>0</v>
      </c>
      <c r="CE226">
        <f>IF(ISNA(CF226),NA(),CE160)</f>
        <v>0</v>
      </c>
      <c r="CF226">
        <f>IF(OR(CF160="",AND(CF160=CF159,CF160=CF161)),NA(), CF160)</f>
        <v>0</v>
      </c>
      <c r="CG226">
        <f>IF(ISNA(CH226),NA(),CG160)</f>
        <v>0</v>
      </c>
      <c r="CH226">
        <f>IF(OR(CH160="",AND(CH160=CH159,CH160=CH161)),NA(), CH160)</f>
        <v>0</v>
      </c>
      <c r="CI226">
        <f>IF(ISNA(CJ226),NA(),CI160)</f>
        <v>0</v>
      </c>
      <c r="CJ226">
        <f>IF(OR(CJ160="",AND(CJ160=CJ159,CJ160=CJ161)),NA(), CJ160)</f>
        <v>0</v>
      </c>
      <c r="CK226">
        <f>IF(ISNA(CL226),NA(),CK160)</f>
        <v>0</v>
      </c>
      <c r="CL226">
        <f>IF(OR(CL160="",AND(CL160=CL159,CL160=CL161)),NA(), CL160)</f>
        <v>0</v>
      </c>
      <c r="CM226">
        <f>IF(ISNA(CN226),NA(),CM160)</f>
        <v>0</v>
      </c>
      <c r="CN226">
        <f>IF(OR(CN160="",AND(CN160=CN159,CN160=CN161)),NA(), CN160)</f>
        <v>0</v>
      </c>
      <c r="CO226">
        <f>IF(ISNA(CP226),NA(),CO160)</f>
        <v>0</v>
      </c>
      <c r="CP226">
        <f>IF(OR(CP160="",AND(CP160=CP159,CP160=CP161)),NA(), CP160)</f>
        <v>0</v>
      </c>
      <c r="CQ226">
        <f>IF(ISNA(CR226),NA(),CQ160)</f>
        <v>0</v>
      </c>
      <c r="CR226">
        <f>IF(OR(CR160="",AND(CR160=CR159,CR160=CR161)),NA(), CR160)</f>
        <v>0</v>
      </c>
      <c r="CS226">
        <f>IF(ISNA(CT226),NA(),CS160)</f>
        <v>0</v>
      </c>
      <c r="CT226">
        <f>IF(OR(CT160="",AND(CT160=CT159,CT160=CT161)),NA(), CT160)</f>
        <v>0</v>
      </c>
      <c r="CU226">
        <f>IF(ISNA(CV226),NA(),CU160)</f>
        <v>0</v>
      </c>
      <c r="CV226">
        <f>IF(OR(CV160="",AND(CV160=CV159,CV160=CV161)),NA(), CV160)</f>
        <v>0</v>
      </c>
      <c r="CW226">
        <f>IF(ISNA(CX226),NA(),CW160)</f>
        <v>0</v>
      </c>
      <c r="CX226">
        <f>IF(OR(CX160="",AND(CX160=CX159,CX160=CX161)),NA(), CX160)</f>
        <v>0</v>
      </c>
      <c r="CY226">
        <f>IF(ISNA(CZ226),NA(),CY160)</f>
        <v>0</v>
      </c>
      <c r="CZ226">
        <f>IF(OR(CZ160="",AND(CZ160=CZ159,CZ160=CZ161)),NA(), CZ160)</f>
        <v>0</v>
      </c>
      <c r="DA226">
        <f>IF(ISNA(DB226),NA(),DA160)</f>
        <v>0</v>
      </c>
      <c r="DB226">
        <f>IF(OR(DB160="",AND(DB160=DB159,DB160=DB161)),NA(), DB160)</f>
        <v>0</v>
      </c>
      <c r="DC226">
        <f>IF(ISNA(DD226),NA(),DC160)</f>
        <v>0</v>
      </c>
      <c r="DD226">
        <f>IF(OR(DD160="",AND(DD160=DD159,DD160=DD161)),NA(), DD160)</f>
        <v>0</v>
      </c>
      <c r="DE226">
        <f>IF(ISNA(DF226),NA(),DE160)</f>
        <v>0</v>
      </c>
      <c r="DF226">
        <f>IF(OR(DF160="",AND(DF160=DF159,DF160=DF161)),NA(), DF160)</f>
        <v>0</v>
      </c>
      <c r="DG226">
        <f>IF(ISNA(DH226),NA(),DG160)</f>
        <v>0</v>
      </c>
      <c r="DH226">
        <f>IF(OR(DH160="",AND(DH160=DH159,DH160=DH161)),NA(), DH160)</f>
        <v>0</v>
      </c>
      <c r="DI226">
        <f>IF(ISNA(DJ226),NA(),DI160)</f>
        <v>0</v>
      </c>
      <c r="DJ226">
        <f>IF(OR(DJ160="",AND(DJ160=DJ159,DJ160=DJ161)),NA(), DJ160)</f>
        <v>0</v>
      </c>
      <c r="DK226">
        <f>IF(ISNA(DL226),NA(),DK160)</f>
        <v>0</v>
      </c>
      <c r="DL226">
        <f>IF(OR(DL160="",AND(DL160=DL159,DL160=DL161)),NA(), DL160)</f>
        <v>0</v>
      </c>
      <c r="DM226">
        <f>IF(ISNA(DN226),NA(),DM160)</f>
        <v>0</v>
      </c>
      <c r="DN226">
        <f>IF(OR(DN160="",AND(DN160=DN159,DN160=DN161)),NA(), DN160)</f>
        <v>0</v>
      </c>
      <c r="DO226">
        <f>IF(ISNA(DP226),NA(),DO160)</f>
        <v>0</v>
      </c>
      <c r="DP226">
        <f>IF(OR(DP160="",AND(DP160=DP159,DP160=DP161)),NA(), DP160)</f>
        <v>0</v>
      </c>
      <c r="DQ226">
        <f>IF(ISNA(DR226),NA(),DQ160)</f>
        <v>0</v>
      </c>
      <c r="DR226">
        <f>IF(OR(DR160="",AND(DR160=DR159,DR160=DR161)),NA(), DR160)</f>
        <v>0</v>
      </c>
      <c r="DS226">
        <f>IF(ISNA(DT226),NA(),DS160)</f>
        <v>0</v>
      </c>
      <c r="DT226">
        <f>IF(OR(DT160="",AND(DT160=DT159,DT160=DT161)),NA(), DT160)</f>
        <v>0</v>
      </c>
      <c r="DU226">
        <f>IF(ISNA(DV226),NA(),DU160)</f>
        <v>0</v>
      </c>
      <c r="DV226">
        <f>IF(OR(DV160="",AND(DV160=DV159,DV160=DV161)),NA(), DV160)</f>
        <v>0</v>
      </c>
      <c r="DW226">
        <f>IF(ISNA(DX226),NA(),DW160)</f>
        <v>0</v>
      </c>
      <c r="DX226">
        <f>IF(OR(DX160="",AND(DX160=DX159,DX160=DX161)),NA(), DX160)</f>
        <v>0</v>
      </c>
      <c r="DY226">
        <f>IF(ISNA(DZ226),NA(),DY160)</f>
        <v>0</v>
      </c>
      <c r="DZ226">
        <f>IF(OR(DZ160="",AND(DZ160=DZ159,DZ160=DZ161)),NA(), DZ160)</f>
        <v>0</v>
      </c>
      <c r="EA226">
        <f>IF(ISNA(EB226),NA(),EA160)</f>
        <v>0</v>
      </c>
      <c r="EB226">
        <f>IF(OR(EB160="",AND(EB160=EB159,EB160=EB161)),NA(), EB160)</f>
        <v>0</v>
      </c>
      <c r="EC226">
        <f>IF(ISNA(ED226),NA(),EC160)</f>
        <v>0</v>
      </c>
      <c r="ED226">
        <f>IF(OR(ED160="",AND(ED160=ED159,ED160=ED161)),NA(), ED160)</f>
        <v>0</v>
      </c>
    </row>
    <row r="227" spans="5:134">
      <c r="E227">
        <f>IF(ISNA(F227),NA(),E161)</f>
        <v>0</v>
      </c>
      <c r="F227">
        <f>IF(OR(F161="",AND(F161=F160,F161=F162)),NA(), F161)</f>
        <v>0</v>
      </c>
      <c r="G227">
        <f>IF(ISNA(H227),NA(),G161)</f>
        <v>0</v>
      </c>
      <c r="H227">
        <f>IF(OR(H161="",AND(H161=H160,H161=H162)),NA(), H161)</f>
        <v>0</v>
      </c>
      <c r="I227">
        <f>IF(ISNA(J227),NA(),I161)</f>
        <v>0</v>
      </c>
      <c r="J227">
        <f>IF(OR(J161="",AND(J161=J160,J161=J162)),NA(), J161)</f>
        <v>0</v>
      </c>
      <c r="K227">
        <f>IF(ISNA(L227),NA(),K161)</f>
        <v>0</v>
      </c>
      <c r="L227">
        <f>IF(OR(L161="",AND(L161=L160,L161=L162)),NA(), L161)</f>
        <v>0</v>
      </c>
      <c r="M227">
        <f>IF(ISNA(N227),NA(),M161)</f>
        <v>0</v>
      </c>
      <c r="N227">
        <f>IF(OR(N161="",AND(N161=N160,N161=N162)),NA(), N161)</f>
        <v>0</v>
      </c>
      <c r="O227">
        <f>IF(ISNA(P227),NA(),O161)</f>
        <v>0</v>
      </c>
      <c r="P227">
        <f>IF(OR(P161="",AND(P161=P160,P161=P162)),NA(), P161)</f>
        <v>0</v>
      </c>
      <c r="Q227">
        <f>IF(ISNA(R227),NA(),Q161)</f>
        <v>0</v>
      </c>
      <c r="R227">
        <f>IF(OR(R161="",AND(R161=R160,R161=R162)),NA(), R161)</f>
        <v>0</v>
      </c>
      <c r="S227">
        <f>IF(ISNA(T227),NA(),S161)</f>
        <v>0</v>
      </c>
      <c r="T227">
        <f>IF(OR(T161="",AND(T161=T160,T161=T162)),NA(), T161)</f>
        <v>0</v>
      </c>
      <c r="U227">
        <f>IF(ISNA(V227),NA(),U161)</f>
        <v>0</v>
      </c>
      <c r="V227">
        <f>IF(OR(V161="",AND(V161=V160,V161=V162)),NA(), V161)</f>
        <v>0</v>
      </c>
      <c r="W227">
        <f>IF(ISNA(X227),NA(),W161)</f>
        <v>0</v>
      </c>
      <c r="X227">
        <f>IF(OR(X161="",AND(X161=X160,X161=X162)),NA(), X161)</f>
        <v>0</v>
      </c>
      <c r="Y227">
        <f>IF(ISNA(Z227),NA(),Y161)</f>
        <v>0</v>
      </c>
      <c r="Z227">
        <f>IF(OR(Z161="",AND(Z161=Z160,Z161=Z162)),NA(), Z161)</f>
        <v>0</v>
      </c>
      <c r="AA227">
        <f>IF(ISNA(AB227),NA(),AA161)</f>
        <v>0</v>
      </c>
      <c r="AB227">
        <f>IF(OR(AB161="",AND(AB161=AB160,AB161=AB162)),NA(), AB161)</f>
        <v>0</v>
      </c>
      <c r="AC227">
        <f>IF(ISNA(AD227),NA(),AC161)</f>
        <v>0</v>
      </c>
      <c r="AD227">
        <f>IF(OR(AD161="",AND(AD161=AD160,AD161=AD162)),NA(), AD161)</f>
        <v>0</v>
      </c>
      <c r="AE227">
        <f>IF(ISNA(AF227),NA(),AE161)</f>
        <v>0</v>
      </c>
      <c r="AF227">
        <f>IF(OR(AF161="",AND(AF161=AF160,AF161=AF162)),NA(), AF161)</f>
        <v>0</v>
      </c>
      <c r="AG227">
        <f>IF(ISNA(AH227),NA(),AG161)</f>
        <v>0</v>
      </c>
      <c r="AH227">
        <f>IF(OR(AH161="",AND(AH161=AH160,AH161=AH162)),NA(), AH161)</f>
        <v>0</v>
      </c>
      <c r="AI227">
        <f>IF(ISNA(AJ227),NA(),AI161)</f>
        <v>0</v>
      </c>
      <c r="AJ227">
        <f>IF(OR(AJ161="",AND(AJ161=AJ160,AJ161=AJ162)),NA(), AJ161)</f>
        <v>0</v>
      </c>
      <c r="AK227">
        <f>IF(ISNA(AL227),NA(),AK161)</f>
        <v>0</v>
      </c>
      <c r="AL227">
        <f>IF(OR(AL161="",AND(AL161=AL160,AL161=AL162)),NA(), AL161)</f>
        <v>0</v>
      </c>
      <c r="AM227">
        <f>IF(ISNA(AN227),NA(),AM161)</f>
        <v>0</v>
      </c>
      <c r="AN227">
        <f>IF(OR(AN161="",AND(AN161=AN160,AN161=AN162)),NA(), AN161)</f>
        <v>0</v>
      </c>
      <c r="AO227">
        <f>IF(ISNA(AP227),NA(),AO161)</f>
        <v>0</v>
      </c>
      <c r="AP227">
        <f>IF(OR(AP161="",AND(AP161=AP160,AP161=AP162)),NA(), AP161)</f>
        <v>0</v>
      </c>
      <c r="AQ227">
        <f>IF(ISNA(AR227),NA(),AQ161)</f>
        <v>0</v>
      </c>
      <c r="AR227">
        <f>IF(OR(AR161="",AND(AR161=AR160,AR161=AR162)),NA(), AR161)</f>
        <v>0</v>
      </c>
      <c r="AS227">
        <f>IF(ISNA(AT227),NA(),AS161)</f>
        <v>0</v>
      </c>
      <c r="AT227">
        <f>IF(OR(AT161="",AND(AT161=AT160,AT161=AT162)),NA(), AT161)</f>
        <v>0</v>
      </c>
      <c r="AU227">
        <f>IF(ISNA(AV227),NA(),AU161)</f>
        <v>0</v>
      </c>
      <c r="AV227">
        <f>IF(OR(AV161="",AND(AV161=AV160,AV161=AV162)),NA(), AV161)</f>
        <v>0</v>
      </c>
      <c r="AW227">
        <f>IF(ISNA(AX227),NA(),AW161)</f>
        <v>0</v>
      </c>
      <c r="AX227">
        <f>IF(OR(AX161="",AND(AX161=AX160,AX161=AX162)),NA(), AX161)</f>
        <v>0</v>
      </c>
      <c r="AY227">
        <f>IF(ISNA(AZ227),NA(),AY161)</f>
        <v>0</v>
      </c>
      <c r="AZ227">
        <f>IF(OR(AZ161="",AND(AZ161=AZ160,AZ161=AZ162)),NA(), AZ161)</f>
        <v>0</v>
      </c>
      <c r="BA227">
        <f>IF(ISNA(BB227),NA(),BA161)</f>
        <v>0</v>
      </c>
      <c r="BB227">
        <f>IF(OR(BB161="",AND(BB161=BB160,BB161=BB162)),NA(), BB161)</f>
        <v>0</v>
      </c>
      <c r="BC227">
        <f>IF(ISNA(BD227),NA(),BC161)</f>
        <v>0</v>
      </c>
      <c r="BD227">
        <f>IF(OR(BD161="",AND(BD161=BD160,BD161=BD162)),NA(), BD161)</f>
        <v>0</v>
      </c>
      <c r="BE227">
        <f>IF(ISNA(BF227),NA(),BE161)</f>
        <v>0</v>
      </c>
      <c r="BF227">
        <f>IF(OR(BF161="",AND(BF161=BF160,BF161=BF162)),NA(), BF161)</f>
        <v>0</v>
      </c>
      <c r="BG227">
        <f>IF(ISNA(BH227),NA(),BG161)</f>
        <v>0</v>
      </c>
      <c r="BH227">
        <f>IF(OR(BH161="",AND(BH161=BH160,BH161=BH162)),NA(), BH161)</f>
        <v>0</v>
      </c>
      <c r="BI227">
        <f>IF(ISNA(BJ227),NA(),BI161)</f>
        <v>0</v>
      </c>
      <c r="BJ227">
        <f>IF(OR(BJ161="",AND(BJ161=BJ160,BJ161=BJ162)),NA(), BJ161)</f>
        <v>0</v>
      </c>
      <c r="BK227">
        <f>IF(ISNA(BL227),NA(),BK161)</f>
        <v>0</v>
      </c>
      <c r="BL227">
        <f>IF(OR(BL161="",AND(BL161=BL160,BL161=BL162)),NA(), BL161)</f>
        <v>0</v>
      </c>
      <c r="BM227">
        <f>IF(ISNA(BN227),NA(),BM161)</f>
        <v>0</v>
      </c>
      <c r="BN227">
        <f>IF(OR(BN161="",AND(BN161=BN160,BN161=BN162)),NA(), BN161)</f>
        <v>0</v>
      </c>
      <c r="BO227">
        <f>IF(ISNA(BP227),NA(),BO161)</f>
        <v>0</v>
      </c>
      <c r="BP227">
        <f>IF(OR(BP161="",AND(BP161=BP160,BP161=BP162)),NA(), BP161)</f>
        <v>0</v>
      </c>
      <c r="BS227">
        <f>IF(ISNA(BT227),NA(),BS161)</f>
        <v>0</v>
      </c>
      <c r="BT227">
        <f>IF(OR(BT161="",AND(BT161=BT160,BT161=BT162)),NA(), BT161)</f>
        <v>0</v>
      </c>
      <c r="BU227">
        <f>IF(ISNA(BV227),NA(),BU161)</f>
        <v>0</v>
      </c>
      <c r="BV227">
        <f>IF(OR(BV161="",AND(BV161=BV160,BV161=BV162)),NA(), BV161)</f>
        <v>0</v>
      </c>
      <c r="BW227">
        <f>IF(ISNA(BX227),NA(),BW161)</f>
        <v>0</v>
      </c>
      <c r="BX227">
        <f>IF(OR(BX161="",AND(BX161=BX160,BX161=BX162)),NA(), BX161)</f>
        <v>0</v>
      </c>
      <c r="BY227">
        <f>IF(ISNA(BZ227),NA(),BY161)</f>
        <v>0</v>
      </c>
      <c r="BZ227">
        <f>IF(OR(BZ161="",AND(BZ161=BZ160,BZ161=BZ162)),NA(), BZ161)</f>
        <v>0</v>
      </c>
      <c r="CA227">
        <f>IF(ISNA(CB227),NA(),CA161)</f>
        <v>0</v>
      </c>
      <c r="CB227">
        <f>IF(OR(CB161="",AND(CB161=CB160,CB161=CB162)),NA(), CB161)</f>
        <v>0</v>
      </c>
      <c r="CC227">
        <f>IF(ISNA(CD227),NA(),CC161)</f>
        <v>0</v>
      </c>
      <c r="CD227">
        <f>IF(OR(CD161="",AND(CD161=CD160,CD161=CD162)),NA(), CD161)</f>
        <v>0</v>
      </c>
      <c r="CE227">
        <f>IF(ISNA(CF227),NA(),CE161)</f>
        <v>0</v>
      </c>
      <c r="CF227">
        <f>IF(OR(CF161="",AND(CF161=CF160,CF161=CF162)),NA(), CF161)</f>
        <v>0</v>
      </c>
      <c r="CG227">
        <f>IF(ISNA(CH227),NA(),CG161)</f>
        <v>0</v>
      </c>
      <c r="CH227">
        <f>IF(OR(CH161="",AND(CH161=CH160,CH161=CH162)),NA(), CH161)</f>
        <v>0</v>
      </c>
      <c r="CI227">
        <f>IF(ISNA(CJ227),NA(),CI161)</f>
        <v>0</v>
      </c>
      <c r="CJ227">
        <f>IF(OR(CJ161="",AND(CJ161=CJ160,CJ161=CJ162)),NA(), CJ161)</f>
        <v>0</v>
      </c>
      <c r="CK227">
        <f>IF(ISNA(CL227),NA(),CK161)</f>
        <v>0</v>
      </c>
      <c r="CL227">
        <f>IF(OR(CL161="",AND(CL161=CL160,CL161=CL162)),NA(), CL161)</f>
        <v>0</v>
      </c>
      <c r="CM227">
        <f>IF(ISNA(CN227),NA(),CM161)</f>
        <v>0</v>
      </c>
      <c r="CN227">
        <f>IF(OR(CN161="",AND(CN161=CN160,CN161=CN162)),NA(), CN161)</f>
        <v>0</v>
      </c>
      <c r="CO227">
        <f>IF(ISNA(CP227),NA(),CO161)</f>
        <v>0</v>
      </c>
      <c r="CP227">
        <f>IF(OR(CP161="",AND(CP161=CP160,CP161=CP162)),NA(), CP161)</f>
        <v>0</v>
      </c>
      <c r="CQ227">
        <f>IF(ISNA(CR227),NA(),CQ161)</f>
        <v>0</v>
      </c>
      <c r="CR227">
        <f>IF(OR(CR161="",AND(CR161=CR160,CR161=CR162)),NA(), CR161)</f>
        <v>0</v>
      </c>
      <c r="CS227">
        <f>IF(ISNA(CT227),NA(),CS161)</f>
        <v>0</v>
      </c>
      <c r="CT227">
        <f>IF(OR(CT161="",AND(CT161=CT160,CT161=CT162)),NA(), CT161)</f>
        <v>0</v>
      </c>
      <c r="CU227">
        <f>IF(ISNA(CV227),NA(),CU161)</f>
        <v>0</v>
      </c>
      <c r="CV227">
        <f>IF(OR(CV161="",AND(CV161=CV160,CV161=CV162)),NA(), CV161)</f>
        <v>0</v>
      </c>
      <c r="CW227">
        <f>IF(ISNA(CX227),NA(),CW161)</f>
        <v>0</v>
      </c>
      <c r="CX227">
        <f>IF(OR(CX161="",AND(CX161=CX160,CX161=CX162)),NA(), CX161)</f>
        <v>0</v>
      </c>
      <c r="CY227">
        <f>IF(ISNA(CZ227),NA(),CY161)</f>
        <v>0</v>
      </c>
      <c r="CZ227">
        <f>IF(OR(CZ161="",AND(CZ161=CZ160,CZ161=CZ162)),NA(), CZ161)</f>
        <v>0</v>
      </c>
      <c r="DA227">
        <f>IF(ISNA(DB227),NA(),DA161)</f>
        <v>0</v>
      </c>
      <c r="DB227">
        <f>IF(OR(DB161="",AND(DB161=DB160,DB161=DB162)),NA(), DB161)</f>
        <v>0</v>
      </c>
      <c r="DC227">
        <f>IF(ISNA(DD227),NA(),DC161)</f>
        <v>0</v>
      </c>
      <c r="DD227">
        <f>IF(OR(DD161="",AND(DD161=DD160,DD161=DD162)),NA(), DD161)</f>
        <v>0</v>
      </c>
      <c r="DE227">
        <f>IF(ISNA(DF227),NA(),DE161)</f>
        <v>0</v>
      </c>
      <c r="DF227">
        <f>IF(OR(DF161="",AND(DF161=DF160,DF161=DF162)),NA(), DF161)</f>
        <v>0</v>
      </c>
      <c r="DG227">
        <f>IF(ISNA(DH227),NA(),DG161)</f>
        <v>0</v>
      </c>
      <c r="DH227">
        <f>IF(OR(DH161="",AND(DH161=DH160,DH161=DH162)),NA(), DH161)</f>
        <v>0</v>
      </c>
      <c r="DI227">
        <f>IF(ISNA(DJ227),NA(),DI161)</f>
        <v>0</v>
      </c>
      <c r="DJ227">
        <f>IF(OR(DJ161="",AND(DJ161=DJ160,DJ161=DJ162)),NA(), DJ161)</f>
        <v>0</v>
      </c>
      <c r="DK227">
        <f>IF(ISNA(DL227),NA(),DK161)</f>
        <v>0</v>
      </c>
      <c r="DL227">
        <f>IF(OR(DL161="",AND(DL161=DL160,DL161=DL162)),NA(), DL161)</f>
        <v>0</v>
      </c>
      <c r="DM227">
        <f>IF(ISNA(DN227),NA(),DM161)</f>
        <v>0</v>
      </c>
      <c r="DN227">
        <f>IF(OR(DN161="",AND(DN161=DN160,DN161=DN162)),NA(), DN161)</f>
        <v>0</v>
      </c>
      <c r="DO227">
        <f>IF(ISNA(DP227),NA(),DO161)</f>
        <v>0</v>
      </c>
      <c r="DP227">
        <f>IF(OR(DP161="",AND(DP161=DP160,DP161=DP162)),NA(), DP161)</f>
        <v>0</v>
      </c>
      <c r="DQ227">
        <f>IF(ISNA(DR227),NA(),DQ161)</f>
        <v>0</v>
      </c>
      <c r="DR227">
        <f>IF(OR(DR161="",AND(DR161=DR160,DR161=DR162)),NA(), DR161)</f>
        <v>0</v>
      </c>
      <c r="DS227">
        <f>IF(ISNA(DT227),NA(),DS161)</f>
        <v>0</v>
      </c>
      <c r="DT227">
        <f>IF(OR(DT161="",AND(DT161=DT160,DT161=DT162)),NA(), DT161)</f>
        <v>0</v>
      </c>
      <c r="DU227">
        <f>IF(ISNA(DV227),NA(),DU161)</f>
        <v>0</v>
      </c>
      <c r="DV227">
        <f>IF(OR(DV161="",AND(DV161=DV160,DV161=DV162)),NA(), DV161)</f>
        <v>0</v>
      </c>
      <c r="DW227">
        <f>IF(ISNA(DX227),NA(),DW161)</f>
        <v>0</v>
      </c>
      <c r="DX227">
        <f>IF(OR(DX161="",AND(DX161=DX160,DX161=DX162)),NA(), DX161)</f>
        <v>0</v>
      </c>
      <c r="DY227">
        <f>IF(ISNA(DZ227),NA(),DY161)</f>
        <v>0</v>
      </c>
      <c r="DZ227">
        <f>IF(OR(DZ161="",AND(DZ161=DZ160,DZ161=DZ162)),NA(), DZ161)</f>
        <v>0</v>
      </c>
      <c r="EA227">
        <f>IF(ISNA(EB227),NA(),EA161)</f>
        <v>0</v>
      </c>
      <c r="EB227">
        <f>IF(OR(EB161="",AND(EB161=EB160,EB161=EB162)),NA(), EB161)</f>
        <v>0</v>
      </c>
      <c r="EC227">
        <f>IF(ISNA(ED227),NA(),EC161)</f>
        <v>0</v>
      </c>
      <c r="ED227">
        <f>IF(OR(ED161="",AND(ED161=ED160,ED161=ED162)),NA(), ED161)</f>
        <v>0</v>
      </c>
    </row>
    <row r="228" spans="5:134">
      <c r="E228">
        <f>IF(ISNA(F228),NA(),E162)</f>
        <v>0</v>
      </c>
      <c r="F228">
        <f>IF(OR(F162="",AND(F162=F161,F162=F163)),NA(), F162)</f>
        <v>0</v>
      </c>
      <c r="G228">
        <f>IF(ISNA(H228),NA(),G162)</f>
        <v>0</v>
      </c>
      <c r="H228">
        <f>IF(OR(H162="",AND(H162=H161,H162=H163)),NA(), H162)</f>
        <v>0</v>
      </c>
      <c r="I228">
        <f>IF(ISNA(J228),NA(),I162)</f>
        <v>0</v>
      </c>
      <c r="J228">
        <f>IF(OR(J162="",AND(J162=J161,J162=J163)),NA(), J162)</f>
        <v>0</v>
      </c>
      <c r="K228">
        <f>IF(ISNA(L228),NA(),K162)</f>
        <v>0</v>
      </c>
      <c r="L228">
        <f>IF(OR(L162="",AND(L162=L161,L162=L163)),NA(), L162)</f>
        <v>0</v>
      </c>
      <c r="M228">
        <f>IF(ISNA(N228),NA(),M162)</f>
        <v>0</v>
      </c>
      <c r="N228">
        <f>IF(OR(N162="",AND(N162=N161,N162=N163)),NA(), N162)</f>
        <v>0</v>
      </c>
      <c r="O228">
        <f>IF(ISNA(P228),NA(),O162)</f>
        <v>0</v>
      </c>
      <c r="P228">
        <f>IF(OR(P162="",AND(P162=P161,P162=P163)),NA(), P162)</f>
        <v>0</v>
      </c>
      <c r="Q228">
        <f>IF(ISNA(R228),NA(),Q162)</f>
        <v>0</v>
      </c>
      <c r="R228">
        <f>IF(OR(R162="",AND(R162=R161,R162=R163)),NA(), R162)</f>
        <v>0</v>
      </c>
      <c r="S228">
        <f>IF(ISNA(T228),NA(),S162)</f>
        <v>0</v>
      </c>
      <c r="T228">
        <f>IF(OR(T162="",AND(T162=T161,T162=T163)),NA(), T162)</f>
        <v>0</v>
      </c>
      <c r="U228">
        <f>IF(ISNA(V228),NA(),U162)</f>
        <v>0</v>
      </c>
      <c r="V228">
        <f>IF(OR(V162="",AND(V162=V161,V162=V163)),NA(), V162)</f>
        <v>0</v>
      </c>
      <c r="W228">
        <f>IF(ISNA(X228),NA(),W162)</f>
        <v>0</v>
      </c>
      <c r="X228">
        <f>IF(OR(X162="",AND(X162=X161,X162=X163)),NA(), X162)</f>
        <v>0</v>
      </c>
      <c r="Y228">
        <f>IF(ISNA(Z228),NA(),Y162)</f>
        <v>0</v>
      </c>
      <c r="Z228">
        <f>IF(OR(Z162="",AND(Z162=Z161,Z162=Z163)),NA(), Z162)</f>
        <v>0</v>
      </c>
      <c r="AA228">
        <f>IF(ISNA(AB228),NA(),AA162)</f>
        <v>0</v>
      </c>
      <c r="AB228">
        <f>IF(OR(AB162="",AND(AB162=AB161,AB162=AB163)),NA(), AB162)</f>
        <v>0</v>
      </c>
      <c r="AC228">
        <f>IF(ISNA(AD228),NA(),AC162)</f>
        <v>0</v>
      </c>
      <c r="AD228">
        <f>IF(OR(AD162="",AND(AD162=AD161,AD162=AD163)),NA(), AD162)</f>
        <v>0</v>
      </c>
      <c r="AE228">
        <f>IF(ISNA(AF228),NA(),AE162)</f>
        <v>0</v>
      </c>
      <c r="AF228">
        <f>IF(OR(AF162="",AND(AF162=AF161,AF162=AF163)),NA(), AF162)</f>
        <v>0</v>
      </c>
      <c r="AG228">
        <f>IF(ISNA(AH228),NA(),AG162)</f>
        <v>0</v>
      </c>
      <c r="AH228">
        <f>IF(OR(AH162="",AND(AH162=AH161,AH162=AH163)),NA(), AH162)</f>
        <v>0</v>
      </c>
      <c r="AI228">
        <f>IF(ISNA(AJ228),NA(),AI162)</f>
        <v>0</v>
      </c>
      <c r="AJ228">
        <f>IF(OR(AJ162="",AND(AJ162=AJ161,AJ162=AJ163)),NA(), AJ162)</f>
        <v>0</v>
      </c>
      <c r="AK228">
        <f>IF(ISNA(AL228),NA(),AK162)</f>
        <v>0</v>
      </c>
      <c r="AL228">
        <f>IF(OR(AL162="",AND(AL162=AL161,AL162=AL163)),NA(), AL162)</f>
        <v>0</v>
      </c>
      <c r="AM228">
        <f>IF(ISNA(AN228),NA(),AM162)</f>
        <v>0</v>
      </c>
      <c r="AN228">
        <f>IF(OR(AN162="",AND(AN162=AN161,AN162=AN163)),NA(), AN162)</f>
        <v>0</v>
      </c>
      <c r="AO228">
        <f>IF(ISNA(AP228),NA(),AO162)</f>
        <v>0</v>
      </c>
      <c r="AP228">
        <f>IF(OR(AP162="",AND(AP162=AP161,AP162=AP163)),NA(), AP162)</f>
        <v>0</v>
      </c>
      <c r="AQ228">
        <f>IF(ISNA(AR228),NA(),AQ162)</f>
        <v>0</v>
      </c>
      <c r="AR228">
        <f>IF(OR(AR162="",AND(AR162=AR161,AR162=AR163)),NA(), AR162)</f>
        <v>0</v>
      </c>
      <c r="AS228">
        <f>IF(ISNA(AT228),NA(),AS162)</f>
        <v>0</v>
      </c>
      <c r="AT228">
        <f>IF(OR(AT162="",AND(AT162=AT161,AT162=AT163)),NA(), AT162)</f>
        <v>0</v>
      </c>
      <c r="AU228">
        <f>IF(ISNA(AV228),NA(),AU162)</f>
        <v>0</v>
      </c>
      <c r="AV228">
        <f>IF(OR(AV162="",AND(AV162=AV161,AV162=AV163)),NA(), AV162)</f>
        <v>0</v>
      </c>
      <c r="AW228">
        <f>IF(ISNA(AX228),NA(),AW162)</f>
        <v>0</v>
      </c>
      <c r="AX228">
        <f>IF(OR(AX162="",AND(AX162=AX161,AX162=AX163)),NA(), AX162)</f>
        <v>0</v>
      </c>
      <c r="AY228">
        <f>IF(ISNA(AZ228),NA(),AY162)</f>
        <v>0</v>
      </c>
      <c r="AZ228">
        <f>IF(OR(AZ162="",AND(AZ162=AZ161,AZ162=AZ163)),NA(), AZ162)</f>
        <v>0</v>
      </c>
      <c r="BA228">
        <f>IF(ISNA(BB228),NA(),BA162)</f>
        <v>0</v>
      </c>
      <c r="BB228">
        <f>IF(OR(BB162="",AND(BB162=BB161,BB162=BB163)),NA(), BB162)</f>
        <v>0</v>
      </c>
      <c r="BC228">
        <f>IF(ISNA(BD228),NA(),BC162)</f>
        <v>0</v>
      </c>
      <c r="BD228">
        <f>IF(OR(BD162="",AND(BD162=BD161,BD162=BD163)),NA(), BD162)</f>
        <v>0</v>
      </c>
      <c r="BE228">
        <f>IF(ISNA(BF228),NA(),BE162)</f>
        <v>0</v>
      </c>
      <c r="BF228">
        <f>IF(OR(BF162="",AND(BF162=BF161,BF162=BF163)),NA(), BF162)</f>
        <v>0</v>
      </c>
      <c r="BG228">
        <f>IF(ISNA(BH228),NA(),BG162)</f>
        <v>0</v>
      </c>
      <c r="BH228">
        <f>IF(OR(BH162="",AND(BH162=BH161,BH162=BH163)),NA(), BH162)</f>
        <v>0</v>
      </c>
      <c r="BI228">
        <f>IF(ISNA(BJ228),NA(),BI162)</f>
        <v>0</v>
      </c>
      <c r="BJ228">
        <f>IF(OR(BJ162="",AND(BJ162=BJ161,BJ162=BJ163)),NA(), BJ162)</f>
        <v>0</v>
      </c>
      <c r="BK228">
        <f>IF(ISNA(BL228),NA(),BK162)</f>
        <v>0</v>
      </c>
      <c r="BL228">
        <f>IF(OR(BL162="",AND(BL162=BL161,BL162=BL163)),NA(), BL162)</f>
        <v>0</v>
      </c>
      <c r="BM228">
        <f>IF(ISNA(BN228),NA(),BM162)</f>
        <v>0</v>
      </c>
      <c r="BN228">
        <f>IF(OR(BN162="",AND(BN162=BN161,BN162=BN163)),NA(), BN162)</f>
        <v>0</v>
      </c>
      <c r="BO228">
        <f>IF(ISNA(BP228),NA(),BO162)</f>
        <v>0</v>
      </c>
      <c r="BP228">
        <f>IF(OR(BP162="",AND(BP162=BP161,BP162=BP163)),NA(), BP162)</f>
        <v>0</v>
      </c>
      <c r="BS228">
        <f>IF(ISNA(BT228),NA(),BS162)</f>
        <v>0</v>
      </c>
      <c r="BT228">
        <f>IF(OR(BT162="",AND(BT162=BT161,BT162=BT163)),NA(), BT162)</f>
        <v>0</v>
      </c>
      <c r="BU228">
        <f>IF(ISNA(BV228),NA(),BU162)</f>
        <v>0</v>
      </c>
      <c r="BV228">
        <f>IF(OR(BV162="",AND(BV162=BV161,BV162=BV163)),NA(), BV162)</f>
        <v>0</v>
      </c>
      <c r="BW228">
        <f>IF(ISNA(BX228),NA(),BW162)</f>
        <v>0</v>
      </c>
      <c r="BX228">
        <f>IF(OR(BX162="",AND(BX162=BX161,BX162=BX163)),NA(), BX162)</f>
        <v>0</v>
      </c>
      <c r="BY228">
        <f>IF(ISNA(BZ228),NA(),BY162)</f>
        <v>0</v>
      </c>
      <c r="BZ228">
        <f>IF(OR(BZ162="",AND(BZ162=BZ161,BZ162=BZ163)),NA(), BZ162)</f>
        <v>0</v>
      </c>
      <c r="CA228">
        <f>IF(ISNA(CB228),NA(),CA162)</f>
        <v>0</v>
      </c>
      <c r="CB228">
        <f>IF(OR(CB162="",AND(CB162=CB161,CB162=CB163)),NA(), CB162)</f>
        <v>0</v>
      </c>
      <c r="CC228">
        <f>IF(ISNA(CD228),NA(),CC162)</f>
        <v>0</v>
      </c>
      <c r="CD228">
        <f>IF(OR(CD162="",AND(CD162=CD161,CD162=CD163)),NA(), CD162)</f>
        <v>0</v>
      </c>
      <c r="CE228">
        <f>IF(ISNA(CF228),NA(),CE162)</f>
        <v>0</v>
      </c>
      <c r="CF228">
        <f>IF(OR(CF162="",AND(CF162=CF161,CF162=CF163)),NA(), CF162)</f>
        <v>0</v>
      </c>
      <c r="CG228">
        <f>IF(ISNA(CH228),NA(),CG162)</f>
        <v>0</v>
      </c>
      <c r="CH228">
        <f>IF(OR(CH162="",AND(CH162=CH161,CH162=CH163)),NA(), CH162)</f>
        <v>0</v>
      </c>
      <c r="CI228">
        <f>IF(ISNA(CJ228),NA(),CI162)</f>
        <v>0</v>
      </c>
      <c r="CJ228">
        <f>IF(OR(CJ162="",AND(CJ162=CJ161,CJ162=CJ163)),NA(), CJ162)</f>
        <v>0</v>
      </c>
      <c r="CK228">
        <f>IF(ISNA(CL228),NA(),CK162)</f>
        <v>0</v>
      </c>
      <c r="CL228">
        <f>IF(OR(CL162="",AND(CL162=CL161,CL162=CL163)),NA(), CL162)</f>
        <v>0</v>
      </c>
      <c r="CM228">
        <f>IF(ISNA(CN228),NA(),CM162)</f>
        <v>0</v>
      </c>
      <c r="CN228">
        <f>IF(OR(CN162="",AND(CN162=CN161,CN162=CN163)),NA(), CN162)</f>
        <v>0</v>
      </c>
      <c r="CO228">
        <f>IF(ISNA(CP228),NA(),CO162)</f>
        <v>0</v>
      </c>
      <c r="CP228">
        <f>IF(OR(CP162="",AND(CP162=CP161,CP162=CP163)),NA(), CP162)</f>
        <v>0</v>
      </c>
      <c r="CQ228">
        <f>IF(ISNA(CR228),NA(),CQ162)</f>
        <v>0</v>
      </c>
      <c r="CR228">
        <f>IF(OR(CR162="",AND(CR162=CR161,CR162=CR163)),NA(), CR162)</f>
        <v>0</v>
      </c>
      <c r="CS228">
        <f>IF(ISNA(CT228),NA(),CS162)</f>
        <v>0</v>
      </c>
      <c r="CT228">
        <f>IF(OR(CT162="",AND(CT162=CT161,CT162=CT163)),NA(), CT162)</f>
        <v>0</v>
      </c>
      <c r="CU228">
        <f>IF(ISNA(CV228),NA(),CU162)</f>
        <v>0</v>
      </c>
      <c r="CV228">
        <f>IF(OR(CV162="",AND(CV162=CV161,CV162=CV163)),NA(), CV162)</f>
        <v>0</v>
      </c>
      <c r="CW228">
        <f>IF(ISNA(CX228),NA(),CW162)</f>
        <v>0</v>
      </c>
      <c r="CX228">
        <f>IF(OR(CX162="",AND(CX162=CX161,CX162=CX163)),NA(), CX162)</f>
        <v>0</v>
      </c>
      <c r="CY228">
        <f>IF(ISNA(CZ228),NA(),CY162)</f>
        <v>0</v>
      </c>
      <c r="CZ228">
        <f>IF(OR(CZ162="",AND(CZ162=CZ161,CZ162=CZ163)),NA(), CZ162)</f>
        <v>0</v>
      </c>
      <c r="DA228">
        <f>IF(ISNA(DB228),NA(),DA162)</f>
        <v>0</v>
      </c>
      <c r="DB228">
        <f>IF(OR(DB162="",AND(DB162=DB161,DB162=DB163)),NA(), DB162)</f>
        <v>0</v>
      </c>
      <c r="DC228">
        <f>IF(ISNA(DD228),NA(),DC162)</f>
        <v>0</v>
      </c>
      <c r="DD228">
        <f>IF(OR(DD162="",AND(DD162=DD161,DD162=DD163)),NA(), DD162)</f>
        <v>0</v>
      </c>
      <c r="DE228">
        <f>IF(ISNA(DF228),NA(),DE162)</f>
        <v>0</v>
      </c>
      <c r="DF228">
        <f>IF(OR(DF162="",AND(DF162=DF161,DF162=DF163)),NA(), DF162)</f>
        <v>0</v>
      </c>
      <c r="DG228">
        <f>IF(ISNA(DH228),NA(),DG162)</f>
        <v>0</v>
      </c>
      <c r="DH228">
        <f>IF(OR(DH162="",AND(DH162=DH161,DH162=DH163)),NA(), DH162)</f>
        <v>0</v>
      </c>
      <c r="DI228">
        <f>IF(ISNA(DJ228),NA(),DI162)</f>
        <v>0</v>
      </c>
      <c r="DJ228">
        <f>IF(OR(DJ162="",AND(DJ162=DJ161,DJ162=DJ163)),NA(), DJ162)</f>
        <v>0</v>
      </c>
      <c r="DK228">
        <f>IF(ISNA(DL228),NA(),DK162)</f>
        <v>0</v>
      </c>
      <c r="DL228">
        <f>IF(OR(DL162="",AND(DL162=DL161,DL162=DL163)),NA(), DL162)</f>
        <v>0</v>
      </c>
      <c r="DM228">
        <f>IF(ISNA(DN228),NA(),DM162)</f>
        <v>0</v>
      </c>
      <c r="DN228">
        <f>IF(OR(DN162="",AND(DN162=DN161,DN162=DN163)),NA(), DN162)</f>
        <v>0</v>
      </c>
      <c r="DO228">
        <f>IF(ISNA(DP228),NA(),DO162)</f>
        <v>0</v>
      </c>
      <c r="DP228">
        <f>IF(OR(DP162="",AND(DP162=DP161,DP162=DP163)),NA(), DP162)</f>
        <v>0</v>
      </c>
      <c r="DQ228">
        <f>IF(ISNA(DR228),NA(),DQ162)</f>
        <v>0</v>
      </c>
      <c r="DR228">
        <f>IF(OR(DR162="",AND(DR162=DR161,DR162=DR163)),NA(), DR162)</f>
        <v>0</v>
      </c>
      <c r="DS228">
        <f>IF(ISNA(DT228),NA(),DS162)</f>
        <v>0</v>
      </c>
      <c r="DT228">
        <f>IF(OR(DT162="",AND(DT162=DT161,DT162=DT163)),NA(), DT162)</f>
        <v>0</v>
      </c>
      <c r="DU228">
        <f>IF(ISNA(DV228),NA(),DU162)</f>
        <v>0</v>
      </c>
      <c r="DV228">
        <f>IF(OR(DV162="",AND(DV162=DV161,DV162=DV163)),NA(), DV162)</f>
        <v>0</v>
      </c>
      <c r="DW228">
        <f>IF(ISNA(DX228),NA(),DW162)</f>
        <v>0</v>
      </c>
      <c r="DX228">
        <f>IF(OR(DX162="",AND(DX162=DX161,DX162=DX163)),NA(), DX162)</f>
        <v>0</v>
      </c>
      <c r="DY228">
        <f>IF(ISNA(DZ228),NA(),DY162)</f>
        <v>0</v>
      </c>
      <c r="DZ228">
        <f>IF(OR(DZ162="",AND(DZ162=DZ161,DZ162=DZ163)),NA(), DZ162)</f>
        <v>0</v>
      </c>
      <c r="EA228">
        <f>IF(ISNA(EB228),NA(),EA162)</f>
        <v>0</v>
      </c>
      <c r="EB228">
        <f>IF(OR(EB162="",AND(EB162=EB161,EB162=EB163)),NA(), EB162)</f>
        <v>0</v>
      </c>
      <c r="EC228">
        <f>IF(ISNA(ED228),NA(),EC162)</f>
        <v>0</v>
      </c>
      <c r="ED228">
        <f>IF(OR(ED162="",AND(ED162=ED161,ED162=ED163)),NA(), ED162)</f>
        <v>0</v>
      </c>
    </row>
    <row r="229" spans="5:134">
      <c r="E229">
        <f>IF(ISNA(F229),NA(),E163)</f>
        <v>0</v>
      </c>
      <c r="F229">
        <f>IF(OR(F163="",AND(F163=F162,F163=F164)),NA(), F163)</f>
        <v>0</v>
      </c>
      <c r="G229">
        <f>IF(ISNA(H229),NA(),G163)</f>
        <v>0</v>
      </c>
      <c r="H229">
        <f>IF(OR(H163="",AND(H163=H162,H163=H164)),NA(), H163)</f>
        <v>0</v>
      </c>
      <c r="I229">
        <f>IF(ISNA(J229),NA(),I163)</f>
        <v>0</v>
      </c>
      <c r="J229">
        <f>IF(OR(J163="",AND(J163=J162,J163=J164)),NA(), J163)</f>
        <v>0</v>
      </c>
      <c r="K229">
        <f>IF(ISNA(L229),NA(),K163)</f>
        <v>0</v>
      </c>
      <c r="L229">
        <f>IF(OR(L163="",AND(L163=L162,L163=L164)),NA(), L163)</f>
        <v>0</v>
      </c>
      <c r="M229">
        <f>IF(ISNA(N229),NA(),M163)</f>
        <v>0</v>
      </c>
      <c r="N229">
        <f>IF(OR(N163="",AND(N163=N162,N163=N164)),NA(), N163)</f>
        <v>0</v>
      </c>
      <c r="O229">
        <f>IF(ISNA(P229),NA(),O163)</f>
        <v>0</v>
      </c>
      <c r="P229">
        <f>IF(OR(P163="",AND(P163=P162,P163=P164)),NA(), P163)</f>
        <v>0</v>
      </c>
      <c r="Q229">
        <f>IF(ISNA(R229),NA(),Q163)</f>
        <v>0</v>
      </c>
      <c r="R229">
        <f>IF(OR(R163="",AND(R163=R162,R163=R164)),NA(), R163)</f>
        <v>0</v>
      </c>
      <c r="S229">
        <f>IF(ISNA(T229),NA(),S163)</f>
        <v>0</v>
      </c>
      <c r="T229">
        <f>IF(OR(T163="",AND(T163=T162,T163=T164)),NA(), T163)</f>
        <v>0</v>
      </c>
      <c r="U229">
        <f>IF(ISNA(V229),NA(),U163)</f>
        <v>0</v>
      </c>
      <c r="V229">
        <f>IF(OR(V163="",AND(V163=V162,V163=V164)),NA(), V163)</f>
        <v>0</v>
      </c>
      <c r="W229">
        <f>IF(ISNA(X229),NA(),W163)</f>
        <v>0</v>
      </c>
      <c r="X229">
        <f>IF(OR(X163="",AND(X163=X162,X163=X164)),NA(), X163)</f>
        <v>0</v>
      </c>
      <c r="Y229">
        <f>IF(ISNA(Z229),NA(),Y163)</f>
        <v>0</v>
      </c>
      <c r="Z229">
        <f>IF(OR(Z163="",AND(Z163=Z162,Z163=Z164)),NA(), Z163)</f>
        <v>0</v>
      </c>
      <c r="AA229">
        <f>IF(ISNA(AB229),NA(),AA163)</f>
        <v>0</v>
      </c>
      <c r="AB229">
        <f>IF(OR(AB163="",AND(AB163=AB162,AB163=AB164)),NA(), AB163)</f>
        <v>0</v>
      </c>
      <c r="AC229">
        <f>IF(ISNA(AD229),NA(),AC163)</f>
        <v>0</v>
      </c>
      <c r="AD229">
        <f>IF(OR(AD163="",AND(AD163=AD162,AD163=AD164)),NA(), AD163)</f>
        <v>0</v>
      </c>
      <c r="AE229">
        <f>IF(ISNA(AF229),NA(),AE163)</f>
        <v>0</v>
      </c>
      <c r="AF229">
        <f>IF(OR(AF163="",AND(AF163=AF162,AF163=AF164)),NA(), AF163)</f>
        <v>0</v>
      </c>
      <c r="AG229">
        <f>IF(ISNA(AH229),NA(),AG163)</f>
        <v>0</v>
      </c>
      <c r="AH229">
        <f>IF(OR(AH163="",AND(AH163=AH162,AH163=AH164)),NA(), AH163)</f>
        <v>0</v>
      </c>
      <c r="AI229">
        <f>IF(ISNA(AJ229),NA(),AI163)</f>
        <v>0</v>
      </c>
      <c r="AJ229">
        <f>IF(OR(AJ163="",AND(AJ163=AJ162,AJ163=AJ164)),NA(), AJ163)</f>
        <v>0</v>
      </c>
      <c r="AK229">
        <f>IF(ISNA(AL229),NA(),AK163)</f>
        <v>0</v>
      </c>
      <c r="AL229">
        <f>IF(OR(AL163="",AND(AL163=AL162,AL163=AL164)),NA(), AL163)</f>
        <v>0</v>
      </c>
      <c r="AM229">
        <f>IF(ISNA(AN229),NA(),AM163)</f>
        <v>0</v>
      </c>
      <c r="AN229">
        <f>IF(OR(AN163="",AND(AN163=AN162,AN163=AN164)),NA(), AN163)</f>
        <v>0</v>
      </c>
      <c r="AO229">
        <f>IF(ISNA(AP229),NA(),AO163)</f>
        <v>0</v>
      </c>
      <c r="AP229">
        <f>IF(OR(AP163="",AND(AP163=AP162,AP163=AP164)),NA(), AP163)</f>
        <v>0</v>
      </c>
      <c r="AQ229">
        <f>IF(ISNA(AR229),NA(),AQ163)</f>
        <v>0</v>
      </c>
      <c r="AR229">
        <f>IF(OR(AR163="",AND(AR163=AR162,AR163=AR164)),NA(), AR163)</f>
        <v>0</v>
      </c>
      <c r="AS229">
        <f>IF(ISNA(AT229),NA(),AS163)</f>
        <v>0</v>
      </c>
      <c r="AT229">
        <f>IF(OR(AT163="",AND(AT163=AT162,AT163=AT164)),NA(), AT163)</f>
        <v>0</v>
      </c>
      <c r="AU229">
        <f>IF(ISNA(AV229),NA(),AU163)</f>
        <v>0</v>
      </c>
      <c r="AV229">
        <f>IF(OR(AV163="",AND(AV163=AV162,AV163=AV164)),NA(), AV163)</f>
        <v>0</v>
      </c>
      <c r="AW229">
        <f>IF(ISNA(AX229),NA(),AW163)</f>
        <v>0</v>
      </c>
      <c r="AX229">
        <f>IF(OR(AX163="",AND(AX163=AX162,AX163=AX164)),NA(), AX163)</f>
        <v>0</v>
      </c>
      <c r="AY229">
        <f>IF(ISNA(AZ229),NA(),AY163)</f>
        <v>0</v>
      </c>
      <c r="AZ229">
        <f>IF(OR(AZ163="",AND(AZ163=AZ162,AZ163=AZ164)),NA(), AZ163)</f>
        <v>0</v>
      </c>
      <c r="BA229">
        <f>IF(ISNA(BB229),NA(),BA163)</f>
        <v>0</v>
      </c>
      <c r="BB229">
        <f>IF(OR(BB163="",AND(BB163=BB162,BB163=BB164)),NA(), BB163)</f>
        <v>0</v>
      </c>
      <c r="BC229">
        <f>IF(ISNA(BD229),NA(),BC163)</f>
        <v>0</v>
      </c>
      <c r="BD229">
        <f>IF(OR(BD163="",AND(BD163=BD162,BD163=BD164)),NA(), BD163)</f>
        <v>0</v>
      </c>
      <c r="BE229">
        <f>IF(ISNA(BF229),NA(),BE163)</f>
        <v>0</v>
      </c>
      <c r="BF229">
        <f>IF(OR(BF163="",AND(BF163=BF162,BF163=BF164)),NA(), BF163)</f>
        <v>0</v>
      </c>
      <c r="BG229">
        <f>IF(ISNA(BH229),NA(),BG163)</f>
        <v>0</v>
      </c>
      <c r="BH229">
        <f>IF(OR(BH163="",AND(BH163=BH162,BH163=BH164)),NA(), BH163)</f>
        <v>0</v>
      </c>
      <c r="BI229">
        <f>IF(ISNA(BJ229),NA(),BI163)</f>
        <v>0</v>
      </c>
      <c r="BJ229">
        <f>IF(OR(BJ163="",AND(BJ163=BJ162,BJ163=BJ164)),NA(), BJ163)</f>
        <v>0</v>
      </c>
      <c r="BK229">
        <f>IF(ISNA(BL229),NA(),BK163)</f>
        <v>0</v>
      </c>
      <c r="BL229">
        <f>IF(OR(BL163="",AND(BL163=BL162,BL163=BL164)),NA(), BL163)</f>
        <v>0</v>
      </c>
      <c r="BM229">
        <f>IF(ISNA(BN229),NA(),BM163)</f>
        <v>0</v>
      </c>
      <c r="BN229">
        <f>IF(OR(BN163="",AND(BN163=BN162,BN163=BN164)),NA(), BN163)</f>
        <v>0</v>
      </c>
      <c r="BO229">
        <f>IF(ISNA(BP229),NA(),BO163)</f>
        <v>0</v>
      </c>
      <c r="BP229">
        <f>IF(OR(BP163="",AND(BP163=BP162,BP163=BP164)),NA(), BP163)</f>
        <v>0</v>
      </c>
      <c r="BS229">
        <f>IF(ISNA(BT229),NA(),BS163)</f>
        <v>0</v>
      </c>
      <c r="BT229">
        <f>IF(OR(BT163="",AND(BT163=BT162,BT163=BT164)),NA(), BT163)</f>
        <v>0</v>
      </c>
      <c r="BU229">
        <f>IF(ISNA(BV229),NA(),BU163)</f>
        <v>0</v>
      </c>
      <c r="BV229">
        <f>IF(OR(BV163="",AND(BV163=BV162,BV163=BV164)),NA(), BV163)</f>
        <v>0</v>
      </c>
      <c r="BW229">
        <f>IF(ISNA(BX229),NA(),BW163)</f>
        <v>0</v>
      </c>
      <c r="BX229">
        <f>IF(OR(BX163="",AND(BX163=BX162,BX163=BX164)),NA(), BX163)</f>
        <v>0</v>
      </c>
      <c r="BY229">
        <f>IF(ISNA(BZ229),NA(),BY163)</f>
        <v>0</v>
      </c>
      <c r="BZ229">
        <f>IF(OR(BZ163="",AND(BZ163=BZ162,BZ163=BZ164)),NA(), BZ163)</f>
        <v>0</v>
      </c>
      <c r="CA229">
        <f>IF(ISNA(CB229),NA(),CA163)</f>
        <v>0</v>
      </c>
      <c r="CB229">
        <f>IF(OR(CB163="",AND(CB163=CB162,CB163=CB164)),NA(), CB163)</f>
        <v>0</v>
      </c>
      <c r="CC229">
        <f>IF(ISNA(CD229),NA(),CC163)</f>
        <v>0</v>
      </c>
      <c r="CD229">
        <f>IF(OR(CD163="",AND(CD163=CD162,CD163=CD164)),NA(), CD163)</f>
        <v>0</v>
      </c>
      <c r="CE229">
        <f>IF(ISNA(CF229),NA(),CE163)</f>
        <v>0</v>
      </c>
      <c r="CF229">
        <f>IF(OR(CF163="",AND(CF163=CF162,CF163=CF164)),NA(), CF163)</f>
        <v>0</v>
      </c>
      <c r="CG229">
        <f>IF(ISNA(CH229),NA(),CG163)</f>
        <v>0</v>
      </c>
      <c r="CH229">
        <f>IF(OR(CH163="",AND(CH163=CH162,CH163=CH164)),NA(), CH163)</f>
        <v>0</v>
      </c>
      <c r="CI229">
        <f>IF(ISNA(CJ229),NA(),CI163)</f>
        <v>0</v>
      </c>
      <c r="CJ229">
        <f>IF(OR(CJ163="",AND(CJ163=CJ162,CJ163=CJ164)),NA(), CJ163)</f>
        <v>0</v>
      </c>
      <c r="CK229">
        <f>IF(ISNA(CL229),NA(),CK163)</f>
        <v>0</v>
      </c>
      <c r="CL229">
        <f>IF(OR(CL163="",AND(CL163=CL162,CL163=CL164)),NA(), CL163)</f>
        <v>0</v>
      </c>
      <c r="CM229">
        <f>IF(ISNA(CN229),NA(),CM163)</f>
        <v>0</v>
      </c>
      <c r="CN229">
        <f>IF(OR(CN163="",AND(CN163=CN162,CN163=CN164)),NA(), CN163)</f>
        <v>0</v>
      </c>
      <c r="CO229">
        <f>IF(ISNA(CP229),NA(),CO163)</f>
        <v>0</v>
      </c>
      <c r="CP229">
        <f>IF(OR(CP163="",AND(CP163=CP162,CP163=CP164)),NA(), CP163)</f>
        <v>0</v>
      </c>
      <c r="CQ229">
        <f>IF(ISNA(CR229),NA(),CQ163)</f>
        <v>0</v>
      </c>
      <c r="CR229">
        <f>IF(OR(CR163="",AND(CR163=CR162,CR163=CR164)),NA(), CR163)</f>
        <v>0</v>
      </c>
      <c r="CS229">
        <f>IF(ISNA(CT229),NA(),CS163)</f>
        <v>0</v>
      </c>
      <c r="CT229">
        <f>IF(OR(CT163="",AND(CT163=CT162,CT163=CT164)),NA(), CT163)</f>
        <v>0</v>
      </c>
      <c r="CU229">
        <f>IF(ISNA(CV229),NA(),CU163)</f>
        <v>0</v>
      </c>
      <c r="CV229">
        <f>IF(OR(CV163="",AND(CV163=CV162,CV163=CV164)),NA(), CV163)</f>
        <v>0</v>
      </c>
      <c r="CW229">
        <f>IF(ISNA(CX229),NA(),CW163)</f>
        <v>0</v>
      </c>
      <c r="CX229">
        <f>IF(OR(CX163="",AND(CX163=CX162,CX163=CX164)),NA(), CX163)</f>
        <v>0</v>
      </c>
      <c r="CY229">
        <f>IF(ISNA(CZ229),NA(),CY163)</f>
        <v>0</v>
      </c>
      <c r="CZ229">
        <f>IF(OR(CZ163="",AND(CZ163=CZ162,CZ163=CZ164)),NA(), CZ163)</f>
        <v>0</v>
      </c>
      <c r="DA229">
        <f>IF(ISNA(DB229),NA(),DA163)</f>
        <v>0</v>
      </c>
      <c r="DB229">
        <f>IF(OR(DB163="",AND(DB163=DB162,DB163=DB164)),NA(), DB163)</f>
        <v>0</v>
      </c>
      <c r="DC229">
        <f>IF(ISNA(DD229),NA(),DC163)</f>
        <v>0</v>
      </c>
      <c r="DD229">
        <f>IF(OR(DD163="",AND(DD163=DD162,DD163=DD164)),NA(), DD163)</f>
        <v>0</v>
      </c>
      <c r="DE229">
        <f>IF(ISNA(DF229),NA(),DE163)</f>
        <v>0</v>
      </c>
      <c r="DF229">
        <f>IF(OR(DF163="",AND(DF163=DF162,DF163=DF164)),NA(), DF163)</f>
        <v>0</v>
      </c>
      <c r="DG229">
        <f>IF(ISNA(DH229),NA(),DG163)</f>
        <v>0</v>
      </c>
      <c r="DH229">
        <f>IF(OR(DH163="",AND(DH163=DH162,DH163=DH164)),NA(), DH163)</f>
        <v>0</v>
      </c>
      <c r="DI229">
        <f>IF(ISNA(DJ229),NA(),DI163)</f>
        <v>0</v>
      </c>
      <c r="DJ229">
        <f>IF(OR(DJ163="",AND(DJ163=DJ162,DJ163=DJ164)),NA(), DJ163)</f>
        <v>0</v>
      </c>
      <c r="DK229">
        <f>IF(ISNA(DL229),NA(),DK163)</f>
        <v>0</v>
      </c>
      <c r="DL229">
        <f>IF(OR(DL163="",AND(DL163=DL162,DL163=DL164)),NA(), DL163)</f>
        <v>0</v>
      </c>
      <c r="DM229">
        <f>IF(ISNA(DN229),NA(),DM163)</f>
        <v>0</v>
      </c>
      <c r="DN229">
        <f>IF(OR(DN163="",AND(DN163=DN162,DN163=DN164)),NA(), DN163)</f>
        <v>0</v>
      </c>
      <c r="DO229">
        <f>IF(ISNA(DP229),NA(),DO163)</f>
        <v>0</v>
      </c>
      <c r="DP229">
        <f>IF(OR(DP163="",AND(DP163=DP162,DP163=DP164)),NA(), DP163)</f>
        <v>0</v>
      </c>
      <c r="DQ229">
        <f>IF(ISNA(DR229),NA(),DQ163)</f>
        <v>0</v>
      </c>
      <c r="DR229">
        <f>IF(OR(DR163="",AND(DR163=DR162,DR163=DR164)),NA(), DR163)</f>
        <v>0</v>
      </c>
      <c r="DS229">
        <f>IF(ISNA(DT229),NA(),DS163)</f>
        <v>0</v>
      </c>
      <c r="DT229">
        <f>IF(OR(DT163="",AND(DT163=DT162,DT163=DT164)),NA(), DT163)</f>
        <v>0</v>
      </c>
      <c r="DU229">
        <f>IF(ISNA(DV229),NA(),DU163)</f>
        <v>0</v>
      </c>
      <c r="DV229">
        <f>IF(OR(DV163="",AND(DV163=DV162,DV163=DV164)),NA(), DV163)</f>
        <v>0</v>
      </c>
      <c r="DW229">
        <f>IF(ISNA(DX229),NA(),DW163)</f>
        <v>0</v>
      </c>
      <c r="DX229">
        <f>IF(OR(DX163="",AND(DX163=DX162,DX163=DX164)),NA(), DX163)</f>
        <v>0</v>
      </c>
      <c r="DY229">
        <f>IF(ISNA(DZ229),NA(),DY163)</f>
        <v>0</v>
      </c>
      <c r="DZ229">
        <f>IF(OR(DZ163="",AND(DZ163=DZ162,DZ163=DZ164)),NA(), DZ163)</f>
        <v>0</v>
      </c>
      <c r="EA229">
        <f>IF(ISNA(EB229),NA(),EA163)</f>
        <v>0</v>
      </c>
      <c r="EB229">
        <f>IF(OR(EB163="",AND(EB163=EB162,EB163=EB164)),NA(), EB163)</f>
        <v>0</v>
      </c>
      <c r="EC229">
        <f>IF(ISNA(ED229),NA(),EC163)</f>
        <v>0</v>
      </c>
      <c r="ED229">
        <f>IF(OR(ED163="",AND(ED163=ED162,ED163=ED164)),NA(), ED163)</f>
        <v>0</v>
      </c>
    </row>
    <row r="230" spans="5:134">
      <c r="E230">
        <f>IF(ISNA(F230),NA(),E164)</f>
        <v>0</v>
      </c>
      <c r="F230">
        <f>IF(OR(F164="",AND(F164=F163,F164=F165)),NA(), F164)</f>
        <v>0</v>
      </c>
      <c r="G230">
        <f>IF(ISNA(H230),NA(),G164)</f>
        <v>0</v>
      </c>
      <c r="H230">
        <f>IF(OR(H164="",AND(H164=H163,H164=H165)),NA(), H164)</f>
        <v>0</v>
      </c>
      <c r="I230">
        <f>IF(ISNA(J230),NA(),I164)</f>
        <v>0</v>
      </c>
      <c r="J230">
        <f>IF(OR(J164="",AND(J164=J163,J164=J165)),NA(), J164)</f>
        <v>0</v>
      </c>
      <c r="K230">
        <f>IF(ISNA(L230),NA(),K164)</f>
        <v>0</v>
      </c>
      <c r="L230">
        <f>IF(OR(L164="",AND(L164=L163,L164=L165)),NA(), L164)</f>
        <v>0</v>
      </c>
      <c r="M230">
        <f>IF(ISNA(N230),NA(),M164)</f>
        <v>0</v>
      </c>
      <c r="N230">
        <f>IF(OR(N164="",AND(N164=N163,N164=N165)),NA(), N164)</f>
        <v>0</v>
      </c>
      <c r="O230">
        <f>IF(ISNA(P230),NA(),O164)</f>
        <v>0</v>
      </c>
      <c r="P230">
        <f>IF(OR(P164="",AND(P164=P163,P164=P165)),NA(), P164)</f>
        <v>0</v>
      </c>
      <c r="Q230">
        <f>IF(ISNA(R230),NA(),Q164)</f>
        <v>0</v>
      </c>
      <c r="R230">
        <f>IF(OR(R164="",AND(R164=R163,R164=R165)),NA(), R164)</f>
        <v>0</v>
      </c>
      <c r="S230">
        <f>IF(ISNA(T230),NA(),S164)</f>
        <v>0</v>
      </c>
      <c r="T230">
        <f>IF(OR(T164="",AND(T164=T163,T164=T165)),NA(), T164)</f>
        <v>0</v>
      </c>
      <c r="U230">
        <f>IF(ISNA(V230),NA(),U164)</f>
        <v>0</v>
      </c>
      <c r="V230">
        <f>IF(OR(V164="",AND(V164=V163,V164=V165)),NA(), V164)</f>
        <v>0</v>
      </c>
      <c r="W230">
        <f>IF(ISNA(X230),NA(),W164)</f>
        <v>0</v>
      </c>
      <c r="X230">
        <f>IF(OR(X164="",AND(X164=X163,X164=X165)),NA(), X164)</f>
        <v>0</v>
      </c>
      <c r="Y230">
        <f>IF(ISNA(Z230),NA(),Y164)</f>
        <v>0</v>
      </c>
      <c r="Z230">
        <f>IF(OR(Z164="",AND(Z164=Z163,Z164=Z165)),NA(), Z164)</f>
        <v>0</v>
      </c>
      <c r="AA230">
        <f>IF(ISNA(AB230),NA(),AA164)</f>
        <v>0</v>
      </c>
      <c r="AB230">
        <f>IF(OR(AB164="",AND(AB164=AB163,AB164=AB165)),NA(), AB164)</f>
        <v>0</v>
      </c>
      <c r="AC230">
        <f>IF(ISNA(AD230),NA(),AC164)</f>
        <v>0</v>
      </c>
      <c r="AD230">
        <f>IF(OR(AD164="",AND(AD164=AD163,AD164=AD165)),NA(), AD164)</f>
        <v>0</v>
      </c>
      <c r="AE230">
        <f>IF(ISNA(AF230),NA(),AE164)</f>
        <v>0</v>
      </c>
      <c r="AF230">
        <f>IF(OR(AF164="",AND(AF164=AF163,AF164=AF165)),NA(), AF164)</f>
        <v>0</v>
      </c>
      <c r="AG230">
        <f>IF(ISNA(AH230),NA(),AG164)</f>
        <v>0</v>
      </c>
      <c r="AH230">
        <f>IF(OR(AH164="",AND(AH164=AH163,AH164=AH165)),NA(), AH164)</f>
        <v>0</v>
      </c>
      <c r="AI230">
        <f>IF(ISNA(AJ230),NA(),AI164)</f>
        <v>0</v>
      </c>
      <c r="AJ230">
        <f>IF(OR(AJ164="",AND(AJ164=AJ163,AJ164=AJ165)),NA(), AJ164)</f>
        <v>0</v>
      </c>
      <c r="AK230">
        <f>IF(ISNA(AL230),NA(),AK164)</f>
        <v>0</v>
      </c>
      <c r="AL230">
        <f>IF(OR(AL164="",AND(AL164=AL163,AL164=AL165)),NA(), AL164)</f>
        <v>0</v>
      </c>
      <c r="AM230">
        <f>IF(ISNA(AN230),NA(),AM164)</f>
        <v>0</v>
      </c>
      <c r="AN230">
        <f>IF(OR(AN164="",AND(AN164=AN163,AN164=AN165)),NA(), AN164)</f>
        <v>0</v>
      </c>
      <c r="AO230">
        <f>IF(ISNA(AP230),NA(),AO164)</f>
        <v>0</v>
      </c>
      <c r="AP230">
        <f>IF(OR(AP164="",AND(AP164=AP163,AP164=AP165)),NA(), AP164)</f>
        <v>0</v>
      </c>
      <c r="AQ230">
        <f>IF(ISNA(AR230),NA(),AQ164)</f>
        <v>0</v>
      </c>
      <c r="AR230">
        <f>IF(OR(AR164="",AND(AR164=AR163,AR164=AR165)),NA(), AR164)</f>
        <v>0</v>
      </c>
      <c r="AS230">
        <f>IF(ISNA(AT230),NA(),AS164)</f>
        <v>0</v>
      </c>
      <c r="AT230">
        <f>IF(OR(AT164="",AND(AT164=AT163,AT164=AT165)),NA(), AT164)</f>
        <v>0</v>
      </c>
      <c r="AU230">
        <f>IF(ISNA(AV230),NA(),AU164)</f>
        <v>0</v>
      </c>
      <c r="AV230">
        <f>IF(OR(AV164="",AND(AV164=AV163,AV164=AV165)),NA(), AV164)</f>
        <v>0</v>
      </c>
      <c r="AW230">
        <f>IF(ISNA(AX230),NA(),AW164)</f>
        <v>0</v>
      </c>
      <c r="AX230">
        <f>IF(OR(AX164="",AND(AX164=AX163,AX164=AX165)),NA(), AX164)</f>
        <v>0</v>
      </c>
      <c r="AY230">
        <f>IF(ISNA(AZ230),NA(),AY164)</f>
        <v>0</v>
      </c>
      <c r="AZ230">
        <f>IF(OR(AZ164="",AND(AZ164=AZ163,AZ164=AZ165)),NA(), AZ164)</f>
        <v>0</v>
      </c>
      <c r="BA230">
        <f>IF(ISNA(BB230),NA(),BA164)</f>
        <v>0</v>
      </c>
      <c r="BB230">
        <f>IF(OR(BB164="",AND(BB164=BB163,BB164=BB165)),NA(), BB164)</f>
        <v>0</v>
      </c>
      <c r="BC230">
        <f>IF(ISNA(BD230),NA(),BC164)</f>
        <v>0</v>
      </c>
      <c r="BD230">
        <f>IF(OR(BD164="",AND(BD164=BD163,BD164=BD165)),NA(), BD164)</f>
        <v>0</v>
      </c>
      <c r="BE230">
        <f>IF(ISNA(BF230),NA(),BE164)</f>
        <v>0</v>
      </c>
      <c r="BF230">
        <f>IF(OR(BF164="",AND(BF164=BF163,BF164=BF165)),NA(), BF164)</f>
        <v>0</v>
      </c>
      <c r="BG230">
        <f>IF(ISNA(BH230),NA(),BG164)</f>
        <v>0</v>
      </c>
      <c r="BH230">
        <f>IF(OR(BH164="",AND(BH164=BH163,BH164=BH165)),NA(), BH164)</f>
        <v>0</v>
      </c>
      <c r="BI230">
        <f>IF(ISNA(BJ230),NA(),BI164)</f>
        <v>0</v>
      </c>
      <c r="BJ230">
        <f>IF(OR(BJ164="",AND(BJ164=BJ163,BJ164=BJ165)),NA(), BJ164)</f>
        <v>0</v>
      </c>
      <c r="BK230">
        <f>IF(ISNA(BL230),NA(),BK164)</f>
        <v>0</v>
      </c>
      <c r="BL230">
        <f>IF(OR(BL164="",AND(BL164=BL163,BL164=BL165)),NA(), BL164)</f>
        <v>0</v>
      </c>
      <c r="BM230">
        <f>IF(ISNA(BN230),NA(),BM164)</f>
        <v>0</v>
      </c>
      <c r="BN230">
        <f>IF(OR(BN164="",AND(BN164=BN163,BN164=BN165)),NA(), BN164)</f>
        <v>0</v>
      </c>
      <c r="BO230">
        <f>IF(ISNA(BP230),NA(),BO164)</f>
        <v>0</v>
      </c>
      <c r="BP230">
        <f>IF(OR(BP164="",AND(BP164=BP163,BP164=BP165)),NA(), BP164)</f>
        <v>0</v>
      </c>
      <c r="BS230">
        <f>IF(ISNA(BT230),NA(),BS164)</f>
        <v>0</v>
      </c>
      <c r="BT230">
        <f>IF(OR(BT164="",AND(BT164=BT163,BT164=BT165)),NA(), BT164)</f>
        <v>0</v>
      </c>
      <c r="BU230">
        <f>IF(ISNA(BV230),NA(),BU164)</f>
        <v>0</v>
      </c>
      <c r="BV230">
        <f>IF(OR(BV164="",AND(BV164=BV163,BV164=BV165)),NA(), BV164)</f>
        <v>0</v>
      </c>
      <c r="BW230">
        <f>IF(ISNA(BX230),NA(),BW164)</f>
        <v>0</v>
      </c>
      <c r="BX230">
        <f>IF(OR(BX164="",AND(BX164=BX163,BX164=BX165)),NA(), BX164)</f>
        <v>0</v>
      </c>
      <c r="BY230">
        <f>IF(ISNA(BZ230),NA(),BY164)</f>
        <v>0</v>
      </c>
      <c r="BZ230">
        <f>IF(OR(BZ164="",AND(BZ164=BZ163,BZ164=BZ165)),NA(), BZ164)</f>
        <v>0</v>
      </c>
      <c r="CA230">
        <f>IF(ISNA(CB230),NA(),CA164)</f>
        <v>0</v>
      </c>
      <c r="CB230">
        <f>IF(OR(CB164="",AND(CB164=CB163,CB164=CB165)),NA(), CB164)</f>
        <v>0</v>
      </c>
      <c r="CC230">
        <f>IF(ISNA(CD230),NA(),CC164)</f>
        <v>0</v>
      </c>
      <c r="CD230">
        <f>IF(OR(CD164="",AND(CD164=CD163,CD164=CD165)),NA(), CD164)</f>
        <v>0</v>
      </c>
      <c r="CE230">
        <f>IF(ISNA(CF230),NA(),CE164)</f>
        <v>0</v>
      </c>
      <c r="CF230">
        <f>IF(OR(CF164="",AND(CF164=CF163,CF164=CF165)),NA(), CF164)</f>
        <v>0</v>
      </c>
      <c r="CG230">
        <f>IF(ISNA(CH230),NA(),CG164)</f>
        <v>0</v>
      </c>
      <c r="CH230">
        <f>IF(OR(CH164="",AND(CH164=CH163,CH164=CH165)),NA(), CH164)</f>
        <v>0</v>
      </c>
      <c r="CI230">
        <f>IF(ISNA(CJ230),NA(),CI164)</f>
        <v>0</v>
      </c>
      <c r="CJ230">
        <f>IF(OR(CJ164="",AND(CJ164=CJ163,CJ164=CJ165)),NA(), CJ164)</f>
        <v>0</v>
      </c>
      <c r="CK230">
        <f>IF(ISNA(CL230),NA(),CK164)</f>
        <v>0</v>
      </c>
      <c r="CL230">
        <f>IF(OR(CL164="",AND(CL164=CL163,CL164=CL165)),NA(), CL164)</f>
        <v>0</v>
      </c>
      <c r="CM230">
        <f>IF(ISNA(CN230),NA(),CM164)</f>
        <v>0</v>
      </c>
      <c r="CN230">
        <f>IF(OR(CN164="",AND(CN164=CN163,CN164=CN165)),NA(), CN164)</f>
        <v>0</v>
      </c>
      <c r="CO230">
        <f>IF(ISNA(CP230),NA(),CO164)</f>
        <v>0</v>
      </c>
      <c r="CP230">
        <f>IF(OR(CP164="",AND(CP164=CP163,CP164=CP165)),NA(), CP164)</f>
        <v>0</v>
      </c>
      <c r="CQ230">
        <f>IF(ISNA(CR230),NA(),CQ164)</f>
        <v>0</v>
      </c>
      <c r="CR230">
        <f>IF(OR(CR164="",AND(CR164=CR163,CR164=CR165)),NA(), CR164)</f>
        <v>0</v>
      </c>
      <c r="CS230">
        <f>IF(ISNA(CT230),NA(),CS164)</f>
        <v>0</v>
      </c>
      <c r="CT230">
        <f>IF(OR(CT164="",AND(CT164=CT163,CT164=CT165)),NA(), CT164)</f>
        <v>0</v>
      </c>
      <c r="CU230">
        <f>IF(ISNA(CV230),NA(),CU164)</f>
        <v>0</v>
      </c>
      <c r="CV230">
        <f>IF(OR(CV164="",AND(CV164=CV163,CV164=CV165)),NA(), CV164)</f>
        <v>0</v>
      </c>
      <c r="CW230">
        <f>IF(ISNA(CX230),NA(),CW164)</f>
        <v>0</v>
      </c>
      <c r="CX230">
        <f>IF(OR(CX164="",AND(CX164=CX163,CX164=CX165)),NA(), CX164)</f>
        <v>0</v>
      </c>
      <c r="CY230">
        <f>IF(ISNA(CZ230),NA(),CY164)</f>
        <v>0</v>
      </c>
      <c r="CZ230">
        <f>IF(OR(CZ164="",AND(CZ164=CZ163,CZ164=CZ165)),NA(), CZ164)</f>
        <v>0</v>
      </c>
      <c r="DA230">
        <f>IF(ISNA(DB230),NA(),DA164)</f>
        <v>0</v>
      </c>
      <c r="DB230">
        <f>IF(OR(DB164="",AND(DB164=DB163,DB164=DB165)),NA(), DB164)</f>
        <v>0</v>
      </c>
      <c r="DC230">
        <f>IF(ISNA(DD230),NA(),DC164)</f>
        <v>0</v>
      </c>
      <c r="DD230">
        <f>IF(OR(DD164="",AND(DD164=DD163,DD164=DD165)),NA(), DD164)</f>
        <v>0</v>
      </c>
      <c r="DE230">
        <f>IF(ISNA(DF230),NA(),DE164)</f>
        <v>0</v>
      </c>
      <c r="DF230">
        <f>IF(OR(DF164="",AND(DF164=DF163,DF164=DF165)),NA(), DF164)</f>
        <v>0</v>
      </c>
      <c r="DG230">
        <f>IF(ISNA(DH230),NA(),DG164)</f>
        <v>0</v>
      </c>
      <c r="DH230">
        <f>IF(OR(DH164="",AND(DH164=DH163,DH164=DH165)),NA(), DH164)</f>
        <v>0</v>
      </c>
      <c r="DI230">
        <f>IF(ISNA(DJ230),NA(),DI164)</f>
        <v>0</v>
      </c>
      <c r="DJ230">
        <f>IF(OR(DJ164="",AND(DJ164=DJ163,DJ164=DJ165)),NA(), DJ164)</f>
        <v>0</v>
      </c>
      <c r="DK230">
        <f>IF(ISNA(DL230),NA(),DK164)</f>
        <v>0</v>
      </c>
      <c r="DL230">
        <f>IF(OR(DL164="",AND(DL164=DL163,DL164=DL165)),NA(), DL164)</f>
        <v>0</v>
      </c>
      <c r="DM230">
        <f>IF(ISNA(DN230),NA(),DM164)</f>
        <v>0</v>
      </c>
      <c r="DN230">
        <f>IF(OR(DN164="",AND(DN164=DN163,DN164=DN165)),NA(), DN164)</f>
        <v>0</v>
      </c>
      <c r="DO230">
        <f>IF(ISNA(DP230),NA(),DO164)</f>
        <v>0</v>
      </c>
      <c r="DP230">
        <f>IF(OR(DP164="",AND(DP164=DP163,DP164=DP165)),NA(), DP164)</f>
        <v>0</v>
      </c>
      <c r="DQ230">
        <f>IF(ISNA(DR230),NA(),DQ164)</f>
        <v>0</v>
      </c>
      <c r="DR230">
        <f>IF(OR(DR164="",AND(DR164=DR163,DR164=DR165)),NA(), DR164)</f>
        <v>0</v>
      </c>
      <c r="DS230">
        <f>IF(ISNA(DT230),NA(),DS164)</f>
        <v>0</v>
      </c>
      <c r="DT230">
        <f>IF(OR(DT164="",AND(DT164=DT163,DT164=DT165)),NA(), DT164)</f>
        <v>0</v>
      </c>
      <c r="DU230">
        <f>IF(ISNA(DV230),NA(),DU164)</f>
        <v>0</v>
      </c>
      <c r="DV230">
        <f>IF(OR(DV164="",AND(DV164=DV163,DV164=DV165)),NA(), DV164)</f>
        <v>0</v>
      </c>
      <c r="DW230">
        <f>IF(ISNA(DX230),NA(),DW164)</f>
        <v>0</v>
      </c>
      <c r="DX230">
        <f>IF(OR(DX164="",AND(DX164=DX163,DX164=DX165)),NA(), DX164)</f>
        <v>0</v>
      </c>
      <c r="DY230">
        <f>IF(ISNA(DZ230),NA(),DY164)</f>
        <v>0</v>
      </c>
      <c r="DZ230">
        <f>IF(OR(DZ164="",AND(DZ164=DZ163,DZ164=DZ165)),NA(), DZ164)</f>
        <v>0</v>
      </c>
      <c r="EA230">
        <f>IF(ISNA(EB230),NA(),EA164)</f>
        <v>0</v>
      </c>
      <c r="EB230">
        <f>IF(OR(EB164="",AND(EB164=EB163,EB164=EB165)),NA(), EB164)</f>
        <v>0</v>
      </c>
      <c r="EC230">
        <f>IF(ISNA(ED230),NA(),EC164)</f>
        <v>0</v>
      </c>
      <c r="ED230">
        <f>IF(OR(ED164="",AND(ED164=ED163,ED164=ED165)),NA(), ED164)</f>
        <v>0</v>
      </c>
    </row>
    <row r="231" spans="5:134">
      <c r="E231">
        <f>IF(ISNA(F231),NA(),E165)</f>
        <v>0</v>
      </c>
      <c r="F231">
        <f>IF(OR(F165="",AND(F165=F164,F165=F166)),NA(), F165)</f>
        <v>0</v>
      </c>
      <c r="G231">
        <f>IF(ISNA(H231),NA(),G165)</f>
        <v>0</v>
      </c>
      <c r="H231">
        <f>IF(OR(H165="",AND(H165=H164,H165=H166)),NA(), H165)</f>
        <v>0</v>
      </c>
      <c r="I231">
        <f>IF(ISNA(J231),NA(),I165)</f>
        <v>0</v>
      </c>
      <c r="J231">
        <f>IF(OR(J165="",AND(J165=J164,J165=J166)),NA(), J165)</f>
        <v>0</v>
      </c>
      <c r="K231">
        <f>IF(ISNA(L231),NA(),K165)</f>
        <v>0</v>
      </c>
      <c r="L231">
        <f>IF(OR(L165="",AND(L165=L164,L165=L166)),NA(), L165)</f>
        <v>0</v>
      </c>
      <c r="M231">
        <f>IF(ISNA(N231),NA(),M165)</f>
        <v>0</v>
      </c>
      <c r="N231">
        <f>IF(OR(N165="",AND(N165=N164,N165=N166)),NA(), N165)</f>
        <v>0</v>
      </c>
      <c r="O231">
        <f>IF(ISNA(P231),NA(),O165)</f>
        <v>0</v>
      </c>
      <c r="P231">
        <f>IF(OR(P165="",AND(P165=P164,P165=P166)),NA(), P165)</f>
        <v>0</v>
      </c>
      <c r="Q231">
        <f>IF(ISNA(R231),NA(),Q165)</f>
        <v>0</v>
      </c>
      <c r="R231">
        <f>IF(OR(R165="",AND(R165=R164,R165=R166)),NA(), R165)</f>
        <v>0</v>
      </c>
      <c r="S231">
        <f>IF(ISNA(T231),NA(),S165)</f>
        <v>0</v>
      </c>
      <c r="T231">
        <f>IF(OR(T165="",AND(T165=T164,T165=T166)),NA(), T165)</f>
        <v>0</v>
      </c>
      <c r="U231">
        <f>IF(ISNA(V231),NA(),U165)</f>
        <v>0</v>
      </c>
      <c r="V231">
        <f>IF(OR(V165="",AND(V165=V164,V165=V166)),NA(), V165)</f>
        <v>0</v>
      </c>
      <c r="W231">
        <f>IF(ISNA(X231),NA(),W165)</f>
        <v>0</v>
      </c>
      <c r="X231">
        <f>IF(OR(X165="",AND(X165=X164,X165=X166)),NA(), X165)</f>
        <v>0</v>
      </c>
      <c r="Y231">
        <f>IF(ISNA(Z231),NA(),Y165)</f>
        <v>0</v>
      </c>
      <c r="Z231">
        <f>IF(OR(Z165="",AND(Z165=Z164,Z165=Z166)),NA(), Z165)</f>
        <v>0</v>
      </c>
      <c r="AA231">
        <f>IF(ISNA(AB231),NA(),AA165)</f>
        <v>0</v>
      </c>
      <c r="AB231">
        <f>IF(OR(AB165="",AND(AB165=AB164,AB165=AB166)),NA(), AB165)</f>
        <v>0</v>
      </c>
      <c r="AC231">
        <f>IF(ISNA(AD231),NA(),AC165)</f>
        <v>0</v>
      </c>
      <c r="AD231">
        <f>IF(OR(AD165="",AND(AD165=AD164,AD165=AD166)),NA(), AD165)</f>
        <v>0</v>
      </c>
      <c r="AE231">
        <f>IF(ISNA(AF231),NA(),AE165)</f>
        <v>0</v>
      </c>
      <c r="AF231">
        <f>IF(OR(AF165="",AND(AF165=AF164,AF165=AF166)),NA(), AF165)</f>
        <v>0</v>
      </c>
      <c r="AG231">
        <f>IF(ISNA(AH231),NA(),AG165)</f>
        <v>0</v>
      </c>
      <c r="AH231">
        <f>IF(OR(AH165="",AND(AH165=AH164,AH165=AH166)),NA(), AH165)</f>
        <v>0</v>
      </c>
      <c r="AI231">
        <f>IF(ISNA(AJ231),NA(),AI165)</f>
        <v>0</v>
      </c>
      <c r="AJ231">
        <f>IF(OR(AJ165="",AND(AJ165=AJ164,AJ165=AJ166)),NA(), AJ165)</f>
        <v>0</v>
      </c>
      <c r="AK231">
        <f>IF(ISNA(AL231),NA(),AK165)</f>
        <v>0</v>
      </c>
      <c r="AL231">
        <f>IF(OR(AL165="",AND(AL165=AL164,AL165=AL166)),NA(), AL165)</f>
        <v>0</v>
      </c>
      <c r="AM231">
        <f>IF(ISNA(AN231),NA(),AM165)</f>
        <v>0</v>
      </c>
      <c r="AN231">
        <f>IF(OR(AN165="",AND(AN165=AN164,AN165=AN166)),NA(), AN165)</f>
        <v>0</v>
      </c>
      <c r="AO231">
        <f>IF(ISNA(AP231),NA(),AO165)</f>
        <v>0</v>
      </c>
      <c r="AP231">
        <f>IF(OR(AP165="",AND(AP165=AP164,AP165=AP166)),NA(), AP165)</f>
        <v>0</v>
      </c>
      <c r="AQ231">
        <f>IF(ISNA(AR231),NA(),AQ165)</f>
        <v>0</v>
      </c>
      <c r="AR231">
        <f>IF(OR(AR165="",AND(AR165=AR164,AR165=AR166)),NA(), AR165)</f>
        <v>0</v>
      </c>
      <c r="AS231">
        <f>IF(ISNA(AT231),NA(),AS165)</f>
        <v>0</v>
      </c>
      <c r="AT231">
        <f>IF(OR(AT165="",AND(AT165=AT164,AT165=AT166)),NA(), AT165)</f>
        <v>0</v>
      </c>
      <c r="AU231">
        <f>IF(ISNA(AV231),NA(),AU165)</f>
        <v>0</v>
      </c>
      <c r="AV231">
        <f>IF(OR(AV165="",AND(AV165=AV164,AV165=AV166)),NA(), AV165)</f>
        <v>0</v>
      </c>
      <c r="AW231">
        <f>IF(ISNA(AX231),NA(),AW165)</f>
        <v>0</v>
      </c>
      <c r="AX231">
        <f>IF(OR(AX165="",AND(AX165=AX164,AX165=AX166)),NA(), AX165)</f>
        <v>0</v>
      </c>
      <c r="AY231">
        <f>IF(ISNA(AZ231),NA(),AY165)</f>
        <v>0</v>
      </c>
      <c r="AZ231">
        <f>IF(OR(AZ165="",AND(AZ165=AZ164,AZ165=AZ166)),NA(), AZ165)</f>
        <v>0</v>
      </c>
      <c r="BA231">
        <f>IF(ISNA(BB231),NA(),BA165)</f>
        <v>0</v>
      </c>
      <c r="BB231">
        <f>IF(OR(BB165="",AND(BB165=BB164,BB165=BB166)),NA(), BB165)</f>
        <v>0</v>
      </c>
      <c r="BC231">
        <f>IF(ISNA(BD231),NA(),BC165)</f>
        <v>0</v>
      </c>
      <c r="BD231">
        <f>IF(OR(BD165="",AND(BD165=BD164,BD165=BD166)),NA(), BD165)</f>
        <v>0</v>
      </c>
      <c r="BE231">
        <f>IF(ISNA(BF231),NA(),BE165)</f>
        <v>0</v>
      </c>
      <c r="BF231">
        <f>IF(OR(BF165="",AND(BF165=BF164,BF165=BF166)),NA(), BF165)</f>
        <v>0</v>
      </c>
      <c r="BG231">
        <f>IF(ISNA(BH231),NA(),BG165)</f>
        <v>0</v>
      </c>
      <c r="BH231">
        <f>IF(OR(BH165="",AND(BH165=BH164,BH165=BH166)),NA(), BH165)</f>
        <v>0</v>
      </c>
      <c r="BI231">
        <f>IF(ISNA(BJ231),NA(),BI165)</f>
        <v>0</v>
      </c>
      <c r="BJ231">
        <f>IF(OR(BJ165="",AND(BJ165=BJ164,BJ165=BJ166)),NA(), BJ165)</f>
        <v>0</v>
      </c>
      <c r="BK231">
        <f>IF(ISNA(BL231),NA(),BK165)</f>
        <v>0</v>
      </c>
      <c r="BL231">
        <f>IF(OR(BL165="",AND(BL165=BL164,BL165=BL166)),NA(), BL165)</f>
        <v>0</v>
      </c>
      <c r="BM231">
        <f>IF(ISNA(BN231),NA(),BM165)</f>
        <v>0</v>
      </c>
      <c r="BN231">
        <f>IF(OR(BN165="",AND(BN165=BN164,BN165=BN166)),NA(), BN165)</f>
        <v>0</v>
      </c>
      <c r="BO231">
        <f>IF(ISNA(BP231),NA(),BO165)</f>
        <v>0</v>
      </c>
      <c r="BP231">
        <f>IF(OR(BP165="",AND(BP165=BP164,BP165=BP166)),NA(), BP165)</f>
        <v>0</v>
      </c>
      <c r="BS231">
        <f>IF(ISNA(BT231),NA(),BS165)</f>
        <v>0</v>
      </c>
      <c r="BT231">
        <f>IF(OR(BT165="",AND(BT165=BT164,BT165=BT166)),NA(), BT165)</f>
        <v>0</v>
      </c>
      <c r="BU231">
        <f>IF(ISNA(BV231),NA(),BU165)</f>
        <v>0</v>
      </c>
      <c r="BV231">
        <f>IF(OR(BV165="",AND(BV165=BV164,BV165=BV166)),NA(), BV165)</f>
        <v>0</v>
      </c>
      <c r="BW231">
        <f>IF(ISNA(BX231),NA(),BW165)</f>
        <v>0</v>
      </c>
      <c r="BX231">
        <f>IF(OR(BX165="",AND(BX165=BX164,BX165=BX166)),NA(), BX165)</f>
        <v>0</v>
      </c>
      <c r="BY231">
        <f>IF(ISNA(BZ231),NA(),BY165)</f>
        <v>0</v>
      </c>
      <c r="BZ231">
        <f>IF(OR(BZ165="",AND(BZ165=BZ164,BZ165=BZ166)),NA(), BZ165)</f>
        <v>0</v>
      </c>
      <c r="CA231">
        <f>IF(ISNA(CB231),NA(),CA165)</f>
        <v>0</v>
      </c>
      <c r="CB231">
        <f>IF(OR(CB165="",AND(CB165=CB164,CB165=CB166)),NA(), CB165)</f>
        <v>0</v>
      </c>
      <c r="CC231">
        <f>IF(ISNA(CD231),NA(),CC165)</f>
        <v>0</v>
      </c>
      <c r="CD231">
        <f>IF(OR(CD165="",AND(CD165=CD164,CD165=CD166)),NA(), CD165)</f>
        <v>0</v>
      </c>
      <c r="CE231">
        <f>IF(ISNA(CF231),NA(),CE165)</f>
        <v>0</v>
      </c>
      <c r="CF231">
        <f>IF(OR(CF165="",AND(CF165=CF164,CF165=CF166)),NA(), CF165)</f>
        <v>0</v>
      </c>
      <c r="CG231">
        <f>IF(ISNA(CH231),NA(),CG165)</f>
        <v>0</v>
      </c>
      <c r="CH231">
        <f>IF(OR(CH165="",AND(CH165=CH164,CH165=CH166)),NA(), CH165)</f>
        <v>0</v>
      </c>
      <c r="CI231">
        <f>IF(ISNA(CJ231),NA(),CI165)</f>
        <v>0</v>
      </c>
      <c r="CJ231">
        <f>IF(OR(CJ165="",AND(CJ165=CJ164,CJ165=CJ166)),NA(), CJ165)</f>
        <v>0</v>
      </c>
      <c r="CK231">
        <f>IF(ISNA(CL231),NA(),CK165)</f>
        <v>0</v>
      </c>
      <c r="CL231">
        <f>IF(OR(CL165="",AND(CL165=CL164,CL165=CL166)),NA(), CL165)</f>
        <v>0</v>
      </c>
      <c r="CM231">
        <f>IF(ISNA(CN231),NA(),CM165)</f>
        <v>0</v>
      </c>
      <c r="CN231">
        <f>IF(OR(CN165="",AND(CN165=CN164,CN165=CN166)),NA(), CN165)</f>
        <v>0</v>
      </c>
      <c r="CO231">
        <f>IF(ISNA(CP231),NA(),CO165)</f>
        <v>0</v>
      </c>
      <c r="CP231">
        <f>IF(OR(CP165="",AND(CP165=CP164,CP165=CP166)),NA(), CP165)</f>
        <v>0</v>
      </c>
      <c r="CQ231">
        <f>IF(ISNA(CR231),NA(),CQ165)</f>
        <v>0</v>
      </c>
      <c r="CR231">
        <f>IF(OR(CR165="",AND(CR165=CR164,CR165=CR166)),NA(), CR165)</f>
        <v>0</v>
      </c>
      <c r="CS231">
        <f>IF(ISNA(CT231),NA(),CS165)</f>
        <v>0</v>
      </c>
      <c r="CT231">
        <f>IF(OR(CT165="",AND(CT165=CT164,CT165=CT166)),NA(), CT165)</f>
        <v>0</v>
      </c>
      <c r="CU231">
        <f>IF(ISNA(CV231),NA(),CU165)</f>
        <v>0</v>
      </c>
      <c r="CV231">
        <f>IF(OR(CV165="",AND(CV165=CV164,CV165=CV166)),NA(), CV165)</f>
        <v>0</v>
      </c>
      <c r="CW231">
        <f>IF(ISNA(CX231),NA(),CW165)</f>
        <v>0</v>
      </c>
      <c r="CX231">
        <f>IF(OR(CX165="",AND(CX165=CX164,CX165=CX166)),NA(), CX165)</f>
        <v>0</v>
      </c>
      <c r="CY231">
        <f>IF(ISNA(CZ231),NA(),CY165)</f>
        <v>0</v>
      </c>
      <c r="CZ231">
        <f>IF(OR(CZ165="",AND(CZ165=CZ164,CZ165=CZ166)),NA(), CZ165)</f>
        <v>0</v>
      </c>
      <c r="DA231">
        <f>IF(ISNA(DB231),NA(),DA165)</f>
        <v>0</v>
      </c>
      <c r="DB231">
        <f>IF(OR(DB165="",AND(DB165=DB164,DB165=DB166)),NA(), DB165)</f>
        <v>0</v>
      </c>
      <c r="DC231">
        <f>IF(ISNA(DD231),NA(),DC165)</f>
        <v>0</v>
      </c>
      <c r="DD231">
        <f>IF(OR(DD165="",AND(DD165=DD164,DD165=DD166)),NA(), DD165)</f>
        <v>0</v>
      </c>
      <c r="DE231">
        <f>IF(ISNA(DF231),NA(),DE165)</f>
        <v>0</v>
      </c>
      <c r="DF231">
        <f>IF(OR(DF165="",AND(DF165=DF164,DF165=DF166)),NA(), DF165)</f>
        <v>0</v>
      </c>
      <c r="DG231">
        <f>IF(ISNA(DH231),NA(),DG165)</f>
        <v>0</v>
      </c>
      <c r="DH231">
        <f>IF(OR(DH165="",AND(DH165=DH164,DH165=DH166)),NA(), DH165)</f>
        <v>0</v>
      </c>
      <c r="DI231">
        <f>IF(ISNA(DJ231),NA(),DI165)</f>
        <v>0</v>
      </c>
      <c r="DJ231">
        <f>IF(OR(DJ165="",AND(DJ165=DJ164,DJ165=DJ166)),NA(), DJ165)</f>
        <v>0</v>
      </c>
      <c r="DK231">
        <f>IF(ISNA(DL231),NA(),DK165)</f>
        <v>0</v>
      </c>
      <c r="DL231">
        <f>IF(OR(DL165="",AND(DL165=DL164,DL165=DL166)),NA(), DL165)</f>
        <v>0</v>
      </c>
      <c r="DM231">
        <f>IF(ISNA(DN231),NA(),DM165)</f>
        <v>0</v>
      </c>
      <c r="DN231">
        <f>IF(OR(DN165="",AND(DN165=DN164,DN165=DN166)),NA(), DN165)</f>
        <v>0</v>
      </c>
      <c r="DO231">
        <f>IF(ISNA(DP231),NA(),DO165)</f>
        <v>0</v>
      </c>
      <c r="DP231">
        <f>IF(OR(DP165="",AND(DP165=DP164,DP165=DP166)),NA(), DP165)</f>
        <v>0</v>
      </c>
      <c r="DQ231">
        <f>IF(ISNA(DR231),NA(),DQ165)</f>
        <v>0</v>
      </c>
      <c r="DR231">
        <f>IF(OR(DR165="",AND(DR165=DR164,DR165=DR166)),NA(), DR165)</f>
        <v>0</v>
      </c>
      <c r="DS231">
        <f>IF(ISNA(DT231),NA(),DS165)</f>
        <v>0</v>
      </c>
      <c r="DT231">
        <f>IF(OR(DT165="",AND(DT165=DT164,DT165=DT166)),NA(), DT165)</f>
        <v>0</v>
      </c>
      <c r="DU231">
        <f>IF(ISNA(DV231),NA(),DU165)</f>
        <v>0</v>
      </c>
      <c r="DV231">
        <f>IF(OR(DV165="",AND(DV165=DV164,DV165=DV166)),NA(), DV165)</f>
        <v>0</v>
      </c>
      <c r="DW231">
        <f>IF(ISNA(DX231),NA(),DW165)</f>
        <v>0</v>
      </c>
      <c r="DX231">
        <f>IF(OR(DX165="",AND(DX165=DX164,DX165=DX166)),NA(), DX165)</f>
        <v>0</v>
      </c>
      <c r="DY231">
        <f>IF(ISNA(DZ231),NA(),DY165)</f>
        <v>0</v>
      </c>
      <c r="DZ231">
        <f>IF(OR(DZ165="",AND(DZ165=DZ164,DZ165=DZ166)),NA(), DZ165)</f>
        <v>0</v>
      </c>
      <c r="EA231">
        <f>IF(ISNA(EB231),NA(),EA165)</f>
        <v>0</v>
      </c>
      <c r="EB231">
        <f>IF(OR(EB165="",AND(EB165=EB164,EB165=EB166)),NA(), EB165)</f>
        <v>0</v>
      </c>
      <c r="EC231">
        <f>IF(ISNA(ED231),NA(),EC165)</f>
        <v>0</v>
      </c>
      <c r="ED231">
        <f>IF(OR(ED165="",AND(ED165=ED164,ED165=ED166)),NA(), ED165)</f>
        <v>0</v>
      </c>
    </row>
    <row r="232" spans="5:134">
      <c r="E232">
        <f>IF(ISNA(F232),NA(),E166)</f>
        <v>0</v>
      </c>
      <c r="F232">
        <f>IF(OR(F166="",AND(F166=F165,F166=F167)),NA(), F166)</f>
        <v>0</v>
      </c>
      <c r="G232">
        <f>IF(ISNA(H232),NA(),G166)</f>
        <v>0</v>
      </c>
      <c r="H232">
        <f>IF(OR(H166="",AND(H166=H165,H166=H167)),NA(), H166)</f>
        <v>0</v>
      </c>
      <c r="I232">
        <f>IF(ISNA(J232),NA(),I166)</f>
        <v>0</v>
      </c>
      <c r="J232">
        <f>IF(OR(J166="",AND(J166=J165,J166=J167)),NA(), J166)</f>
        <v>0</v>
      </c>
      <c r="K232">
        <f>IF(ISNA(L232),NA(),K166)</f>
        <v>0</v>
      </c>
      <c r="L232">
        <f>IF(OR(L166="",AND(L166=L165,L166=L167)),NA(), L166)</f>
        <v>0</v>
      </c>
      <c r="M232">
        <f>IF(ISNA(N232),NA(),M166)</f>
        <v>0</v>
      </c>
      <c r="N232">
        <f>IF(OR(N166="",AND(N166=N165,N166=N167)),NA(), N166)</f>
        <v>0</v>
      </c>
      <c r="O232">
        <f>IF(ISNA(P232),NA(),O166)</f>
        <v>0</v>
      </c>
      <c r="P232">
        <f>IF(OR(P166="",AND(P166=P165,P166=P167)),NA(), P166)</f>
        <v>0</v>
      </c>
      <c r="Q232">
        <f>IF(ISNA(R232),NA(),Q166)</f>
        <v>0</v>
      </c>
      <c r="R232">
        <f>IF(OR(R166="",AND(R166=R165,R166=R167)),NA(), R166)</f>
        <v>0</v>
      </c>
      <c r="S232">
        <f>IF(ISNA(T232),NA(),S166)</f>
        <v>0</v>
      </c>
      <c r="T232">
        <f>IF(OR(T166="",AND(T166=T165,T166=T167)),NA(), T166)</f>
        <v>0</v>
      </c>
      <c r="U232">
        <f>IF(ISNA(V232),NA(),U166)</f>
        <v>0</v>
      </c>
      <c r="V232">
        <f>IF(OR(V166="",AND(V166=V165,V166=V167)),NA(), V166)</f>
        <v>0</v>
      </c>
      <c r="W232">
        <f>IF(ISNA(X232),NA(),W166)</f>
        <v>0</v>
      </c>
      <c r="X232">
        <f>IF(OR(X166="",AND(X166=X165,X166=X167)),NA(), X166)</f>
        <v>0</v>
      </c>
      <c r="Y232">
        <f>IF(ISNA(Z232),NA(),Y166)</f>
        <v>0</v>
      </c>
      <c r="Z232">
        <f>IF(OR(Z166="",AND(Z166=Z165,Z166=Z167)),NA(), Z166)</f>
        <v>0</v>
      </c>
      <c r="AA232">
        <f>IF(ISNA(AB232),NA(),AA166)</f>
        <v>0</v>
      </c>
      <c r="AB232">
        <f>IF(OR(AB166="",AND(AB166=AB165,AB166=AB167)),NA(), AB166)</f>
        <v>0</v>
      </c>
      <c r="AC232">
        <f>IF(ISNA(AD232),NA(),AC166)</f>
        <v>0</v>
      </c>
      <c r="AD232">
        <f>IF(OR(AD166="",AND(AD166=AD165,AD166=AD167)),NA(), AD166)</f>
        <v>0</v>
      </c>
      <c r="AE232">
        <f>IF(ISNA(AF232),NA(),AE166)</f>
        <v>0</v>
      </c>
      <c r="AF232">
        <f>IF(OR(AF166="",AND(AF166=AF165,AF166=AF167)),NA(), AF166)</f>
        <v>0</v>
      </c>
      <c r="AG232">
        <f>IF(ISNA(AH232),NA(),AG166)</f>
        <v>0</v>
      </c>
      <c r="AH232">
        <f>IF(OR(AH166="",AND(AH166=AH165,AH166=AH167)),NA(), AH166)</f>
        <v>0</v>
      </c>
      <c r="AI232">
        <f>IF(ISNA(AJ232),NA(),AI166)</f>
        <v>0</v>
      </c>
      <c r="AJ232">
        <f>IF(OR(AJ166="",AND(AJ166=AJ165,AJ166=AJ167)),NA(), AJ166)</f>
        <v>0</v>
      </c>
      <c r="AK232">
        <f>IF(ISNA(AL232),NA(),AK166)</f>
        <v>0</v>
      </c>
      <c r="AL232">
        <f>IF(OR(AL166="",AND(AL166=AL165,AL166=AL167)),NA(), AL166)</f>
        <v>0</v>
      </c>
      <c r="AM232">
        <f>IF(ISNA(AN232),NA(),AM166)</f>
        <v>0</v>
      </c>
      <c r="AN232">
        <f>IF(OR(AN166="",AND(AN166=AN165,AN166=AN167)),NA(), AN166)</f>
        <v>0</v>
      </c>
      <c r="AO232">
        <f>IF(ISNA(AP232),NA(),AO166)</f>
        <v>0</v>
      </c>
      <c r="AP232">
        <f>IF(OR(AP166="",AND(AP166=AP165,AP166=AP167)),NA(), AP166)</f>
        <v>0</v>
      </c>
      <c r="AQ232">
        <f>IF(ISNA(AR232),NA(),AQ166)</f>
        <v>0</v>
      </c>
      <c r="AR232">
        <f>IF(OR(AR166="",AND(AR166=AR165,AR166=AR167)),NA(), AR166)</f>
        <v>0</v>
      </c>
      <c r="AS232">
        <f>IF(ISNA(AT232),NA(),AS166)</f>
        <v>0</v>
      </c>
      <c r="AT232">
        <f>IF(OR(AT166="",AND(AT166=AT165,AT166=AT167)),NA(), AT166)</f>
        <v>0</v>
      </c>
      <c r="AU232">
        <f>IF(ISNA(AV232),NA(),AU166)</f>
        <v>0</v>
      </c>
      <c r="AV232">
        <f>IF(OR(AV166="",AND(AV166=AV165,AV166=AV167)),NA(), AV166)</f>
        <v>0</v>
      </c>
      <c r="AW232">
        <f>IF(ISNA(AX232),NA(),AW166)</f>
        <v>0</v>
      </c>
      <c r="AX232">
        <f>IF(OR(AX166="",AND(AX166=AX165,AX166=AX167)),NA(), AX166)</f>
        <v>0</v>
      </c>
      <c r="AY232">
        <f>IF(ISNA(AZ232),NA(),AY166)</f>
        <v>0</v>
      </c>
      <c r="AZ232">
        <f>IF(OR(AZ166="",AND(AZ166=AZ165,AZ166=AZ167)),NA(), AZ166)</f>
        <v>0</v>
      </c>
      <c r="BA232">
        <f>IF(ISNA(BB232),NA(),BA166)</f>
        <v>0</v>
      </c>
      <c r="BB232">
        <f>IF(OR(BB166="",AND(BB166=BB165,BB166=BB167)),NA(), BB166)</f>
        <v>0</v>
      </c>
      <c r="BC232">
        <f>IF(ISNA(BD232),NA(),BC166)</f>
        <v>0</v>
      </c>
      <c r="BD232">
        <f>IF(OR(BD166="",AND(BD166=BD165,BD166=BD167)),NA(), BD166)</f>
        <v>0</v>
      </c>
      <c r="BE232">
        <f>IF(ISNA(BF232),NA(),BE166)</f>
        <v>0</v>
      </c>
      <c r="BF232">
        <f>IF(OR(BF166="",AND(BF166=BF165,BF166=BF167)),NA(), BF166)</f>
        <v>0</v>
      </c>
      <c r="BG232">
        <f>IF(ISNA(BH232),NA(),BG166)</f>
        <v>0</v>
      </c>
      <c r="BH232">
        <f>IF(OR(BH166="",AND(BH166=BH165,BH166=BH167)),NA(), BH166)</f>
        <v>0</v>
      </c>
      <c r="BI232">
        <f>IF(ISNA(BJ232),NA(),BI166)</f>
        <v>0</v>
      </c>
      <c r="BJ232">
        <f>IF(OR(BJ166="",AND(BJ166=BJ165,BJ166=BJ167)),NA(), BJ166)</f>
        <v>0</v>
      </c>
      <c r="BK232">
        <f>IF(ISNA(BL232),NA(),BK166)</f>
        <v>0</v>
      </c>
      <c r="BL232">
        <f>IF(OR(BL166="",AND(BL166=BL165,BL166=BL167)),NA(), BL166)</f>
        <v>0</v>
      </c>
      <c r="BM232">
        <f>IF(ISNA(BN232),NA(),BM166)</f>
        <v>0</v>
      </c>
      <c r="BN232">
        <f>IF(OR(BN166="",AND(BN166=BN165,BN166=BN167)),NA(), BN166)</f>
        <v>0</v>
      </c>
      <c r="BO232">
        <f>IF(ISNA(BP232),NA(),BO166)</f>
        <v>0</v>
      </c>
      <c r="BP232">
        <f>IF(OR(BP166="",AND(BP166=BP165,BP166=BP167)),NA(), BP166)</f>
        <v>0</v>
      </c>
      <c r="BS232">
        <f>IF(ISNA(BT232),NA(),BS166)</f>
        <v>0</v>
      </c>
      <c r="BT232">
        <f>IF(OR(BT166="",AND(BT166=BT165,BT166=BT167)),NA(), BT166)</f>
        <v>0</v>
      </c>
      <c r="BU232">
        <f>IF(ISNA(BV232),NA(),BU166)</f>
        <v>0</v>
      </c>
      <c r="BV232">
        <f>IF(OR(BV166="",AND(BV166=BV165,BV166=BV167)),NA(), BV166)</f>
        <v>0</v>
      </c>
      <c r="BW232">
        <f>IF(ISNA(BX232),NA(),BW166)</f>
        <v>0</v>
      </c>
      <c r="BX232">
        <f>IF(OR(BX166="",AND(BX166=BX165,BX166=BX167)),NA(), BX166)</f>
        <v>0</v>
      </c>
      <c r="BY232">
        <f>IF(ISNA(BZ232),NA(),BY166)</f>
        <v>0</v>
      </c>
      <c r="BZ232">
        <f>IF(OR(BZ166="",AND(BZ166=BZ165,BZ166=BZ167)),NA(), BZ166)</f>
        <v>0</v>
      </c>
      <c r="CA232">
        <f>IF(ISNA(CB232),NA(),CA166)</f>
        <v>0</v>
      </c>
      <c r="CB232">
        <f>IF(OR(CB166="",AND(CB166=CB165,CB166=CB167)),NA(), CB166)</f>
        <v>0</v>
      </c>
      <c r="CC232">
        <f>IF(ISNA(CD232),NA(),CC166)</f>
        <v>0</v>
      </c>
      <c r="CD232">
        <f>IF(OR(CD166="",AND(CD166=CD165,CD166=CD167)),NA(), CD166)</f>
        <v>0</v>
      </c>
      <c r="CE232">
        <f>IF(ISNA(CF232),NA(),CE166)</f>
        <v>0</v>
      </c>
      <c r="CF232">
        <f>IF(OR(CF166="",AND(CF166=CF165,CF166=CF167)),NA(), CF166)</f>
        <v>0</v>
      </c>
      <c r="CG232">
        <f>IF(ISNA(CH232),NA(),CG166)</f>
        <v>0</v>
      </c>
      <c r="CH232">
        <f>IF(OR(CH166="",AND(CH166=CH165,CH166=CH167)),NA(), CH166)</f>
        <v>0</v>
      </c>
      <c r="CI232">
        <f>IF(ISNA(CJ232),NA(),CI166)</f>
        <v>0</v>
      </c>
      <c r="CJ232">
        <f>IF(OR(CJ166="",AND(CJ166=CJ165,CJ166=CJ167)),NA(), CJ166)</f>
        <v>0</v>
      </c>
      <c r="CK232">
        <f>IF(ISNA(CL232),NA(),CK166)</f>
        <v>0</v>
      </c>
      <c r="CL232">
        <f>IF(OR(CL166="",AND(CL166=CL165,CL166=CL167)),NA(), CL166)</f>
        <v>0</v>
      </c>
      <c r="CM232">
        <f>IF(ISNA(CN232),NA(),CM166)</f>
        <v>0</v>
      </c>
      <c r="CN232">
        <f>IF(OR(CN166="",AND(CN166=CN165,CN166=CN167)),NA(), CN166)</f>
        <v>0</v>
      </c>
      <c r="CO232">
        <f>IF(ISNA(CP232),NA(),CO166)</f>
        <v>0</v>
      </c>
      <c r="CP232">
        <f>IF(OR(CP166="",AND(CP166=CP165,CP166=CP167)),NA(), CP166)</f>
        <v>0</v>
      </c>
      <c r="CQ232">
        <f>IF(ISNA(CR232),NA(),CQ166)</f>
        <v>0</v>
      </c>
      <c r="CR232">
        <f>IF(OR(CR166="",AND(CR166=CR165,CR166=CR167)),NA(), CR166)</f>
        <v>0</v>
      </c>
      <c r="CS232">
        <f>IF(ISNA(CT232),NA(),CS166)</f>
        <v>0</v>
      </c>
      <c r="CT232">
        <f>IF(OR(CT166="",AND(CT166=CT165,CT166=CT167)),NA(), CT166)</f>
        <v>0</v>
      </c>
      <c r="CU232">
        <f>IF(ISNA(CV232),NA(),CU166)</f>
        <v>0</v>
      </c>
      <c r="CV232">
        <f>IF(OR(CV166="",AND(CV166=CV165,CV166=CV167)),NA(), CV166)</f>
        <v>0</v>
      </c>
      <c r="CW232">
        <f>IF(ISNA(CX232),NA(),CW166)</f>
        <v>0</v>
      </c>
      <c r="CX232">
        <f>IF(OR(CX166="",AND(CX166=CX165,CX166=CX167)),NA(), CX166)</f>
        <v>0</v>
      </c>
      <c r="CY232">
        <f>IF(ISNA(CZ232),NA(),CY166)</f>
        <v>0</v>
      </c>
      <c r="CZ232">
        <f>IF(OR(CZ166="",AND(CZ166=CZ165,CZ166=CZ167)),NA(), CZ166)</f>
        <v>0</v>
      </c>
      <c r="DA232">
        <f>IF(ISNA(DB232),NA(),DA166)</f>
        <v>0</v>
      </c>
      <c r="DB232">
        <f>IF(OR(DB166="",AND(DB166=DB165,DB166=DB167)),NA(), DB166)</f>
        <v>0</v>
      </c>
      <c r="DC232">
        <f>IF(ISNA(DD232),NA(),DC166)</f>
        <v>0</v>
      </c>
      <c r="DD232">
        <f>IF(OR(DD166="",AND(DD166=DD165,DD166=DD167)),NA(), DD166)</f>
        <v>0</v>
      </c>
      <c r="DE232">
        <f>IF(ISNA(DF232),NA(),DE166)</f>
        <v>0</v>
      </c>
      <c r="DF232">
        <f>IF(OR(DF166="",AND(DF166=DF165,DF166=DF167)),NA(), DF166)</f>
        <v>0</v>
      </c>
      <c r="DG232">
        <f>IF(ISNA(DH232),NA(),DG166)</f>
        <v>0</v>
      </c>
      <c r="DH232">
        <f>IF(OR(DH166="",AND(DH166=DH165,DH166=DH167)),NA(), DH166)</f>
        <v>0</v>
      </c>
      <c r="DI232">
        <f>IF(ISNA(DJ232),NA(),DI166)</f>
        <v>0</v>
      </c>
      <c r="DJ232">
        <f>IF(OR(DJ166="",AND(DJ166=DJ165,DJ166=DJ167)),NA(), DJ166)</f>
        <v>0</v>
      </c>
      <c r="DK232">
        <f>IF(ISNA(DL232),NA(),DK166)</f>
        <v>0</v>
      </c>
      <c r="DL232">
        <f>IF(OR(DL166="",AND(DL166=DL165,DL166=DL167)),NA(), DL166)</f>
        <v>0</v>
      </c>
      <c r="DM232">
        <f>IF(ISNA(DN232),NA(),DM166)</f>
        <v>0</v>
      </c>
      <c r="DN232">
        <f>IF(OR(DN166="",AND(DN166=DN165,DN166=DN167)),NA(), DN166)</f>
        <v>0</v>
      </c>
      <c r="DO232">
        <f>IF(ISNA(DP232),NA(),DO166)</f>
        <v>0</v>
      </c>
      <c r="DP232">
        <f>IF(OR(DP166="",AND(DP166=DP165,DP166=DP167)),NA(), DP166)</f>
        <v>0</v>
      </c>
      <c r="DQ232">
        <f>IF(ISNA(DR232),NA(),DQ166)</f>
        <v>0</v>
      </c>
      <c r="DR232">
        <f>IF(OR(DR166="",AND(DR166=DR165,DR166=DR167)),NA(), DR166)</f>
        <v>0</v>
      </c>
      <c r="DS232">
        <f>IF(ISNA(DT232),NA(),DS166)</f>
        <v>0</v>
      </c>
      <c r="DT232">
        <f>IF(OR(DT166="",AND(DT166=DT165,DT166=DT167)),NA(), DT166)</f>
        <v>0</v>
      </c>
      <c r="DU232">
        <f>IF(ISNA(DV232),NA(),DU166)</f>
        <v>0</v>
      </c>
      <c r="DV232">
        <f>IF(OR(DV166="",AND(DV166=DV165,DV166=DV167)),NA(), DV166)</f>
        <v>0</v>
      </c>
      <c r="DW232">
        <f>IF(ISNA(DX232),NA(),DW166)</f>
        <v>0</v>
      </c>
      <c r="DX232">
        <f>IF(OR(DX166="",AND(DX166=DX165,DX166=DX167)),NA(), DX166)</f>
        <v>0</v>
      </c>
      <c r="DY232">
        <f>IF(ISNA(DZ232),NA(),DY166)</f>
        <v>0</v>
      </c>
      <c r="DZ232">
        <f>IF(OR(DZ166="",AND(DZ166=DZ165,DZ166=DZ167)),NA(), DZ166)</f>
        <v>0</v>
      </c>
      <c r="EA232">
        <f>IF(ISNA(EB232),NA(),EA166)</f>
        <v>0</v>
      </c>
      <c r="EB232">
        <f>IF(OR(EB166="",AND(EB166=EB165,EB166=EB167)),NA(), EB166)</f>
        <v>0</v>
      </c>
      <c r="EC232">
        <f>IF(ISNA(ED232),NA(),EC166)</f>
        <v>0</v>
      </c>
      <c r="ED232">
        <f>IF(OR(ED166="",AND(ED166=ED165,ED166=ED167)),NA(), ED166)</f>
        <v>0</v>
      </c>
    </row>
    <row r="233" spans="5:134">
      <c r="E233">
        <f>IF(ISNA(F233),NA(),E167)</f>
        <v>0</v>
      </c>
      <c r="F233">
        <f>IF(OR(F167="",AND(F167=F166,F167=F168)),NA(), F167)</f>
        <v>0</v>
      </c>
      <c r="G233">
        <f>IF(ISNA(H233),NA(),G167)</f>
        <v>0</v>
      </c>
      <c r="H233">
        <f>IF(OR(H167="",AND(H167=H166,H167=H168)),NA(), H167)</f>
        <v>0</v>
      </c>
      <c r="I233">
        <f>IF(ISNA(J233),NA(),I167)</f>
        <v>0</v>
      </c>
      <c r="J233">
        <f>IF(OR(J167="",AND(J167=J166,J167=J168)),NA(), J167)</f>
        <v>0</v>
      </c>
      <c r="K233">
        <f>IF(ISNA(L233),NA(),K167)</f>
        <v>0</v>
      </c>
      <c r="L233">
        <f>IF(OR(L167="",AND(L167=L166,L167=L168)),NA(), L167)</f>
        <v>0</v>
      </c>
      <c r="M233">
        <f>IF(ISNA(N233),NA(),M167)</f>
        <v>0</v>
      </c>
      <c r="N233">
        <f>IF(OR(N167="",AND(N167=N166,N167=N168)),NA(), N167)</f>
        <v>0</v>
      </c>
      <c r="O233">
        <f>IF(ISNA(P233),NA(),O167)</f>
        <v>0</v>
      </c>
      <c r="P233">
        <f>IF(OR(P167="",AND(P167=P166,P167=P168)),NA(), P167)</f>
        <v>0</v>
      </c>
      <c r="Q233">
        <f>IF(ISNA(R233),NA(),Q167)</f>
        <v>0</v>
      </c>
      <c r="R233">
        <f>IF(OR(R167="",AND(R167=R166,R167=R168)),NA(), R167)</f>
        <v>0</v>
      </c>
      <c r="S233">
        <f>IF(ISNA(T233),NA(),S167)</f>
        <v>0</v>
      </c>
      <c r="T233">
        <f>IF(OR(T167="",AND(T167=T166,T167=T168)),NA(), T167)</f>
        <v>0</v>
      </c>
      <c r="U233">
        <f>IF(ISNA(V233),NA(),U167)</f>
        <v>0</v>
      </c>
      <c r="V233">
        <f>IF(OR(V167="",AND(V167=V166,V167=V168)),NA(), V167)</f>
        <v>0</v>
      </c>
      <c r="W233">
        <f>IF(ISNA(X233),NA(),W167)</f>
        <v>0</v>
      </c>
      <c r="X233">
        <f>IF(OR(X167="",AND(X167=X166,X167=X168)),NA(), X167)</f>
        <v>0</v>
      </c>
      <c r="Y233">
        <f>IF(ISNA(Z233),NA(),Y167)</f>
        <v>0</v>
      </c>
      <c r="Z233">
        <f>IF(OR(Z167="",AND(Z167=Z166,Z167=Z168)),NA(), Z167)</f>
        <v>0</v>
      </c>
      <c r="AA233">
        <f>IF(ISNA(AB233),NA(),AA167)</f>
        <v>0</v>
      </c>
      <c r="AB233">
        <f>IF(OR(AB167="",AND(AB167=AB166,AB167=AB168)),NA(), AB167)</f>
        <v>0</v>
      </c>
      <c r="AC233">
        <f>IF(ISNA(AD233),NA(),AC167)</f>
        <v>0</v>
      </c>
      <c r="AD233">
        <f>IF(OR(AD167="",AND(AD167=AD166,AD167=AD168)),NA(), AD167)</f>
        <v>0</v>
      </c>
      <c r="AE233">
        <f>IF(ISNA(AF233),NA(),AE167)</f>
        <v>0</v>
      </c>
      <c r="AF233">
        <f>IF(OR(AF167="",AND(AF167=AF166,AF167=AF168)),NA(), AF167)</f>
        <v>0</v>
      </c>
      <c r="AG233">
        <f>IF(ISNA(AH233),NA(),AG167)</f>
        <v>0</v>
      </c>
      <c r="AH233">
        <f>IF(OR(AH167="",AND(AH167=AH166,AH167=AH168)),NA(), AH167)</f>
        <v>0</v>
      </c>
      <c r="AI233">
        <f>IF(ISNA(AJ233),NA(),AI167)</f>
        <v>0</v>
      </c>
      <c r="AJ233">
        <f>IF(OR(AJ167="",AND(AJ167=AJ166,AJ167=AJ168)),NA(), AJ167)</f>
        <v>0</v>
      </c>
      <c r="AK233">
        <f>IF(ISNA(AL233),NA(),AK167)</f>
        <v>0</v>
      </c>
      <c r="AL233">
        <f>IF(OR(AL167="",AND(AL167=AL166,AL167=AL168)),NA(), AL167)</f>
        <v>0</v>
      </c>
      <c r="AM233">
        <f>IF(ISNA(AN233),NA(),AM167)</f>
        <v>0</v>
      </c>
      <c r="AN233">
        <f>IF(OR(AN167="",AND(AN167=AN166,AN167=AN168)),NA(), AN167)</f>
        <v>0</v>
      </c>
      <c r="AO233">
        <f>IF(ISNA(AP233),NA(),AO167)</f>
        <v>0</v>
      </c>
      <c r="AP233">
        <f>IF(OR(AP167="",AND(AP167=AP166,AP167=AP168)),NA(), AP167)</f>
        <v>0</v>
      </c>
      <c r="AQ233">
        <f>IF(ISNA(AR233),NA(),AQ167)</f>
        <v>0</v>
      </c>
      <c r="AR233">
        <f>IF(OR(AR167="",AND(AR167=AR166,AR167=AR168)),NA(), AR167)</f>
        <v>0</v>
      </c>
      <c r="AS233">
        <f>IF(ISNA(AT233),NA(),AS167)</f>
        <v>0</v>
      </c>
      <c r="AT233">
        <f>IF(OR(AT167="",AND(AT167=AT166,AT167=AT168)),NA(), AT167)</f>
        <v>0</v>
      </c>
      <c r="AU233">
        <f>IF(ISNA(AV233),NA(),AU167)</f>
        <v>0</v>
      </c>
      <c r="AV233">
        <f>IF(OR(AV167="",AND(AV167=AV166,AV167=AV168)),NA(), AV167)</f>
        <v>0</v>
      </c>
      <c r="AW233">
        <f>IF(ISNA(AX233),NA(),AW167)</f>
        <v>0</v>
      </c>
      <c r="AX233">
        <f>IF(OR(AX167="",AND(AX167=AX166,AX167=AX168)),NA(), AX167)</f>
        <v>0</v>
      </c>
      <c r="AY233">
        <f>IF(ISNA(AZ233),NA(),AY167)</f>
        <v>0</v>
      </c>
      <c r="AZ233">
        <f>IF(OR(AZ167="",AND(AZ167=AZ166,AZ167=AZ168)),NA(), AZ167)</f>
        <v>0</v>
      </c>
      <c r="BA233">
        <f>IF(ISNA(BB233),NA(),BA167)</f>
        <v>0</v>
      </c>
      <c r="BB233">
        <f>IF(OR(BB167="",AND(BB167=BB166,BB167=BB168)),NA(), BB167)</f>
        <v>0</v>
      </c>
      <c r="BC233">
        <f>IF(ISNA(BD233),NA(),BC167)</f>
        <v>0</v>
      </c>
      <c r="BD233">
        <f>IF(OR(BD167="",AND(BD167=BD166,BD167=BD168)),NA(), BD167)</f>
        <v>0</v>
      </c>
      <c r="BE233">
        <f>IF(ISNA(BF233),NA(),BE167)</f>
        <v>0</v>
      </c>
      <c r="BF233">
        <f>IF(OR(BF167="",AND(BF167=BF166,BF167=BF168)),NA(), BF167)</f>
        <v>0</v>
      </c>
      <c r="BG233">
        <f>IF(ISNA(BH233),NA(),BG167)</f>
        <v>0</v>
      </c>
      <c r="BH233">
        <f>IF(OR(BH167="",AND(BH167=BH166,BH167=BH168)),NA(), BH167)</f>
        <v>0</v>
      </c>
      <c r="BI233">
        <f>IF(ISNA(BJ233),NA(),BI167)</f>
        <v>0</v>
      </c>
      <c r="BJ233">
        <f>IF(OR(BJ167="",AND(BJ167=BJ166,BJ167=BJ168)),NA(), BJ167)</f>
        <v>0</v>
      </c>
      <c r="BK233">
        <f>IF(ISNA(BL233),NA(),BK167)</f>
        <v>0</v>
      </c>
      <c r="BL233">
        <f>IF(OR(BL167="",AND(BL167=BL166,BL167=BL168)),NA(), BL167)</f>
        <v>0</v>
      </c>
      <c r="BM233">
        <f>IF(ISNA(BN233),NA(),BM167)</f>
        <v>0</v>
      </c>
      <c r="BN233">
        <f>IF(OR(BN167="",AND(BN167=BN166,BN167=BN168)),NA(), BN167)</f>
        <v>0</v>
      </c>
      <c r="BO233">
        <f>IF(ISNA(BP233),NA(),BO167)</f>
        <v>0</v>
      </c>
      <c r="BP233">
        <f>IF(OR(BP167="",AND(BP167=BP166,BP167=BP168)),NA(), BP167)</f>
        <v>0</v>
      </c>
      <c r="BS233">
        <f>IF(ISNA(BT233),NA(),BS167)</f>
        <v>0</v>
      </c>
      <c r="BT233">
        <f>IF(OR(BT167="",AND(BT167=BT166,BT167=BT168)),NA(), BT167)</f>
        <v>0</v>
      </c>
      <c r="BU233">
        <f>IF(ISNA(BV233),NA(),BU167)</f>
        <v>0</v>
      </c>
      <c r="BV233">
        <f>IF(OR(BV167="",AND(BV167=BV166,BV167=BV168)),NA(), BV167)</f>
        <v>0</v>
      </c>
      <c r="BW233">
        <f>IF(ISNA(BX233),NA(),BW167)</f>
        <v>0</v>
      </c>
      <c r="BX233">
        <f>IF(OR(BX167="",AND(BX167=BX166,BX167=BX168)),NA(), BX167)</f>
        <v>0</v>
      </c>
      <c r="BY233">
        <f>IF(ISNA(BZ233),NA(),BY167)</f>
        <v>0</v>
      </c>
      <c r="BZ233">
        <f>IF(OR(BZ167="",AND(BZ167=BZ166,BZ167=BZ168)),NA(), BZ167)</f>
        <v>0</v>
      </c>
      <c r="CA233">
        <f>IF(ISNA(CB233),NA(),CA167)</f>
        <v>0</v>
      </c>
      <c r="CB233">
        <f>IF(OR(CB167="",AND(CB167=CB166,CB167=CB168)),NA(), CB167)</f>
        <v>0</v>
      </c>
      <c r="CC233">
        <f>IF(ISNA(CD233),NA(),CC167)</f>
        <v>0</v>
      </c>
      <c r="CD233">
        <f>IF(OR(CD167="",AND(CD167=CD166,CD167=CD168)),NA(), CD167)</f>
        <v>0</v>
      </c>
      <c r="CE233">
        <f>IF(ISNA(CF233),NA(),CE167)</f>
        <v>0</v>
      </c>
      <c r="CF233">
        <f>IF(OR(CF167="",AND(CF167=CF166,CF167=CF168)),NA(), CF167)</f>
        <v>0</v>
      </c>
      <c r="CG233">
        <f>IF(ISNA(CH233),NA(),CG167)</f>
        <v>0</v>
      </c>
      <c r="CH233">
        <f>IF(OR(CH167="",AND(CH167=CH166,CH167=CH168)),NA(), CH167)</f>
        <v>0</v>
      </c>
      <c r="CI233">
        <f>IF(ISNA(CJ233),NA(),CI167)</f>
        <v>0</v>
      </c>
      <c r="CJ233">
        <f>IF(OR(CJ167="",AND(CJ167=CJ166,CJ167=CJ168)),NA(), CJ167)</f>
        <v>0</v>
      </c>
      <c r="CK233">
        <f>IF(ISNA(CL233),NA(),CK167)</f>
        <v>0</v>
      </c>
      <c r="CL233">
        <f>IF(OR(CL167="",AND(CL167=CL166,CL167=CL168)),NA(), CL167)</f>
        <v>0</v>
      </c>
      <c r="CM233">
        <f>IF(ISNA(CN233),NA(),CM167)</f>
        <v>0</v>
      </c>
      <c r="CN233">
        <f>IF(OR(CN167="",AND(CN167=CN166,CN167=CN168)),NA(), CN167)</f>
        <v>0</v>
      </c>
      <c r="CO233">
        <f>IF(ISNA(CP233),NA(),CO167)</f>
        <v>0</v>
      </c>
      <c r="CP233">
        <f>IF(OR(CP167="",AND(CP167=CP166,CP167=CP168)),NA(), CP167)</f>
        <v>0</v>
      </c>
      <c r="CQ233">
        <f>IF(ISNA(CR233),NA(),CQ167)</f>
        <v>0</v>
      </c>
      <c r="CR233">
        <f>IF(OR(CR167="",AND(CR167=CR166,CR167=CR168)),NA(), CR167)</f>
        <v>0</v>
      </c>
      <c r="CS233">
        <f>IF(ISNA(CT233),NA(),CS167)</f>
        <v>0</v>
      </c>
      <c r="CT233">
        <f>IF(OR(CT167="",AND(CT167=CT166,CT167=CT168)),NA(), CT167)</f>
        <v>0</v>
      </c>
      <c r="CU233">
        <f>IF(ISNA(CV233),NA(),CU167)</f>
        <v>0</v>
      </c>
      <c r="CV233">
        <f>IF(OR(CV167="",AND(CV167=CV166,CV167=CV168)),NA(), CV167)</f>
        <v>0</v>
      </c>
      <c r="CW233">
        <f>IF(ISNA(CX233),NA(),CW167)</f>
        <v>0</v>
      </c>
      <c r="CX233">
        <f>IF(OR(CX167="",AND(CX167=CX166,CX167=CX168)),NA(), CX167)</f>
        <v>0</v>
      </c>
      <c r="CY233">
        <f>IF(ISNA(CZ233),NA(),CY167)</f>
        <v>0</v>
      </c>
      <c r="CZ233">
        <f>IF(OR(CZ167="",AND(CZ167=CZ166,CZ167=CZ168)),NA(), CZ167)</f>
        <v>0</v>
      </c>
      <c r="DA233">
        <f>IF(ISNA(DB233),NA(),DA167)</f>
        <v>0</v>
      </c>
      <c r="DB233">
        <f>IF(OR(DB167="",AND(DB167=DB166,DB167=DB168)),NA(), DB167)</f>
        <v>0</v>
      </c>
      <c r="DC233">
        <f>IF(ISNA(DD233),NA(),DC167)</f>
        <v>0</v>
      </c>
      <c r="DD233">
        <f>IF(OR(DD167="",AND(DD167=DD166,DD167=DD168)),NA(), DD167)</f>
        <v>0</v>
      </c>
      <c r="DE233">
        <f>IF(ISNA(DF233),NA(),DE167)</f>
        <v>0</v>
      </c>
      <c r="DF233">
        <f>IF(OR(DF167="",AND(DF167=DF166,DF167=DF168)),NA(), DF167)</f>
        <v>0</v>
      </c>
      <c r="DG233">
        <f>IF(ISNA(DH233),NA(),DG167)</f>
        <v>0</v>
      </c>
      <c r="DH233">
        <f>IF(OR(DH167="",AND(DH167=DH166,DH167=DH168)),NA(), DH167)</f>
        <v>0</v>
      </c>
      <c r="DI233">
        <f>IF(ISNA(DJ233),NA(),DI167)</f>
        <v>0</v>
      </c>
      <c r="DJ233">
        <f>IF(OR(DJ167="",AND(DJ167=DJ166,DJ167=DJ168)),NA(), DJ167)</f>
        <v>0</v>
      </c>
      <c r="DK233">
        <f>IF(ISNA(DL233),NA(),DK167)</f>
        <v>0</v>
      </c>
      <c r="DL233">
        <f>IF(OR(DL167="",AND(DL167=DL166,DL167=DL168)),NA(), DL167)</f>
        <v>0</v>
      </c>
      <c r="DM233">
        <f>IF(ISNA(DN233),NA(),DM167)</f>
        <v>0</v>
      </c>
      <c r="DN233">
        <f>IF(OR(DN167="",AND(DN167=DN166,DN167=DN168)),NA(), DN167)</f>
        <v>0</v>
      </c>
      <c r="DO233">
        <f>IF(ISNA(DP233),NA(),DO167)</f>
        <v>0</v>
      </c>
      <c r="DP233">
        <f>IF(OR(DP167="",AND(DP167=DP166,DP167=DP168)),NA(), DP167)</f>
        <v>0</v>
      </c>
      <c r="DQ233">
        <f>IF(ISNA(DR233),NA(),DQ167)</f>
        <v>0</v>
      </c>
      <c r="DR233">
        <f>IF(OR(DR167="",AND(DR167=DR166,DR167=DR168)),NA(), DR167)</f>
        <v>0</v>
      </c>
      <c r="DS233">
        <f>IF(ISNA(DT233),NA(),DS167)</f>
        <v>0</v>
      </c>
      <c r="DT233">
        <f>IF(OR(DT167="",AND(DT167=DT166,DT167=DT168)),NA(), DT167)</f>
        <v>0</v>
      </c>
      <c r="DU233">
        <f>IF(ISNA(DV233),NA(),DU167)</f>
        <v>0</v>
      </c>
      <c r="DV233">
        <f>IF(OR(DV167="",AND(DV167=DV166,DV167=DV168)),NA(), DV167)</f>
        <v>0</v>
      </c>
      <c r="DW233">
        <f>IF(ISNA(DX233),NA(),DW167)</f>
        <v>0</v>
      </c>
      <c r="DX233">
        <f>IF(OR(DX167="",AND(DX167=DX166,DX167=DX168)),NA(), DX167)</f>
        <v>0</v>
      </c>
      <c r="DY233">
        <f>IF(ISNA(DZ233),NA(),DY167)</f>
        <v>0</v>
      </c>
      <c r="DZ233">
        <f>IF(OR(DZ167="",AND(DZ167=DZ166,DZ167=DZ168)),NA(), DZ167)</f>
        <v>0</v>
      </c>
      <c r="EA233">
        <f>IF(ISNA(EB233),NA(),EA167)</f>
        <v>0</v>
      </c>
      <c r="EB233">
        <f>IF(OR(EB167="",AND(EB167=EB166,EB167=EB168)),NA(), EB167)</f>
        <v>0</v>
      </c>
      <c r="EC233">
        <f>IF(ISNA(ED233),NA(),EC167)</f>
        <v>0</v>
      </c>
      <c r="ED233">
        <f>IF(OR(ED167="",AND(ED167=ED166,ED167=ED168)),NA(), ED167)</f>
        <v>0</v>
      </c>
    </row>
    <row r="234" spans="5:134">
      <c r="E234">
        <f>IF(ISNA(F234),NA(),E168)</f>
        <v>0</v>
      </c>
      <c r="F234">
        <f>IF(OR(F168="",AND(F168=F167,F168=F169)),NA(), F168)</f>
        <v>0</v>
      </c>
      <c r="G234">
        <f>IF(ISNA(H234),NA(),G168)</f>
        <v>0</v>
      </c>
      <c r="H234">
        <f>IF(OR(H168="",AND(H168=H167,H168=H169)),NA(), H168)</f>
        <v>0</v>
      </c>
      <c r="I234">
        <f>IF(ISNA(J234),NA(),I168)</f>
        <v>0</v>
      </c>
      <c r="J234">
        <f>IF(OR(J168="",AND(J168=J167,J168=J169)),NA(), J168)</f>
        <v>0</v>
      </c>
      <c r="K234">
        <f>IF(ISNA(L234),NA(),K168)</f>
        <v>0</v>
      </c>
      <c r="L234">
        <f>IF(OR(L168="",AND(L168=L167,L168=L169)),NA(), L168)</f>
        <v>0</v>
      </c>
      <c r="M234">
        <f>IF(ISNA(N234),NA(),M168)</f>
        <v>0</v>
      </c>
      <c r="N234">
        <f>IF(OR(N168="",AND(N168=N167,N168=N169)),NA(), N168)</f>
        <v>0</v>
      </c>
      <c r="O234">
        <f>IF(ISNA(P234),NA(),O168)</f>
        <v>0</v>
      </c>
      <c r="P234">
        <f>IF(OR(P168="",AND(P168=P167,P168=P169)),NA(), P168)</f>
        <v>0</v>
      </c>
      <c r="Q234">
        <f>IF(ISNA(R234),NA(),Q168)</f>
        <v>0</v>
      </c>
      <c r="R234">
        <f>IF(OR(R168="",AND(R168=R167,R168=R169)),NA(), R168)</f>
        <v>0</v>
      </c>
      <c r="S234">
        <f>IF(ISNA(T234),NA(),S168)</f>
        <v>0</v>
      </c>
      <c r="T234">
        <f>IF(OR(T168="",AND(T168=T167,T168=T169)),NA(), T168)</f>
        <v>0</v>
      </c>
      <c r="U234">
        <f>IF(ISNA(V234),NA(),U168)</f>
        <v>0</v>
      </c>
      <c r="V234">
        <f>IF(OR(V168="",AND(V168=V167,V168=V169)),NA(), V168)</f>
        <v>0</v>
      </c>
      <c r="W234">
        <f>IF(ISNA(X234),NA(),W168)</f>
        <v>0</v>
      </c>
      <c r="X234">
        <f>IF(OR(X168="",AND(X168=X167,X168=X169)),NA(), X168)</f>
        <v>0</v>
      </c>
      <c r="Y234">
        <f>IF(ISNA(Z234),NA(),Y168)</f>
        <v>0</v>
      </c>
      <c r="Z234">
        <f>IF(OR(Z168="",AND(Z168=Z167,Z168=Z169)),NA(), Z168)</f>
        <v>0</v>
      </c>
      <c r="AA234">
        <f>IF(ISNA(AB234),NA(),AA168)</f>
        <v>0</v>
      </c>
      <c r="AB234">
        <f>IF(OR(AB168="",AND(AB168=AB167,AB168=AB169)),NA(), AB168)</f>
        <v>0</v>
      </c>
      <c r="AC234">
        <f>IF(ISNA(AD234),NA(),AC168)</f>
        <v>0</v>
      </c>
      <c r="AD234">
        <f>IF(OR(AD168="",AND(AD168=AD167,AD168=AD169)),NA(), AD168)</f>
        <v>0</v>
      </c>
      <c r="AE234">
        <f>IF(ISNA(AF234),NA(),AE168)</f>
        <v>0</v>
      </c>
      <c r="AF234">
        <f>IF(OR(AF168="",AND(AF168=AF167,AF168=AF169)),NA(), AF168)</f>
        <v>0</v>
      </c>
      <c r="AG234">
        <f>IF(ISNA(AH234),NA(),AG168)</f>
        <v>0</v>
      </c>
      <c r="AH234">
        <f>IF(OR(AH168="",AND(AH168=AH167,AH168=AH169)),NA(), AH168)</f>
        <v>0</v>
      </c>
      <c r="AI234">
        <f>IF(ISNA(AJ234),NA(),AI168)</f>
        <v>0</v>
      </c>
      <c r="AJ234">
        <f>IF(OR(AJ168="",AND(AJ168=AJ167,AJ168=AJ169)),NA(), AJ168)</f>
        <v>0</v>
      </c>
      <c r="AK234">
        <f>IF(ISNA(AL234),NA(),AK168)</f>
        <v>0</v>
      </c>
      <c r="AL234">
        <f>IF(OR(AL168="",AND(AL168=AL167,AL168=AL169)),NA(), AL168)</f>
        <v>0</v>
      </c>
      <c r="AM234">
        <f>IF(ISNA(AN234),NA(),AM168)</f>
        <v>0</v>
      </c>
      <c r="AN234">
        <f>IF(OR(AN168="",AND(AN168=AN167,AN168=AN169)),NA(), AN168)</f>
        <v>0</v>
      </c>
      <c r="AO234">
        <f>IF(ISNA(AP234),NA(),AO168)</f>
        <v>0</v>
      </c>
      <c r="AP234">
        <f>IF(OR(AP168="",AND(AP168=AP167,AP168=AP169)),NA(), AP168)</f>
        <v>0</v>
      </c>
      <c r="AQ234">
        <f>IF(ISNA(AR234),NA(),AQ168)</f>
        <v>0</v>
      </c>
      <c r="AR234">
        <f>IF(OR(AR168="",AND(AR168=AR167,AR168=AR169)),NA(), AR168)</f>
        <v>0</v>
      </c>
      <c r="AS234">
        <f>IF(ISNA(AT234),NA(),AS168)</f>
        <v>0</v>
      </c>
      <c r="AT234">
        <f>IF(OR(AT168="",AND(AT168=AT167,AT168=AT169)),NA(), AT168)</f>
        <v>0</v>
      </c>
      <c r="AU234">
        <f>IF(ISNA(AV234),NA(),AU168)</f>
        <v>0</v>
      </c>
      <c r="AV234">
        <f>IF(OR(AV168="",AND(AV168=AV167,AV168=AV169)),NA(), AV168)</f>
        <v>0</v>
      </c>
      <c r="AW234">
        <f>IF(ISNA(AX234),NA(),AW168)</f>
        <v>0</v>
      </c>
      <c r="AX234">
        <f>IF(OR(AX168="",AND(AX168=AX167,AX168=AX169)),NA(), AX168)</f>
        <v>0</v>
      </c>
      <c r="AY234">
        <f>IF(ISNA(AZ234),NA(),AY168)</f>
        <v>0</v>
      </c>
      <c r="AZ234">
        <f>IF(OR(AZ168="",AND(AZ168=AZ167,AZ168=AZ169)),NA(), AZ168)</f>
        <v>0</v>
      </c>
      <c r="BA234">
        <f>IF(ISNA(BB234),NA(),BA168)</f>
        <v>0</v>
      </c>
      <c r="BB234">
        <f>IF(OR(BB168="",AND(BB168=BB167,BB168=BB169)),NA(), BB168)</f>
        <v>0</v>
      </c>
      <c r="BC234">
        <f>IF(ISNA(BD234),NA(),BC168)</f>
        <v>0</v>
      </c>
      <c r="BD234">
        <f>IF(OR(BD168="",AND(BD168=BD167,BD168=BD169)),NA(), BD168)</f>
        <v>0</v>
      </c>
      <c r="BE234">
        <f>IF(ISNA(BF234),NA(),BE168)</f>
        <v>0</v>
      </c>
      <c r="BF234">
        <f>IF(OR(BF168="",AND(BF168=BF167,BF168=BF169)),NA(), BF168)</f>
        <v>0</v>
      </c>
      <c r="BG234">
        <f>IF(ISNA(BH234),NA(),BG168)</f>
        <v>0</v>
      </c>
      <c r="BH234">
        <f>IF(OR(BH168="",AND(BH168=BH167,BH168=BH169)),NA(), BH168)</f>
        <v>0</v>
      </c>
      <c r="BI234">
        <f>IF(ISNA(BJ234),NA(),BI168)</f>
        <v>0</v>
      </c>
      <c r="BJ234">
        <f>IF(OR(BJ168="",AND(BJ168=BJ167,BJ168=BJ169)),NA(), BJ168)</f>
        <v>0</v>
      </c>
      <c r="BK234">
        <f>IF(ISNA(BL234),NA(),BK168)</f>
        <v>0</v>
      </c>
      <c r="BL234">
        <f>IF(OR(BL168="",AND(BL168=BL167,BL168=BL169)),NA(), BL168)</f>
        <v>0</v>
      </c>
      <c r="BM234">
        <f>IF(ISNA(BN234),NA(),BM168)</f>
        <v>0</v>
      </c>
      <c r="BN234">
        <f>IF(OR(BN168="",AND(BN168=BN167,BN168=BN169)),NA(), BN168)</f>
        <v>0</v>
      </c>
      <c r="BO234">
        <f>IF(ISNA(BP234),NA(),BO168)</f>
        <v>0</v>
      </c>
      <c r="BP234">
        <f>IF(OR(BP168="",AND(BP168=BP167,BP168=BP169)),NA(), BP168)</f>
        <v>0</v>
      </c>
      <c r="BS234">
        <f>IF(ISNA(BT234),NA(),BS168)</f>
        <v>0</v>
      </c>
      <c r="BT234">
        <f>IF(OR(BT168="",AND(BT168=BT167,BT168=BT169)),NA(), BT168)</f>
        <v>0</v>
      </c>
      <c r="BU234">
        <f>IF(ISNA(BV234),NA(),BU168)</f>
        <v>0</v>
      </c>
      <c r="BV234">
        <f>IF(OR(BV168="",AND(BV168=BV167,BV168=BV169)),NA(), BV168)</f>
        <v>0</v>
      </c>
      <c r="BW234">
        <f>IF(ISNA(BX234),NA(),BW168)</f>
        <v>0</v>
      </c>
      <c r="BX234">
        <f>IF(OR(BX168="",AND(BX168=BX167,BX168=BX169)),NA(), BX168)</f>
        <v>0</v>
      </c>
      <c r="BY234">
        <f>IF(ISNA(BZ234),NA(),BY168)</f>
        <v>0</v>
      </c>
      <c r="BZ234">
        <f>IF(OR(BZ168="",AND(BZ168=BZ167,BZ168=BZ169)),NA(), BZ168)</f>
        <v>0</v>
      </c>
      <c r="CA234">
        <f>IF(ISNA(CB234),NA(),CA168)</f>
        <v>0</v>
      </c>
      <c r="CB234">
        <f>IF(OR(CB168="",AND(CB168=CB167,CB168=CB169)),NA(), CB168)</f>
        <v>0</v>
      </c>
      <c r="CC234">
        <f>IF(ISNA(CD234),NA(),CC168)</f>
        <v>0</v>
      </c>
      <c r="CD234">
        <f>IF(OR(CD168="",AND(CD168=CD167,CD168=CD169)),NA(), CD168)</f>
        <v>0</v>
      </c>
      <c r="CE234">
        <f>IF(ISNA(CF234),NA(),CE168)</f>
        <v>0</v>
      </c>
      <c r="CF234">
        <f>IF(OR(CF168="",AND(CF168=CF167,CF168=CF169)),NA(), CF168)</f>
        <v>0</v>
      </c>
      <c r="CG234">
        <f>IF(ISNA(CH234),NA(),CG168)</f>
        <v>0</v>
      </c>
      <c r="CH234">
        <f>IF(OR(CH168="",AND(CH168=CH167,CH168=CH169)),NA(), CH168)</f>
        <v>0</v>
      </c>
      <c r="CI234">
        <f>IF(ISNA(CJ234),NA(),CI168)</f>
        <v>0</v>
      </c>
      <c r="CJ234">
        <f>IF(OR(CJ168="",AND(CJ168=CJ167,CJ168=CJ169)),NA(), CJ168)</f>
        <v>0</v>
      </c>
      <c r="CK234">
        <f>IF(ISNA(CL234),NA(),CK168)</f>
        <v>0</v>
      </c>
      <c r="CL234">
        <f>IF(OR(CL168="",AND(CL168=CL167,CL168=CL169)),NA(), CL168)</f>
        <v>0</v>
      </c>
      <c r="CM234">
        <f>IF(ISNA(CN234),NA(),CM168)</f>
        <v>0</v>
      </c>
      <c r="CN234">
        <f>IF(OR(CN168="",AND(CN168=CN167,CN168=CN169)),NA(), CN168)</f>
        <v>0</v>
      </c>
      <c r="CO234">
        <f>IF(ISNA(CP234),NA(),CO168)</f>
        <v>0</v>
      </c>
      <c r="CP234">
        <f>IF(OR(CP168="",AND(CP168=CP167,CP168=CP169)),NA(), CP168)</f>
        <v>0</v>
      </c>
      <c r="CQ234">
        <f>IF(ISNA(CR234),NA(),CQ168)</f>
        <v>0</v>
      </c>
      <c r="CR234">
        <f>IF(OR(CR168="",AND(CR168=CR167,CR168=CR169)),NA(), CR168)</f>
        <v>0</v>
      </c>
      <c r="CS234">
        <f>IF(ISNA(CT234),NA(),CS168)</f>
        <v>0</v>
      </c>
      <c r="CT234">
        <f>IF(OR(CT168="",AND(CT168=CT167,CT168=CT169)),NA(), CT168)</f>
        <v>0</v>
      </c>
      <c r="CU234">
        <f>IF(ISNA(CV234),NA(),CU168)</f>
        <v>0</v>
      </c>
      <c r="CV234">
        <f>IF(OR(CV168="",AND(CV168=CV167,CV168=CV169)),NA(), CV168)</f>
        <v>0</v>
      </c>
      <c r="CW234">
        <f>IF(ISNA(CX234),NA(),CW168)</f>
        <v>0</v>
      </c>
      <c r="CX234">
        <f>IF(OR(CX168="",AND(CX168=CX167,CX168=CX169)),NA(), CX168)</f>
        <v>0</v>
      </c>
      <c r="CY234">
        <f>IF(ISNA(CZ234),NA(),CY168)</f>
        <v>0</v>
      </c>
      <c r="CZ234">
        <f>IF(OR(CZ168="",AND(CZ168=CZ167,CZ168=CZ169)),NA(), CZ168)</f>
        <v>0</v>
      </c>
      <c r="DA234">
        <f>IF(ISNA(DB234),NA(),DA168)</f>
        <v>0</v>
      </c>
      <c r="DB234">
        <f>IF(OR(DB168="",AND(DB168=DB167,DB168=DB169)),NA(), DB168)</f>
        <v>0</v>
      </c>
      <c r="DC234">
        <f>IF(ISNA(DD234),NA(),DC168)</f>
        <v>0</v>
      </c>
      <c r="DD234">
        <f>IF(OR(DD168="",AND(DD168=DD167,DD168=DD169)),NA(), DD168)</f>
        <v>0</v>
      </c>
      <c r="DE234">
        <f>IF(ISNA(DF234),NA(),DE168)</f>
        <v>0</v>
      </c>
      <c r="DF234">
        <f>IF(OR(DF168="",AND(DF168=DF167,DF168=DF169)),NA(), DF168)</f>
        <v>0</v>
      </c>
      <c r="DG234">
        <f>IF(ISNA(DH234),NA(),DG168)</f>
        <v>0</v>
      </c>
      <c r="DH234">
        <f>IF(OR(DH168="",AND(DH168=DH167,DH168=DH169)),NA(), DH168)</f>
        <v>0</v>
      </c>
      <c r="DI234">
        <f>IF(ISNA(DJ234),NA(),DI168)</f>
        <v>0</v>
      </c>
      <c r="DJ234">
        <f>IF(OR(DJ168="",AND(DJ168=DJ167,DJ168=DJ169)),NA(), DJ168)</f>
        <v>0</v>
      </c>
      <c r="DK234">
        <f>IF(ISNA(DL234),NA(),DK168)</f>
        <v>0</v>
      </c>
      <c r="DL234">
        <f>IF(OR(DL168="",AND(DL168=DL167,DL168=DL169)),NA(), DL168)</f>
        <v>0</v>
      </c>
      <c r="DM234">
        <f>IF(ISNA(DN234),NA(),DM168)</f>
        <v>0</v>
      </c>
      <c r="DN234">
        <f>IF(OR(DN168="",AND(DN168=DN167,DN168=DN169)),NA(), DN168)</f>
        <v>0</v>
      </c>
      <c r="DO234">
        <f>IF(ISNA(DP234),NA(),DO168)</f>
        <v>0</v>
      </c>
      <c r="DP234">
        <f>IF(OR(DP168="",AND(DP168=DP167,DP168=DP169)),NA(), DP168)</f>
        <v>0</v>
      </c>
      <c r="DQ234">
        <f>IF(ISNA(DR234),NA(),DQ168)</f>
        <v>0</v>
      </c>
      <c r="DR234">
        <f>IF(OR(DR168="",AND(DR168=DR167,DR168=DR169)),NA(), DR168)</f>
        <v>0</v>
      </c>
      <c r="DS234">
        <f>IF(ISNA(DT234),NA(),DS168)</f>
        <v>0</v>
      </c>
      <c r="DT234">
        <f>IF(OR(DT168="",AND(DT168=DT167,DT168=DT169)),NA(), DT168)</f>
        <v>0</v>
      </c>
      <c r="DU234">
        <f>IF(ISNA(DV234),NA(),DU168)</f>
        <v>0</v>
      </c>
      <c r="DV234">
        <f>IF(OR(DV168="",AND(DV168=DV167,DV168=DV169)),NA(), DV168)</f>
        <v>0</v>
      </c>
      <c r="DW234">
        <f>IF(ISNA(DX234),NA(),DW168)</f>
        <v>0</v>
      </c>
      <c r="DX234">
        <f>IF(OR(DX168="",AND(DX168=DX167,DX168=DX169)),NA(), DX168)</f>
        <v>0</v>
      </c>
      <c r="DY234">
        <f>IF(ISNA(DZ234),NA(),DY168)</f>
        <v>0</v>
      </c>
      <c r="DZ234">
        <f>IF(OR(DZ168="",AND(DZ168=DZ167,DZ168=DZ169)),NA(), DZ168)</f>
        <v>0</v>
      </c>
      <c r="EA234">
        <f>IF(ISNA(EB234),NA(),EA168)</f>
        <v>0</v>
      </c>
      <c r="EB234">
        <f>IF(OR(EB168="",AND(EB168=EB167,EB168=EB169)),NA(), EB168)</f>
        <v>0</v>
      </c>
      <c r="EC234">
        <f>IF(ISNA(ED234),NA(),EC168)</f>
        <v>0</v>
      </c>
      <c r="ED234">
        <f>IF(OR(ED168="",AND(ED168=ED167,ED168=ED169)),NA(), ED168)</f>
        <v>0</v>
      </c>
    </row>
    <row r="235" spans="5:134">
      <c r="E235">
        <f>IF(ISNA(F235),NA(),E169)</f>
        <v>0</v>
      </c>
      <c r="F235">
        <f>IF(F169="",NA(),F169)</f>
        <v>0</v>
      </c>
      <c r="G235">
        <f>IF(ISNA(H235),NA(),G169)</f>
        <v>0</v>
      </c>
      <c r="H235">
        <f>IF(H169="",NA(),H169)</f>
        <v>0</v>
      </c>
      <c r="I235">
        <f>IF(ISNA(J235),NA(),I169)</f>
        <v>0</v>
      </c>
      <c r="J235">
        <f>IF(J169="",NA(),J169)</f>
        <v>0</v>
      </c>
      <c r="K235">
        <f>IF(ISNA(L235),NA(),K169)</f>
        <v>0</v>
      </c>
      <c r="L235">
        <f>IF(L169="",NA(),L169)</f>
        <v>0</v>
      </c>
      <c r="M235">
        <f>IF(ISNA(N235),NA(),M169)</f>
        <v>0</v>
      </c>
      <c r="N235">
        <f>IF(N169="",NA(),N169)</f>
        <v>0</v>
      </c>
      <c r="O235">
        <f>IF(ISNA(P235),NA(),O169)</f>
        <v>0</v>
      </c>
      <c r="P235">
        <f>IF(P169="",NA(),P169)</f>
        <v>0</v>
      </c>
      <c r="Q235">
        <f>IF(ISNA(R235),NA(),Q169)</f>
        <v>0</v>
      </c>
      <c r="R235">
        <f>IF(R169="",NA(),R169)</f>
        <v>0</v>
      </c>
      <c r="S235">
        <f>IF(ISNA(T235),NA(),S169)</f>
        <v>0</v>
      </c>
      <c r="T235">
        <f>IF(T169="",NA(),T169)</f>
        <v>0</v>
      </c>
      <c r="U235">
        <f>IF(ISNA(V235),NA(),U169)</f>
        <v>0</v>
      </c>
      <c r="V235">
        <f>IF(V169="",NA(),V169)</f>
        <v>0</v>
      </c>
      <c r="W235">
        <f>IF(ISNA(X235),NA(),W169)</f>
        <v>0</v>
      </c>
      <c r="X235">
        <f>IF(X169="",NA(),X169)</f>
        <v>0</v>
      </c>
      <c r="Y235">
        <f>IF(ISNA(Z235),NA(),Y169)</f>
        <v>0</v>
      </c>
      <c r="Z235">
        <f>IF(Z169="",NA(),Z169)</f>
        <v>0</v>
      </c>
      <c r="AA235">
        <f>IF(ISNA(AB235),NA(),AA169)</f>
        <v>0</v>
      </c>
      <c r="AB235">
        <f>IF(AB169="",NA(),AB169)</f>
        <v>0</v>
      </c>
      <c r="AC235">
        <f>IF(ISNA(AD235),NA(),AC169)</f>
        <v>0</v>
      </c>
      <c r="AD235">
        <f>IF(AD169="",NA(),AD169)</f>
        <v>0</v>
      </c>
      <c r="AE235">
        <f>IF(ISNA(AF235),NA(),AE169)</f>
        <v>0</v>
      </c>
      <c r="AF235">
        <f>IF(AF169="",NA(),AF169)</f>
        <v>0</v>
      </c>
      <c r="AG235">
        <f>IF(ISNA(AH235),NA(),AG169)</f>
        <v>0</v>
      </c>
      <c r="AH235">
        <f>IF(AH169="",NA(),AH169)</f>
        <v>0</v>
      </c>
      <c r="AI235">
        <f>IF(ISNA(AJ235),NA(),AI169)</f>
        <v>0</v>
      </c>
      <c r="AJ235">
        <f>IF(AJ169="",NA(),AJ169)</f>
        <v>0</v>
      </c>
      <c r="AK235">
        <f>IF(ISNA(AL235),NA(),AK169)</f>
        <v>0</v>
      </c>
      <c r="AL235">
        <f>IF(AL169="",NA(),AL169)</f>
        <v>0</v>
      </c>
      <c r="AM235">
        <f>IF(ISNA(AN235),NA(),AM169)</f>
        <v>0</v>
      </c>
      <c r="AN235">
        <f>IF(AN169="",NA(),AN169)</f>
        <v>0</v>
      </c>
      <c r="AO235">
        <f>IF(ISNA(AP235),NA(),AO169)</f>
        <v>0</v>
      </c>
      <c r="AP235">
        <f>IF(AP169="",NA(),AP169)</f>
        <v>0</v>
      </c>
      <c r="AQ235">
        <f>IF(ISNA(AR235),NA(),AQ169)</f>
        <v>0</v>
      </c>
      <c r="AR235">
        <f>IF(AR169="",NA(),AR169)</f>
        <v>0</v>
      </c>
      <c r="AS235">
        <f>IF(ISNA(AT235),NA(),AS169)</f>
        <v>0</v>
      </c>
      <c r="AT235">
        <f>IF(AT169="",NA(),AT169)</f>
        <v>0</v>
      </c>
      <c r="AU235">
        <f>IF(ISNA(AV235),NA(),AU169)</f>
        <v>0</v>
      </c>
      <c r="AV235">
        <f>IF(AV169="",NA(),AV169)</f>
        <v>0</v>
      </c>
      <c r="AW235">
        <f>IF(ISNA(AX235),NA(),AW169)</f>
        <v>0</v>
      </c>
      <c r="AX235">
        <f>IF(AX169="",NA(),AX169)</f>
        <v>0</v>
      </c>
      <c r="AY235">
        <f>IF(ISNA(AZ235),NA(),AY169)</f>
        <v>0</v>
      </c>
      <c r="AZ235">
        <f>IF(AZ169="",NA(),AZ169)</f>
        <v>0</v>
      </c>
      <c r="BA235">
        <f>IF(ISNA(BB235),NA(),BA169)</f>
        <v>0</v>
      </c>
      <c r="BB235">
        <f>IF(BB169="",NA(),BB169)</f>
        <v>0</v>
      </c>
      <c r="BC235">
        <f>IF(ISNA(BD235),NA(),BC169)</f>
        <v>0</v>
      </c>
      <c r="BD235">
        <f>IF(BD169="",NA(),BD169)</f>
        <v>0</v>
      </c>
      <c r="BE235">
        <f>IF(ISNA(BF235),NA(),BE169)</f>
        <v>0</v>
      </c>
      <c r="BF235">
        <f>IF(BF169="",NA(),BF169)</f>
        <v>0</v>
      </c>
      <c r="BG235">
        <f>IF(ISNA(BH235),NA(),BG169)</f>
        <v>0</v>
      </c>
      <c r="BH235">
        <f>IF(BH169="",NA(),BH169)</f>
        <v>0</v>
      </c>
      <c r="BI235">
        <f>IF(ISNA(BJ235),NA(),BI169)</f>
        <v>0</v>
      </c>
      <c r="BJ235">
        <f>IF(BJ169="",NA(),BJ169)</f>
        <v>0</v>
      </c>
      <c r="BK235">
        <f>IF(ISNA(BL235),NA(),BK169)</f>
        <v>0</v>
      </c>
      <c r="BL235">
        <f>IF(BL169="",NA(),BL169)</f>
        <v>0</v>
      </c>
      <c r="BM235">
        <f>IF(ISNA(BN235),NA(),BM169)</f>
        <v>0</v>
      </c>
      <c r="BN235">
        <f>IF(BN169="",NA(),BN169)</f>
        <v>0</v>
      </c>
      <c r="BO235">
        <f>IF(ISNA(BP235),NA(),BO169)</f>
        <v>0</v>
      </c>
      <c r="BP235">
        <f>IF(BP169="",NA(),BP169)</f>
        <v>0</v>
      </c>
      <c r="BS235">
        <f>IF(ISNA(BT235),NA(),BS169)</f>
        <v>0</v>
      </c>
      <c r="BT235">
        <f>IF(BT169="",NA(),BT169)</f>
        <v>0</v>
      </c>
      <c r="BU235">
        <f>IF(ISNA(BV235),NA(),BU169)</f>
        <v>0</v>
      </c>
      <c r="BV235">
        <f>IF(BV169="",NA(),BV169)</f>
        <v>0</v>
      </c>
      <c r="BW235">
        <f>IF(ISNA(BX235),NA(),BW169)</f>
        <v>0</v>
      </c>
      <c r="BX235">
        <f>IF(BX169="",NA(),BX169)</f>
        <v>0</v>
      </c>
      <c r="BY235">
        <f>IF(ISNA(BZ235),NA(),BY169)</f>
        <v>0</v>
      </c>
      <c r="BZ235">
        <f>IF(BZ169="",NA(),BZ169)</f>
        <v>0</v>
      </c>
      <c r="CA235">
        <f>IF(ISNA(CB235),NA(),CA169)</f>
        <v>0</v>
      </c>
      <c r="CB235">
        <f>IF(CB169="",NA(),CB169)</f>
        <v>0</v>
      </c>
      <c r="CC235">
        <f>IF(ISNA(CD235),NA(),CC169)</f>
        <v>0</v>
      </c>
      <c r="CD235">
        <f>IF(CD169="",NA(),CD169)</f>
        <v>0</v>
      </c>
      <c r="CE235">
        <f>IF(ISNA(CF235),NA(),CE169)</f>
        <v>0</v>
      </c>
      <c r="CF235">
        <f>IF(CF169="",NA(),CF169)</f>
        <v>0</v>
      </c>
      <c r="CG235">
        <f>IF(ISNA(CH235),NA(),CG169)</f>
        <v>0</v>
      </c>
      <c r="CH235">
        <f>IF(CH169="",NA(),CH169)</f>
        <v>0</v>
      </c>
      <c r="CI235">
        <f>IF(ISNA(CJ235),NA(),CI169)</f>
        <v>0</v>
      </c>
      <c r="CJ235">
        <f>IF(CJ169="",NA(),CJ169)</f>
        <v>0</v>
      </c>
      <c r="CK235">
        <f>IF(ISNA(CL235),NA(),CK169)</f>
        <v>0</v>
      </c>
      <c r="CL235">
        <f>IF(CL169="",NA(),CL169)</f>
        <v>0</v>
      </c>
      <c r="CM235">
        <f>IF(ISNA(CN235),NA(),CM169)</f>
        <v>0</v>
      </c>
      <c r="CN235">
        <f>IF(CN169="",NA(),CN169)</f>
        <v>0</v>
      </c>
      <c r="CO235">
        <f>IF(ISNA(CP235),NA(),CO169)</f>
        <v>0</v>
      </c>
      <c r="CP235">
        <f>IF(CP169="",NA(),CP169)</f>
        <v>0</v>
      </c>
      <c r="CQ235">
        <f>IF(ISNA(CR235),NA(),CQ169)</f>
        <v>0</v>
      </c>
      <c r="CR235">
        <f>IF(CR169="",NA(),CR169)</f>
        <v>0</v>
      </c>
      <c r="CS235">
        <f>IF(ISNA(CT235),NA(),CS169)</f>
        <v>0</v>
      </c>
      <c r="CT235">
        <f>IF(CT169="",NA(),CT169)</f>
        <v>0</v>
      </c>
      <c r="CU235">
        <f>IF(ISNA(CV235),NA(),CU169)</f>
        <v>0</v>
      </c>
      <c r="CV235">
        <f>IF(CV169="",NA(),CV169)</f>
        <v>0</v>
      </c>
      <c r="CW235">
        <f>IF(ISNA(CX235),NA(),CW169)</f>
        <v>0</v>
      </c>
      <c r="CX235">
        <f>IF(CX169="",NA(),CX169)</f>
        <v>0</v>
      </c>
      <c r="CY235">
        <f>IF(ISNA(CZ235),NA(),CY169)</f>
        <v>0</v>
      </c>
      <c r="CZ235">
        <f>IF(CZ169="",NA(),CZ169)</f>
        <v>0</v>
      </c>
      <c r="DA235">
        <f>IF(ISNA(DB235),NA(),DA169)</f>
        <v>0</v>
      </c>
      <c r="DB235">
        <f>IF(DB169="",NA(),DB169)</f>
        <v>0</v>
      </c>
      <c r="DC235">
        <f>IF(ISNA(DD235),NA(),DC169)</f>
        <v>0</v>
      </c>
      <c r="DD235">
        <f>IF(DD169="",NA(),DD169)</f>
        <v>0</v>
      </c>
      <c r="DE235">
        <f>IF(ISNA(DF235),NA(),DE169)</f>
        <v>0</v>
      </c>
      <c r="DF235">
        <f>IF(DF169="",NA(),DF169)</f>
        <v>0</v>
      </c>
      <c r="DG235">
        <f>IF(ISNA(DH235),NA(),DG169)</f>
        <v>0</v>
      </c>
      <c r="DH235">
        <f>IF(DH169="",NA(),DH169)</f>
        <v>0</v>
      </c>
      <c r="DI235">
        <f>IF(ISNA(DJ235),NA(),DI169)</f>
        <v>0</v>
      </c>
      <c r="DJ235">
        <f>IF(DJ169="",NA(),DJ169)</f>
        <v>0</v>
      </c>
      <c r="DK235">
        <f>IF(ISNA(DL235),NA(),DK169)</f>
        <v>0</v>
      </c>
      <c r="DL235">
        <f>IF(DL169="",NA(),DL169)</f>
        <v>0</v>
      </c>
      <c r="DM235">
        <f>IF(ISNA(DN235),NA(),DM169)</f>
        <v>0</v>
      </c>
      <c r="DN235">
        <f>IF(DN169="",NA(),DN169)</f>
        <v>0</v>
      </c>
      <c r="DO235">
        <f>IF(ISNA(DP235),NA(),DO169)</f>
        <v>0</v>
      </c>
      <c r="DP235">
        <f>IF(DP169="",NA(),DP169)</f>
        <v>0</v>
      </c>
      <c r="DQ235">
        <f>IF(ISNA(DR235),NA(),DQ169)</f>
        <v>0</v>
      </c>
      <c r="DR235">
        <f>IF(DR169="",NA(),DR169)</f>
        <v>0</v>
      </c>
      <c r="DS235">
        <f>IF(ISNA(DT235),NA(),DS169)</f>
        <v>0</v>
      </c>
      <c r="DT235">
        <f>IF(DT169="",NA(),DT169)</f>
        <v>0</v>
      </c>
      <c r="DU235">
        <f>IF(ISNA(DV235),NA(),DU169)</f>
        <v>0</v>
      </c>
      <c r="DV235">
        <f>IF(DV169="",NA(),DV169)</f>
        <v>0</v>
      </c>
      <c r="DW235">
        <f>IF(ISNA(DX235),NA(),DW169)</f>
        <v>0</v>
      </c>
      <c r="DX235">
        <f>IF(DX169="",NA(),DX169)</f>
        <v>0</v>
      </c>
      <c r="DY235">
        <f>IF(ISNA(DZ235),NA(),DY169)</f>
        <v>0</v>
      </c>
      <c r="DZ235">
        <f>IF(DZ169="",NA(),DZ169)</f>
        <v>0</v>
      </c>
      <c r="EA235">
        <f>IF(ISNA(EB235),NA(),EA169)</f>
        <v>0</v>
      </c>
      <c r="EB235">
        <f>IF(EB169="",NA(),EB169)</f>
        <v>0</v>
      </c>
      <c r="EC235">
        <f>IF(ISNA(ED235),NA(),EC169)</f>
        <v>0</v>
      </c>
      <c r="ED235">
        <f>IF(ED169="",NA(),ED169)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90</v>
      </c>
      <c r="F2" t="s">
        <v>92</v>
      </c>
    </row>
    <row r="3" spans="2:6">
      <c r="B3" s="2" t="s">
        <v>91</v>
      </c>
      <c r="F3" s="2" t="s">
        <v>41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2026-07-10T16:31:27Z</dcterms:created>
  <dcterms:modified xsi:type="dcterms:W3CDTF">2026-07-10T16:31:27Z</dcterms:modified>
</cp:coreProperties>
</file>